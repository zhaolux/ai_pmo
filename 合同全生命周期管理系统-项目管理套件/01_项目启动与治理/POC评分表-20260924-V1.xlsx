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评分表" sheetId="2" state="visible" r:id="rId2"/>
    <sheet xmlns:r="http://schemas.openxmlformats.org/officeDocument/2006/relationships" name="评分口径" sheetId="3" state="visible" r:id="rId3"/>
  </sheets>
  <definedNames>
    <definedName name="_xlnm._FilterDatabase" localSheetId="1" hidden="1">'评分表'!$A$5:$N$22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808080"/>
      <sz val="9"/>
    </font>
    <font>
      <b val="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92" customWidth="1" min="2" max="2"/>
  </cols>
  <sheetData>
    <row r="1">
      <c r="A1" s="11" t="inlineStr">
        <is>
          <t>项目</t>
        </is>
      </c>
      <c r="B1" s="10" t="inlineStr">
        <is>
          <t>能源行业合同全生命周期管理系统</t>
        </is>
      </c>
    </row>
    <row r="2">
      <c r="A2" s="11" t="inlineStr">
        <is>
          <t>用途</t>
        </is>
      </c>
      <c r="B2" s="10" t="inlineStr">
        <is>
          <t>D-001 产品选型 POC 评分（CA及电子签章/电子文档/BI报表，候选 17 家）</t>
        </is>
      </c>
    </row>
    <row r="3">
      <c r="A3" s="11" t="inlineStr">
        <is>
          <t>填写人</t>
        </is>
      </c>
      <c r="B3" s="10" t="inlineStr">
        <is>
          <t>技术经理组织，产品/测试/安全/采购分别就相关维度评分</t>
        </is>
      </c>
    </row>
    <row r="4">
      <c r="A4" s="11" t="inlineStr">
        <is>
          <t>更新频率</t>
        </is>
      </c>
      <c r="B4" s="10" t="inlineStr">
        <is>
          <t>评分完成后 1 个工作日内；联合评审前汇总锁定</t>
        </is>
      </c>
    </row>
    <row r="5">
      <c r="A5" s="11" t="inlineStr">
        <is>
          <t>版本日期</t>
        </is>
      </c>
      <c r="B5" s="10" t="inlineStr">
        <is>
          <t>2026-09-24</t>
        </is>
      </c>
    </row>
    <row r="6">
      <c r="A6" s="11" t="inlineStr">
        <is>
          <t>颜色约定</t>
        </is>
      </c>
      <c r="B6" s="10" t="inlineStr">
        <is>
          <t>浅蓝表头；黄色为人工输入区；红色=淘汰或会签不通过；绿色=类别排名第一</t>
        </is>
      </c>
    </row>
    <row r="7">
      <c r="A7" s="11" t="inlineStr">
        <is>
          <t>联动规则</t>
        </is>
      </c>
      <c r="B7" s="10" t="inlineStr">
        <is>
          <t>加权总分按第 4 行权重对 D:H 五维自动计算；会签"不通过"显示"淘汰"且不计排名；"待会签"不计排名；五维未填齐总分留空</t>
        </is>
      </c>
    </row>
    <row r="8">
      <c r="A8" s="11" t="inlineStr">
        <is>
          <t>边界说明</t>
        </is>
      </c>
      <c r="B8" s="10" t="inlineStr">
        <is>
          <t>本表为决策证据材料：评分与会签结论由评分人/会签人签字确认后，作为 D-001 决议附件；选型结论由指导委员会回写权威台账后生效</t>
        </is>
      </c>
    </row>
    <row r="9">
      <c r="A9" s="11" t="inlineStr">
        <is>
          <t>对照文件</t>
        </is>
      </c>
      <c r="B9" s="10" t="inlineStr">
        <is>
          <t>D001-产品选型决策简报-20260924.md；G15-会前签认跟踪-20260924-V1.xlsx（SIG-01）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24" customWidth="1" min="14" max="14"/>
  </cols>
  <sheetData>
    <row r="1">
      <c r="A1" s="1" t="inlineStr">
        <is>
          <t>POC 评分表（D-001 产品选型上会材料）</t>
        </is>
      </c>
    </row>
    <row r="2">
      <c r="A2" s="2" t="inlineStr">
        <is>
          <t>编制日期 2026-09-24｜候选 17 家｜安全合规不通过即淘汰（一票），不看综合评分｜权重可在第 4 行调整（黄色），总分与排名自动计算</t>
        </is>
      </c>
    </row>
    <row r="4">
      <c r="C4" s="3" t="inlineStr">
        <is>
          <t>维度权重→</t>
        </is>
      </c>
      <c r="D4" s="4" t="n">
        <v>0.3</v>
      </c>
      <c r="E4" s="4" t="n">
        <v>0.25</v>
      </c>
      <c r="F4" s="4" t="n">
        <v>0.2</v>
      </c>
      <c r="G4" s="4" t="n">
        <v>0.15</v>
      </c>
      <c r="H4" s="4" t="n">
        <v>0.1</v>
      </c>
    </row>
    <row r="5">
      <c r="A5" s="5" t="inlineStr">
        <is>
          <t>候选编号</t>
        </is>
      </c>
      <c r="B5" s="5" t="inlineStr">
        <is>
          <t>厂商及产品名称</t>
        </is>
      </c>
      <c r="C5" s="5" t="inlineStr">
        <is>
          <t>产品类别</t>
        </is>
      </c>
      <c r="D5" s="5" t="inlineStr">
        <is>
          <t>功能符合度
(30%)</t>
        </is>
      </c>
      <c r="E5" s="5" t="inlineStr">
        <is>
          <t>安全合规
(25%)</t>
        </is>
      </c>
      <c r="F5" s="5" t="inlineStr">
        <is>
          <t>集成与接口
(20%)</t>
        </is>
      </c>
      <c r="G5" s="5" t="inlineStr">
        <is>
          <t>报价与许可
(15%)</t>
        </is>
      </c>
      <c r="H5" s="5" t="inlineStr">
        <is>
          <t>服务与交付
(10%)</t>
        </is>
      </c>
      <c r="I5" s="5" t="inlineStr">
        <is>
          <t>安全合规会签</t>
        </is>
      </c>
      <c r="J5" s="5" t="inlineStr">
        <is>
          <t>加权总分</t>
        </is>
      </c>
      <c r="K5" s="5" t="inlineStr">
        <is>
          <t>类别内排名</t>
        </is>
      </c>
      <c r="L5" s="5" t="inlineStr">
        <is>
          <t>评分人</t>
        </is>
      </c>
      <c r="M5" s="5" t="inlineStr">
        <is>
          <t>评分日期</t>
        </is>
      </c>
      <c r="N5" s="5" t="inlineStr">
        <is>
          <t>备注</t>
        </is>
      </c>
    </row>
    <row r="6">
      <c r="A6" s="6" t="inlineStr">
        <is>
          <t>P-01</t>
        </is>
      </c>
      <c r="B6" s="7" t="inlineStr">
        <is>
          <t>华安信创·信诺CA及电子签章平台</t>
        </is>
      </c>
      <c r="C6" s="7" t="inlineStr">
        <is>
          <t>CA及电子签章</t>
        </is>
      </c>
      <c r="D6" s="7" t="n">
        <v>4</v>
      </c>
      <c r="E6" s="7" t="n">
        <v>4</v>
      </c>
      <c r="F6" s="7" t="n">
        <v>4</v>
      </c>
      <c r="G6" s="7" t="n">
        <v>3</v>
      </c>
      <c r="H6" s="7" t="n">
        <v>4</v>
      </c>
      <c r="I6" s="7" t="inlineStr">
        <is>
          <t>通过</t>
        </is>
      </c>
      <c r="J6" s="6">
        <f>IF($I6="不通过","淘汰",IF($I6="待会签","待会签",IF(COUNT(D6:H6)&lt;5,"",ROUND(SUMPRODUCT($D$4:$H$4,D6:H6)/SUM($D$4:$H$4),2))))</f>
        <v>3.85</v>
      </c>
      <c r="K6" s="6">
        <f>IF(ISNUMBER(J6),COUNTIFS($C$6:$C$22,C6,$J$6:$J$22,"&gt;"&amp;J6)+1,"")</f>
        <v>3</v>
      </c>
      <c r="L6" s="7" t="inlineStr">
        <is>
          <t>PMO（示例）</t>
        </is>
      </c>
      <c r="M6" s="7" t="inlineStr">
        <is>
          <t>2026-09-24</t>
        </is>
      </c>
      <c r="N6" s="8" t="n"/>
    </row>
    <row r="7">
      <c r="A7" s="6" t="inlineStr">
        <is>
          <t>P-02</t>
        </is>
      </c>
      <c r="B7" s="7" t="inlineStr">
        <is>
          <t>云章科技·云签宝企业版</t>
        </is>
      </c>
      <c r="C7" s="7" t="inlineStr">
        <is>
          <t>CA及电子签章</t>
        </is>
      </c>
      <c r="D7" s="7" t="n">
        <v>4</v>
      </c>
      <c r="E7" s="7" t="n">
        <v>4</v>
      </c>
      <c r="F7" s="7" t="n">
        <v>3</v>
      </c>
      <c r="G7" s="7" t="n">
        <v>4</v>
      </c>
      <c r="H7" s="7" t="n">
        <v>4</v>
      </c>
      <c r="I7" s="7" t="inlineStr">
        <is>
          <t>通过</t>
        </is>
      </c>
      <c r="J7" s="6">
        <f>IF($I7="不通过","淘汰",IF($I7="待会签","待会签",IF(COUNT(D7:H7)&lt;5,"",ROUND(SUMPRODUCT($D$4:$H$4,D7:H7)/SUM($D$4:$H$4),2))))</f>
        <v>3.8</v>
      </c>
      <c r="K7" s="6">
        <f>IF(ISNUMBER(J7),COUNTIFS($C$6:$C$22,C7,$J$6:$J$22,"&gt;"&amp;J7)+1,"")</f>
        <v>4</v>
      </c>
      <c r="L7" s="7" t="inlineStr">
        <is>
          <t>PMO（示例）</t>
        </is>
      </c>
      <c r="M7" s="7" t="inlineStr">
        <is>
          <t>2026-09-24</t>
        </is>
      </c>
      <c r="N7" s="8" t="n"/>
    </row>
    <row r="8">
      <c r="A8" s="6" t="inlineStr">
        <is>
          <t>P-03</t>
        </is>
      </c>
      <c r="B8" s="7" t="inlineStr">
        <is>
          <t>安御数科·御章签管一体化系统</t>
        </is>
      </c>
      <c r="C8" s="7" t="inlineStr">
        <is>
          <t>CA及电子签章</t>
        </is>
      </c>
      <c r="D8" s="7" t="n">
        <v>5</v>
      </c>
      <c r="E8" s="7" t="n">
        <v>5</v>
      </c>
      <c r="F8" s="7" t="n">
        <v>3</v>
      </c>
      <c r="G8" s="7" t="n">
        <v>2</v>
      </c>
      <c r="H8" s="7" t="n">
        <v>3</v>
      </c>
      <c r="I8" s="7" t="inlineStr">
        <is>
          <t>通过</t>
        </is>
      </c>
      <c r="J8" s="6">
        <f>IF($I8="不通过","淘汰",IF($I8="待会签","待会签",IF(COUNT(D8:H8)&lt;5,"",ROUND(SUMPRODUCT($D$4:$H$4,D8:H8)/SUM($D$4:$H$4),2))))</f>
        <v>3.95</v>
      </c>
      <c r="K8" s="6">
        <f>IF(ISNUMBER(J8),COUNTIFS($C$6:$C$22,C8,$J$6:$J$22,"&gt;"&amp;J8)+1,"")</f>
        <v>2</v>
      </c>
      <c r="L8" s="7" t="inlineStr">
        <is>
          <t>PMO（示例）</t>
        </is>
      </c>
      <c r="M8" s="7" t="inlineStr">
        <is>
          <t>2026-09-24</t>
        </is>
      </c>
      <c r="N8" s="8" t="inlineStr">
        <is>
          <t>功能最强但报价最高（TCO 279 万）</t>
        </is>
      </c>
    </row>
    <row r="9">
      <c r="A9" s="6" t="inlineStr">
        <is>
          <t>P-04</t>
        </is>
      </c>
      <c r="B9" s="7" t="inlineStr">
        <is>
          <t>契约云·契信签章云平台</t>
        </is>
      </c>
      <c r="C9" s="7" t="inlineStr">
        <is>
          <t>CA及电子签章</t>
        </is>
      </c>
      <c r="D9" s="7" t="n">
        <v>3</v>
      </c>
      <c r="E9" s="7" t="n">
        <v>4</v>
      </c>
      <c r="F9" s="7" t="n">
        <v>3</v>
      </c>
      <c r="G9" s="7" t="n">
        <v>4</v>
      </c>
      <c r="H9" s="7" t="n">
        <v>3</v>
      </c>
      <c r="I9" s="7" t="inlineStr">
        <is>
          <t>不通过</t>
        </is>
      </c>
      <c r="J9" s="6" t="str">
        <f>IF($I9="不通过","淘汰",IF($I9="待会签","待会签",IF(COUNT(D9:H9)&lt;5,"",ROUND(SUMPRODUCT($D$4:$H$4,D9:H9)/SUM($D$4:$H$4),2))))</f>
        <v>淘汰</v>
      </c>
      <c r="K9" s="6">
        <f>IF(ISNUMBER(J9),COUNTIFS($C$6:$C$22,C9,$J$6:$J$22,"&gt;"&amp;J9)+1,"")</f>
        <v/>
      </c>
      <c r="L9" s="7" t="inlineStr">
        <is>
          <t>PMO（示例）</t>
        </is>
      </c>
      <c r="M9" s="7" t="inlineStr">
        <is>
          <t>2026-09-24</t>
        </is>
      </c>
      <c r="N9" s="8" t="inlineStr">
        <is>
          <t>会签不通过，一票淘汰</t>
        </is>
      </c>
    </row>
    <row r="10">
      <c r="A10" s="6" t="inlineStr">
        <is>
          <t>P-05</t>
        </is>
      </c>
      <c r="B10" s="7" t="inlineStr">
        <is>
          <t>中科签·安心签企业套件</t>
        </is>
      </c>
      <c r="C10" s="7" t="inlineStr">
        <is>
          <t>CA及电子签章</t>
        </is>
      </c>
      <c r="D10" s="7" t="n">
        <v>4</v>
      </c>
      <c r="E10" s="7" t="n">
        <v>4</v>
      </c>
      <c r="F10" s="7" t="n">
        <v>4</v>
      </c>
      <c r="G10" s="7" t="n">
        <v>5</v>
      </c>
      <c r="H10" s="7" t="n">
        <v>4</v>
      </c>
      <c r="I10" s="7" t="inlineStr">
        <is>
          <t>通过</t>
        </is>
      </c>
      <c r="J10" s="6">
        <f>IF($I10="不通过","淘汰",IF($I10="待会签","待会签",IF(COUNT(D10:H10)&lt;5,"",ROUND(SUMPRODUCT($D$4:$H$4,D10:H10)/SUM($D$4:$H$4),2))))</f>
        <v>4.15</v>
      </c>
      <c r="K10" s="6">
        <f>IF(ISNUMBER(J10),COUNTIFS($C$6:$C$22,C10,$J$6:$J$22,"&gt;"&amp;J10)+1,"")</f>
        <v>1</v>
      </c>
      <c r="L10" s="7" t="inlineStr">
        <is>
          <t>PMO（示例）</t>
        </is>
      </c>
      <c r="M10" s="7" t="inlineStr">
        <is>
          <t>2026-09-24</t>
        </is>
      </c>
      <c r="N10" s="8" t="inlineStr">
        <is>
          <t>TCO 最低（193 万，已取得口径）</t>
        </is>
      </c>
    </row>
    <row r="11">
      <c r="A11" s="6" t="inlineStr">
        <is>
          <t>P-06</t>
        </is>
      </c>
      <c r="B11" s="7" t="inlineStr">
        <is>
          <t>金石信用·金印CA签章系统</t>
        </is>
      </c>
      <c r="C11" s="7" t="inlineStr">
        <is>
          <t>CA及电子签章</t>
        </is>
      </c>
      <c r="D11" s="7" t="n">
        <v>3</v>
      </c>
      <c r="E11" s="7" t="n">
        <v>3</v>
      </c>
      <c r="F11" s="7" t="n">
        <v>3</v>
      </c>
      <c r="G11" s="7" t="n">
        <v>3</v>
      </c>
      <c r="H11" s="7" t="n">
        <v>3</v>
      </c>
      <c r="I11" s="7" t="inlineStr">
        <is>
          <t>待会签</t>
        </is>
      </c>
      <c r="J11" s="6" t="str">
        <f>IF($I11="不通过","淘汰",IF($I11="待会签","待会签",IF(COUNT(D11:H11)&lt;5,"",ROUND(SUMPRODUCT($D$4:$H$4,D11:H11)/SUM($D$4:$H$4),2))))</f>
        <v>待会签</v>
      </c>
      <c r="K11" s="6">
        <f>IF(ISNUMBER(J11),COUNTIFS($C$6:$C$22,C11,$J$6:$J$22,"&gt;"&amp;J11)+1,"")</f>
        <v/>
      </c>
      <c r="L11" s="7" t="inlineStr">
        <is>
          <t>PMO（示例）</t>
        </is>
      </c>
      <c r="M11" s="7" t="inlineStr">
        <is>
          <t>2026-09-24</t>
        </is>
      </c>
      <c r="N11" s="8" t="inlineStr">
        <is>
          <t>会签进行中，暂不排名</t>
        </is>
      </c>
    </row>
    <row r="12">
      <c r="A12" s="6" t="inlineStr">
        <is>
          <t>P-07</t>
        </is>
      </c>
      <c r="B12" s="7" t="inlineStr">
        <is>
          <t>国网安迅·迅签平台</t>
        </is>
      </c>
      <c r="C12" s="7" t="inlineStr">
        <is>
          <t>CA及电子签章</t>
        </is>
      </c>
      <c r="D12" s="7" t="n"/>
      <c r="E12" s="7" t="n"/>
      <c r="F12" s="7" t="n"/>
      <c r="G12" s="7" t="n"/>
      <c r="H12" s="7" t="n"/>
      <c r="I12" s="7" t="inlineStr">
        <is>
          <t>待会签</t>
        </is>
      </c>
      <c r="J12" s="6" t="str">
        <f>IF($I12="不通过","淘汰",IF($I12="待会签","待会签",IF(COUNT(D12:H12)&lt;5,"",ROUND(SUMPRODUCT($D$4:$H$4,D12:H12)/SUM($D$4:$H$4),2))))</f>
        <v>待会签</v>
      </c>
      <c r="K12" s="6">
        <f>IF(ISNUMBER(J12),COUNTIFS($C$6:$C$22,C12,$J$6:$J$22,"&gt;"&amp;J12)+1,"")</f>
        <v/>
      </c>
      <c r="L12" s="7" t="inlineStr">
        <is>
          <t>PMO（示例）</t>
        </is>
      </c>
      <c r="M12" s="7" t="inlineStr">
        <is>
          <t>2026-09-24</t>
        </is>
      </c>
      <c r="N12" s="8" t="inlineStr">
        <is>
          <t>报价未取得，暂缓评分</t>
        </is>
      </c>
    </row>
    <row r="13">
      <c r="A13" s="6" t="inlineStr">
        <is>
          <t>P-08</t>
        </is>
      </c>
      <c r="B13" s="7" t="inlineStr">
        <is>
          <t>云档科技·云档文档中台</t>
        </is>
      </c>
      <c r="C13" s="7" t="inlineStr">
        <is>
          <t>电子文档</t>
        </is>
      </c>
      <c r="D13" s="7" t="n">
        <v>4</v>
      </c>
      <c r="E13" s="7" t="n">
        <v>4</v>
      </c>
      <c r="F13" s="7" t="n">
        <v>4</v>
      </c>
      <c r="G13" s="7" t="n">
        <v>4</v>
      </c>
      <c r="H13" s="7" t="n">
        <v>4</v>
      </c>
      <c r="I13" s="7" t="inlineStr">
        <is>
          <t>通过</t>
        </is>
      </c>
      <c r="J13" s="6">
        <f>IF($I13="不通过","淘汰",IF($I13="待会签","待会签",IF(COUNT(D13:H13)&lt;5,"",ROUND(SUMPRODUCT($D$4:$H$4,D13:H13)/SUM($D$4:$H$4),2))))</f>
        <v>4</v>
      </c>
      <c r="K13" s="6">
        <f>IF(ISNUMBER(J13),COUNTIFS($C$6:$C$22,C13,$J$6:$J$22,"&gt;"&amp;J13)+1,"")</f>
        <v>1</v>
      </c>
      <c r="L13" s="7" t="inlineStr">
        <is>
          <t>PMO（示例）</t>
        </is>
      </c>
      <c r="M13" s="7" t="inlineStr">
        <is>
          <t>2026-09-24</t>
        </is>
      </c>
      <c r="N13" s="8" t="n"/>
    </row>
    <row r="14">
      <c r="A14" s="6" t="inlineStr">
        <is>
          <t>P-09</t>
        </is>
      </c>
      <c r="B14" s="7" t="inlineStr">
        <is>
          <t>智文数科·智文文档管理系统</t>
        </is>
      </c>
      <c r="C14" s="7" t="inlineStr">
        <is>
          <t>电子文档</t>
        </is>
      </c>
      <c r="D14" s="7" t="n">
        <v>4</v>
      </c>
      <c r="E14" s="7" t="n">
        <v>4</v>
      </c>
      <c r="F14" s="7" t="n">
        <v>3</v>
      </c>
      <c r="G14" s="7" t="n">
        <v>5</v>
      </c>
      <c r="H14" s="7" t="n">
        <v>4</v>
      </c>
      <c r="I14" s="7" t="inlineStr">
        <is>
          <t>通过</t>
        </is>
      </c>
      <c r="J14" s="6">
        <f>IF($I14="不通过","淘汰",IF($I14="待会签","待会签",IF(COUNT(D14:H14)&lt;5,"",ROUND(SUMPRODUCT($D$4:$H$4,D14:H14)/SUM($D$4:$H$4),2))))</f>
        <v>3.95</v>
      </c>
      <c r="K14" s="6">
        <f>IF(ISNUMBER(J14),COUNTIFS($C$6:$C$22,C14,$J$6:$J$22,"&gt;"&amp;J14)+1,"")</f>
        <v>2</v>
      </c>
      <c r="L14" s="7" t="inlineStr">
        <is>
          <t>PMO（示例）</t>
        </is>
      </c>
      <c r="M14" s="7" t="inlineStr">
        <is>
          <t>2026-09-24</t>
        </is>
      </c>
      <c r="N14" s="8" t="inlineStr">
        <is>
          <t>TCO 最低（157 万）</t>
        </is>
      </c>
    </row>
    <row r="15">
      <c r="A15" s="6" t="inlineStr">
        <is>
          <t>P-10</t>
        </is>
      </c>
      <c r="B15" s="7" t="inlineStr">
        <is>
          <t>安存信息·安存文档云</t>
        </is>
      </c>
      <c r="C15" s="7" t="inlineStr">
        <is>
          <t>电子文档</t>
        </is>
      </c>
      <c r="D15" s="7" t="n">
        <v>3</v>
      </c>
      <c r="E15" s="7" t="n">
        <v>4</v>
      </c>
      <c r="F15" s="7" t="n">
        <v>3</v>
      </c>
      <c r="G15" s="7" t="n">
        <v>4</v>
      </c>
      <c r="H15" s="7" t="n">
        <v>3</v>
      </c>
      <c r="I15" s="7" t="inlineStr">
        <is>
          <t>通过</t>
        </is>
      </c>
      <c r="J15" s="6">
        <f>IF($I15="不通过","淘汰",IF($I15="待会签","待会签",IF(COUNT(D15:H15)&lt;5,"",ROUND(SUMPRODUCT($D$4:$H$4,D15:H15)/SUM($D$4:$H$4),2))))</f>
        <v>3.4</v>
      </c>
      <c r="K15" s="6">
        <f>IF(ISNUMBER(J15),COUNTIFS($C$6:$C$22,C15,$J$6:$J$22,"&gt;"&amp;J15)+1,"")</f>
        <v>4</v>
      </c>
      <c r="L15" s="7" t="inlineStr">
        <is>
          <t>PMO（示例）</t>
        </is>
      </c>
      <c r="M15" s="7" t="inlineStr">
        <is>
          <t>2026-09-24</t>
        </is>
      </c>
      <c r="N15" s="8" t="n"/>
    </row>
    <row r="16">
      <c r="A16" s="6" t="inlineStr">
        <is>
          <t>P-11</t>
        </is>
      </c>
      <c r="B16" s="7" t="inlineStr">
        <is>
          <t>华档软件·华档ECM企业版</t>
        </is>
      </c>
      <c r="C16" s="7" t="inlineStr">
        <is>
          <t>电子文档</t>
        </is>
      </c>
      <c r="D16" s="7" t="n">
        <v>4</v>
      </c>
      <c r="E16" s="7" t="n">
        <v>4</v>
      </c>
      <c r="F16" s="7" t="n">
        <v>4</v>
      </c>
      <c r="G16" s="7" t="n">
        <v>3</v>
      </c>
      <c r="H16" s="7" t="n">
        <v>4</v>
      </c>
      <c r="I16" s="7" t="inlineStr">
        <is>
          <t>通过</t>
        </is>
      </c>
      <c r="J16" s="6">
        <f>IF($I16="不通过","淘汰",IF($I16="待会签","待会签",IF(COUNT(D16:H16)&lt;5,"",ROUND(SUMPRODUCT($D$4:$H$4,D16:H16)/SUM($D$4:$H$4),2))))</f>
        <v>3.85</v>
      </c>
      <c r="K16" s="6">
        <f>IF(ISNUMBER(J16),COUNTIFS($C$6:$C$22,C16,$J$6:$J$22,"&gt;"&amp;J16)+1,"")</f>
        <v>3</v>
      </c>
      <c r="L16" s="7" t="inlineStr">
        <is>
          <t>PMO（示例）</t>
        </is>
      </c>
      <c r="M16" s="7" t="inlineStr">
        <is>
          <t>2026-09-24</t>
        </is>
      </c>
      <c r="N16" s="8" t="inlineStr">
        <is>
          <t>接口费待重报，报价维度暂按现报价</t>
        </is>
      </c>
    </row>
    <row r="17">
      <c r="A17" s="6" t="inlineStr">
        <is>
          <t>P-12</t>
        </is>
      </c>
      <c r="B17" s="7" t="inlineStr">
        <is>
          <t>易卷科技·易卷文档平台</t>
        </is>
      </c>
      <c r="C17" s="7" t="inlineStr">
        <is>
          <t>电子文档</t>
        </is>
      </c>
      <c r="D17" s="7" t="n"/>
      <c r="E17" s="7" t="n"/>
      <c r="F17" s="7" t="n"/>
      <c r="G17" s="7" t="n"/>
      <c r="H17" s="7" t="n"/>
      <c r="I17" s="7" t="inlineStr">
        <is>
          <t>待会签</t>
        </is>
      </c>
      <c r="J17" s="6" t="str">
        <f>IF($I17="不通过","淘汰",IF($I17="待会签","待会签",IF(COUNT(D17:H17)&lt;5,"",ROUND(SUMPRODUCT($D$4:$H$4,D17:H17)/SUM($D$4:$H$4),2))))</f>
        <v>待会签</v>
      </c>
      <c r="K17" s="6">
        <f>IF(ISNUMBER(J17),COUNTIFS($C$6:$C$22,C17,$J$6:$J$22,"&gt;"&amp;J17)+1,"")</f>
        <v/>
      </c>
      <c r="L17" s="7" t="inlineStr">
        <is>
          <t>PMO（示例）</t>
        </is>
      </c>
      <c r="M17" s="7" t="inlineStr">
        <is>
          <t>2026-09-24</t>
        </is>
      </c>
      <c r="N17" s="8" t="inlineStr">
        <is>
          <t>报价未取得，暂缓评分</t>
        </is>
      </c>
    </row>
    <row r="18">
      <c r="A18" s="6" t="inlineStr">
        <is>
          <t>P-13</t>
        </is>
      </c>
      <c r="B18" s="7" t="inlineStr">
        <is>
          <t>数视科技·数视BI企业版</t>
        </is>
      </c>
      <c r="C18" s="7" t="inlineStr">
        <is>
          <t>BI报表</t>
        </is>
      </c>
      <c r="D18" s="7" t="n">
        <v>3</v>
      </c>
      <c r="E18" s="7" t="n">
        <v>4</v>
      </c>
      <c r="F18" s="7" t="n">
        <v>4</v>
      </c>
      <c r="G18" s="7" t="n">
        <v>4</v>
      </c>
      <c r="H18" s="7" t="n">
        <v>4</v>
      </c>
      <c r="I18" s="7" t="inlineStr">
        <is>
          <t>通过</t>
        </is>
      </c>
      <c r="J18" s="6">
        <f>IF($I18="不通过","淘汰",IF($I18="待会签","待会签",IF(COUNT(D18:H18)&lt;5,"",ROUND(SUMPRODUCT($D$4:$H$4,D18:H18)/SUM($D$4:$H$4),2))))</f>
        <v>3.7</v>
      </c>
      <c r="K18" s="6">
        <f>IF(ISNUMBER(J18),COUNTIFS($C$6:$C$22,C18,$J$6:$J$22,"&gt;"&amp;J18)+1,"")</f>
        <v>2</v>
      </c>
      <c r="L18" s="7" t="inlineStr">
        <is>
          <t>PMO（示例）</t>
        </is>
      </c>
      <c r="M18" s="7" t="inlineStr">
        <is>
          <t>2026-09-24</t>
        </is>
      </c>
      <c r="N18" s="8" t="n"/>
    </row>
    <row r="19">
      <c r="A19" s="6" t="inlineStr">
        <is>
          <t>P-14</t>
        </is>
      </c>
      <c r="B19" s="7" t="inlineStr">
        <is>
          <t>云图智能·云图BI云服务</t>
        </is>
      </c>
      <c r="C19" s="7" t="inlineStr">
        <is>
          <t>BI报表</t>
        </is>
      </c>
      <c r="D19" s="7" t="n">
        <v>3</v>
      </c>
      <c r="E19" s="7" t="n">
        <v>4</v>
      </c>
      <c r="F19" s="7" t="n">
        <v>3</v>
      </c>
      <c r="G19" s="7" t="n">
        <v>5</v>
      </c>
      <c r="H19" s="7" t="n">
        <v>3</v>
      </c>
      <c r="I19" s="7" t="inlineStr">
        <is>
          <t>通过</t>
        </is>
      </c>
      <c r="J19" s="6">
        <f>IF($I19="不通过","淘汰",IF($I19="待会签","待会签",IF(COUNT(D19:H19)&lt;5,"",ROUND(SUMPRODUCT($D$4:$H$4,D19:H19)/SUM($D$4:$H$4),2))))</f>
        <v>3.55</v>
      </c>
      <c r="K19" s="6">
        <f>IF(ISNUMBER(J19),COUNTIFS($C$6:$C$22,C19,$J$6:$J$22,"&gt;"&amp;J19)+1,"")</f>
        <v>3</v>
      </c>
      <c r="L19" s="7" t="inlineStr">
        <is>
          <t>PMO（示例）</t>
        </is>
      </c>
      <c r="M19" s="7" t="inlineStr">
        <is>
          <t>2026-09-24</t>
        </is>
      </c>
      <c r="N19" s="8" t="n"/>
    </row>
    <row r="20">
      <c r="A20" s="6" t="inlineStr">
        <is>
          <t>P-15</t>
        </is>
      </c>
      <c r="B20" s="7" t="inlineStr">
        <is>
          <t>慧析数科·慧析报表平台</t>
        </is>
      </c>
      <c r="C20" s="7" t="inlineStr">
        <is>
          <t>BI报表</t>
        </is>
      </c>
      <c r="D20" s="7" t="n">
        <v>4</v>
      </c>
      <c r="E20" s="7" t="n">
        <v>3</v>
      </c>
      <c r="F20" s="7" t="n">
        <v>4</v>
      </c>
      <c r="G20" s="7" t="n">
        <v>3</v>
      </c>
      <c r="H20" s="7" t="n">
        <v>3</v>
      </c>
      <c r="I20" s="7" t="inlineStr">
        <is>
          <t>通过</t>
        </is>
      </c>
      <c r="J20" s="6">
        <f>IF($I20="不通过","淘汰",IF($I20="待会签","待会签",IF(COUNT(D20:H20)&lt;5,"",ROUND(SUMPRODUCT($D$4:$H$4,D20:H20)/SUM($D$4:$H$4),2))))</f>
        <v>3.5</v>
      </c>
      <c r="K20" s="6">
        <f>IF(ISNUMBER(J20),COUNTIFS($C$6:$C$22,C20,$J$6:$J$22,"&gt;"&amp;J20)+1,"")</f>
        <v>4</v>
      </c>
      <c r="L20" s="7" t="inlineStr">
        <is>
          <t>PMO（示例）</t>
        </is>
      </c>
      <c r="M20" s="7" t="inlineStr">
        <is>
          <t>2026-09-24</t>
        </is>
      </c>
      <c r="N20" s="8" t="n"/>
    </row>
    <row r="21">
      <c r="A21" s="6" t="inlineStr">
        <is>
          <t>P-16</t>
        </is>
      </c>
      <c r="B21" s="7" t="inlineStr">
        <is>
          <t>迅报软件·迅报BI套件</t>
        </is>
      </c>
      <c r="C21" s="7" t="inlineStr">
        <is>
          <t>BI报表</t>
        </is>
      </c>
      <c r="D21" s="7" t="n">
        <v>4</v>
      </c>
      <c r="E21" s="7" t="n">
        <v>4</v>
      </c>
      <c r="F21" s="7" t="n">
        <v>3</v>
      </c>
      <c r="G21" s="7" t="n">
        <v>5</v>
      </c>
      <c r="H21" s="7" t="n">
        <v>4</v>
      </c>
      <c r="I21" s="7" t="inlineStr">
        <is>
          <t>通过</t>
        </is>
      </c>
      <c r="J21" s="6">
        <f>IF($I21="不通过","淘汰",IF($I21="待会签","待会签",IF(COUNT(D21:H21)&lt;5,"",ROUND(SUMPRODUCT($D$4:$H$4,D21:H21)/SUM($D$4:$H$4),2))))</f>
        <v>3.95</v>
      </c>
      <c r="K21" s="6">
        <f>IF(ISNUMBER(J21),COUNTIFS($C$6:$C$22,C21,$J$6:$J$22,"&gt;"&amp;J21)+1,"")</f>
        <v>1</v>
      </c>
      <c r="L21" s="7" t="inlineStr">
        <is>
          <t>PMO（示例）</t>
        </is>
      </c>
      <c r="M21" s="7" t="inlineStr">
        <is>
          <t>2026-09-24</t>
        </is>
      </c>
      <c r="N21" s="8" t="inlineStr">
        <is>
          <t>TCO 最低（125 万）</t>
        </is>
      </c>
    </row>
    <row r="22">
      <c r="A22" s="6" t="inlineStr">
        <is>
          <t>P-17</t>
        </is>
      </c>
      <c r="B22" s="7" t="inlineStr">
        <is>
          <t>洞察云·洞察分析平台</t>
        </is>
      </c>
      <c r="C22" s="7" t="inlineStr">
        <is>
          <t>BI报表</t>
        </is>
      </c>
      <c r="D22" s="7" t="n">
        <v>3</v>
      </c>
      <c r="E22" s="7" t="n">
        <v>3</v>
      </c>
      <c r="F22" s="7" t="n">
        <v>3</v>
      </c>
      <c r="G22" s="7" t="n">
        <v>2</v>
      </c>
      <c r="H22" s="7" t="n">
        <v>3</v>
      </c>
      <c r="I22" s="7" t="inlineStr">
        <is>
          <t>待会签</t>
        </is>
      </c>
      <c r="J22" s="6" t="str">
        <f>IF($I22="不通过","淘汰",IF($I22="待会签","待会签",IF(COUNT(D22:H22)&lt;5,"",ROUND(SUMPRODUCT($D$4:$H$4,D22:H22)/SUM($D$4:$H$4),2))))</f>
        <v>待会签</v>
      </c>
      <c r="K22" s="6">
        <f>IF(ISNUMBER(J22),COUNTIFS($C$6:$C$22,C22,$J$6:$J$22,"&gt;"&amp;J22)+1,"")</f>
        <v/>
      </c>
      <c r="L22" s="7" t="inlineStr">
        <is>
          <t>PMO（示例）</t>
        </is>
      </c>
      <c r="M22" s="7" t="inlineStr">
        <is>
          <t>2026-09-24</t>
        </is>
      </c>
      <c r="N22" s="8" t="inlineStr">
        <is>
          <t>仅意向价，会签进行中</t>
        </is>
      </c>
    </row>
  </sheetData>
  <autoFilter ref="A5:N22"/>
  <conditionalFormatting sqref="I6:I22">
    <cfRule type="cellIs" priority="1" operator="equal" dxfId="0">
      <formula>"不通过"</formula>
    </cfRule>
  </conditionalFormatting>
  <conditionalFormatting sqref="J6:J22">
    <cfRule type="cellIs" priority="2" operator="equal" dxfId="0">
      <formula>"淘汰"</formula>
    </cfRule>
  </conditionalFormatting>
  <conditionalFormatting sqref="K6:K22">
    <cfRule type="cellIs" priority="3" operator="equal" dxfId="1">
      <formula>1</formula>
    </cfRule>
  </conditionalFormatting>
  <dataValidations count="3">
    <dataValidation sqref="C6:C22" showDropDown="0" showInputMessage="0" showErrorMessage="0" allowBlank="1" type="list">
      <formula1>"CA及电子签章,电子文档,BI报表"</formula1>
    </dataValidation>
    <dataValidation sqref="D6:H22" showDropDown="0" showInputMessage="0" showErrorMessage="0" allowBlank="1" errorTitle="评分范围" error="请输入 1-5 的整数" type="whole" operator="between">
      <formula1>1</formula1>
      <formula2>5</formula2>
    </dataValidation>
    <dataValidation sqref="I6:I22" showDropDown="0" showInputMessage="0" showErrorMessage="0" allowBlank="1" type="list">
      <formula1>"通过,不通过,待会签"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8" customWidth="1" min="3" max="3"/>
    <col width="28" customWidth="1" min="4" max="4"/>
    <col width="30" customWidth="1" min="5" max="5"/>
  </cols>
  <sheetData>
    <row r="1">
      <c r="A1" s="1" t="inlineStr">
        <is>
          <t>评分维度口径与证据要求</t>
        </is>
      </c>
    </row>
    <row r="3">
      <c r="A3" s="9" t="inlineStr">
        <is>
          <t>维度（权重）</t>
        </is>
      </c>
      <c r="B3" s="9" t="inlineStr">
        <is>
          <t>评估要点</t>
        </is>
      </c>
      <c r="C3" s="9" t="inlineStr">
        <is>
          <t>5 分锚点</t>
        </is>
      </c>
      <c r="D3" s="9" t="inlineStr">
        <is>
          <t>1 分锚点</t>
        </is>
      </c>
      <c r="E3" s="9" t="inlineStr">
        <is>
          <t>必备证据</t>
        </is>
      </c>
    </row>
    <row r="4">
      <c r="A4" s="10" t="inlineStr">
        <is>
          <t>功能符合度（30%）</t>
        </is>
      </c>
      <c r="B4" s="10" t="inlineStr">
        <is>
          <t>对照本类别 POC 范围逐项验证核心流程与异常路径</t>
        </is>
      </c>
      <c r="C4" s="10" t="inlineStr">
        <is>
          <t>全部 POC 场景通过，无需定制开发</t>
        </is>
      </c>
      <c r="D4" s="10" t="inlineStr">
        <is>
          <t>核心场景无法走通</t>
        </is>
      </c>
      <c r="E4" s="10" t="inlineStr">
        <is>
          <t>POC 场景执行记录、截图</t>
        </is>
      </c>
    </row>
    <row r="5">
      <c r="A5" s="10" t="inlineStr">
        <is>
          <t>安全合规（25%）</t>
        </is>
      </c>
      <c r="B5" s="10" t="inlineStr">
        <is>
          <t>认证资质、数据加密、审计日志、等保/行业合规；会签结论为准</t>
        </is>
      </c>
      <c r="C5" s="10" t="inlineStr">
        <is>
          <t>合规清单全部通过会签</t>
        </is>
      </c>
      <c r="D5" s="10" t="inlineStr">
        <is>
          <t>任一必过项不满足（一票淘汰）</t>
        </is>
      </c>
      <c r="E5" s="10" t="inlineStr">
        <is>
          <t>安全合规清单会签记录（G16）</t>
        </is>
      </c>
    </row>
    <row r="6">
      <c r="A6" s="10" t="inlineStr">
        <is>
          <t>集成与接口（20%）</t>
        </is>
      </c>
      <c r="B6" s="10" t="inlineStr">
        <is>
          <t>与本项目架构、37 个外部系统接口的成熟度与联调成本</t>
        </is>
      </c>
      <c r="C6" s="10" t="inlineStr">
        <is>
          <t>标准接口齐全，联调窗口明确</t>
        </is>
      </c>
      <c r="D6" s="10" t="inlineStr">
        <is>
          <t>需大量定制接口且无文档</t>
        </is>
      </c>
      <c r="E6" s="10" t="inlineStr">
        <is>
          <t>接口清单、联调方案</t>
        </is>
      </c>
    </row>
    <row r="7">
      <c r="A7" s="10" t="inlineStr">
        <is>
          <t>报价与许可模式（15%）</t>
        </is>
      </c>
      <c r="B7" s="10" t="inlineStr">
        <is>
          <t>许可/订阅模式、接口费用、实施与维保报价的完整性与竞争力</t>
        </is>
      </c>
      <c r="C7" s="10" t="inlineStr">
        <is>
          <t>报价完整且处于预算区间</t>
        </is>
      </c>
      <c r="D7" s="10" t="inlineStr">
        <is>
          <t>报价缺失或显著超预算</t>
        </is>
      </c>
      <c r="E7" s="10" t="inlineStr">
        <is>
          <t>正式报价单（BUD-002—004 支撑）</t>
        </is>
      </c>
    </row>
    <row r="8">
      <c r="A8" s="10" t="inlineStr">
        <is>
          <t>服务与交付（10%）</t>
        </is>
      </c>
      <c r="B8" s="10" t="inlineStr">
        <is>
          <t>实施团队、响应时效、本地化服务与同类案例</t>
        </is>
      </c>
      <c r="C8" s="10" t="inlineStr">
        <is>
          <t>有同类行业案例与驻场能力</t>
        </is>
      </c>
      <c r="D8" s="10" t="inlineStr">
        <is>
          <t>无本地支持且案例不可考</t>
        </is>
      </c>
      <c r="E8" s="10" t="inlineStr">
        <is>
          <t>服务承诺书、案例证明</t>
        </is>
      </c>
    </row>
    <row r="9">
      <c r="A9" s="10" t="inlineStr">
        <is>
          <t>一票淘汰规则</t>
        </is>
      </c>
      <c r="B9" s="10" t="inlineStr">
        <is>
          <t>安全合规会签"不通过"即淘汰，不看综合评分；"待会签"不计入排名</t>
        </is>
      </c>
      <c r="C9" s="10" t="inlineStr"/>
      <c r="D9" s="10" t="inlineStr"/>
      <c r="E9" s="10" t="inlineStr">
        <is>
          <t>会签状态以 G16 证据为准</t>
        </is>
      </c>
    </row>
    <row r="10">
      <c r="A10" s="10" t="inlineStr">
        <is>
          <t>权重调整</t>
        </is>
      </c>
      <c r="B10" s="10" t="inlineStr">
        <is>
          <t>权重在"评分表"第 4 行（黄色）按类别统一调整；调整后总分自动重算</t>
        </is>
      </c>
      <c r="C10" s="10" t="inlineStr"/>
      <c r="D10" s="10" t="inlineStr"/>
      <c r="E10" s="10" t="inlineStr">
        <is>
          <t>调整需联合评审确认并留痕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2026-09-23T23:51:34Z</dcterms:created>
  <dcterms:modified xmlns:dcterms="http://purl.org/dc/terms/" xmlns:xsi="http://www.w3.org/2001/XMLSchema-instance" xsi:type="dcterms:W3CDTF">2026-09-24T06:13:10Z</dcterms:modified>
</cp:coreProperties>
</file>
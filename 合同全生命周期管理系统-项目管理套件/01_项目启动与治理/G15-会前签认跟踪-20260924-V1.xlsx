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签认跟踪" sheetId="1" state="visible" r:id="rId1"/>
    <sheet xmlns:r="http://schemas.openxmlformats.org/officeDocument/2006/relationships" name="会前材料" sheetId="2" state="visible" r:id="rId2"/>
    <sheet xmlns:r="http://schemas.openxmlformats.org/officeDocument/2006/relationships" name="使用说明" sheetId="3" state="visible" r:id="rId3"/>
  </sheets>
  <definedNames>
    <definedName name="_xlnm._FilterDatabase" localSheetId="0" hidden="1">'签认跟踪'!$A$6:$K$13</definedName>
    <definedName name="_xlnm._FilterDatabase" localSheetId="1" hidden="1">'会前材料'!$A$4:$G$10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4"/>
    </font>
    <font>
      <color rgb="00808080"/>
      <sz val="9"/>
    </font>
    <font>
      <b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4" fillId="2" borderId="1" pivotButton="0" quotePrefix="0" xfId="0"/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8" customWidth="1" min="4" max="4"/>
    <col width="12" customWidth="1" min="5" max="5"/>
    <col width="9" customWidth="1" min="6" max="6"/>
    <col width="14" customWidth="1" min="7" max="7"/>
    <col width="46" customWidth="1" min="8" max="8"/>
    <col width="40" customWidth="1" min="9" max="9"/>
    <col width="12" customWidth="1" min="10" max="10"/>
    <col width="22" customWidth="1" min="11" max="11"/>
  </cols>
  <sheetData>
    <row r="1">
      <c r="A1" s="1" t="inlineStr">
        <is>
          <t>G15 会前签认跟踪表</t>
        </is>
      </c>
    </row>
    <row r="2">
      <c r="A2" s="2" t="inlineStr">
        <is>
          <t>编制日期 2026-09-24｜状态快照 2026-09-23 只读审计｜距 G15（2026-10-13）公式倒计时见 F2｜签认后由责任人回写权威台账，本表不替代审批</t>
        </is>
      </c>
    </row>
    <row r="4">
      <c r="A4" t="inlineStr">
        <is>
          <t>门禁 / 目标</t>
        </is>
      </c>
      <c r="B4" t="inlineStr">
        <is>
          <t>G15 数据治理与旧系统迁移策略确认（MG-00）</t>
        </is>
      </c>
      <c r="E4" s="3" t="n">
        <v>46308</v>
      </c>
      <c r="F4" s="4">
        <f>E4-TODAY()</f>
        <v/>
      </c>
    </row>
    <row r="6">
      <c r="A6" s="5" t="inlineStr">
        <is>
          <t>签认项ID</t>
        </is>
      </c>
      <c r="B6" s="5" t="inlineStr">
        <is>
          <t>签认事项</t>
        </is>
      </c>
      <c r="C6" s="5" t="inlineStr">
        <is>
          <t>类别</t>
        </is>
      </c>
      <c r="D6" s="5" t="inlineStr">
        <is>
          <t>责任角色</t>
        </is>
      </c>
      <c r="E6" s="5" t="inlineStr">
        <is>
          <t>最迟日期</t>
        </is>
      </c>
      <c r="F6" s="5" t="inlineStr">
        <is>
          <t>剩余天数</t>
        </is>
      </c>
      <c r="G6" s="5" t="inlineStr">
        <is>
          <t>当前状态</t>
        </is>
      </c>
      <c r="H6" s="5" t="inlineStr">
        <is>
          <t>证据缺口 / 签认条件</t>
        </is>
      </c>
      <c r="I6" s="5" t="inlineStr">
        <is>
          <t>合格证据位置</t>
        </is>
      </c>
      <c r="J6" s="5" t="inlineStr">
        <is>
          <t>签认日期</t>
        </is>
      </c>
      <c r="K6" s="5" t="inlineStr">
        <is>
          <t>备注</t>
        </is>
      </c>
    </row>
    <row r="7">
      <c r="A7" s="6" t="inlineStr">
        <is>
          <t>SIG-01</t>
        </is>
      </c>
      <c r="B7" s="6" t="inlineStr">
        <is>
          <t>D-001 CA、电子文档、BI 产品选型</t>
        </is>
      </c>
      <c r="C7" s="6" t="inlineStr">
        <is>
          <t>项目级决策</t>
        </is>
      </c>
      <c r="D7" s="6" t="inlineStr">
        <is>
          <t>项目指导委员会</t>
        </is>
      </c>
      <c r="E7" s="7" t="n">
        <v>46290</v>
      </c>
      <c r="F7" s="8">
        <f>IF(E7="","",E7-TODAY())</f>
        <v/>
      </c>
      <c r="G7" s="9" t="inlineStr">
        <is>
          <t>待决策</t>
        </is>
      </c>
      <c r="H7" s="6" t="inlineStr">
        <is>
          <t>POC 量化结论与联合评审需完成；安全合规一票淘汰规则需确认（应对 RA-001 同日到期）</t>
        </is>
      </c>
      <c r="I7" s="6" t="inlineStr">
        <is>
          <t>POC 评分表、联合评审记录、选型建议；待决策事项台账 D-001</t>
        </is>
      </c>
      <c r="J7" s="9" t="n"/>
      <c r="K7" s="9" t="inlineStr"/>
    </row>
    <row r="8">
      <c r="A8" s="6" t="inlineStr">
        <is>
          <t>SIG-02</t>
        </is>
      </c>
      <c r="B8" s="6" t="inlineStr">
        <is>
          <t>人工成本预算基线口径确认</t>
        </is>
      </c>
      <c r="C8" s="6" t="inlineStr">
        <is>
          <t>基线签认</t>
        </is>
      </c>
      <c r="D8" s="6" t="inlineStr">
        <is>
          <t>项目集经理</t>
        </is>
      </c>
      <c r="E8" s="7" t="n">
        <v>46308</v>
      </c>
      <c r="F8" s="8">
        <f>IF(E8="","",E8-TODAY())</f>
        <v/>
      </c>
      <c r="G8" s="9" t="inlineStr">
        <is>
          <t>待确认</t>
        </is>
      </c>
      <c r="H8" s="6" t="inlineStr">
        <is>
          <t>确认计划人天唯一来源为《月度投入明细》：5,433 人天 / 769.77 万元 / 均价 1,416.84 元（G15 会前完成）</t>
        </is>
      </c>
      <c r="I8" s="6" t="inlineStr">
        <is>
          <t>人工成本预算、月度投入明细、成本总览（05 成本工作簿）</t>
        </is>
      </c>
      <c r="J8" s="9" t="n"/>
      <c r="K8" s="9" t="inlineStr">
        <is>
          <t>最迟日期取 G15 会期</t>
        </is>
      </c>
    </row>
    <row r="9">
      <c r="A9" s="6" t="inlineStr">
        <is>
          <t>SIG-03</t>
        </is>
      </c>
      <c r="B9" s="6" t="inlineStr">
        <is>
          <t>D-003 项目预算与采购路径</t>
        </is>
      </c>
      <c r="C9" s="6" t="inlineStr">
        <is>
          <t>项目级决策</t>
        </is>
      </c>
      <c r="D9" s="6" t="inlineStr">
        <is>
          <t>项目发起人</t>
        </is>
      </c>
      <c r="E9" s="7" t="n">
        <v>46303</v>
      </c>
      <c r="F9" s="8">
        <f>IF(E9="","",E9-TODAY())</f>
        <v/>
      </c>
      <c r="G9" s="9" t="inlineStr">
        <is>
          <t>待决策</t>
        </is>
      </c>
      <c r="H9" s="6" t="inlineStr">
        <is>
          <t>外部产品与 30 人团队投入需批准基线；人工预算 5,210 人天 / 744.30 万元并入签认</t>
        </is>
      </c>
      <c r="I9" s="6" t="inlineStr">
        <is>
          <t>分项验收与付款绑定可验证交付物方案；待决策事项台账 D-003</t>
        </is>
      </c>
      <c r="J9" s="9" t="n"/>
      <c r="K9" s="9" t="inlineStr"/>
    </row>
    <row r="10">
      <c r="A10" s="6" t="inlineStr">
        <is>
          <t>SIG-04</t>
        </is>
      </c>
      <c r="B10" s="6" t="inlineStr">
        <is>
          <t>D-002 一期范围与 P0 需求基线</t>
        </is>
      </c>
      <c r="C10" s="6" t="inlineStr">
        <is>
          <t>项目级决策</t>
        </is>
      </c>
      <c r="D10" s="6" t="inlineStr">
        <is>
          <t>业务负责人/项目发起人</t>
        </is>
      </c>
      <c r="E10" s="7" t="n">
        <v>46304</v>
      </c>
      <c r="F10" s="8">
        <f>IF(E10="","",E10-TODAY())</f>
        <v/>
      </c>
      <c r="G10" s="9" t="inlineStr">
        <is>
          <t>待决策</t>
        </is>
      </c>
      <c r="H10" s="6" t="inlineStr">
        <is>
          <t>P0 追踪覆盖率当前 0%，应设为基线批准前置条件</t>
        </is>
      </c>
      <c r="I10" s="6" t="inlineStr">
        <is>
          <t>一期范围边界与验收标准；待决策事项台账 D-002</t>
        </is>
      </c>
      <c r="J10" s="9" t="n"/>
      <c r="K10" s="9" t="inlineStr"/>
    </row>
    <row r="11">
      <c r="A11" s="6" t="inlineStr">
        <is>
          <t>SIG-05</t>
        </is>
      </c>
      <c r="B11" s="6" t="inlineStr">
        <is>
          <t>RSK-007 历史合同数据质量/迁移范围失控应对</t>
        </is>
      </c>
      <c r="C11" s="6" t="inlineStr">
        <is>
          <t>风险应对</t>
        </is>
      </c>
      <c r="D11" s="6" t="inlineStr">
        <is>
          <t>产品经理</t>
        </is>
      </c>
      <c r="E11" s="7" t="n">
        <v>46308</v>
      </c>
      <c r="F11" s="8">
        <f>IF(E11="","",E11-TODAY())</f>
        <v/>
      </c>
      <c r="G11" s="9" t="inlineStr">
        <is>
          <t>待处理</t>
        </is>
      </c>
      <c r="H11" s="6" t="inlineStr">
        <is>
          <t>应对四步：访谈清零 48 项核查 → HIS-01—04 历史范围决策 → 对账规则签收 → 降级评估</t>
        </is>
      </c>
      <c r="I11" s="6" t="inlineStr">
        <is>
          <t>G15-未决事项处置建议包 RSK-007 节；风险登记册 RSK-007</t>
        </is>
      </c>
      <c r="J11" s="9" t="n"/>
      <c r="K11" s="9" t="inlineStr"/>
    </row>
    <row r="12">
      <c r="A12" s="6" t="inlineStr">
        <is>
          <t>SIG-06</t>
        </is>
      </c>
      <c r="B12" s="6" t="inlineStr">
        <is>
          <t>MG-00 G15 迁移策略确认（门禁结论）</t>
        </is>
      </c>
      <c r="C12" s="6" t="inlineStr">
        <is>
          <t>门禁结论</t>
        </is>
      </c>
      <c r="D12" s="6" t="inlineStr">
        <is>
          <t>项目经理</t>
        </is>
      </c>
      <c r="E12" s="7" t="n">
        <v>46308</v>
      </c>
      <c r="F12" s="8">
        <f>IF(E12="","",E12-TODAY())</f>
        <v/>
      </c>
      <c r="G12" s="9" t="inlineStr">
        <is>
          <t>进入条件未满足</t>
        </is>
      </c>
      <c r="H12" s="6" t="inlineStr">
        <is>
          <t>来源系统盘点 0/6、历史范围 0/4、核查 0/48；以当前材料直接评审将落入“不通过/延期”档</t>
        </is>
      </c>
      <c r="I12" s="6" t="inlineStr">
        <is>
          <t>六条线索盘点与 CHK-01—05 自检；迁移工作簿“门禁与演练”</t>
        </is>
      </c>
      <c r="J12" s="9" t="n"/>
      <c r="K12" s="9" t="inlineStr">
        <is>
          <t>未收到签署不更新“已通过”</t>
        </is>
      </c>
    </row>
    <row r="13">
      <c r="A13" s="6" t="inlineStr">
        <is>
          <t>SIG-07</t>
        </is>
      </c>
      <c r="B13" s="6" t="inlineStr">
        <is>
          <t>D-004 2026-10-20 正式启动决策</t>
        </is>
      </c>
      <c r="C13" s="6" t="inlineStr">
        <is>
          <t>项目级决策</t>
        </is>
      </c>
      <c r="D13" s="6" t="inlineStr">
        <is>
          <t>项目指导委员会</t>
        </is>
      </c>
      <c r="E13" s="7" t="n">
        <v>46311</v>
      </c>
      <c r="F13" s="8">
        <f>IF(E13="","",E13-TODAY())</f>
        <v/>
      </c>
      <c r="G13" s="9" t="inlineStr">
        <is>
          <t>待决策</t>
        </is>
      </c>
      <c r="H13" s="6" t="inlineStr">
        <is>
          <t>启动门禁必过项需在 10-16 前全部关闭；例外须有书面批准和补救方案</t>
        </is>
      </c>
      <c r="I13" s="6" t="inlineStr">
        <is>
          <t>门禁关闭证据清单；待决策事项台账 D-004</t>
        </is>
      </c>
      <c r="J13" s="9" t="n"/>
      <c r="K13" s="9" t="inlineStr"/>
    </row>
  </sheetData>
  <autoFilter ref="A6:K13"/>
  <conditionalFormatting sqref="G7:G13">
    <cfRule type="cellIs" priority="1" operator="equal" dxfId="0">
      <formula>"已签认"</formula>
    </cfRule>
  </conditionalFormatting>
  <conditionalFormatting sqref="F7:F13">
    <cfRule type="cellIs" priority="2" operator="lessThan" dxfId="1">
      <formula>0</formula>
    </cfRule>
  </conditionalFormatting>
  <dataValidations count="1">
    <dataValidation sqref="G7:G13" showDropDown="0" showInputMessage="0" showErrorMessage="0" allowBlank="1" type="list">
      <formula1>"待决策,待确认,待处理,进行中,已签认,进入条件未满足,不适用"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34" customWidth="1" min="4" max="4"/>
    <col width="24" customWidth="1" min="5" max="5"/>
    <col width="44" customWidth="1" min="6" max="6"/>
    <col width="16" customWidth="1" min="7" max="7"/>
  </cols>
  <sheetData>
    <row r="1">
      <c r="A1" s="1" t="inlineStr">
        <is>
          <t>G15 会前材料包销项（对应行动单 1—6）</t>
        </is>
      </c>
    </row>
    <row r="2">
      <c r="A2" s="2" t="inlineStr">
        <is>
          <t>材料合格后方可支撑对应签认项；唯一录入位置为迁移工作簿，本表只跟踪进度。</t>
        </is>
      </c>
    </row>
    <row r="4">
      <c r="A4" s="5" t="inlineStr">
        <is>
          <t>#</t>
        </is>
      </c>
      <c r="B4" s="5" t="inlineStr">
        <is>
          <t>材料</t>
        </is>
      </c>
      <c r="C4" s="5" t="inlineStr">
        <is>
          <t>责任角色</t>
        </is>
      </c>
      <c r="D4" s="5" t="inlineStr">
        <is>
          <t>唯一录入位置</t>
        </is>
      </c>
      <c r="E4" s="5" t="inlineStr">
        <is>
          <t>当前状态（09-23 快照）</t>
        </is>
      </c>
      <c r="F4" s="5" t="inlineStr">
        <is>
          <t>主要缺口</t>
        </is>
      </c>
      <c r="G4" s="5" t="inlineStr">
        <is>
          <t>关联签认</t>
        </is>
      </c>
    </row>
    <row r="5">
      <c r="A5" s="6" t="n">
        <v>1</v>
      </c>
      <c r="B5" s="6" t="inlineStr">
        <is>
          <t>来源系统盘点</t>
        </is>
      </c>
      <c r="C5" s="6" t="inlineStr">
        <is>
          <t>产品经理/源系统负责人</t>
        </is>
      </c>
      <c r="D5" s="6" t="inlineStr">
        <is>
          <t>迁移工作簿“来源系统盘点”</t>
        </is>
      </c>
      <c r="E5" s="6" t="inlineStr">
        <is>
          <t>6 行全部待盘点</t>
        </is>
      </c>
      <c r="F5" s="6" t="inlineStr">
        <is>
          <t>SRC-01—06 无一核实；不得公布“系统总数”</t>
        </is>
      </c>
      <c r="G5" s="6" t="inlineStr">
        <is>
          <t>SIG-05、SIG-06</t>
        </is>
      </c>
    </row>
    <row r="6">
      <c r="A6" s="6" t="n">
        <v>2</v>
      </c>
      <c r="B6" s="6" t="inlineStr">
        <is>
          <t>对象规模与口径</t>
        </is>
      </c>
      <c r="C6" s="6" t="inlineStr">
        <is>
          <t>各源系统数据责任人</t>
        </is>
      </c>
      <c r="D6" s="6" t="inlineStr">
        <is>
          <t>“来源系统盘点”“对象范围盘点”</t>
        </is>
      </c>
      <c r="E6" s="6" t="inlineStr">
        <is>
          <t>9 个对象全部空白</t>
        </is>
      </c>
      <c r="F6" s="6" t="inlineStr">
        <is>
          <t>规模全未知；保持空白不填 0、不跨系统求和</t>
        </is>
      </c>
      <c r="G6" s="6" t="inlineStr">
        <is>
          <t>SIG-05、SIG-06</t>
        </is>
      </c>
    </row>
    <row r="7">
      <c r="A7" s="6" t="n">
        <v>3</v>
      </c>
      <c r="B7" s="6" t="inlineStr">
        <is>
          <t>历史处置建议（HIS-01—04）</t>
        </is>
      </c>
      <c r="C7" s="6" t="inlineStr">
        <is>
          <t>业务负责人</t>
        </is>
      </c>
      <c r="D7" s="6" t="inlineStr">
        <is>
          <t>“对象范围盘点”批准处置列</t>
        </is>
      </c>
      <c r="E7" s="6" t="inlineStr">
        <is>
          <t>全部待盘点</t>
        </is>
      </c>
      <c r="F7" s="6" t="inlineStr">
        <is>
          <t>在办/有效/终止/归档四项决策未回答</t>
        </is>
      </c>
      <c r="G7" s="6" t="inlineStr">
        <is>
          <t>SIG-05、SIG-06</t>
        </is>
      </c>
    </row>
    <row r="8">
      <c r="A8" s="6" t="n">
        <v>4</v>
      </c>
      <c r="B8" s="6" t="inlineStr">
        <is>
          <t>抽取与恢复可行性</t>
        </is>
      </c>
      <c r="C8" s="6" t="inlineStr">
        <is>
          <t>技术经理</t>
        </is>
      </c>
      <c r="D8" s="6" t="inlineStr">
        <is>
          <t>“迁移策略”“字段映射”</t>
        </is>
      </c>
      <c r="E8" s="6" t="inlineStr">
        <is>
          <t>方案草案待审（D4）</t>
        </is>
      </c>
      <c r="F8" s="6" t="inlineStr">
        <is>
          <t>技术可行性未验证；RBK-002 决策时限/RTO/RPO 为未演练目标</t>
        </is>
      </c>
      <c r="G8" s="6" t="inlineStr">
        <is>
          <t>SIG-06</t>
        </is>
      </c>
    </row>
    <row r="9">
      <c r="A9" s="6" t="n">
        <v>5</v>
      </c>
      <c r="B9" s="6" t="inlineStr">
        <is>
          <t>对账规则签收</t>
        </is>
      </c>
      <c r="C9" s="6" t="inlineStr">
        <is>
          <t>业务/财务/档案/安全负责人</t>
        </is>
      </c>
      <c r="D9" s="6" t="inlineStr">
        <is>
          <t>“对账与验收规则”，执行结果入质量台账</t>
        </is>
      </c>
      <c r="E9" s="6" t="inlineStr">
        <is>
          <t>规则草案待审（D5），验证 0/6</t>
        </is>
      </c>
      <c r="F9" s="6" t="inlineStr">
        <is>
          <t>阈值与签收人待确认；无签收则规则仍为草案</t>
        </is>
      </c>
      <c r="G9" s="6" t="inlineStr">
        <is>
          <t>SIG-05、SIG-06</t>
        </is>
      </c>
    </row>
    <row r="10">
      <c r="A10" s="6" t="n">
        <v>6</v>
      </c>
      <c r="B10" s="6" t="inlineStr">
        <is>
          <t>责任矩阵与门禁衔接</t>
        </is>
      </c>
      <c r="C10" s="6" t="inlineStr">
        <is>
          <t>项目经理/项目集经理</t>
        </is>
      </c>
      <c r="D10" s="6" t="inlineStr">
        <is>
          <t>“责任矩阵”“门禁与演练”</t>
        </is>
      </c>
      <c r="E10" s="6" t="inlineStr">
        <is>
          <t>角色已列、实名待指定（D2/D6）</t>
        </is>
      </c>
      <c r="F10" s="6" t="inlineStr">
        <is>
          <t>阶段日期链无冲突，但进入/退出条件需 G15 确认</t>
        </is>
      </c>
      <c r="G10" s="6" t="inlineStr">
        <is>
          <t>SIG-06、SIG-07</t>
        </is>
      </c>
    </row>
  </sheetData>
  <autoFilter ref="A4:G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0" t="inlineStr">
        <is>
          <t>项目</t>
        </is>
      </c>
      <c r="B1" s="6" t="inlineStr">
        <is>
          <t>能源行业合同全生命周期管理系统</t>
        </is>
      </c>
    </row>
    <row r="2">
      <c r="A2" s="10" t="inlineStr">
        <is>
          <t>适用对象</t>
        </is>
      </c>
      <c r="B2" s="6" t="inlineStr">
        <is>
          <t>项目经理、项目集经理、各签认责任人</t>
        </is>
      </c>
    </row>
    <row r="3">
      <c r="A3" s="10" t="inlineStr">
        <is>
          <t>更新频率</t>
        </is>
      </c>
      <c r="B3" s="6" t="inlineStr">
        <is>
          <t>每日会前检查；任一签认状态变化即时更新</t>
        </is>
      </c>
    </row>
    <row r="4">
      <c r="A4" s="10" t="inlineStr">
        <is>
          <t>版本日期</t>
        </is>
      </c>
      <c r="B4" s="11" t="n">
        <v>46289</v>
      </c>
    </row>
    <row r="5">
      <c r="A5" s="10" t="inlineStr">
        <is>
          <t>颜色约定</t>
        </is>
      </c>
      <c r="B5" s="6" t="inlineStr">
        <is>
          <t>浅蓝表头；黄色为人工输入区（当前状态、签认日期、备注）；红色底纹=剩余天数已为负</t>
        </is>
      </c>
    </row>
    <row r="6">
      <c r="A6" s="10" t="inlineStr">
        <is>
          <t>数据来源</t>
        </is>
      </c>
      <c r="B6" s="6" t="inlineStr">
        <is>
          <t>签认项与缺口取自 G15-会前材料包清单与缺口对照、G15-未决事项处置建议包（2026-09-23 只读快照）</t>
        </is>
      </c>
    </row>
    <row r="7">
      <c r="A7" s="10" t="inlineStr">
        <is>
          <t>联动规则</t>
        </is>
      </c>
      <c r="B7" s="6" t="inlineStr">
        <is>
          <t>剩余天数=最迟日期-TODAY()，打开自动重算；状态下拉：待决策/待确认/待处理/进行中/已签认/不适用</t>
        </is>
      </c>
    </row>
    <row r="8">
      <c r="A8" s="10" t="inlineStr">
        <is>
          <t>边界说明</t>
        </is>
      </c>
      <c r="B8" s="6" t="inlineStr">
        <is>
          <t>本表为会前工作底稿：签认结论由责任人回写权威台账（待决策事项/风险登记册/迁移门禁/成本基线）后生效，本表不替代审批</t>
        </is>
      </c>
    </row>
    <row r="9">
      <c r="A9" s="10" t="inlineStr">
        <is>
          <t>对照文件</t>
        </is>
      </c>
      <c r="B9" s="6" t="inlineStr">
        <is>
          <t>G15-会前材料包清单与缺口对照-20260923.md；G15-未决事项处置建议包-20260923.md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2026-09-23T23:41:20Z</dcterms:created>
  <dcterms:modified xmlns:dcterms="http://purl.org/dc/terms/" xmlns:xsi="http://www.w3.org/2001/XMLSchema-instance" xsi:type="dcterms:W3CDTF">2026-09-23T23:41:20Z</dcterms:modified>
</cp:coreProperties>
</file>
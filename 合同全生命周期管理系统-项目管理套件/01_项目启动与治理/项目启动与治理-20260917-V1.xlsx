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 activeTab="0"/>
  </bookViews>
  <sheets>
    <sheet name="使用说明" sheetId="6" r:id="rId5"/>
    <sheet name="相关方管理" sheetId="1" r:id="rId1"/>
    <sheet name="供应商POC计划" sheetId="3" r:id="rId2"/>
    <sheet name="POC评分表" sheetId="4" r:id="rId3"/>
    <sheet name="启动门禁清单" sheetId="5" r:id="rId4"/>
    <sheet name="_数据接口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<sst xmlns="http://schemas.openxmlformats.org/spreadsheetml/2006/main" count="1412" uniqueCount="436">
  <si>
    <t>项目相关方管理</t>
  </si>
  <si>
    <t>持续跟踪影响力、支持度、沟通节奏和待办行动。权力、关注度和支持度为项目组初评，需由项目经理确认；黄色单元格可维护。</t>
  </si>
  <si>
    <t>相关方总数</t>
  </si>
  <si>
    <t>高权力相关方</t>
  </si>
  <si>
    <t>重点管理人数</t>
  </si>
  <si>
    <t>当前不支持人数</t>
  </si>
  <si>
    <t>存在支持差距</t>
  </si>
  <si>
    <t>沟通逾期人数</t>
  </si>
  <si>
    <t>未关闭行动数</t>
  </si>
  <si>
    <t>待升级事项</t>
  </si>
  <si>
    <t>相关方管理明细</t>
  </si>
  <si>
    <t>相关方ID</t>
  </si>
  <si>
    <t>姓名/组织</t>
  </si>
  <si>
    <t>所属单位/部门</t>
  </si>
  <si>
    <t>职务/角色</t>
  </si>
  <si>
    <t>相关方类别</t>
  </si>
  <si>
    <t>项目责任</t>
  </si>
  <si>
    <t>关注事项</t>
  </si>
  <si>
    <t>权力等级</t>
  </si>
  <si>
    <t>关注度</t>
  </si>
  <si>
    <t>当前支持度</t>
  </si>
  <si>
    <t>目标支持度</t>
  </si>
  <si>
    <t>支持差距</t>
  </si>
  <si>
    <t>影响方向</t>
  </si>
  <si>
    <t>管理策略</t>
  </si>
  <si>
    <t>沟通方式</t>
  </si>
  <si>
    <t>沟通频率</t>
  </si>
  <si>
    <t>沟通内容</t>
  </si>
  <si>
    <t>关系责任人</t>
  </si>
  <si>
    <t>最近沟通日期</t>
  </si>
  <si>
    <t>下次沟通日期</t>
  </si>
  <si>
    <t>当前诉求/意见</t>
  </si>
  <si>
    <t>待办行动</t>
  </si>
  <si>
    <t>行动责任人</t>
  </si>
  <si>
    <t>承诺完成日期</t>
  </si>
  <si>
    <t>行动状态</t>
  </si>
  <si>
    <t>是否需要升级</t>
  </si>
  <si>
    <t>升级对象</t>
  </si>
  <si>
    <t>风险提示</t>
  </si>
  <si>
    <t>备注</t>
  </si>
  <si>
    <t>李宗鹏</t>
  </si>
  <si>
    <t>项目建设单位/技术团队</t>
  </si>
  <si>
    <t>技术干系人</t>
  </si>
  <si>
    <t>建设方</t>
  </si>
  <si>
    <t>负责合同整体技术、运维等工作</t>
  </si>
  <si>
    <t>甲方技术人员管理、协调；与外采供应商沟通；</t>
  </si>
  <si>
    <t>高</t>
  </si>
  <si>
    <t>支持</t>
  </si>
  <si>
    <t>积极推动</t>
  </si>
  <si>
    <t>正向</t>
  </si>
  <si>
    <t>会议</t>
  </si>
  <si>
    <t>每周</t>
  </si>
  <si>
    <t>技术总体、甲方资源协调、运维衔接与外采协同</t>
  </si>
  <si>
    <t>郭松林</t>
  </si>
  <si>
    <t>确认技术治理机制、架构评审安排及外采协调清单</t>
  </si>
  <si>
    <t>进行中</t>
  </si>
  <si>
    <t>否</t>
  </si>
  <si>
    <t/>
  </si>
  <si>
    <t>姜于玲</t>
  </si>
  <si>
    <t>主要负责合同生命周期、集成，现有系统运维等工作</t>
  </si>
  <si>
    <t>按照微服务梳理接口、后端逻辑、数据字典及编制ER图</t>
  </si>
  <si>
    <t>中</t>
  </si>
  <si>
    <t>技术方案、接口、数据迁移、架构和运维准备</t>
  </si>
  <si>
    <t>黄磊</t>
  </si>
  <si>
    <t>王俊超</t>
  </si>
  <si>
    <t>主要负责合同申报、系统设置，现有系统运维等工作</t>
  </si>
  <si>
    <t>郝思佳</t>
  </si>
  <si>
    <t>主要负责前端开发，现有系统运维等工作</t>
  </si>
  <si>
    <t>整理核心模块前端逻辑、接口文档</t>
  </si>
  <si>
    <t>张玲</t>
  </si>
  <si>
    <t>主要负责合同履行的开发，现有系统运维等工作</t>
  </si>
  <si>
    <t>龚元波</t>
  </si>
  <si>
    <t>主要负责合同履行，报表的开发，现有系统运维等工作</t>
  </si>
  <si>
    <t>程晓悦</t>
  </si>
  <si>
    <t>主要负责合同集成，现有系统运维等工作</t>
  </si>
  <si>
    <t>李全</t>
  </si>
  <si>
    <t>可研、立项材料</t>
  </si>
  <si>
    <t>数据迁移方案（针对国产化数据库），包括不限于：存储过程、函数、触发器；信创智能化（现有平移，优化性能）；</t>
  </si>
  <si>
    <t>高美玲</t>
  </si>
  <si>
    <t>项目建设单位/业务团队</t>
  </si>
  <si>
    <t>业务干系人</t>
  </si>
  <si>
    <t>梳理业务相关逻辑</t>
  </si>
  <si>
    <t>合同履行（收/付款）、金山客户端、智能化应用模块</t>
  </si>
  <si>
    <t>业务流程、规则、需求边界和验收标准</t>
  </si>
  <si>
    <t>赵志悦</t>
  </si>
  <si>
    <t>赵翠霞</t>
  </si>
  <si>
    <t>系统管理、接口数据管理模块</t>
  </si>
  <si>
    <t>李琳</t>
  </si>
  <si>
    <t>合同申报模块</t>
  </si>
  <si>
    <t>曹宏博</t>
  </si>
  <si>
    <t>合同相对人、签约授权管理、个人工作助理、首页（其他）、工单管理、系统集成模块</t>
  </si>
  <si>
    <t>即时沟通</t>
  </si>
  <si>
    <t>随时</t>
  </si>
  <si>
    <t>黄春龙</t>
  </si>
  <si>
    <t>履约计划（收/付款）、合同变更、合同解除、违约金、合同终止、风险管理、下载中心模块</t>
  </si>
  <si>
    <t>王玥</t>
  </si>
  <si>
    <t>查询统计、合同迁移模块</t>
  </si>
  <si>
    <t>外协项目组</t>
  </si>
  <si>
    <t>项目经理</t>
  </si>
  <si>
    <t>供应商</t>
  </si>
  <si>
    <t>项目实施组织、计划协调与交付管理</t>
  </si>
  <si>
    <t>项目范围、进度、质量、资源与跨团队协同</t>
  </si>
  <si>
    <t>启动准备、范围进度、资源、质量及协作机制</t>
  </si>
  <si>
    <t>项目集经理</t>
  </si>
  <si>
    <t>即时通信、微信</t>
  </si>
  <si>
    <t>形成启动计划、治理节奏和跨团队行动清单</t>
  </si>
  <si>
    <t>联系电话：15128613985</t>
  </si>
  <si>
    <t>技术经理</t>
  </si>
  <si>
    <t>技术方案、研发与集成管理</t>
  </si>
  <si>
    <t>完成技术架构、接口和研发准备评审</t>
  </si>
  <si>
    <t>联系电话：15311454916</t>
  </si>
  <si>
    <t>产品经理</t>
  </si>
  <si>
    <t>需求分析、产品设计与业务协同</t>
  </si>
  <si>
    <t>完成需求调研计划、原型与需求基线准备</t>
  </si>
  <si>
    <t>联系电话：15735155384</t>
  </si>
  <si>
    <t>殷戈</t>
  </si>
  <si>
    <t>腾讯云文档</t>
  </si>
  <si>
    <t>商务</t>
  </si>
  <si>
    <t>参与腾讯云文档产品交流、POC验证及商务协同</t>
  </si>
  <si>
    <t>产品能力、技术适配、合规安全、实施服务与商务方案</t>
  </si>
  <si>
    <t>中立</t>
  </si>
  <si>
    <t>里程碑</t>
  </si>
  <si>
    <t>电子文档产品POC、技术适配和商务方案</t>
  </si>
  <si>
    <t>提交POC方案、环境与接口材料，配合完成验证</t>
  </si>
  <si>
    <t>联系电话：18500950569</t>
  </si>
  <si>
    <t>张哲昆</t>
  </si>
  <si>
    <t>金山云文档</t>
  </si>
  <si>
    <t>参与金山云文档产品交流、POC验证及商务协同</t>
  </si>
  <si>
    <t>联系电话：18201156495</t>
  </si>
  <si>
    <t>康文元</t>
  </si>
  <si>
    <t>永中云文档</t>
  </si>
  <si>
    <t>参与永中云文档产品交流、POC验证及商务协同</t>
  </si>
  <si>
    <t>联系电话：18210225780</t>
  </si>
  <si>
    <t>韩博雅</t>
  </si>
  <si>
    <t>联想云文档</t>
  </si>
  <si>
    <t>参与联想云文档产品交流、POC验证及商务协同</t>
  </si>
  <si>
    <t>联系电话：13520771314</t>
  </si>
  <si>
    <t>林桐</t>
  </si>
  <si>
    <t>思迈特BI报表</t>
  </si>
  <si>
    <t>参与思迈特BI报表产品交流、POC验证及商务协同</t>
  </si>
  <si>
    <t>BI报表产品POC、技术适配和商务方案</t>
  </si>
  <si>
    <t>联系电话：18519269076</t>
  </si>
  <si>
    <t>徐斌</t>
  </si>
  <si>
    <t>帆软BI报表</t>
  </si>
  <si>
    <t>参与帆软BI报表产品交流、POC验证及商务协同</t>
  </si>
  <si>
    <t>联系电话：15701252620</t>
  </si>
  <si>
    <t>赵轩</t>
  </si>
  <si>
    <t>永洪BI报表</t>
  </si>
  <si>
    <t>参与永洪BI报表产品交流、POC验证及商务协同</t>
  </si>
  <si>
    <t>联系电话：18810787659</t>
  </si>
  <si>
    <t>侯小龙</t>
  </si>
  <si>
    <t>安证通电子签章</t>
  </si>
  <si>
    <t>参与安证通电子签章产品交流、POC验证及商务协同</t>
  </si>
  <si>
    <t>CA/电子签章产品POC、技术适配和商务方案</t>
  </si>
  <si>
    <t>黄磊/赵志悦</t>
  </si>
  <si>
    <t>联系电话：18811229100</t>
  </si>
  <si>
    <t>张成</t>
  </si>
  <si>
    <t>天威电子签章</t>
  </si>
  <si>
    <t>参与天威电子签章产品交流、POC验证及商务协同</t>
  </si>
  <si>
    <t>联系电话：13910655628</t>
  </si>
  <si>
    <t>贾汉林</t>
  </si>
  <si>
    <t>法大大电子签章</t>
  </si>
  <si>
    <t>参与法大大电子签章产品交流、POC验证及商务协同</t>
  </si>
  <si>
    <t>联系电话：13701266895</t>
  </si>
  <si>
    <t>孙忠鹰</t>
  </si>
  <si>
    <t>契约锁电子签章</t>
  </si>
  <si>
    <t>商务联系人</t>
  </si>
  <si>
    <t>参与契约锁电子签章产品交流、POC验证及商务协同</t>
  </si>
  <si>
    <t>联系电话：15810436980</t>
  </si>
  <si>
    <t>邓辽阔</t>
  </si>
  <si>
    <t>达梦数据库</t>
  </si>
  <si>
    <t>参与达梦数据库产品交流、POC验证及商务协同</t>
  </si>
  <si>
    <t>国产数据库产品POC、技术适配和商务方案</t>
  </si>
  <si>
    <t>联系电话：17610285971</t>
  </si>
  <si>
    <t>杨路</t>
  </si>
  <si>
    <t>OB数据库</t>
  </si>
  <si>
    <t>参与OB数据库产品交流、POC验证及商务协同</t>
  </si>
  <si>
    <t>联系电话：18611668825</t>
  </si>
  <si>
    <t>郭明娜</t>
  </si>
  <si>
    <t>华宇元典智能化</t>
  </si>
  <si>
    <t>参与华宇元典智能化产品交流、POC验证及商务协同</t>
  </si>
  <si>
    <t>合同智能化产品POC、技术适配和商务方案</t>
  </si>
  <si>
    <t>联系电话：15210038699</t>
  </si>
  <si>
    <t>袁韶华</t>
  </si>
  <si>
    <t>幂律智能化</t>
  </si>
  <si>
    <t>参与幂律智能化产品交流、POC验证及商务协同</t>
  </si>
  <si>
    <t>联系电话：15311254550</t>
  </si>
  <si>
    <t>周朝玺</t>
  </si>
  <si>
    <t>科大讯飞智能化</t>
  </si>
  <si>
    <t>参与科大讯飞智能化产品交流、POC验证及商务协同</t>
  </si>
  <si>
    <t>联系电话：18600166523</t>
  </si>
  <si>
    <t>邓勇</t>
  </si>
  <si>
    <t>腾讯智能化</t>
  </si>
  <si>
    <t>参与腾讯智能化产品交流、POC验证及商务协同</t>
  </si>
  <si>
    <t>联系电话：18500001188</t>
  </si>
  <si>
    <t>外部产品供应商POC计划</t>
  </si>
  <si>
    <t>计划窗口：2026-08-15至2026-09-25。P0覆盖CA/电子签章、电子文档和BI报表；P1覆盖国产数据库和合同智能化预研。</t>
  </si>
  <si>
    <t>候选供应商总数</t>
  </si>
  <si>
    <t>P0候选数</t>
  </si>
  <si>
    <t>P1候选数</t>
  </si>
  <si>
    <t>待形成结论数</t>
  </si>
  <si>
    <t>产品组</t>
  </si>
  <si>
    <t>优先级</t>
  </si>
  <si>
    <t>供应商/产品</t>
  </si>
  <si>
    <t>联系人</t>
  </si>
  <si>
    <t>联系电话</t>
  </si>
  <si>
    <t>POC范围</t>
  </si>
  <si>
    <t>评价维度</t>
  </si>
  <si>
    <t>项目责任人</t>
  </si>
  <si>
    <t>计划开始</t>
  </si>
  <si>
    <t>计划结束</t>
  </si>
  <si>
    <t>当前状态</t>
  </si>
  <si>
    <t>必要输出</t>
  </si>
  <si>
    <t>评审结论</t>
  </si>
  <si>
    <t>电子文档</t>
  </si>
  <si>
    <t>P0</t>
  </si>
  <si>
    <t>18500950569</t>
  </si>
  <si>
    <t>验证在线编辑、版本协同、格式兼容、权限和归档集成</t>
  </si>
  <si>
    <t>功能适配、格式兼容、权限安全、性能、集成复杂度</t>
  </si>
  <si>
    <t>进行中（待确认）</t>
  </si>
  <si>
    <t>POC报告、指标结果、问题清单、报价及服务承诺</t>
  </si>
  <si>
    <t>结论由技术、业务、安全和采购联合评审</t>
  </si>
  <si>
    <t>18201156495</t>
  </si>
  <si>
    <t>18210225780</t>
  </si>
  <si>
    <t>13520771314</t>
  </si>
  <si>
    <t>BI报表</t>
  </si>
  <si>
    <t>18519269076</t>
  </si>
  <si>
    <t>验证合同统计分析、穿透查询、权限和大数据量报表能力</t>
  </si>
  <si>
    <t>报表能力、权限隔离、性能、易用性、集成复杂度</t>
  </si>
  <si>
    <t>15701252620</t>
  </si>
  <si>
    <t>18810787659</t>
  </si>
  <si>
    <t>CA/电子签章</t>
  </si>
  <si>
    <t>18811229100</t>
  </si>
  <si>
    <t>验证CA认证、签章流程、证据链、审计和合同归档</t>
  </si>
  <si>
    <t>合规性、证据完整性、接口能力、性能、实施服务</t>
  </si>
  <si>
    <t>13910655628</t>
  </si>
  <si>
    <t>13701266895</t>
  </si>
  <si>
    <t>15810436980</t>
  </si>
  <si>
    <t>国产数据库</t>
  </si>
  <si>
    <t>P1</t>
  </si>
  <si>
    <t>17610285971</t>
  </si>
  <si>
    <t>验证兼容性、迁移工具、存储过程改造、性能与高可用</t>
  </si>
  <si>
    <t>兼容性、迁移成本、性能、高可用、运维能力</t>
  </si>
  <si>
    <t>18611668825</t>
  </si>
  <si>
    <t>合同智能化</t>
  </si>
  <si>
    <t>15210038699</t>
  </si>
  <si>
    <t>验证条款识别、风险提示、知识库、准确率和可解释性</t>
  </si>
  <si>
    <t>准确率、召回率、可解释性、数据安全、集成复杂度</t>
  </si>
  <si>
    <t>15311254550</t>
  </si>
  <si>
    <t>18600166523</t>
  </si>
  <si>
    <t>18500001188</t>
  </si>
  <si>
    <t>外部产品POC评分表</t>
  </si>
  <si>
    <t>评分采用1—5分制。安全合规低于3分或任一维度低于2分时不通过；总分80分及以上通过，70—79分有条件通过。评分结果需联合评审确认。</t>
  </si>
  <si>
    <t>候选供应商数</t>
  </si>
  <si>
    <t>已完成评分数</t>
  </si>
  <si>
    <t>通过/有条件通过</t>
  </si>
  <si>
    <t>待评分数</t>
  </si>
  <si>
    <t>权重</t>
  </si>
  <si>
    <t>功能与业务适配</t>
  </si>
  <si>
    <t>技术与集成</t>
  </si>
  <si>
    <t>安全与合规</t>
  </si>
  <si>
    <t>性能与稳定性</t>
  </si>
  <si>
    <t>实施与服务</t>
  </si>
  <si>
    <t>总拥有成本</t>
  </si>
  <si>
    <t>加权总分</t>
  </si>
  <si>
    <t>门槛结论</t>
  </si>
  <si>
    <t>推荐结论</t>
  </si>
  <si>
    <t>评审意见</t>
  </si>
  <si>
    <t>证据链接/编号</t>
  </si>
  <si>
    <t>项目启动准备门禁清单</t>
  </si>
  <si>
    <t>评审窗口：2026-10-01至2026-10-16。必过项未通过时不得进入2026-10-20正式启动；有条件通过事项必须明确责任人和关闭日期。</t>
  </si>
  <si>
    <t>门禁项总数</t>
  </si>
  <si>
    <t>必过项</t>
  </si>
  <si>
    <t>已通过</t>
  </si>
  <si>
    <t>未关闭</t>
  </si>
  <si>
    <t>门禁ID</t>
  </si>
  <si>
    <t>领域</t>
  </si>
  <si>
    <t>检查项</t>
  </si>
  <si>
    <t>必要证据</t>
  </si>
  <si>
    <t>负责人</t>
  </si>
  <si>
    <t>配合人</t>
  </si>
  <si>
    <t>计划完成</t>
  </si>
  <si>
    <t>状态</t>
  </si>
  <si>
    <t>是否必过</t>
  </si>
  <si>
    <t>未决问题/风险</t>
  </si>
  <si>
    <t>纠偏行动</t>
  </si>
  <si>
    <t>G01</t>
  </si>
  <si>
    <t>治理</t>
  </si>
  <si>
    <t>项目章程完成审批</t>
  </si>
  <si>
    <t>批准版项目章程、授权与发起人确认</t>
  </si>
  <si>
    <t>待确认</t>
  </si>
  <si>
    <t>是</t>
  </si>
  <si>
    <t>G02</t>
  </si>
  <si>
    <t>价值</t>
  </si>
  <si>
    <t>项目目标及价值指标确认</t>
  </si>
  <si>
    <t>价值指标词典、基线、目标和收益责任人</t>
  </si>
  <si>
    <t>业务负责人、产品经理</t>
  </si>
  <si>
    <t>G03</t>
  </si>
  <si>
    <t>范围</t>
  </si>
  <si>
    <t>一期范围与排除项基线确认</t>
  </si>
  <si>
    <t>范围说明书、WBS及需求分级原则</t>
  </si>
  <si>
    <t>产品经理、技术经理</t>
  </si>
  <si>
    <t>G04</t>
  </si>
  <si>
    <t>进度</t>
  </si>
  <si>
    <t>里程碑和主进度计划批准</t>
  </si>
  <si>
    <t>里程碑计划、总控台账和关键路径检查</t>
  </si>
  <si>
    <t>PMO</t>
  </si>
  <si>
    <t>G05</t>
  </si>
  <si>
    <t>成本</t>
  </si>
  <si>
    <t>预算及成本控制口径确认</t>
  </si>
  <si>
    <t>预算基线、人员单价、采购和预测口径</t>
  </si>
  <si>
    <t>项目经理、财务/采购</t>
  </si>
  <si>
    <t>G06</t>
  </si>
  <si>
    <t>组织</t>
  </si>
  <si>
    <t>治理组织与授权矩阵到位</t>
  </si>
  <si>
    <t>指导委员会、CCB、业务专家组和授权矩阵</t>
  </si>
  <si>
    <t>G07</t>
  </si>
  <si>
    <t>相关方</t>
  </si>
  <si>
    <t>相关方初评与沟通计划确认</t>
  </si>
  <si>
    <t>相关方登记册、沟通计划和行动清单</t>
  </si>
  <si>
    <t>G08</t>
  </si>
  <si>
    <t>资源</t>
  </si>
  <si>
    <t>30人团队及阶段资源计划确认</t>
  </si>
  <si>
    <t>人员清单、到岗计划、周资源计划和关键技能备份</t>
  </si>
  <si>
    <t>项目经理、各职能经理</t>
  </si>
  <si>
    <t>G09</t>
  </si>
  <si>
    <t>技术</t>
  </si>
  <si>
    <t>总体技术架构基线通过</t>
  </si>
  <si>
    <t>应用、数据、集成、安全和部署架构评审记录</t>
  </si>
  <si>
    <t>高级开发、配置人员</t>
  </si>
  <si>
    <t>G10</t>
  </si>
  <si>
    <t>外部产品</t>
  </si>
  <si>
    <t>POC和选型建议完成</t>
  </si>
  <si>
    <t>POC评分、问题清单、评审记录及选型建议</t>
  </si>
  <si>
    <t>产品经理、测试、采购</t>
  </si>
  <si>
    <t>G11</t>
  </si>
  <si>
    <t>需求</t>
  </si>
  <si>
    <t>需求管理及基线计划就绪</t>
  </si>
  <si>
    <t>调研计划、需求模板、优先级与追踪机制</t>
  </si>
  <si>
    <t>业务代表、项目经理</t>
  </si>
  <si>
    <t>G12</t>
  </si>
  <si>
    <t>质量</t>
  </si>
  <si>
    <t>质量计划和测试策略就绪</t>
  </si>
  <si>
    <t>质量目标、测试分层、缺陷等级和门禁标准</t>
  </si>
  <si>
    <t>测试负责人</t>
  </si>
  <si>
    <t>技术经理、产品经理</t>
  </si>
  <si>
    <t>G13</t>
  </si>
  <si>
    <t>风险变更</t>
  </si>
  <si>
    <t>风险、问题、变更和决策机制运行</t>
  </si>
  <si>
    <t>台账、分级阈值、CCB流程及首次评审记录</t>
  </si>
  <si>
    <t>PMO、各负责人</t>
  </si>
  <si>
    <t>G14</t>
  </si>
  <si>
    <t>采购合同</t>
  </si>
  <si>
    <t>供应商与采购边界明确</t>
  </si>
  <si>
    <t>采购计划、工作说明书、验收付款及退出条款</t>
  </si>
  <si>
    <t>采购、法务、技术经理</t>
  </si>
  <si>
    <t>G15</t>
  </si>
  <si>
    <t>数据</t>
  </si>
  <si>
    <t>数据治理和迁移策略确认</t>
  </si>
  <si>
    <t>数据责任矩阵、质量规则、迁移及核对方案</t>
  </si>
  <si>
    <t>技术经理、业务负责人</t>
  </si>
  <si>
    <t>G16</t>
  </si>
  <si>
    <t>安全合规</t>
  </si>
  <si>
    <t>安全与合规要求纳入基线</t>
  </si>
  <si>
    <t>分类分级、权限、审计、密码/信创与合规清单</t>
  </si>
  <si>
    <t>安全、法务、配置人员</t>
  </si>
  <si>
    <t>G17</t>
  </si>
  <si>
    <t>环境配置</t>
  </si>
  <si>
    <t>开发测试环境和配置机制就绪</t>
  </si>
  <si>
    <t>环境清单、权限、代码库、流水线与配置审计</t>
  </si>
  <si>
    <t>配置人员</t>
  </si>
  <si>
    <t>技术经理、开发团队</t>
  </si>
  <si>
    <t>G18</t>
  </si>
  <si>
    <t>协作</t>
  </si>
  <si>
    <t>会议、报告和升级机制发布</t>
  </si>
  <si>
    <t>治理日历、周报模板、升级路径及联系人</t>
  </si>
  <si>
    <t>G19</t>
  </si>
  <si>
    <t>计划</t>
  </si>
  <si>
    <t>项目整体管理计划获批</t>
  </si>
  <si>
    <t>整体管理计划及各子计划会签记录</t>
  </si>
  <si>
    <t>项目经理、各职能负责人</t>
  </si>
  <si>
    <t>G20</t>
  </si>
  <si>
    <t>启动决策</t>
  </si>
  <si>
    <t>启动评审完成并形成正式决定</t>
  </si>
  <si>
    <t>门禁检查表、遗留事项、批准/有条件批准记录</t>
  </si>
  <si>
    <t>指导委员会</t>
  </si>
  <si>
    <t>项目启动与治理-20260917-V1 使用说明</t>
  </si>
  <si>
    <t>管理相关方、供应商POC、项目启动条件和治理决策。</t>
  </si>
  <si>
    <t>项目</t>
  </si>
  <si>
    <t>能源行业合同全生命周期管理系统</t>
  </si>
  <si>
    <t>适用对象</t>
  </si>
  <si>
    <t>项目集经理、项目经理、产品经理、技术经理</t>
  </si>
  <si>
    <t>更新频率</t>
  </si>
  <si>
    <t>相关方或POC状态变化时更新；启动门禁至少每周检查。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</si>
  <si>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</si>
  <si>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</si>
  <si>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</si>
  <si>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</si>
  <si>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</si>
  <si>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维护相关方信息和沟通策略</t>
  </si>
  <si>
    <t>登记外部产品POC计划</t>
  </si>
  <si>
    <t>完成POC评分和选型结论</t>
  </si>
  <si>
    <t>核对启动门禁及证据</t>
  </si>
  <si>
    <t>将关键阻塞升级至PMO</t>
  </si>
  <si>
    <t>工作表导航</t>
  </si>
  <si>
    <t>顺序</t>
  </si>
  <si>
    <t>工作表</t>
  </si>
  <si>
    <t>用途</t>
  </si>
  <si>
    <t>相关方管理</t>
  </si>
  <si>
    <t>维护权力、关注度、参与度和沟通策略。</t>
  </si>
  <si>
    <t>_数据接口</t>
  </si>
  <si>
    <t>供Python脚本和AI PMO读取，人工一般不直接修改。</t>
  </si>
  <si>
    <t>供应商POC计划</t>
  </si>
  <si>
    <t>规划CA、电子文档、BI等外部产品验证。</t>
  </si>
  <si>
    <t>POC评分表</t>
  </si>
  <si>
    <t>记录POC评分、证据和选型意见。</t>
  </si>
  <si>
    <t>启动门禁清单</t>
  </si>
  <si>
    <t>核对正式启动前必须满足的条件。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</si>
  <si>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</si>
  <si>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</si>
  <si>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</si>
  <si>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</si>
  <si>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</si>
  <si>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</si>
  <si>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</si>
  <si>
    <t>字段</t>
  </si>
  <si>
    <t>值</t>
  </si>
  <si>
    <t>Project_ID</t>
  </si>
  <si>
    <t>ECM-2026</t>
  </si>
  <si>
    <t>项目名称</t>
  </si>
  <si>
    <t>模块编码</t>
  </si>
  <si>
    <t>01</t>
  </si>
  <si>
    <t>生成日期</t>
  </si>
  <si>
    <t>2026-09-16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</si>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</sst>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4">
    <font>
      <sz val="11"/>
      <color theme="1"/>
      <name val="宋体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6"/>
      <color rgb="FF17365D"/>
      <name val="Arial"/>
      <charset val="134"/>
    </font>
    <font>
      <b/>
      <sz val="10"/>
      <color rgb="FFFFFFFF"/>
      <name val="Arial"/>
      <charset val="134"/>
    </font>
    <font>
      <b/>
      <sz val="15"/>
      <color rgb="FF17365D"/>
      <name val="Arial"/>
      <charset val="134"/>
    </font>
    <font>
      <sz val="10"/>
      <color rgb="FF222222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b/>
      <sz val="10"/>
      <color rgb="FFFFFFFF"/>
      <name val="Carlito"/>
      <charset val="134"/>
    </font>
    <font>
      <b/>
      <sz val="15"/>
      <color rgb="FF17365D"/>
      <name val="Carlito"/>
      <charset val="134"/>
    </font>
    <font>
      <b/>
      <sz val="12"/>
      <color rgb="FF17365D"/>
      <name val="Carlito"/>
      <charset val="134"/>
    </font>
    <font>
      <sz val="10"/>
      <color rgb="FF1F2937"/>
      <name val="Carlito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11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0" fontId="4" fillId="3" borderId="6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7" fillId="4" borderId="7" xfId="0" applyNumberFormat="1" applyFont="1" applyFill="1" applyBorder="1" applyAlignment="1">
      <alignment horizontal="center" vertical="center"/>
    </xf>
    <xf numFmtId="0" fontId="8" fillId="5" borderId="7" xfId="0" applyNumberFormat="1" applyFont="1" applyFill="1" applyBorder="1" applyAlignment="1">
      <alignment horizontal="center" vertical="center"/>
    </xf>
    <xf numFmtId="0" fontId="7" fillId="6" borderId="7" xfId="0" applyNumberFormat="1" applyFont="1" applyFill="1" applyBorder="1" applyAlignment="1">
      <alignment horizontal="center" vertical="center" wrapText="1"/>
    </xf>
    <xf numFmtId="0" fontId="9" fillId="7" borderId="7" xfId="0" applyNumberFormat="1" applyFont="1" applyFill="1" applyBorder="1" applyAlignment="1">
      <alignment vertical="center"/>
    </xf>
    <xf numFmtId="0" fontId="9" fillId="7" borderId="7" xfId="0" applyNumberFormat="1" applyFont="1" applyFill="1" applyBorder="1" applyAlignment="1">
      <alignment vertical="center" wrapText="1"/>
    </xf>
    <xf numFmtId="176" fontId="9" fillId="7" borderId="7" xfId="0" applyNumberFormat="1" applyFont="1" applyFill="1" applyBorder="1" applyAlignment="1">
      <alignment vertical="center"/>
    </xf>
    <xf numFmtId="9" fontId="0" fillId="0" borderId="0" xfId="0" applyNumberFormat="1" applyFont="1" applyFill="1" applyBorder="1"/>
    <xf numFmtId="177" fontId="9" fillId="7" borderId="7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4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13" fillId="5" borderId="7" xfId="0" applyNumberFormat="1" applyFont="1" applyFill="1" applyBorder="1" applyAlignment="1">
      <alignment horizontal="center" vertical="center"/>
    </xf>
    <xf numFmtId="0" fontId="14" fillId="0" borderId="0" xfId="0" applyFont="1"/>
    <xf numFmtId="0" fontId="12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15" fillId="7" borderId="7" xfId="0" applyNumberFormat="1" applyFont="1" applyFill="1" applyBorder="1" applyAlignment="1">
      <alignment vertical="center" wrapText="1"/>
    </xf>
    <xf numFmtId="0" fontId="15" fillId="0" borderId="7" xfId="0" applyNumberFormat="1" applyFont="1" applyFill="1" applyBorder="1" applyAlignment="1">
      <alignment vertical="center" wrapText="1"/>
    </xf>
    <xf numFmtId="176" fontId="15" fillId="7" borderId="7" xfId="0" applyNumberFormat="1" applyFont="1" applyFill="1" applyBorder="1" applyAlignment="1">
      <alignment vertical="center" wrapText="1"/>
    </xf>
    <xf numFmtId="0" fontId="15" fillId="7" borderId="7" xfId="0" applyFont="1" applyFill="1" applyBorder="1" applyAlignment="1">
      <alignment vertical="top" wrapText="1"/>
    </xf>
    <xf numFmtId="176" fontId="15" fillId="7" borderId="7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pplierPOCPlanTable" displayName="SupplierPOCPlanTable" ref="A7:N24" totalsRowShown="0">
  <tableColumns count="14">
    <tableColumn id="1" name="产品组"/>
    <tableColumn id="2" name="优先级"/>
    <tableColumn id="3" name="供应商/产品"/>
    <tableColumn id="4" name="联系人"/>
    <tableColumn id="5" name="联系电话"/>
    <tableColumn id="6" name="POC范围"/>
    <tableColumn id="7" name="评价维度"/>
    <tableColumn id="8" name="项目责任人"/>
    <tableColumn id="9" name="计划开始"/>
    <tableColumn id="10" name="计划结束"/>
    <tableColumn id="11" name="当前状态"/>
    <tableColumn id="12" name="必要输出"/>
    <tableColumn id="13" name="评审结论"/>
    <tableColumn id="1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CScoringTable" displayName="POCScoringTable" ref="A7:O24" totalsRowShown="0">
  <tableColumns count="15">
    <tableColumn id="1" name="产品组"/>
    <tableColumn id="2" name="优先级"/>
    <tableColumn id="3" name="供应商/产品"/>
    <tableColumn id="4" name="联系人"/>
    <tableColumn id="5" name="功能与业务适配"/>
    <tableColumn id="6" name="技术与集成"/>
    <tableColumn id="7" name="安全与合规"/>
    <tableColumn id="8" name="性能与稳定性"/>
    <tableColumn id="9" name="实施与服务"/>
    <tableColumn id="10" name="总拥有成本"/>
    <tableColumn id="11" name="加权总分"/>
    <tableColumn id="12" name="门槛结论"/>
    <tableColumn id="13" name="推荐结论"/>
    <tableColumn id="14" name="评审意见"/>
    <tableColumn id="15" name="证据链接/编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rtupGateTable" displayName="StartupGateTable" ref="A7:M27" totalsRowShown="0">
  <tableColumns count="13">
    <tableColumn id="1" name="门禁ID"/>
    <tableColumn id="2" name="领域"/>
    <tableColumn id="3" name="检查项"/>
    <tableColumn id="4" name="必要证据"/>
    <tableColumn id="5" name="负责人"/>
    <tableColumn id="6" name="配合人"/>
    <tableColumn id="7" name="计划完成"/>
    <tableColumn id="8" name="状态"/>
    <tableColumn id="9" name="是否必过"/>
    <tableColumn id="10" name="评审结论"/>
    <tableColumn id="11" name="未决问题/风险"/>
    <tableColumn id="12" name="纠偏行动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AC108"/>
  <sheetViews>
    <sheetView showGridLines="0" workbookViewId="0">
      <pane xSplit="3" ySplit="8" topLeftCell="U9" activePane="bottomRight" state="frozen"/>
      <selection/>
      <selection pane="topRight"/>
      <selection pane="bottomLeft"/>
      <selection pane="bottomRight" activeCell="AA9" sqref="AA9"/>
    </sheetView>
  </sheetViews>
  <sheetFormatPr defaultColWidth="9" defaultRowHeight="16.8"/>
  <cols>
    <col min="1" max="1" width="13" customWidth="1"/>
    <col min="2" max="2" width="18" customWidth="1"/>
    <col min="3" max="3" width="20" customWidth="1"/>
    <col min="4" max="4" width="18" customWidth="1"/>
    <col min="5" max="5" width="15" customWidth="1"/>
    <col min="6" max="6" width="24" customWidth="1"/>
    <col min="7" max="7" width="50.9615384615385" customWidth="1"/>
    <col min="8" max="8" width="11" customWidth="1"/>
    <col min="10" max="10" width="14" customWidth="1"/>
    <col min="11" max="11" width="8.65384615384615" customWidth="1"/>
    <col min="12" max="12" width="11" customWidth="1"/>
    <col min="14" max="14" width="14" customWidth="1"/>
    <col min="15" max="15" width="16" customWidth="1"/>
    <col min="16" max="16" width="13" customWidth="1"/>
    <col min="17" max="17" width="50.9615384615385" customWidth="1"/>
    <col min="18" max="18" width="15" customWidth="1"/>
    <col min="19" max="19" width="14" customWidth="1"/>
    <col min="20" max="20" width="12.8173076923077" customWidth="1"/>
    <col min="21" max="21" width="30" customWidth="1"/>
    <col min="23" max="23" width="15" customWidth="1"/>
    <col min="24" max="24" width="14" customWidth="1"/>
    <col min="25" max="25" width="13" customWidth="1"/>
    <col min="26" max="26" width="14" customWidth="1"/>
    <col min="27" max="27" width="18" customWidth="1"/>
    <col min="28" max="28" width="28" customWidth="1"/>
    <col min="29" max="29" width="24" customWidth="1"/>
  </cols>
  <sheetData>
    <row r="1" ht="28" customHeight="1" spans="1:29">
      <c r="A1" s="22" t="s">
        <v>0</v>
      </c>
    </row>
    <row r="2" spans="1:29">
      <c r="A2" s="23" t="s">
        <v>1</v>
      </c>
    </row>
    <row r="4" spans="1:29">
      <c r="A4" s="24" t="s">
        <v>2</v>
      </c>
      <c r="B4" s="25"/>
      <c r="C4" s="26"/>
      <c r="D4" s="24" t="s">
        <v>3</v>
      </c>
      <c r="E4" s="25"/>
      <c r="F4" s="26"/>
      <c r="G4" s="24" t="s">
        <v>4</v>
      </c>
      <c r="H4" s="25"/>
      <c r="I4" s="26"/>
      <c r="J4" s="24" t="s">
        <v>5</v>
      </c>
      <c r="K4" s="25"/>
      <c r="L4" s="26"/>
      <c r="M4" s="24" t="s">
        <v>6</v>
      </c>
      <c r="N4" s="25"/>
      <c r="O4" s="26"/>
      <c r="P4" s="24" t="s">
        <v>7</v>
      </c>
      <c r="Q4" s="25"/>
      <c r="R4" s="26"/>
      <c r="S4" s="24" t="s">
        <v>8</v>
      </c>
      <c r="T4" s="25"/>
      <c r="U4" s="26"/>
      <c r="V4" s="24" t="s">
        <v>9</v>
      </c>
      <c r="W4" s="25"/>
      <c r="X4" s="26"/>
    </row>
    <row r="5" ht="22" customHeight="1" spans="1:29">
      <c r="A5" s="27">
        <f>COUNTIFS($B$9:$B$108,"&lt;&gt;")</f>
        <v>34</v>
      </c>
      <c r="B5" s="25"/>
      <c r="C5" s="26"/>
      <c r="D5" s="27">
        <f>COUNTIFS($B$9:$B$108,"&lt;&gt;",$H$9:$H$108,"高")</f>
        <v>4</v>
      </c>
      <c r="E5" s="25"/>
      <c r="F5" s="26"/>
      <c r="G5" s="27">
        <f>COUNTIFS($B$9:$B$108,"&lt;&gt;",$N$9:$N$108,"重点管理")</f>
        <v>4</v>
      </c>
      <c r="H5" s="25"/>
      <c r="I5" s="26"/>
      <c r="J5" s="27">
        <f>COUNTIFS($B$9:$B$108,"&lt;&gt;",$J$9:$J$108,"抵触")+COUNTIFS($B$9:$B$108,"&lt;&gt;",$J$9:$J$108,"不支持")</f>
        <v>0</v>
      </c>
      <c r="K5" s="25"/>
      <c r="L5" s="26"/>
      <c r="M5" s="27">
        <f>COUNTIFS($B$9:$B$108,"&lt;&gt;",$L$9:$L$108,"&gt;0")</f>
        <v>34</v>
      </c>
      <c r="N5" s="25"/>
      <c r="O5" s="26"/>
      <c r="P5" s="27">
        <f ca="1">COUNTIFS($B$9:$B$108,"&lt;&gt;",$T$9:$T$108,"&lt;"&amp;TODAY(),$T$9:$T$108,"&lt;&gt;")</f>
        <v>34</v>
      </c>
      <c r="Q5" s="25"/>
      <c r="R5" s="26"/>
      <c r="S5" s="27">
        <f>COUNTIFS($B$9:$B$108,"&lt;&gt;",$Y$9:$Y$108,"&lt;&gt;已完成",$V$9:$V$108,"&lt;&gt;")</f>
        <v>34</v>
      </c>
      <c r="T5" s="25"/>
      <c r="U5" s="26"/>
      <c r="V5" s="27">
        <f>COUNTIFS($B$9:$B$108,"&lt;&gt;",$Z$9:$Z$108,"是")</f>
        <v>0</v>
      </c>
      <c r="W5" s="25"/>
      <c r="X5" s="26"/>
    </row>
    <row r="7" ht="17.6" customHeight="1" spans="1:29">
      <c r="A7" s="28" t="s">
        <v>10</v>
      </c>
    </row>
    <row r="8" ht="34" customHeight="1" spans="1:29">
      <c r="A8" s="29" t="s">
        <v>11</v>
      </c>
      <c r="B8" s="29" t="s">
        <v>12</v>
      </c>
      <c r="C8" s="29" t="s">
        <v>13</v>
      </c>
      <c r="D8" s="29" t="s">
        <v>14</v>
      </c>
      <c r="E8" s="29" t="s">
        <v>15</v>
      </c>
      <c r="F8" s="29" t="s">
        <v>16</v>
      </c>
      <c r="G8" s="29" t="s">
        <v>17</v>
      </c>
      <c r="H8" s="29" t="s">
        <v>18</v>
      </c>
      <c r="I8" s="29" t="s">
        <v>19</v>
      </c>
      <c r="J8" s="29" t="s">
        <v>20</v>
      </c>
      <c r="K8" s="29" t="s">
        <v>21</v>
      </c>
      <c r="L8" s="29" t="s">
        <v>22</v>
      </c>
      <c r="M8" s="29" t="s">
        <v>23</v>
      </c>
      <c r="N8" s="29" t="s">
        <v>24</v>
      </c>
      <c r="O8" s="29" t="s">
        <v>25</v>
      </c>
      <c r="P8" s="29" t="s">
        <v>26</v>
      </c>
      <c r="Q8" s="29" t="s">
        <v>27</v>
      </c>
      <c r="R8" s="29" t="s">
        <v>28</v>
      </c>
      <c r="S8" s="29" t="s">
        <v>29</v>
      </c>
      <c r="T8" s="29" t="s">
        <v>30</v>
      </c>
      <c r="U8" s="29" t="s">
        <v>31</v>
      </c>
      <c r="V8" s="29" t="s">
        <v>32</v>
      </c>
      <c r="W8" s="29" t="s">
        <v>33</v>
      </c>
      <c r="X8" s="29" t="s">
        <v>34</v>
      </c>
      <c r="Y8" s="29" t="s">
        <v>35</v>
      </c>
      <c r="Z8" s="29" t="s">
        <v>36</v>
      </c>
      <c r="AA8" s="29" t="s">
        <v>37</v>
      </c>
      <c r="AB8" s="29" t="s">
        <v>38</v>
      </c>
      <c r="AC8" s="29" t="s">
        <v>39</v>
      </c>
    </row>
    <row r="9" ht="32" customHeight="1" spans="1:29">
      <c r="A9" s="30" t="str">
        <f t="shared" ref="A9:A72" si="0">IF(B9="","","SH-"&amp;TEXT(ROW()-8,"000"))</f>
        <v>SH-001</v>
      </c>
      <c r="B9" s="31" t="s">
        <v>40</v>
      </c>
      <c r="C9" s="31" t="s">
        <v>41</v>
      </c>
      <c r="D9" s="31" t="s">
        <v>42</v>
      </c>
      <c r="E9" s="31" t="s">
        <v>43</v>
      </c>
      <c r="F9" s="31" t="s">
        <v>44</v>
      </c>
      <c r="G9" s="31" t="s">
        <v>45</v>
      </c>
      <c r="H9" s="31" t="s">
        <v>46</v>
      </c>
      <c r="I9" s="31" t="s">
        <v>46</v>
      </c>
      <c r="J9" s="31" t="s">
        <v>47</v>
      </c>
      <c r="K9" s="31" t="s">
        <v>48</v>
      </c>
      <c r="L9" s="32">
        <f t="shared" ref="L9:L72" si="1">IF(OR(J9="",K9=""),"",IF(K9="抵触",1,IF(K9="不支持",2,IF(K9="中立",3,IF(K9="支持",4,IF(K9="积极推动",5,"")))))-IF(J9="抵触",1,IF(J9="不支持",2,IF(J9="中立",3,IF(J9="支持",4,IF(J9="积极推动",5,""))))))</f>
        <v>1</v>
      </c>
      <c r="M9" s="31" t="s">
        <v>49</v>
      </c>
      <c r="N9" s="31" t="str">
        <f t="shared" ref="N9:N72" si="2">IF(OR(H9="",I9=""),"",IF(AND(H9="高",I9="高"),"重点管理",IF(H9="高","保持满意",IF(I9="高","保持沟通","监督观察"))))</f>
        <v>重点管理</v>
      </c>
      <c r="O9" s="31" t="s">
        <v>50</v>
      </c>
      <c r="P9" s="31" t="s">
        <v>51</v>
      </c>
      <c r="Q9" s="31" t="s">
        <v>52</v>
      </c>
      <c r="R9" s="31" t="s">
        <v>53</v>
      </c>
      <c r="S9" s="33"/>
      <c r="T9" s="33">
        <v>46283</v>
      </c>
      <c r="U9" s="31" t="s">
        <v>44</v>
      </c>
      <c r="V9" s="31" t="s">
        <v>54</v>
      </c>
      <c r="W9" s="31" t="s">
        <v>53</v>
      </c>
      <c r="X9" s="33">
        <v>46295</v>
      </c>
      <c r="Y9" s="31" t="s">
        <v>55</v>
      </c>
      <c r="Z9" s="31" t="s">
        <v>56</v>
      </c>
      <c r="AA9" s="31"/>
      <c r="AB9" s="32" t="str">
        <f ca="1" t="shared" ref="AB9:AB72" si="3">IF(B9="","",IF(AND(H9="高",OR(J9="抵触",J9="不支持")),"高权力不支持；","")&amp;IF(L9&gt;0,"存在支持差距；","")&amp;IF(AND(T9&lt;&gt;"",T9&lt;TODAY()),"沟通逾期；","")&amp;IF(AND(V9&lt;&gt;"",X9&lt;TODAY(),Y9&lt;&gt;"已完成"),"行动逾期；","")&amp;IF(AND(Z9="是",AA9=""),"未填升级对象",""))</f>
        <v>存在支持差距；沟通逾期；</v>
      </c>
      <c r="AC9" s="31" t="s">
        <v>57</v>
      </c>
    </row>
    <row r="10" ht="32" customHeight="1" spans="1:29">
      <c r="A10" s="30" t="str">
        <f t="shared" si="0"/>
        <v>SH-002</v>
      </c>
      <c r="B10" s="31" t="s">
        <v>58</v>
      </c>
      <c r="C10" s="31" t="s">
        <v>41</v>
      </c>
      <c r="D10" s="31" t="s">
        <v>42</v>
      </c>
      <c r="E10" s="31" t="s">
        <v>43</v>
      </c>
      <c r="F10" s="31" t="s">
        <v>59</v>
      </c>
      <c r="G10" s="31" t="s">
        <v>60</v>
      </c>
      <c r="H10" s="31" t="s">
        <v>61</v>
      </c>
      <c r="I10" s="31" t="s">
        <v>46</v>
      </c>
      <c r="J10" s="31" t="s">
        <v>47</v>
      </c>
      <c r="K10" s="31" t="s">
        <v>48</v>
      </c>
      <c r="L10" s="32">
        <f t="shared" si="1"/>
        <v>1</v>
      </c>
      <c r="M10" s="31" t="s">
        <v>49</v>
      </c>
      <c r="N10" s="31" t="str">
        <f t="shared" si="2"/>
        <v>保持沟通</v>
      </c>
      <c r="O10" s="31" t="s">
        <v>50</v>
      </c>
      <c r="P10" s="31" t="s">
        <v>51</v>
      </c>
      <c r="Q10" s="31" t="s">
        <v>62</v>
      </c>
      <c r="R10" s="31" t="s">
        <v>63</v>
      </c>
      <c r="S10" s="33"/>
      <c r="T10" s="33">
        <v>46283</v>
      </c>
      <c r="U10" s="31" t="s">
        <v>59</v>
      </c>
      <c r="V10" s="31" t="s">
        <v>60</v>
      </c>
      <c r="W10" s="31" t="s">
        <v>63</v>
      </c>
      <c r="X10" s="33">
        <v>46295</v>
      </c>
      <c r="Y10" s="31" t="s">
        <v>55</v>
      </c>
      <c r="Z10" s="31" t="s">
        <v>56</v>
      </c>
      <c r="AA10" s="31"/>
      <c r="AB10" s="32" t="str">
        <f ca="1" t="shared" si="3"/>
        <v>存在支持差距；沟通逾期；</v>
      </c>
      <c r="AC10" s="31" t="s">
        <v>57</v>
      </c>
    </row>
    <row r="11" ht="32" customHeight="1" spans="1:29">
      <c r="A11" s="30" t="str">
        <f t="shared" si="0"/>
        <v>SH-003</v>
      </c>
      <c r="B11" s="31" t="s">
        <v>64</v>
      </c>
      <c r="C11" s="31" t="s">
        <v>41</v>
      </c>
      <c r="D11" s="31" t="s">
        <v>42</v>
      </c>
      <c r="E11" s="31" t="s">
        <v>43</v>
      </c>
      <c r="F11" s="31" t="s">
        <v>65</v>
      </c>
      <c r="G11" s="31" t="s">
        <v>60</v>
      </c>
      <c r="H11" s="31" t="s">
        <v>61</v>
      </c>
      <c r="I11" s="31" t="s">
        <v>46</v>
      </c>
      <c r="J11" s="31" t="s">
        <v>47</v>
      </c>
      <c r="K11" s="31" t="s">
        <v>48</v>
      </c>
      <c r="L11" s="32">
        <f t="shared" si="1"/>
        <v>1</v>
      </c>
      <c r="M11" s="31" t="s">
        <v>49</v>
      </c>
      <c r="N11" s="31" t="str">
        <f t="shared" si="2"/>
        <v>保持沟通</v>
      </c>
      <c r="O11" s="31" t="s">
        <v>50</v>
      </c>
      <c r="P11" s="31" t="s">
        <v>51</v>
      </c>
      <c r="Q11" s="31" t="s">
        <v>62</v>
      </c>
      <c r="R11" s="31" t="s">
        <v>63</v>
      </c>
      <c r="S11" s="33"/>
      <c r="T11" s="33">
        <v>46283</v>
      </c>
      <c r="U11" s="31" t="s">
        <v>65</v>
      </c>
      <c r="V11" s="31" t="s">
        <v>60</v>
      </c>
      <c r="W11" s="31" t="s">
        <v>63</v>
      </c>
      <c r="X11" s="33">
        <v>46295</v>
      </c>
      <c r="Y11" s="31" t="s">
        <v>55</v>
      </c>
      <c r="Z11" s="31" t="s">
        <v>56</v>
      </c>
      <c r="AA11" s="31"/>
      <c r="AB11" s="32" t="str">
        <f ca="1" t="shared" si="3"/>
        <v>存在支持差距；沟通逾期；</v>
      </c>
      <c r="AC11" s="31" t="s">
        <v>57</v>
      </c>
    </row>
    <row r="12" ht="32" customHeight="1" spans="1:29">
      <c r="A12" s="30" t="str">
        <f t="shared" si="0"/>
        <v>SH-004</v>
      </c>
      <c r="B12" s="31" t="s">
        <v>66</v>
      </c>
      <c r="C12" s="31" t="s">
        <v>41</v>
      </c>
      <c r="D12" s="31" t="s">
        <v>42</v>
      </c>
      <c r="E12" s="31" t="s">
        <v>43</v>
      </c>
      <c r="F12" s="31" t="s">
        <v>67</v>
      </c>
      <c r="G12" s="31" t="s">
        <v>68</v>
      </c>
      <c r="H12" s="31" t="s">
        <v>61</v>
      </c>
      <c r="I12" s="31" t="s">
        <v>46</v>
      </c>
      <c r="J12" s="31" t="s">
        <v>47</v>
      </c>
      <c r="K12" s="31" t="s">
        <v>48</v>
      </c>
      <c r="L12" s="32">
        <f t="shared" si="1"/>
        <v>1</v>
      </c>
      <c r="M12" s="31" t="s">
        <v>49</v>
      </c>
      <c r="N12" s="31" t="str">
        <f t="shared" si="2"/>
        <v>保持沟通</v>
      </c>
      <c r="O12" s="31" t="s">
        <v>50</v>
      </c>
      <c r="P12" s="31" t="s">
        <v>51</v>
      </c>
      <c r="Q12" s="31" t="s">
        <v>62</v>
      </c>
      <c r="R12" s="31" t="s">
        <v>63</v>
      </c>
      <c r="S12" s="33"/>
      <c r="T12" s="33">
        <v>46283</v>
      </c>
      <c r="U12" s="31" t="s">
        <v>67</v>
      </c>
      <c r="V12" s="31" t="s">
        <v>68</v>
      </c>
      <c r="W12" s="31" t="s">
        <v>63</v>
      </c>
      <c r="X12" s="33">
        <v>46295</v>
      </c>
      <c r="Y12" s="31" t="s">
        <v>55</v>
      </c>
      <c r="Z12" s="31" t="s">
        <v>56</v>
      </c>
      <c r="AA12" s="31"/>
      <c r="AB12" s="32" t="str">
        <f ca="1" t="shared" si="3"/>
        <v>存在支持差距；沟通逾期；</v>
      </c>
      <c r="AC12" s="31" t="s">
        <v>57</v>
      </c>
    </row>
    <row r="13" ht="32" customHeight="1" spans="1:29">
      <c r="A13" s="30" t="str">
        <f t="shared" si="0"/>
        <v>SH-005</v>
      </c>
      <c r="B13" s="31" t="s">
        <v>69</v>
      </c>
      <c r="C13" s="31" t="s">
        <v>41</v>
      </c>
      <c r="D13" s="31" t="s">
        <v>42</v>
      </c>
      <c r="E13" s="31" t="s">
        <v>43</v>
      </c>
      <c r="F13" s="31" t="s">
        <v>70</v>
      </c>
      <c r="G13" s="31" t="s">
        <v>60</v>
      </c>
      <c r="H13" s="31" t="s">
        <v>61</v>
      </c>
      <c r="I13" s="31" t="s">
        <v>46</v>
      </c>
      <c r="J13" s="31" t="s">
        <v>47</v>
      </c>
      <c r="K13" s="31" t="s">
        <v>48</v>
      </c>
      <c r="L13" s="32">
        <f t="shared" si="1"/>
        <v>1</v>
      </c>
      <c r="M13" s="31" t="s">
        <v>49</v>
      </c>
      <c r="N13" s="31" t="str">
        <f t="shared" si="2"/>
        <v>保持沟通</v>
      </c>
      <c r="O13" s="31" t="s">
        <v>50</v>
      </c>
      <c r="P13" s="31" t="s">
        <v>51</v>
      </c>
      <c r="Q13" s="31" t="s">
        <v>62</v>
      </c>
      <c r="R13" s="31" t="s">
        <v>63</v>
      </c>
      <c r="S13" s="33"/>
      <c r="T13" s="33">
        <v>46283</v>
      </c>
      <c r="U13" s="31" t="s">
        <v>70</v>
      </c>
      <c r="V13" s="31" t="s">
        <v>60</v>
      </c>
      <c r="W13" s="31" t="s">
        <v>63</v>
      </c>
      <c r="X13" s="33">
        <v>46295</v>
      </c>
      <c r="Y13" s="31" t="s">
        <v>55</v>
      </c>
      <c r="Z13" s="31" t="s">
        <v>56</v>
      </c>
      <c r="AA13" s="31"/>
      <c r="AB13" s="32" t="str">
        <f ca="1" t="shared" si="3"/>
        <v>存在支持差距；沟通逾期；</v>
      </c>
      <c r="AC13" s="31" t="s">
        <v>57</v>
      </c>
    </row>
    <row r="14" ht="32" customHeight="1" spans="1:29">
      <c r="A14" s="30" t="str">
        <f t="shared" si="0"/>
        <v>SH-006</v>
      </c>
      <c r="B14" s="31" t="s">
        <v>71</v>
      </c>
      <c r="C14" s="31" t="s">
        <v>41</v>
      </c>
      <c r="D14" s="31" t="s">
        <v>42</v>
      </c>
      <c r="E14" s="31" t="s">
        <v>43</v>
      </c>
      <c r="F14" s="31" t="s">
        <v>72</v>
      </c>
      <c r="G14" s="31" t="s">
        <v>60</v>
      </c>
      <c r="H14" s="31" t="s">
        <v>61</v>
      </c>
      <c r="I14" s="31" t="s">
        <v>46</v>
      </c>
      <c r="J14" s="31" t="s">
        <v>47</v>
      </c>
      <c r="K14" s="31" t="s">
        <v>48</v>
      </c>
      <c r="L14" s="32">
        <f t="shared" si="1"/>
        <v>1</v>
      </c>
      <c r="M14" s="31" t="s">
        <v>49</v>
      </c>
      <c r="N14" s="31" t="str">
        <f t="shared" si="2"/>
        <v>保持沟通</v>
      </c>
      <c r="O14" s="31" t="s">
        <v>50</v>
      </c>
      <c r="P14" s="31" t="s">
        <v>51</v>
      </c>
      <c r="Q14" s="31" t="s">
        <v>62</v>
      </c>
      <c r="R14" s="31" t="s">
        <v>63</v>
      </c>
      <c r="S14" s="33"/>
      <c r="T14" s="33">
        <v>46283</v>
      </c>
      <c r="U14" s="31" t="s">
        <v>72</v>
      </c>
      <c r="V14" s="31" t="s">
        <v>60</v>
      </c>
      <c r="W14" s="31" t="s">
        <v>63</v>
      </c>
      <c r="X14" s="33">
        <v>46295</v>
      </c>
      <c r="Y14" s="31" t="s">
        <v>55</v>
      </c>
      <c r="Z14" s="31" t="s">
        <v>56</v>
      </c>
      <c r="AA14" s="31"/>
      <c r="AB14" s="32" t="str">
        <f ca="1" t="shared" si="3"/>
        <v>存在支持差距；沟通逾期；</v>
      </c>
      <c r="AC14" s="31" t="s">
        <v>57</v>
      </c>
    </row>
    <row r="15" ht="32" customHeight="1" spans="1:29">
      <c r="A15" s="30" t="str">
        <f t="shared" si="0"/>
        <v>SH-007</v>
      </c>
      <c r="B15" s="31" t="s">
        <v>73</v>
      </c>
      <c r="C15" s="31" t="s">
        <v>41</v>
      </c>
      <c r="D15" s="31" t="s">
        <v>42</v>
      </c>
      <c r="E15" s="31" t="s">
        <v>43</v>
      </c>
      <c r="F15" s="31" t="s">
        <v>74</v>
      </c>
      <c r="G15" s="31" t="s">
        <v>60</v>
      </c>
      <c r="H15" s="31" t="s">
        <v>61</v>
      </c>
      <c r="I15" s="31" t="s">
        <v>46</v>
      </c>
      <c r="J15" s="31" t="s">
        <v>47</v>
      </c>
      <c r="K15" s="31" t="s">
        <v>48</v>
      </c>
      <c r="L15" s="32">
        <f t="shared" si="1"/>
        <v>1</v>
      </c>
      <c r="M15" s="31" t="s">
        <v>49</v>
      </c>
      <c r="N15" s="31" t="str">
        <f t="shared" si="2"/>
        <v>保持沟通</v>
      </c>
      <c r="O15" s="31" t="s">
        <v>50</v>
      </c>
      <c r="P15" s="31" t="s">
        <v>51</v>
      </c>
      <c r="Q15" s="31" t="s">
        <v>62</v>
      </c>
      <c r="R15" s="31" t="s">
        <v>63</v>
      </c>
      <c r="S15" s="33"/>
      <c r="T15" s="33">
        <v>46283</v>
      </c>
      <c r="U15" s="31" t="s">
        <v>74</v>
      </c>
      <c r="V15" s="31" t="s">
        <v>60</v>
      </c>
      <c r="W15" s="31" t="s">
        <v>63</v>
      </c>
      <c r="X15" s="33">
        <v>46295</v>
      </c>
      <c r="Y15" s="31" t="s">
        <v>55</v>
      </c>
      <c r="Z15" s="31" t="s">
        <v>56</v>
      </c>
      <c r="AA15" s="31"/>
      <c r="AB15" s="32" t="str">
        <f ca="1" t="shared" si="3"/>
        <v>存在支持差距；沟通逾期；</v>
      </c>
      <c r="AC15" s="31" t="s">
        <v>57</v>
      </c>
    </row>
    <row r="16" ht="32" customHeight="1" spans="1:29">
      <c r="A16" s="30" t="str">
        <f t="shared" si="0"/>
        <v>SH-008</v>
      </c>
      <c r="B16" s="31" t="s">
        <v>75</v>
      </c>
      <c r="C16" s="31" t="s">
        <v>41</v>
      </c>
      <c r="D16" s="31" t="s">
        <v>42</v>
      </c>
      <c r="E16" s="31" t="s">
        <v>43</v>
      </c>
      <c r="F16" s="31" t="s">
        <v>76</v>
      </c>
      <c r="G16" s="31" t="s">
        <v>77</v>
      </c>
      <c r="H16" s="31" t="s">
        <v>61</v>
      </c>
      <c r="I16" s="31" t="s">
        <v>46</v>
      </c>
      <c r="J16" s="31" t="s">
        <v>47</v>
      </c>
      <c r="K16" s="31" t="s">
        <v>48</v>
      </c>
      <c r="L16" s="32">
        <f t="shared" si="1"/>
        <v>1</v>
      </c>
      <c r="M16" s="31" t="s">
        <v>49</v>
      </c>
      <c r="N16" s="31" t="str">
        <f t="shared" si="2"/>
        <v>保持沟通</v>
      </c>
      <c r="O16" s="31" t="s">
        <v>50</v>
      </c>
      <c r="P16" s="31" t="s">
        <v>51</v>
      </c>
      <c r="Q16" s="31" t="s">
        <v>62</v>
      </c>
      <c r="R16" s="31" t="s">
        <v>63</v>
      </c>
      <c r="S16" s="33"/>
      <c r="T16" s="33">
        <v>46283</v>
      </c>
      <c r="U16" s="31" t="s">
        <v>76</v>
      </c>
      <c r="V16" s="31" t="s">
        <v>77</v>
      </c>
      <c r="W16" s="31" t="s">
        <v>63</v>
      </c>
      <c r="X16" s="33">
        <v>46295</v>
      </c>
      <c r="Y16" s="31" t="s">
        <v>55</v>
      </c>
      <c r="Z16" s="31" t="s">
        <v>56</v>
      </c>
      <c r="AA16" s="31"/>
      <c r="AB16" s="32" t="str">
        <f ca="1" t="shared" si="3"/>
        <v>存在支持差距；沟通逾期；</v>
      </c>
      <c r="AC16" s="31" t="s">
        <v>57</v>
      </c>
    </row>
    <row r="17" ht="32" customHeight="1" spans="1:29">
      <c r="A17" s="30" t="str">
        <f t="shared" si="0"/>
        <v>SH-009</v>
      </c>
      <c r="B17" s="31" t="s">
        <v>78</v>
      </c>
      <c r="C17" s="31" t="s">
        <v>79</v>
      </c>
      <c r="D17" s="31" t="s">
        <v>80</v>
      </c>
      <c r="E17" s="31" t="s">
        <v>43</v>
      </c>
      <c r="F17" s="31" t="s">
        <v>81</v>
      </c>
      <c r="G17" s="31" t="s">
        <v>82</v>
      </c>
      <c r="H17" s="31" t="s">
        <v>61</v>
      </c>
      <c r="I17" s="31" t="s">
        <v>46</v>
      </c>
      <c r="J17" s="31" t="s">
        <v>47</v>
      </c>
      <c r="K17" s="31" t="s">
        <v>48</v>
      </c>
      <c r="L17" s="32">
        <f t="shared" si="1"/>
        <v>1</v>
      </c>
      <c r="M17" s="31" t="s">
        <v>49</v>
      </c>
      <c r="N17" s="31" t="str">
        <f t="shared" si="2"/>
        <v>保持沟通</v>
      </c>
      <c r="O17" s="31" t="s">
        <v>50</v>
      </c>
      <c r="P17" s="31" t="s">
        <v>51</v>
      </c>
      <c r="Q17" s="31" t="s">
        <v>83</v>
      </c>
      <c r="R17" s="31" t="s">
        <v>84</v>
      </c>
      <c r="S17" s="33"/>
      <c r="T17" s="33">
        <v>46283</v>
      </c>
      <c r="U17" s="31" t="s">
        <v>81</v>
      </c>
      <c r="V17" s="31" t="s">
        <v>82</v>
      </c>
      <c r="W17" s="31" t="s">
        <v>84</v>
      </c>
      <c r="X17" s="33">
        <v>46295</v>
      </c>
      <c r="Y17" s="31" t="s">
        <v>55</v>
      </c>
      <c r="Z17" s="31" t="s">
        <v>56</v>
      </c>
      <c r="AA17" s="31"/>
      <c r="AB17" s="32" t="str">
        <f ca="1" t="shared" si="3"/>
        <v>存在支持差距；沟通逾期；</v>
      </c>
      <c r="AC17" s="31" t="s">
        <v>57</v>
      </c>
    </row>
    <row r="18" ht="32" customHeight="1" spans="1:29">
      <c r="A18" s="30" t="str">
        <f t="shared" si="0"/>
        <v>SH-010</v>
      </c>
      <c r="B18" s="31" t="s">
        <v>85</v>
      </c>
      <c r="C18" s="31" t="s">
        <v>79</v>
      </c>
      <c r="D18" s="31" t="s">
        <v>80</v>
      </c>
      <c r="E18" s="31" t="s">
        <v>43</v>
      </c>
      <c r="F18" s="31" t="s">
        <v>81</v>
      </c>
      <c r="G18" s="31" t="s">
        <v>86</v>
      </c>
      <c r="H18" s="31" t="s">
        <v>61</v>
      </c>
      <c r="I18" s="31" t="s">
        <v>46</v>
      </c>
      <c r="J18" s="31" t="s">
        <v>47</v>
      </c>
      <c r="K18" s="31" t="s">
        <v>48</v>
      </c>
      <c r="L18" s="32">
        <f t="shared" si="1"/>
        <v>1</v>
      </c>
      <c r="M18" s="31" t="s">
        <v>49</v>
      </c>
      <c r="N18" s="31" t="str">
        <f t="shared" si="2"/>
        <v>保持沟通</v>
      </c>
      <c r="O18" s="31" t="s">
        <v>50</v>
      </c>
      <c r="P18" s="31" t="s">
        <v>51</v>
      </c>
      <c r="Q18" s="31" t="s">
        <v>83</v>
      </c>
      <c r="R18" s="31" t="s">
        <v>84</v>
      </c>
      <c r="S18" s="33"/>
      <c r="T18" s="33">
        <v>46283</v>
      </c>
      <c r="U18" s="31" t="s">
        <v>81</v>
      </c>
      <c r="V18" s="31" t="s">
        <v>86</v>
      </c>
      <c r="W18" s="31" t="s">
        <v>84</v>
      </c>
      <c r="X18" s="33">
        <v>46295</v>
      </c>
      <c r="Y18" s="31" t="s">
        <v>55</v>
      </c>
      <c r="Z18" s="31" t="s">
        <v>56</v>
      </c>
      <c r="AA18" s="31"/>
      <c r="AB18" s="32" t="str">
        <f ca="1" t="shared" si="3"/>
        <v>存在支持差距；沟通逾期；</v>
      </c>
      <c r="AC18" s="31" t="s">
        <v>57</v>
      </c>
    </row>
    <row r="19" ht="32" customHeight="1" spans="1:29">
      <c r="A19" s="30" t="str">
        <f t="shared" si="0"/>
        <v>SH-011</v>
      </c>
      <c r="B19" s="31" t="s">
        <v>87</v>
      </c>
      <c r="C19" s="31" t="s">
        <v>79</v>
      </c>
      <c r="D19" s="31" t="s">
        <v>80</v>
      </c>
      <c r="E19" s="31" t="s">
        <v>43</v>
      </c>
      <c r="F19" s="31" t="s">
        <v>81</v>
      </c>
      <c r="G19" s="31" t="s">
        <v>88</v>
      </c>
      <c r="H19" s="31" t="s">
        <v>61</v>
      </c>
      <c r="I19" s="31" t="s">
        <v>46</v>
      </c>
      <c r="J19" s="31" t="s">
        <v>47</v>
      </c>
      <c r="K19" s="31" t="s">
        <v>48</v>
      </c>
      <c r="L19" s="32">
        <f t="shared" si="1"/>
        <v>1</v>
      </c>
      <c r="M19" s="31" t="s">
        <v>49</v>
      </c>
      <c r="N19" s="31" t="str">
        <f t="shared" si="2"/>
        <v>保持沟通</v>
      </c>
      <c r="O19" s="31" t="s">
        <v>50</v>
      </c>
      <c r="P19" s="31" t="s">
        <v>51</v>
      </c>
      <c r="Q19" s="31" t="s">
        <v>83</v>
      </c>
      <c r="R19" s="31" t="s">
        <v>84</v>
      </c>
      <c r="S19" s="33"/>
      <c r="T19" s="33">
        <v>46283</v>
      </c>
      <c r="U19" s="31" t="s">
        <v>81</v>
      </c>
      <c r="V19" s="31" t="s">
        <v>88</v>
      </c>
      <c r="W19" s="31" t="s">
        <v>84</v>
      </c>
      <c r="X19" s="33">
        <v>46295</v>
      </c>
      <c r="Y19" s="31" t="s">
        <v>55</v>
      </c>
      <c r="Z19" s="31" t="s">
        <v>56</v>
      </c>
      <c r="AA19" s="31"/>
      <c r="AB19" s="32" t="str">
        <f ca="1" t="shared" si="3"/>
        <v>存在支持差距；沟通逾期；</v>
      </c>
      <c r="AC19" s="31" t="s">
        <v>57</v>
      </c>
    </row>
    <row r="20" ht="32" customHeight="1" spans="1:29">
      <c r="A20" s="30" t="str">
        <f t="shared" si="0"/>
        <v>SH-012</v>
      </c>
      <c r="B20" s="31" t="s">
        <v>89</v>
      </c>
      <c r="C20" s="31" t="s">
        <v>79</v>
      </c>
      <c r="D20" s="31" t="s">
        <v>80</v>
      </c>
      <c r="E20" s="31" t="s">
        <v>43</v>
      </c>
      <c r="F20" s="31" t="s">
        <v>81</v>
      </c>
      <c r="G20" s="31" t="s">
        <v>90</v>
      </c>
      <c r="H20" s="31" t="s">
        <v>61</v>
      </c>
      <c r="I20" s="31" t="s">
        <v>46</v>
      </c>
      <c r="J20" s="31" t="s">
        <v>47</v>
      </c>
      <c r="K20" s="31" t="s">
        <v>48</v>
      </c>
      <c r="L20" s="32">
        <f t="shared" si="1"/>
        <v>1</v>
      </c>
      <c r="M20" s="31" t="s">
        <v>49</v>
      </c>
      <c r="N20" s="31" t="str">
        <f t="shared" si="2"/>
        <v>保持沟通</v>
      </c>
      <c r="O20" s="31" t="s">
        <v>91</v>
      </c>
      <c r="P20" s="31" t="s">
        <v>92</v>
      </c>
      <c r="Q20" s="31" t="s">
        <v>83</v>
      </c>
      <c r="R20" s="31" t="s">
        <v>84</v>
      </c>
      <c r="S20" s="33"/>
      <c r="T20" s="33">
        <v>46283</v>
      </c>
      <c r="U20" s="31" t="s">
        <v>81</v>
      </c>
      <c r="V20" s="31" t="s">
        <v>90</v>
      </c>
      <c r="W20" s="31" t="s">
        <v>84</v>
      </c>
      <c r="X20" s="33">
        <v>46295</v>
      </c>
      <c r="Y20" s="31" t="s">
        <v>55</v>
      </c>
      <c r="Z20" s="31" t="s">
        <v>56</v>
      </c>
      <c r="AA20" s="31"/>
      <c r="AB20" s="32" t="str">
        <f ca="1" t="shared" si="3"/>
        <v>存在支持差距；沟通逾期；</v>
      </c>
      <c r="AC20" s="31" t="s">
        <v>57</v>
      </c>
    </row>
    <row r="21" ht="32" customHeight="1" spans="1:29">
      <c r="A21" s="30" t="str">
        <f t="shared" si="0"/>
        <v>SH-013</v>
      </c>
      <c r="B21" s="31" t="s">
        <v>93</v>
      </c>
      <c r="C21" s="31" t="s">
        <v>79</v>
      </c>
      <c r="D21" s="31" t="s">
        <v>80</v>
      </c>
      <c r="E21" s="31" t="s">
        <v>43</v>
      </c>
      <c r="F21" s="31" t="s">
        <v>81</v>
      </c>
      <c r="G21" s="31" t="s">
        <v>94</v>
      </c>
      <c r="H21" s="31" t="s">
        <v>61</v>
      </c>
      <c r="I21" s="31" t="s">
        <v>46</v>
      </c>
      <c r="J21" s="31" t="s">
        <v>47</v>
      </c>
      <c r="K21" s="31" t="s">
        <v>48</v>
      </c>
      <c r="L21" s="32">
        <f t="shared" si="1"/>
        <v>1</v>
      </c>
      <c r="M21" s="31" t="s">
        <v>49</v>
      </c>
      <c r="N21" s="31" t="str">
        <f t="shared" si="2"/>
        <v>保持沟通</v>
      </c>
      <c r="O21" s="31" t="s">
        <v>50</v>
      </c>
      <c r="P21" s="31" t="s">
        <v>51</v>
      </c>
      <c r="Q21" s="31" t="s">
        <v>83</v>
      </c>
      <c r="R21" s="31" t="s">
        <v>84</v>
      </c>
      <c r="S21" s="33"/>
      <c r="T21" s="33">
        <v>46283</v>
      </c>
      <c r="U21" s="31" t="s">
        <v>81</v>
      </c>
      <c r="V21" s="31" t="s">
        <v>94</v>
      </c>
      <c r="W21" s="31" t="s">
        <v>84</v>
      </c>
      <c r="X21" s="33">
        <v>46295</v>
      </c>
      <c r="Y21" s="31" t="s">
        <v>55</v>
      </c>
      <c r="Z21" s="31" t="s">
        <v>56</v>
      </c>
      <c r="AA21" s="31"/>
      <c r="AB21" s="32" t="str">
        <f ca="1" t="shared" si="3"/>
        <v>存在支持差距；沟通逾期；</v>
      </c>
      <c r="AC21" s="31" t="s">
        <v>57</v>
      </c>
    </row>
    <row r="22" ht="32" customHeight="1" spans="1:29">
      <c r="A22" s="30" t="str">
        <f t="shared" si="0"/>
        <v>SH-014</v>
      </c>
      <c r="B22" s="31" t="s">
        <v>95</v>
      </c>
      <c r="C22" s="31" t="s">
        <v>79</v>
      </c>
      <c r="D22" s="31" t="s">
        <v>80</v>
      </c>
      <c r="E22" s="31" t="s">
        <v>43</v>
      </c>
      <c r="F22" s="31" t="s">
        <v>81</v>
      </c>
      <c r="G22" s="31" t="s">
        <v>96</v>
      </c>
      <c r="H22" s="31" t="s">
        <v>61</v>
      </c>
      <c r="I22" s="31" t="s">
        <v>46</v>
      </c>
      <c r="J22" s="31" t="s">
        <v>47</v>
      </c>
      <c r="K22" s="31" t="s">
        <v>48</v>
      </c>
      <c r="L22" s="32">
        <f t="shared" si="1"/>
        <v>1</v>
      </c>
      <c r="M22" s="31" t="s">
        <v>49</v>
      </c>
      <c r="N22" s="31" t="str">
        <f t="shared" si="2"/>
        <v>保持沟通</v>
      </c>
      <c r="O22" s="31" t="s">
        <v>50</v>
      </c>
      <c r="P22" s="31" t="s">
        <v>51</v>
      </c>
      <c r="Q22" s="31" t="s">
        <v>83</v>
      </c>
      <c r="R22" s="31" t="s">
        <v>84</v>
      </c>
      <c r="S22" s="33"/>
      <c r="T22" s="33">
        <v>46283</v>
      </c>
      <c r="U22" s="31" t="s">
        <v>81</v>
      </c>
      <c r="V22" s="31" t="s">
        <v>96</v>
      </c>
      <c r="W22" s="31" t="s">
        <v>84</v>
      </c>
      <c r="X22" s="33">
        <v>46295</v>
      </c>
      <c r="Y22" s="31" t="s">
        <v>55</v>
      </c>
      <c r="Z22" s="31" t="s">
        <v>56</v>
      </c>
      <c r="AA22" s="31"/>
      <c r="AB22" s="32" t="str">
        <f ca="1" t="shared" si="3"/>
        <v>存在支持差距；沟通逾期；</v>
      </c>
      <c r="AC22" s="31" t="s">
        <v>57</v>
      </c>
    </row>
    <row r="23" ht="32" customHeight="1" spans="1:29">
      <c r="A23" s="30" t="str">
        <f t="shared" si="0"/>
        <v>SH-015</v>
      </c>
      <c r="B23" s="31" t="s">
        <v>53</v>
      </c>
      <c r="C23" s="31" t="s">
        <v>97</v>
      </c>
      <c r="D23" s="31" t="s">
        <v>98</v>
      </c>
      <c r="E23" s="31" t="s">
        <v>99</v>
      </c>
      <c r="F23" s="31" t="s">
        <v>100</v>
      </c>
      <c r="G23" s="31" t="s">
        <v>101</v>
      </c>
      <c r="H23" s="31" t="s">
        <v>46</v>
      </c>
      <c r="I23" s="31" t="s">
        <v>46</v>
      </c>
      <c r="J23" s="31" t="s">
        <v>47</v>
      </c>
      <c r="K23" s="31" t="s">
        <v>48</v>
      </c>
      <c r="L23" s="32">
        <f t="shared" si="1"/>
        <v>1</v>
      </c>
      <c r="M23" s="31" t="s">
        <v>49</v>
      </c>
      <c r="N23" s="31" t="str">
        <f t="shared" si="2"/>
        <v>重点管理</v>
      </c>
      <c r="O23" s="31" t="s">
        <v>91</v>
      </c>
      <c r="P23" s="31" t="s">
        <v>51</v>
      </c>
      <c r="Q23" s="31" t="s">
        <v>102</v>
      </c>
      <c r="R23" s="31" t="s">
        <v>103</v>
      </c>
      <c r="S23" s="33"/>
      <c r="T23" s="33">
        <v>46283</v>
      </c>
      <c r="U23" s="31" t="s">
        <v>104</v>
      </c>
      <c r="V23" s="31" t="s">
        <v>105</v>
      </c>
      <c r="W23" s="31" t="s">
        <v>103</v>
      </c>
      <c r="X23" s="33">
        <v>46311</v>
      </c>
      <c r="Y23" s="31" t="s">
        <v>55</v>
      </c>
      <c r="Z23" s="31" t="s">
        <v>56</v>
      </c>
      <c r="AA23" s="31"/>
      <c r="AB23" s="32" t="str">
        <f ca="1" t="shared" si="3"/>
        <v>存在支持差距；沟通逾期；</v>
      </c>
      <c r="AC23" s="31" t="s">
        <v>106</v>
      </c>
    </row>
    <row r="24" ht="32" customHeight="1" spans="1:29">
      <c r="A24" s="30" t="str">
        <f t="shared" si="0"/>
        <v>SH-016</v>
      </c>
      <c r="B24" s="31" t="s">
        <v>63</v>
      </c>
      <c r="C24" s="31" t="s">
        <v>97</v>
      </c>
      <c r="D24" s="31" t="s">
        <v>107</v>
      </c>
      <c r="E24" s="31" t="s">
        <v>99</v>
      </c>
      <c r="F24" s="31" t="s">
        <v>108</v>
      </c>
      <c r="G24" s="31" t="s">
        <v>101</v>
      </c>
      <c r="H24" s="31" t="s">
        <v>46</v>
      </c>
      <c r="I24" s="31" t="s">
        <v>46</v>
      </c>
      <c r="J24" s="31" t="s">
        <v>47</v>
      </c>
      <c r="K24" s="31" t="s">
        <v>48</v>
      </c>
      <c r="L24" s="32">
        <f t="shared" si="1"/>
        <v>1</v>
      </c>
      <c r="M24" s="31" t="s">
        <v>49</v>
      </c>
      <c r="N24" s="31" t="str">
        <f t="shared" si="2"/>
        <v>重点管理</v>
      </c>
      <c r="O24" s="31" t="s">
        <v>91</v>
      </c>
      <c r="P24" s="31" t="s">
        <v>51</v>
      </c>
      <c r="Q24" s="31" t="s">
        <v>102</v>
      </c>
      <c r="R24" s="31" t="s">
        <v>103</v>
      </c>
      <c r="S24" s="33"/>
      <c r="T24" s="33">
        <v>46283</v>
      </c>
      <c r="U24" s="31" t="s">
        <v>104</v>
      </c>
      <c r="V24" s="31" t="s">
        <v>109</v>
      </c>
      <c r="W24" s="31" t="s">
        <v>103</v>
      </c>
      <c r="X24" s="33">
        <v>46311</v>
      </c>
      <c r="Y24" s="31" t="s">
        <v>55</v>
      </c>
      <c r="Z24" s="31" t="s">
        <v>56</v>
      </c>
      <c r="AA24" s="31"/>
      <c r="AB24" s="32" t="str">
        <f ca="1" t="shared" si="3"/>
        <v>存在支持差距；沟通逾期；</v>
      </c>
      <c r="AC24" s="31" t="s">
        <v>110</v>
      </c>
    </row>
    <row r="25" ht="32" customHeight="1" spans="1:29">
      <c r="A25" s="30" t="str">
        <f t="shared" si="0"/>
        <v>SH-017</v>
      </c>
      <c r="B25" s="31" t="s">
        <v>84</v>
      </c>
      <c r="C25" s="31" t="s">
        <v>97</v>
      </c>
      <c r="D25" s="31" t="s">
        <v>111</v>
      </c>
      <c r="E25" s="31" t="s">
        <v>99</v>
      </c>
      <c r="F25" s="31" t="s">
        <v>112</v>
      </c>
      <c r="G25" s="31" t="s">
        <v>101</v>
      </c>
      <c r="H25" s="31" t="s">
        <v>46</v>
      </c>
      <c r="I25" s="31" t="s">
        <v>46</v>
      </c>
      <c r="J25" s="31" t="s">
        <v>47</v>
      </c>
      <c r="K25" s="31" t="s">
        <v>48</v>
      </c>
      <c r="L25" s="32">
        <f t="shared" si="1"/>
        <v>1</v>
      </c>
      <c r="M25" s="31" t="s">
        <v>49</v>
      </c>
      <c r="N25" s="31" t="str">
        <f t="shared" si="2"/>
        <v>重点管理</v>
      </c>
      <c r="O25" s="31" t="s">
        <v>91</v>
      </c>
      <c r="P25" s="31" t="s">
        <v>51</v>
      </c>
      <c r="Q25" s="31" t="s">
        <v>102</v>
      </c>
      <c r="R25" s="31" t="s">
        <v>103</v>
      </c>
      <c r="S25" s="33"/>
      <c r="T25" s="33">
        <v>46283</v>
      </c>
      <c r="U25" s="31" t="s">
        <v>104</v>
      </c>
      <c r="V25" s="31" t="s">
        <v>113</v>
      </c>
      <c r="W25" s="31" t="s">
        <v>103</v>
      </c>
      <c r="X25" s="33">
        <v>46311</v>
      </c>
      <c r="Y25" s="31" t="s">
        <v>55</v>
      </c>
      <c r="Z25" s="31" t="s">
        <v>56</v>
      </c>
      <c r="AA25" s="31"/>
      <c r="AB25" s="32" t="str">
        <f ca="1" t="shared" si="3"/>
        <v>存在支持差距；沟通逾期；</v>
      </c>
      <c r="AC25" s="31" t="s">
        <v>114</v>
      </c>
    </row>
    <row r="26" ht="32" customHeight="1" spans="1:29">
      <c r="A26" s="30" t="str">
        <f t="shared" si="0"/>
        <v>SH-018</v>
      </c>
      <c r="B26" s="31" t="s">
        <v>115</v>
      </c>
      <c r="C26" s="31" t="s">
        <v>116</v>
      </c>
      <c r="D26" s="31" t="s">
        <v>117</v>
      </c>
      <c r="E26" s="31" t="s">
        <v>99</v>
      </c>
      <c r="F26" s="31" t="s">
        <v>118</v>
      </c>
      <c r="G26" s="31" t="s">
        <v>119</v>
      </c>
      <c r="H26" s="31" t="s">
        <v>61</v>
      </c>
      <c r="I26" s="31" t="s">
        <v>46</v>
      </c>
      <c r="J26" s="31" t="s">
        <v>120</v>
      </c>
      <c r="K26" s="31" t="s">
        <v>47</v>
      </c>
      <c r="L26" s="32">
        <f t="shared" si="1"/>
        <v>1</v>
      </c>
      <c r="M26" s="31" t="s">
        <v>49</v>
      </c>
      <c r="N26" s="31" t="str">
        <f t="shared" si="2"/>
        <v>保持沟通</v>
      </c>
      <c r="O26" s="31" t="s">
        <v>91</v>
      </c>
      <c r="P26" s="31" t="s">
        <v>121</v>
      </c>
      <c r="Q26" s="31" t="s">
        <v>122</v>
      </c>
      <c r="R26" s="31" t="s">
        <v>84</v>
      </c>
      <c r="S26" s="33"/>
      <c r="T26" s="33">
        <v>46283</v>
      </c>
      <c r="U26" s="31" t="s">
        <v>117</v>
      </c>
      <c r="V26" s="31" t="s">
        <v>123</v>
      </c>
      <c r="W26" s="31" t="s">
        <v>84</v>
      </c>
      <c r="X26" s="33">
        <v>46290</v>
      </c>
      <c r="Y26" s="31" t="s">
        <v>55</v>
      </c>
      <c r="Z26" s="31" t="s">
        <v>56</v>
      </c>
      <c r="AA26" s="31"/>
      <c r="AB26" s="32" t="str">
        <f ca="1" t="shared" si="3"/>
        <v>存在支持差距；沟通逾期；</v>
      </c>
      <c r="AC26" s="31" t="s">
        <v>124</v>
      </c>
    </row>
    <row r="27" ht="32" customHeight="1" spans="1:29">
      <c r="A27" s="30" t="str">
        <f t="shared" si="0"/>
        <v>SH-019</v>
      </c>
      <c r="B27" s="31" t="s">
        <v>125</v>
      </c>
      <c r="C27" s="31" t="s">
        <v>126</v>
      </c>
      <c r="D27" s="31" t="s">
        <v>117</v>
      </c>
      <c r="E27" s="31" t="s">
        <v>99</v>
      </c>
      <c r="F27" s="31" t="s">
        <v>127</v>
      </c>
      <c r="G27" s="31" t="s">
        <v>119</v>
      </c>
      <c r="H27" s="31" t="s">
        <v>61</v>
      </c>
      <c r="I27" s="31" t="s">
        <v>46</v>
      </c>
      <c r="J27" s="31" t="s">
        <v>120</v>
      </c>
      <c r="K27" s="31" t="s">
        <v>47</v>
      </c>
      <c r="L27" s="32">
        <f t="shared" si="1"/>
        <v>1</v>
      </c>
      <c r="M27" s="31" t="s">
        <v>49</v>
      </c>
      <c r="N27" s="31" t="str">
        <f t="shared" si="2"/>
        <v>保持沟通</v>
      </c>
      <c r="O27" s="31" t="s">
        <v>91</v>
      </c>
      <c r="P27" s="31" t="s">
        <v>121</v>
      </c>
      <c r="Q27" s="31" t="s">
        <v>122</v>
      </c>
      <c r="R27" s="31" t="s">
        <v>84</v>
      </c>
      <c r="S27" s="33"/>
      <c r="T27" s="33">
        <v>46283</v>
      </c>
      <c r="U27" s="31" t="s">
        <v>117</v>
      </c>
      <c r="V27" s="31" t="s">
        <v>123</v>
      </c>
      <c r="W27" s="31" t="s">
        <v>84</v>
      </c>
      <c r="X27" s="33">
        <v>46290</v>
      </c>
      <c r="Y27" s="31" t="s">
        <v>55</v>
      </c>
      <c r="Z27" s="31" t="s">
        <v>56</v>
      </c>
      <c r="AA27" s="31"/>
      <c r="AB27" s="32" t="str">
        <f ca="1" t="shared" si="3"/>
        <v>存在支持差距；沟通逾期；</v>
      </c>
      <c r="AC27" s="31" t="s">
        <v>128</v>
      </c>
    </row>
    <row r="28" ht="32" customHeight="1" spans="1:29">
      <c r="A28" s="30" t="str">
        <f t="shared" si="0"/>
        <v>SH-020</v>
      </c>
      <c r="B28" s="31" t="s">
        <v>129</v>
      </c>
      <c r="C28" s="31" t="s">
        <v>130</v>
      </c>
      <c r="D28" s="31" t="s">
        <v>117</v>
      </c>
      <c r="E28" s="31" t="s">
        <v>99</v>
      </c>
      <c r="F28" s="31" t="s">
        <v>131</v>
      </c>
      <c r="G28" s="31" t="s">
        <v>119</v>
      </c>
      <c r="H28" s="31" t="s">
        <v>61</v>
      </c>
      <c r="I28" s="31" t="s">
        <v>46</v>
      </c>
      <c r="J28" s="31" t="s">
        <v>120</v>
      </c>
      <c r="K28" s="31" t="s">
        <v>47</v>
      </c>
      <c r="L28" s="32">
        <f t="shared" si="1"/>
        <v>1</v>
      </c>
      <c r="M28" s="31" t="s">
        <v>49</v>
      </c>
      <c r="N28" s="31" t="str">
        <f t="shared" si="2"/>
        <v>保持沟通</v>
      </c>
      <c r="O28" s="31" t="s">
        <v>91</v>
      </c>
      <c r="P28" s="31" t="s">
        <v>121</v>
      </c>
      <c r="Q28" s="31" t="s">
        <v>122</v>
      </c>
      <c r="R28" s="31" t="s">
        <v>84</v>
      </c>
      <c r="S28" s="33"/>
      <c r="T28" s="33">
        <v>46283</v>
      </c>
      <c r="U28" s="31" t="s">
        <v>117</v>
      </c>
      <c r="V28" s="31" t="s">
        <v>123</v>
      </c>
      <c r="W28" s="31" t="s">
        <v>84</v>
      </c>
      <c r="X28" s="33">
        <v>46290</v>
      </c>
      <c r="Y28" s="31" t="s">
        <v>55</v>
      </c>
      <c r="Z28" s="31" t="s">
        <v>56</v>
      </c>
      <c r="AA28" s="31"/>
      <c r="AB28" s="32" t="str">
        <f ca="1" t="shared" si="3"/>
        <v>存在支持差距；沟通逾期；</v>
      </c>
      <c r="AC28" s="31" t="s">
        <v>132</v>
      </c>
    </row>
    <row r="29" ht="32" customHeight="1" spans="1:29">
      <c r="A29" s="30" t="str">
        <f t="shared" si="0"/>
        <v>SH-021</v>
      </c>
      <c r="B29" s="31" t="s">
        <v>133</v>
      </c>
      <c r="C29" s="31" t="s">
        <v>134</v>
      </c>
      <c r="D29" s="31" t="s">
        <v>117</v>
      </c>
      <c r="E29" s="31" t="s">
        <v>99</v>
      </c>
      <c r="F29" s="31" t="s">
        <v>135</v>
      </c>
      <c r="G29" s="31" t="s">
        <v>119</v>
      </c>
      <c r="H29" s="31" t="s">
        <v>61</v>
      </c>
      <c r="I29" s="31" t="s">
        <v>46</v>
      </c>
      <c r="J29" s="31" t="s">
        <v>120</v>
      </c>
      <c r="K29" s="31" t="s">
        <v>47</v>
      </c>
      <c r="L29" s="32">
        <f t="shared" si="1"/>
        <v>1</v>
      </c>
      <c r="M29" s="31" t="s">
        <v>49</v>
      </c>
      <c r="N29" s="31" t="str">
        <f t="shared" si="2"/>
        <v>保持沟通</v>
      </c>
      <c r="O29" s="31" t="s">
        <v>91</v>
      </c>
      <c r="P29" s="31" t="s">
        <v>121</v>
      </c>
      <c r="Q29" s="31" t="s">
        <v>122</v>
      </c>
      <c r="R29" s="31" t="s">
        <v>84</v>
      </c>
      <c r="S29" s="33"/>
      <c r="T29" s="33">
        <v>46283</v>
      </c>
      <c r="U29" s="31" t="s">
        <v>117</v>
      </c>
      <c r="V29" s="31" t="s">
        <v>123</v>
      </c>
      <c r="W29" s="31" t="s">
        <v>84</v>
      </c>
      <c r="X29" s="33">
        <v>46290</v>
      </c>
      <c r="Y29" s="31" t="s">
        <v>55</v>
      </c>
      <c r="Z29" s="31" t="s">
        <v>56</v>
      </c>
      <c r="AA29" s="31"/>
      <c r="AB29" s="32" t="str">
        <f ca="1" t="shared" si="3"/>
        <v>存在支持差距；沟通逾期；</v>
      </c>
      <c r="AC29" s="31" t="s">
        <v>136</v>
      </c>
    </row>
    <row r="30" ht="32" customHeight="1" spans="1:29">
      <c r="A30" s="30" t="str">
        <f t="shared" si="0"/>
        <v>SH-022</v>
      </c>
      <c r="B30" s="31" t="s">
        <v>137</v>
      </c>
      <c r="C30" s="31" t="s">
        <v>138</v>
      </c>
      <c r="D30" s="31" t="s">
        <v>117</v>
      </c>
      <c r="E30" s="31" t="s">
        <v>99</v>
      </c>
      <c r="F30" s="31" t="s">
        <v>139</v>
      </c>
      <c r="G30" s="31" t="s">
        <v>119</v>
      </c>
      <c r="H30" s="31" t="s">
        <v>61</v>
      </c>
      <c r="I30" s="31" t="s">
        <v>46</v>
      </c>
      <c r="J30" s="31" t="s">
        <v>120</v>
      </c>
      <c r="K30" s="31" t="s">
        <v>47</v>
      </c>
      <c r="L30" s="32">
        <f t="shared" si="1"/>
        <v>1</v>
      </c>
      <c r="M30" s="31" t="s">
        <v>49</v>
      </c>
      <c r="N30" s="31" t="str">
        <f t="shared" si="2"/>
        <v>保持沟通</v>
      </c>
      <c r="O30" s="31" t="s">
        <v>91</v>
      </c>
      <c r="P30" s="31" t="s">
        <v>121</v>
      </c>
      <c r="Q30" s="31" t="s">
        <v>140</v>
      </c>
      <c r="R30" s="31" t="s">
        <v>84</v>
      </c>
      <c r="S30" s="33"/>
      <c r="T30" s="33">
        <v>46283</v>
      </c>
      <c r="U30" s="31" t="s">
        <v>117</v>
      </c>
      <c r="V30" s="31" t="s">
        <v>123</v>
      </c>
      <c r="W30" s="31" t="s">
        <v>84</v>
      </c>
      <c r="X30" s="33">
        <v>46290</v>
      </c>
      <c r="Y30" s="31" t="s">
        <v>55</v>
      </c>
      <c r="Z30" s="31" t="s">
        <v>56</v>
      </c>
      <c r="AA30" s="31"/>
      <c r="AB30" s="32" t="str">
        <f ca="1" t="shared" si="3"/>
        <v>存在支持差距；沟通逾期；</v>
      </c>
      <c r="AC30" s="31" t="s">
        <v>141</v>
      </c>
    </row>
    <row r="31" ht="32" customHeight="1" spans="1:29">
      <c r="A31" s="30" t="str">
        <f t="shared" si="0"/>
        <v>SH-023</v>
      </c>
      <c r="B31" s="31" t="s">
        <v>142</v>
      </c>
      <c r="C31" s="31" t="s">
        <v>143</v>
      </c>
      <c r="D31" s="31" t="s">
        <v>117</v>
      </c>
      <c r="E31" s="31" t="s">
        <v>99</v>
      </c>
      <c r="F31" s="31" t="s">
        <v>144</v>
      </c>
      <c r="G31" s="31" t="s">
        <v>119</v>
      </c>
      <c r="H31" s="31" t="s">
        <v>61</v>
      </c>
      <c r="I31" s="31" t="s">
        <v>46</v>
      </c>
      <c r="J31" s="31" t="s">
        <v>120</v>
      </c>
      <c r="K31" s="31" t="s">
        <v>47</v>
      </c>
      <c r="L31" s="32">
        <f t="shared" si="1"/>
        <v>1</v>
      </c>
      <c r="M31" s="31" t="s">
        <v>49</v>
      </c>
      <c r="N31" s="31" t="str">
        <f t="shared" si="2"/>
        <v>保持沟通</v>
      </c>
      <c r="O31" s="31" t="s">
        <v>91</v>
      </c>
      <c r="P31" s="31" t="s">
        <v>121</v>
      </c>
      <c r="Q31" s="31" t="s">
        <v>140</v>
      </c>
      <c r="R31" s="31" t="s">
        <v>84</v>
      </c>
      <c r="S31" s="33"/>
      <c r="T31" s="33">
        <v>46283</v>
      </c>
      <c r="U31" s="31" t="s">
        <v>117</v>
      </c>
      <c r="V31" s="31" t="s">
        <v>123</v>
      </c>
      <c r="W31" s="31" t="s">
        <v>84</v>
      </c>
      <c r="X31" s="33">
        <v>46290</v>
      </c>
      <c r="Y31" s="31" t="s">
        <v>55</v>
      </c>
      <c r="Z31" s="31" t="s">
        <v>56</v>
      </c>
      <c r="AA31" s="31"/>
      <c r="AB31" s="32" t="str">
        <f ca="1" t="shared" si="3"/>
        <v>存在支持差距；沟通逾期；</v>
      </c>
      <c r="AC31" s="31" t="s">
        <v>145</v>
      </c>
    </row>
    <row r="32" ht="32" customHeight="1" spans="1:29">
      <c r="A32" s="30" t="str">
        <f t="shared" si="0"/>
        <v>SH-024</v>
      </c>
      <c r="B32" s="31" t="s">
        <v>146</v>
      </c>
      <c r="C32" s="31" t="s">
        <v>147</v>
      </c>
      <c r="D32" s="31" t="s">
        <v>117</v>
      </c>
      <c r="E32" s="31" t="s">
        <v>99</v>
      </c>
      <c r="F32" s="31" t="s">
        <v>148</v>
      </c>
      <c r="G32" s="31" t="s">
        <v>119</v>
      </c>
      <c r="H32" s="31" t="s">
        <v>61</v>
      </c>
      <c r="I32" s="31" t="s">
        <v>46</v>
      </c>
      <c r="J32" s="31" t="s">
        <v>120</v>
      </c>
      <c r="K32" s="31" t="s">
        <v>47</v>
      </c>
      <c r="L32" s="32">
        <f t="shared" si="1"/>
        <v>1</v>
      </c>
      <c r="M32" s="31" t="s">
        <v>49</v>
      </c>
      <c r="N32" s="31" t="str">
        <f t="shared" si="2"/>
        <v>保持沟通</v>
      </c>
      <c r="O32" s="31" t="s">
        <v>91</v>
      </c>
      <c r="P32" s="31" t="s">
        <v>121</v>
      </c>
      <c r="Q32" s="31" t="s">
        <v>140</v>
      </c>
      <c r="R32" s="31" t="s">
        <v>84</v>
      </c>
      <c r="S32" s="33"/>
      <c r="T32" s="33">
        <v>46283</v>
      </c>
      <c r="U32" s="31" t="s">
        <v>117</v>
      </c>
      <c r="V32" s="31" t="s">
        <v>123</v>
      </c>
      <c r="W32" s="31" t="s">
        <v>84</v>
      </c>
      <c r="X32" s="33">
        <v>46290</v>
      </c>
      <c r="Y32" s="31" t="s">
        <v>55</v>
      </c>
      <c r="Z32" s="31" t="s">
        <v>56</v>
      </c>
      <c r="AA32" s="31"/>
      <c r="AB32" s="32" t="str">
        <f ca="1" t="shared" si="3"/>
        <v>存在支持差距；沟通逾期；</v>
      </c>
      <c r="AC32" s="31" t="s">
        <v>149</v>
      </c>
    </row>
    <row r="33" ht="32" customHeight="1" spans="1:29">
      <c r="A33" s="30" t="str">
        <f t="shared" si="0"/>
        <v>SH-025</v>
      </c>
      <c r="B33" s="31" t="s">
        <v>150</v>
      </c>
      <c r="C33" s="31" t="s">
        <v>151</v>
      </c>
      <c r="D33" s="31" t="s">
        <v>117</v>
      </c>
      <c r="E33" s="31" t="s">
        <v>99</v>
      </c>
      <c r="F33" s="31" t="s">
        <v>152</v>
      </c>
      <c r="G33" s="31" t="s">
        <v>119</v>
      </c>
      <c r="H33" s="31" t="s">
        <v>61</v>
      </c>
      <c r="I33" s="31" t="s">
        <v>46</v>
      </c>
      <c r="J33" s="31" t="s">
        <v>120</v>
      </c>
      <c r="K33" s="31" t="s">
        <v>47</v>
      </c>
      <c r="L33" s="32">
        <f t="shared" si="1"/>
        <v>1</v>
      </c>
      <c r="M33" s="31" t="s">
        <v>49</v>
      </c>
      <c r="N33" s="31" t="str">
        <f t="shared" si="2"/>
        <v>保持沟通</v>
      </c>
      <c r="O33" s="31" t="s">
        <v>91</v>
      </c>
      <c r="P33" s="31" t="s">
        <v>121</v>
      </c>
      <c r="Q33" s="31" t="s">
        <v>153</v>
      </c>
      <c r="R33" s="31" t="s">
        <v>154</v>
      </c>
      <c r="S33" s="33"/>
      <c r="T33" s="33">
        <v>46283</v>
      </c>
      <c r="U33" s="31" t="s">
        <v>117</v>
      </c>
      <c r="V33" s="31" t="s">
        <v>123</v>
      </c>
      <c r="W33" s="31" t="s">
        <v>154</v>
      </c>
      <c r="X33" s="33">
        <v>46290</v>
      </c>
      <c r="Y33" s="31" t="s">
        <v>55</v>
      </c>
      <c r="Z33" s="31" t="s">
        <v>56</v>
      </c>
      <c r="AA33" s="31"/>
      <c r="AB33" s="32" t="str">
        <f ca="1" t="shared" si="3"/>
        <v>存在支持差距；沟通逾期；</v>
      </c>
      <c r="AC33" s="31" t="s">
        <v>155</v>
      </c>
    </row>
    <row r="34" ht="32" customHeight="1" spans="1:29">
      <c r="A34" s="30" t="str">
        <f t="shared" si="0"/>
        <v>SH-026</v>
      </c>
      <c r="B34" s="31" t="s">
        <v>156</v>
      </c>
      <c r="C34" s="31" t="s">
        <v>157</v>
      </c>
      <c r="D34" s="31" t="s">
        <v>117</v>
      </c>
      <c r="E34" s="31" t="s">
        <v>99</v>
      </c>
      <c r="F34" s="31" t="s">
        <v>158</v>
      </c>
      <c r="G34" s="31" t="s">
        <v>119</v>
      </c>
      <c r="H34" s="31" t="s">
        <v>61</v>
      </c>
      <c r="I34" s="31" t="s">
        <v>46</v>
      </c>
      <c r="J34" s="31" t="s">
        <v>120</v>
      </c>
      <c r="K34" s="31" t="s">
        <v>47</v>
      </c>
      <c r="L34" s="32">
        <f t="shared" si="1"/>
        <v>1</v>
      </c>
      <c r="M34" s="31" t="s">
        <v>49</v>
      </c>
      <c r="N34" s="31" t="str">
        <f t="shared" si="2"/>
        <v>保持沟通</v>
      </c>
      <c r="O34" s="31" t="s">
        <v>91</v>
      </c>
      <c r="P34" s="31" t="s">
        <v>121</v>
      </c>
      <c r="Q34" s="31" t="s">
        <v>153</v>
      </c>
      <c r="R34" s="31" t="s">
        <v>154</v>
      </c>
      <c r="S34" s="33"/>
      <c r="T34" s="33">
        <v>46283</v>
      </c>
      <c r="U34" s="31" t="s">
        <v>117</v>
      </c>
      <c r="V34" s="31" t="s">
        <v>123</v>
      </c>
      <c r="W34" s="31" t="s">
        <v>154</v>
      </c>
      <c r="X34" s="33">
        <v>46290</v>
      </c>
      <c r="Y34" s="31" t="s">
        <v>55</v>
      </c>
      <c r="Z34" s="31" t="s">
        <v>56</v>
      </c>
      <c r="AA34" s="31"/>
      <c r="AB34" s="32" t="str">
        <f ca="1" t="shared" si="3"/>
        <v>存在支持差距；沟通逾期；</v>
      </c>
      <c r="AC34" s="31" t="s">
        <v>159</v>
      </c>
    </row>
    <row r="35" ht="32" customHeight="1" spans="1:29">
      <c r="A35" s="30" t="str">
        <f t="shared" si="0"/>
        <v>SH-027</v>
      </c>
      <c r="B35" s="31" t="s">
        <v>160</v>
      </c>
      <c r="C35" s="31" t="s">
        <v>161</v>
      </c>
      <c r="D35" s="31" t="s">
        <v>117</v>
      </c>
      <c r="E35" s="31" t="s">
        <v>99</v>
      </c>
      <c r="F35" s="31" t="s">
        <v>162</v>
      </c>
      <c r="G35" s="31" t="s">
        <v>119</v>
      </c>
      <c r="H35" s="31" t="s">
        <v>61</v>
      </c>
      <c r="I35" s="31" t="s">
        <v>46</v>
      </c>
      <c r="J35" s="31" t="s">
        <v>120</v>
      </c>
      <c r="K35" s="31" t="s">
        <v>47</v>
      </c>
      <c r="L35" s="32">
        <f t="shared" si="1"/>
        <v>1</v>
      </c>
      <c r="M35" s="31" t="s">
        <v>49</v>
      </c>
      <c r="N35" s="31" t="str">
        <f t="shared" si="2"/>
        <v>保持沟通</v>
      </c>
      <c r="O35" s="31" t="s">
        <v>91</v>
      </c>
      <c r="P35" s="31" t="s">
        <v>121</v>
      </c>
      <c r="Q35" s="31" t="s">
        <v>153</v>
      </c>
      <c r="R35" s="31" t="s">
        <v>154</v>
      </c>
      <c r="S35" s="33"/>
      <c r="T35" s="33">
        <v>46283</v>
      </c>
      <c r="U35" s="31" t="s">
        <v>117</v>
      </c>
      <c r="V35" s="31" t="s">
        <v>123</v>
      </c>
      <c r="W35" s="31" t="s">
        <v>154</v>
      </c>
      <c r="X35" s="33">
        <v>46290</v>
      </c>
      <c r="Y35" s="31" t="s">
        <v>55</v>
      </c>
      <c r="Z35" s="31" t="s">
        <v>56</v>
      </c>
      <c r="AA35" s="31"/>
      <c r="AB35" s="32" t="str">
        <f ca="1" t="shared" si="3"/>
        <v>存在支持差距；沟通逾期；</v>
      </c>
      <c r="AC35" s="31" t="s">
        <v>163</v>
      </c>
    </row>
    <row r="36" ht="32" customHeight="1" spans="1:29">
      <c r="A36" s="30" t="str">
        <f t="shared" si="0"/>
        <v>SH-028</v>
      </c>
      <c r="B36" s="31" t="s">
        <v>164</v>
      </c>
      <c r="C36" s="31" t="s">
        <v>165</v>
      </c>
      <c r="D36" s="31" t="s">
        <v>166</v>
      </c>
      <c r="E36" s="31" t="s">
        <v>99</v>
      </c>
      <c r="F36" s="31" t="s">
        <v>167</v>
      </c>
      <c r="G36" s="31" t="s">
        <v>119</v>
      </c>
      <c r="H36" s="31" t="s">
        <v>61</v>
      </c>
      <c r="I36" s="31" t="s">
        <v>46</v>
      </c>
      <c r="J36" s="31" t="s">
        <v>120</v>
      </c>
      <c r="K36" s="31" t="s">
        <v>47</v>
      </c>
      <c r="L36" s="32">
        <f t="shared" si="1"/>
        <v>1</v>
      </c>
      <c r="M36" s="31" t="s">
        <v>49</v>
      </c>
      <c r="N36" s="31" t="str">
        <f t="shared" si="2"/>
        <v>保持沟通</v>
      </c>
      <c r="O36" s="31" t="s">
        <v>91</v>
      </c>
      <c r="P36" s="31" t="s">
        <v>121</v>
      </c>
      <c r="Q36" s="31" t="s">
        <v>153</v>
      </c>
      <c r="R36" s="31" t="s">
        <v>154</v>
      </c>
      <c r="S36" s="33"/>
      <c r="T36" s="33">
        <v>46283</v>
      </c>
      <c r="U36" s="31" t="s">
        <v>57</v>
      </c>
      <c r="V36" s="31" t="s">
        <v>123</v>
      </c>
      <c r="W36" s="31" t="s">
        <v>154</v>
      </c>
      <c r="X36" s="33">
        <v>46290</v>
      </c>
      <c r="Y36" s="31" t="s">
        <v>55</v>
      </c>
      <c r="Z36" s="31" t="s">
        <v>56</v>
      </c>
      <c r="AA36" s="31"/>
      <c r="AB36" s="32" t="str">
        <f ca="1" t="shared" si="3"/>
        <v>存在支持差距；沟通逾期；</v>
      </c>
      <c r="AC36" s="31" t="s">
        <v>168</v>
      </c>
    </row>
    <row r="37" ht="32" customHeight="1" spans="1:29">
      <c r="A37" s="30" t="str">
        <f t="shared" si="0"/>
        <v>SH-029</v>
      </c>
      <c r="B37" s="31" t="s">
        <v>169</v>
      </c>
      <c r="C37" s="31" t="s">
        <v>170</v>
      </c>
      <c r="D37" s="31" t="s">
        <v>117</v>
      </c>
      <c r="E37" s="31" t="s">
        <v>99</v>
      </c>
      <c r="F37" s="31" t="s">
        <v>171</v>
      </c>
      <c r="G37" s="31" t="s">
        <v>119</v>
      </c>
      <c r="H37" s="31" t="s">
        <v>61</v>
      </c>
      <c r="I37" s="31" t="s">
        <v>46</v>
      </c>
      <c r="J37" s="31" t="s">
        <v>120</v>
      </c>
      <c r="K37" s="31" t="s">
        <v>47</v>
      </c>
      <c r="L37" s="32">
        <f t="shared" si="1"/>
        <v>1</v>
      </c>
      <c r="M37" s="31" t="s">
        <v>49</v>
      </c>
      <c r="N37" s="31" t="str">
        <f t="shared" si="2"/>
        <v>保持沟通</v>
      </c>
      <c r="O37" s="31" t="s">
        <v>91</v>
      </c>
      <c r="P37" s="31" t="s">
        <v>121</v>
      </c>
      <c r="Q37" s="31" t="s">
        <v>172</v>
      </c>
      <c r="R37" s="31" t="s">
        <v>63</v>
      </c>
      <c r="S37" s="33"/>
      <c r="T37" s="33">
        <v>46283</v>
      </c>
      <c r="U37" s="31" t="s">
        <v>117</v>
      </c>
      <c r="V37" s="31" t="s">
        <v>123</v>
      </c>
      <c r="W37" s="31" t="s">
        <v>63</v>
      </c>
      <c r="X37" s="33">
        <v>46290</v>
      </c>
      <c r="Y37" s="31" t="s">
        <v>55</v>
      </c>
      <c r="Z37" s="31" t="s">
        <v>56</v>
      </c>
      <c r="AA37" s="31"/>
      <c r="AB37" s="32" t="str">
        <f ca="1" t="shared" si="3"/>
        <v>存在支持差距；沟通逾期；</v>
      </c>
      <c r="AC37" s="31" t="s">
        <v>173</v>
      </c>
    </row>
    <row r="38" ht="32" customHeight="1" spans="1:29">
      <c r="A38" s="30" t="str">
        <f t="shared" si="0"/>
        <v>SH-030</v>
      </c>
      <c r="B38" s="31" t="s">
        <v>174</v>
      </c>
      <c r="C38" s="31" t="s">
        <v>175</v>
      </c>
      <c r="D38" s="31" t="s">
        <v>117</v>
      </c>
      <c r="E38" s="31" t="s">
        <v>99</v>
      </c>
      <c r="F38" s="31" t="s">
        <v>176</v>
      </c>
      <c r="G38" s="31" t="s">
        <v>119</v>
      </c>
      <c r="H38" s="31" t="s">
        <v>61</v>
      </c>
      <c r="I38" s="31" t="s">
        <v>46</v>
      </c>
      <c r="J38" s="31" t="s">
        <v>120</v>
      </c>
      <c r="K38" s="31" t="s">
        <v>47</v>
      </c>
      <c r="L38" s="32">
        <f t="shared" si="1"/>
        <v>1</v>
      </c>
      <c r="M38" s="31" t="s">
        <v>49</v>
      </c>
      <c r="N38" s="31" t="str">
        <f t="shared" si="2"/>
        <v>保持沟通</v>
      </c>
      <c r="O38" s="31" t="s">
        <v>91</v>
      </c>
      <c r="P38" s="31" t="s">
        <v>121</v>
      </c>
      <c r="Q38" s="31" t="s">
        <v>172</v>
      </c>
      <c r="R38" s="31" t="s">
        <v>63</v>
      </c>
      <c r="S38" s="33"/>
      <c r="T38" s="33">
        <v>46283</v>
      </c>
      <c r="U38" s="31" t="s">
        <v>117</v>
      </c>
      <c r="V38" s="31" t="s">
        <v>123</v>
      </c>
      <c r="W38" s="31" t="s">
        <v>63</v>
      </c>
      <c r="X38" s="33">
        <v>46290</v>
      </c>
      <c r="Y38" s="31" t="s">
        <v>55</v>
      </c>
      <c r="Z38" s="31" t="s">
        <v>56</v>
      </c>
      <c r="AA38" s="31"/>
      <c r="AB38" s="32" t="str">
        <f ca="1" t="shared" si="3"/>
        <v>存在支持差距；沟通逾期；</v>
      </c>
      <c r="AC38" s="31" t="s">
        <v>177</v>
      </c>
    </row>
    <row r="39" ht="32" customHeight="1" spans="1:29">
      <c r="A39" s="30" t="str">
        <f t="shared" si="0"/>
        <v>SH-031</v>
      </c>
      <c r="B39" s="31" t="s">
        <v>178</v>
      </c>
      <c r="C39" s="31" t="s">
        <v>179</v>
      </c>
      <c r="D39" s="31" t="s">
        <v>117</v>
      </c>
      <c r="E39" s="31" t="s">
        <v>99</v>
      </c>
      <c r="F39" s="31" t="s">
        <v>180</v>
      </c>
      <c r="G39" s="31" t="s">
        <v>119</v>
      </c>
      <c r="H39" s="31" t="s">
        <v>61</v>
      </c>
      <c r="I39" s="31" t="s">
        <v>46</v>
      </c>
      <c r="J39" s="31" t="s">
        <v>120</v>
      </c>
      <c r="K39" s="31" t="s">
        <v>47</v>
      </c>
      <c r="L39" s="32">
        <f t="shared" si="1"/>
        <v>1</v>
      </c>
      <c r="M39" s="31" t="s">
        <v>49</v>
      </c>
      <c r="N39" s="31" t="str">
        <f t="shared" si="2"/>
        <v>保持沟通</v>
      </c>
      <c r="O39" s="31" t="s">
        <v>91</v>
      </c>
      <c r="P39" s="31" t="s">
        <v>121</v>
      </c>
      <c r="Q39" s="31" t="s">
        <v>181</v>
      </c>
      <c r="R39" s="31" t="s">
        <v>154</v>
      </c>
      <c r="S39" s="33"/>
      <c r="T39" s="33">
        <v>46283</v>
      </c>
      <c r="U39" s="31" t="s">
        <v>117</v>
      </c>
      <c r="V39" s="31" t="s">
        <v>123</v>
      </c>
      <c r="W39" s="31" t="s">
        <v>154</v>
      </c>
      <c r="X39" s="33">
        <v>46290</v>
      </c>
      <c r="Y39" s="31" t="s">
        <v>55</v>
      </c>
      <c r="Z39" s="31" t="s">
        <v>56</v>
      </c>
      <c r="AA39" s="31"/>
      <c r="AB39" s="32" t="str">
        <f ca="1" t="shared" si="3"/>
        <v>存在支持差距；沟通逾期；</v>
      </c>
      <c r="AC39" s="31" t="s">
        <v>182</v>
      </c>
    </row>
    <row r="40" ht="32" customHeight="1" spans="1:29">
      <c r="A40" s="30" t="str">
        <f t="shared" si="0"/>
        <v>SH-032</v>
      </c>
      <c r="B40" s="31" t="s">
        <v>183</v>
      </c>
      <c r="C40" s="31" t="s">
        <v>184</v>
      </c>
      <c r="D40" s="31" t="s">
        <v>117</v>
      </c>
      <c r="E40" s="31" t="s">
        <v>99</v>
      </c>
      <c r="F40" s="31" t="s">
        <v>185</v>
      </c>
      <c r="G40" s="31" t="s">
        <v>119</v>
      </c>
      <c r="H40" s="31" t="s">
        <v>61</v>
      </c>
      <c r="I40" s="31" t="s">
        <v>46</v>
      </c>
      <c r="J40" s="31" t="s">
        <v>120</v>
      </c>
      <c r="K40" s="31" t="s">
        <v>47</v>
      </c>
      <c r="L40" s="32">
        <f t="shared" si="1"/>
        <v>1</v>
      </c>
      <c r="M40" s="31" t="s">
        <v>49</v>
      </c>
      <c r="N40" s="31" t="str">
        <f t="shared" si="2"/>
        <v>保持沟通</v>
      </c>
      <c r="O40" s="31" t="s">
        <v>91</v>
      </c>
      <c r="P40" s="31" t="s">
        <v>121</v>
      </c>
      <c r="Q40" s="31" t="s">
        <v>181</v>
      </c>
      <c r="R40" s="31" t="s">
        <v>154</v>
      </c>
      <c r="S40" s="33"/>
      <c r="T40" s="33">
        <v>46283</v>
      </c>
      <c r="U40" s="31" t="s">
        <v>117</v>
      </c>
      <c r="V40" s="31" t="s">
        <v>123</v>
      </c>
      <c r="W40" s="31" t="s">
        <v>154</v>
      </c>
      <c r="X40" s="33">
        <v>46290</v>
      </c>
      <c r="Y40" s="31" t="s">
        <v>55</v>
      </c>
      <c r="Z40" s="31" t="s">
        <v>56</v>
      </c>
      <c r="AA40" s="31"/>
      <c r="AB40" s="32" t="str">
        <f ca="1" t="shared" si="3"/>
        <v>存在支持差距；沟通逾期；</v>
      </c>
      <c r="AC40" s="31" t="s">
        <v>186</v>
      </c>
    </row>
    <row r="41" ht="32" customHeight="1" spans="1:29">
      <c r="A41" s="30" t="str">
        <f t="shared" si="0"/>
        <v>SH-033</v>
      </c>
      <c r="B41" s="31" t="s">
        <v>187</v>
      </c>
      <c r="C41" s="31" t="s">
        <v>188</v>
      </c>
      <c r="D41" s="31" t="s">
        <v>117</v>
      </c>
      <c r="E41" s="31" t="s">
        <v>99</v>
      </c>
      <c r="F41" s="31" t="s">
        <v>189</v>
      </c>
      <c r="G41" s="31" t="s">
        <v>119</v>
      </c>
      <c r="H41" s="31" t="s">
        <v>61</v>
      </c>
      <c r="I41" s="31" t="s">
        <v>46</v>
      </c>
      <c r="J41" s="31" t="s">
        <v>120</v>
      </c>
      <c r="K41" s="31" t="s">
        <v>47</v>
      </c>
      <c r="L41" s="32">
        <f t="shared" si="1"/>
        <v>1</v>
      </c>
      <c r="M41" s="31" t="s">
        <v>49</v>
      </c>
      <c r="N41" s="31" t="str">
        <f t="shared" si="2"/>
        <v>保持沟通</v>
      </c>
      <c r="O41" s="31" t="s">
        <v>91</v>
      </c>
      <c r="P41" s="31" t="s">
        <v>121</v>
      </c>
      <c r="Q41" s="31" t="s">
        <v>181</v>
      </c>
      <c r="R41" s="31" t="s">
        <v>154</v>
      </c>
      <c r="S41" s="33"/>
      <c r="T41" s="33">
        <v>46283</v>
      </c>
      <c r="U41" s="31" t="s">
        <v>117</v>
      </c>
      <c r="V41" s="31" t="s">
        <v>123</v>
      </c>
      <c r="W41" s="31" t="s">
        <v>154</v>
      </c>
      <c r="X41" s="33">
        <v>46290</v>
      </c>
      <c r="Y41" s="31" t="s">
        <v>55</v>
      </c>
      <c r="Z41" s="31" t="s">
        <v>56</v>
      </c>
      <c r="AA41" s="31"/>
      <c r="AB41" s="32" t="str">
        <f ca="1" t="shared" si="3"/>
        <v>存在支持差距；沟通逾期；</v>
      </c>
      <c r="AC41" s="31" t="s">
        <v>190</v>
      </c>
    </row>
    <row r="42" ht="32" customHeight="1" spans="1:29">
      <c r="A42" s="30" t="str">
        <f t="shared" si="0"/>
        <v>SH-034</v>
      </c>
      <c r="B42" s="31" t="s">
        <v>191</v>
      </c>
      <c r="C42" s="31" t="s">
        <v>192</v>
      </c>
      <c r="D42" s="31" t="s">
        <v>117</v>
      </c>
      <c r="E42" s="31" t="s">
        <v>99</v>
      </c>
      <c r="F42" s="31" t="s">
        <v>193</v>
      </c>
      <c r="G42" s="31" t="s">
        <v>119</v>
      </c>
      <c r="H42" s="31" t="s">
        <v>61</v>
      </c>
      <c r="I42" s="31" t="s">
        <v>46</v>
      </c>
      <c r="J42" s="31" t="s">
        <v>120</v>
      </c>
      <c r="K42" s="31" t="s">
        <v>47</v>
      </c>
      <c r="L42" s="32">
        <f t="shared" si="1"/>
        <v>1</v>
      </c>
      <c r="M42" s="31" t="s">
        <v>49</v>
      </c>
      <c r="N42" s="31" t="str">
        <f t="shared" si="2"/>
        <v>保持沟通</v>
      </c>
      <c r="O42" s="31" t="s">
        <v>91</v>
      </c>
      <c r="P42" s="31" t="s">
        <v>121</v>
      </c>
      <c r="Q42" s="31" t="s">
        <v>181</v>
      </c>
      <c r="R42" s="31" t="s">
        <v>154</v>
      </c>
      <c r="S42" s="33"/>
      <c r="T42" s="33">
        <v>46283</v>
      </c>
      <c r="U42" s="31" t="s">
        <v>117</v>
      </c>
      <c r="V42" s="31" t="s">
        <v>123</v>
      </c>
      <c r="W42" s="31" t="s">
        <v>154</v>
      </c>
      <c r="X42" s="33">
        <v>46290</v>
      </c>
      <c r="Y42" s="31" t="s">
        <v>55</v>
      </c>
      <c r="Z42" s="31" t="s">
        <v>56</v>
      </c>
      <c r="AA42" s="31"/>
      <c r="AB42" s="32" t="str">
        <f ca="1" t="shared" si="3"/>
        <v>存在支持差距；沟通逾期；</v>
      </c>
      <c r="AC42" s="31" t="s">
        <v>194</v>
      </c>
    </row>
    <row r="43" spans="1:29">
      <c r="A43" s="30" t="str">
        <f t="shared" si="0"/>
        <v/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0" t="str">
        <f t="shared" si="1"/>
        <v/>
      </c>
      <c r="M43" s="34"/>
      <c r="N43" s="34" t="str">
        <f t="shared" si="2"/>
        <v/>
      </c>
      <c r="O43" s="34"/>
      <c r="P43" s="34"/>
      <c r="Q43" s="34"/>
      <c r="R43" s="34"/>
      <c r="S43" s="35"/>
      <c r="T43" s="35"/>
      <c r="U43" s="34"/>
      <c r="V43" s="34"/>
      <c r="W43" s="34"/>
      <c r="X43" s="35"/>
      <c r="Y43" s="34"/>
      <c r="Z43" s="34"/>
      <c r="AA43" s="34"/>
      <c r="AB43" s="30" t="str">
        <f ca="1" t="shared" si="3"/>
        <v/>
      </c>
      <c r="AC43" s="34"/>
    </row>
    <row r="44" spans="1:29">
      <c r="A44" s="30" t="str">
        <f t="shared" si="0"/>
        <v/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0" t="str">
        <f t="shared" si="1"/>
        <v/>
      </c>
      <c r="M44" s="34"/>
      <c r="N44" s="34" t="str">
        <f t="shared" si="2"/>
        <v/>
      </c>
      <c r="O44" s="34"/>
      <c r="P44" s="34"/>
      <c r="Q44" s="34"/>
      <c r="R44" s="34"/>
      <c r="S44" s="35"/>
      <c r="T44" s="35"/>
      <c r="U44" s="34"/>
      <c r="V44" s="34"/>
      <c r="W44" s="34"/>
      <c r="X44" s="35"/>
      <c r="Y44" s="34"/>
      <c r="Z44" s="34"/>
      <c r="AA44" s="34"/>
      <c r="AB44" s="30" t="str">
        <f ca="1" t="shared" si="3"/>
        <v/>
      </c>
      <c r="AC44" s="34"/>
    </row>
    <row r="45" spans="1:29">
      <c r="A45" s="30" t="str">
        <f t="shared" si="0"/>
        <v/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0" t="str">
        <f t="shared" si="1"/>
        <v/>
      </c>
      <c r="M45" s="34"/>
      <c r="N45" s="34" t="str">
        <f t="shared" si="2"/>
        <v/>
      </c>
      <c r="O45" s="34"/>
      <c r="P45" s="34"/>
      <c r="Q45" s="34"/>
      <c r="R45" s="34"/>
      <c r="S45" s="35"/>
      <c r="T45" s="35"/>
      <c r="U45" s="34"/>
      <c r="V45" s="34"/>
      <c r="W45" s="34"/>
      <c r="X45" s="35"/>
      <c r="Y45" s="34"/>
      <c r="Z45" s="34"/>
      <c r="AA45" s="34"/>
      <c r="AB45" s="30" t="str">
        <f ca="1" t="shared" si="3"/>
        <v/>
      </c>
      <c r="AC45" s="34"/>
    </row>
    <row r="46" spans="1:29">
      <c r="A46" s="30" t="str">
        <f t="shared" si="0"/>
        <v/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0" t="str">
        <f t="shared" si="1"/>
        <v/>
      </c>
      <c r="M46" s="34"/>
      <c r="N46" s="34" t="str">
        <f t="shared" si="2"/>
        <v/>
      </c>
      <c r="O46" s="34"/>
      <c r="P46" s="34"/>
      <c r="Q46" s="34"/>
      <c r="R46" s="34"/>
      <c r="S46" s="35"/>
      <c r="T46" s="35"/>
      <c r="U46" s="34"/>
      <c r="V46" s="34"/>
      <c r="W46" s="34"/>
      <c r="X46" s="35"/>
      <c r="Y46" s="34"/>
      <c r="Z46" s="34"/>
      <c r="AA46" s="34"/>
      <c r="AB46" s="30" t="str">
        <f ca="1" t="shared" si="3"/>
        <v/>
      </c>
      <c r="AC46" s="34"/>
    </row>
    <row r="47" spans="1:29">
      <c r="A47" s="30" t="str">
        <f t="shared" si="0"/>
        <v/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0" t="str">
        <f t="shared" si="1"/>
        <v/>
      </c>
      <c r="M47" s="34"/>
      <c r="N47" s="34" t="str">
        <f t="shared" si="2"/>
        <v/>
      </c>
      <c r="O47" s="34"/>
      <c r="P47" s="34"/>
      <c r="Q47" s="34"/>
      <c r="R47" s="34"/>
      <c r="S47" s="35"/>
      <c r="T47" s="35"/>
      <c r="U47" s="34"/>
      <c r="V47" s="34"/>
      <c r="W47" s="34"/>
      <c r="X47" s="35"/>
      <c r="Y47" s="34"/>
      <c r="Z47" s="34"/>
      <c r="AA47" s="34"/>
      <c r="AB47" s="30" t="str">
        <f ca="1" t="shared" si="3"/>
        <v/>
      </c>
      <c r="AC47" s="34"/>
    </row>
    <row r="48" spans="1:29">
      <c r="A48" s="30" t="str">
        <f t="shared" si="0"/>
        <v/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0" t="str">
        <f t="shared" si="1"/>
        <v/>
      </c>
      <c r="M48" s="34"/>
      <c r="N48" s="34" t="str">
        <f t="shared" si="2"/>
        <v/>
      </c>
      <c r="O48" s="34"/>
      <c r="P48" s="34"/>
      <c r="Q48" s="34"/>
      <c r="R48" s="34"/>
      <c r="S48" s="35"/>
      <c r="T48" s="35"/>
      <c r="U48" s="34"/>
      <c r="V48" s="34"/>
      <c r="W48" s="34"/>
      <c r="X48" s="35"/>
      <c r="Y48" s="34"/>
      <c r="Z48" s="34"/>
      <c r="AA48" s="34"/>
      <c r="AB48" s="30" t="str">
        <f ca="1" t="shared" si="3"/>
        <v/>
      </c>
      <c r="AC48" s="34"/>
    </row>
    <row r="49" spans="1:29">
      <c r="A49" s="30" t="str">
        <f t="shared" si="0"/>
        <v/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0" t="str">
        <f t="shared" si="1"/>
        <v/>
      </c>
      <c r="M49" s="34"/>
      <c r="N49" s="34" t="str">
        <f t="shared" si="2"/>
        <v/>
      </c>
      <c r="O49" s="34"/>
      <c r="P49" s="34"/>
      <c r="Q49" s="34"/>
      <c r="R49" s="34"/>
      <c r="S49" s="35"/>
      <c r="T49" s="35"/>
      <c r="U49" s="34"/>
      <c r="V49" s="34"/>
      <c r="W49" s="34"/>
      <c r="X49" s="35"/>
      <c r="Y49" s="34"/>
      <c r="Z49" s="34"/>
      <c r="AA49" s="34"/>
      <c r="AB49" s="30" t="str">
        <f ca="1" t="shared" si="3"/>
        <v/>
      </c>
      <c r="AC49" s="34"/>
    </row>
    <row r="50" spans="1:29">
      <c r="A50" s="30" t="str">
        <f t="shared" si="0"/>
        <v/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0" t="str">
        <f t="shared" si="1"/>
        <v/>
      </c>
      <c r="M50" s="34"/>
      <c r="N50" s="34" t="str">
        <f t="shared" si="2"/>
        <v/>
      </c>
      <c r="O50" s="34"/>
      <c r="P50" s="34"/>
      <c r="Q50" s="34"/>
      <c r="R50" s="34"/>
      <c r="S50" s="35"/>
      <c r="T50" s="35"/>
      <c r="U50" s="34"/>
      <c r="V50" s="34"/>
      <c r="W50" s="34"/>
      <c r="X50" s="35"/>
      <c r="Y50" s="34"/>
      <c r="Z50" s="34"/>
      <c r="AA50" s="34"/>
      <c r="AB50" s="30" t="str">
        <f ca="1" t="shared" si="3"/>
        <v/>
      </c>
      <c r="AC50" s="34"/>
    </row>
    <row r="51" spans="1:29">
      <c r="A51" s="30" t="str">
        <f t="shared" si="0"/>
        <v/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0" t="str">
        <f t="shared" si="1"/>
        <v/>
      </c>
      <c r="M51" s="34"/>
      <c r="N51" s="34" t="str">
        <f t="shared" si="2"/>
        <v/>
      </c>
      <c r="O51" s="34"/>
      <c r="P51" s="34"/>
      <c r="Q51" s="34"/>
      <c r="R51" s="34"/>
      <c r="S51" s="35"/>
      <c r="T51" s="35"/>
      <c r="U51" s="34"/>
      <c r="V51" s="34"/>
      <c r="W51" s="34"/>
      <c r="X51" s="35"/>
      <c r="Y51" s="34"/>
      <c r="Z51" s="34"/>
      <c r="AA51" s="34"/>
      <c r="AB51" s="30" t="str">
        <f ca="1" t="shared" si="3"/>
        <v/>
      </c>
      <c r="AC51" s="34"/>
    </row>
    <row r="52" spans="1:29">
      <c r="A52" s="30" t="str">
        <f t="shared" si="0"/>
        <v/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0" t="str">
        <f t="shared" si="1"/>
        <v/>
      </c>
      <c r="M52" s="34"/>
      <c r="N52" s="34" t="str">
        <f t="shared" si="2"/>
        <v/>
      </c>
      <c r="O52" s="34"/>
      <c r="P52" s="34"/>
      <c r="Q52" s="34"/>
      <c r="R52" s="34"/>
      <c r="S52" s="35"/>
      <c r="T52" s="35"/>
      <c r="U52" s="34"/>
      <c r="V52" s="34"/>
      <c r="W52" s="34"/>
      <c r="X52" s="35"/>
      <c r="Y52" s="34"/>
      <c r="Z52" s="34"/>
      <c r="AA52" s="34"/>
      <c r="AB52" s="30" t="str">
        <f ca="1" t="shared" si="3"/>
        <v/>
      </c>
      <c r="AC52" s="34"/>
    </row>
    <row r="53" spans="1:29">
      <c r="A53" s="30" t="str">
        <f t="shared" si="0"/>
        <v/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0" t="str">
        <f t="shared" si="1"/>
        <v/>
      </c>
      <c r="M53" s="34"/>
      <c r="N53" s="34" t="str">
        <f t="shared" si="2"/>
        <v/>
      </c>
      <c r="O53" s="34"/>
      <c r="P53" s="34"/>
      <c r="Q53" s="34"/>
      <c r="R53" s="34"/>
      <c r="S53" s="35"/>
      <c r="T53" s="35"/>
      <c r="U53" s="34"/>
      <c r="V53" s="34"/>
      <c r="W53" s="34"/>
      <c r="X53" s="35"/>
      <c r="Y53" s="34"/>
      <c r="Z53" s="34"/>
      <c r="AA53" s="34"/>
      <c r="AB53" s="30" t="str">
        <f ca="1" t="shared" si="3"/>
        <v/>
      </c>
      <c r="AC53" s="34"/>
    </row>
    <row r="54" spans="1:29">
      <c r="A54" s="30" t="str">
        <f t="shared" si="0"/>
        <v/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0" t="str">
        <f t="shared" si="1"/>
        <v/>
      </c>
      <c r="M54" s="34"/>
      <c r="N54" s="34" t="str">
        <f t="shared" si="2"/>
        <v/>
      </c>
      <c r="O54" s="34"/>
      <c r="P54" s="34"/>
      <c r="Q54" s="34"/>
      <c r="R54" s="34"/>
      <c r="S54" s="35"/>
      <c r="T54" s="35"/>
      <c r="U54" s="34"/>
      <c r="V54" s="34"/>
      <c r="W54" s="34"/>
      <c r="X54" s="35"/>
      <c r="Y54" s="34"/>
      <c r="Z54" s="34"/>
      <c r="AA54" s="34"/>
      <c r="AB54" s="30" t="str">
        <f ca="1" t="shared" si="3"/>
        <v/>
      </c>
      <c r="AC54" s="34"/>
    </row>
    <row r="55" spans="1:29">
      <c r="A55" s="30" t="str">
        <f t="shared" si="0"/>
        <v/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0" t="str">
        <f t="shared" si="1"/>
        <v/>
      </c>
      <c r="M55" s="34"/>
      <c r="N55" s="34" t="str">
        <f t="shared" si="2"/>
        <v/>
      </c>
      <c r="O55" s="34"/>
      <c r="P55" s="34"/>
      <c r="Q55" s="34"/>
      <c r="R55" s="34"/>
      <c r="S55" s="35"/>
      <c r="T55" s="35"/>
      <c r="U55" s="34"/>
      <c r="V55" s="34"/>
      <c r="W55" s="34"/>
      <c r="X55" s="35"/>
      <c r="Y55" s="34"/>
      <c r="Z55" s="34"/>
      <c r="AA55" s="34"/>
      <c r="AB55" s="30" t="str">
        <f ca="1" t="shared" si="3"/>
        <v/>
      </c>
      <c r="AC55" s="34"/>
    </row>
    <row r="56" spans="1:29">
      <c r="A56" s="30" t="str">
        <f t="shared" si="0"/>
        <v/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0" t="str">
        <f t="shared" si="1"/>
        <v/>
      </c>
      <c r="M56" s="34"/>
      <c r="N56" s="34" t="str">
        <f t="shared" si="2"/>
        <v/>
      </c>
      <c r="O56" s="34"/>
      <c r="P56" s="34"/>
      <c r="Q56" s="34"/>
      <c r="R56" s="34"/>
      <c r="S56" s="35"/>
      <c r="T56" s="35"/>
      <c r="U56" s="34"/>
      <c r="V56" s="34"/>
      <c r="W56" s="34"/>
      <c r="X56" s="35"/>
      <c r="Y56" s="34"/>
      <c r="Z56" s="34"/>
      <c r="AA56" s="34"/>
      <c r="AB56" s="30" t="str">
        <f ca="1" t="shared" si="3"/>
        <v/>
      </c>
      <c r="AC56" s="34"/>
    </row>
    <row r="57" spans="1:29">
      <c r="A57" s="30" t="str">
        <f t="shared" si="0"/>
        <v/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0" t="str">
        <f t="shared" si="1"/>
        <v/>
      </c>
      <c r="M57" s="34"/>
      <c r="N57" s="34" t="str">
        <f t="shared" si="2"/>
        <v/>
      </c>
      <c r="O57" s="34"/>
      <c r="P57" s="34"/>
      <c r="Q57" s="34"/>
      <c r="R57" s="34"/>
      <c r="S57" s="35"/>
      <c r="T57" s="35"/>
      <c r="U57" s="34"/>
      <c r="V57" s="34"/>
      <c r="W57" s="34"/>
      <c r="X57" s="35"/>
      <c r="Y57" s="34"/>
      <c r="Z57" s="34"/>
      <c r="AA57" s="34"/>
      <c r="AB57" s="30" t="str">
        <f ca="1" t="shared" si="3"/>
        <v/>
      </c>
      <c r="AC57" s="34"/>
    </row>
    <row r="58" spans="1:29">
      <c r="A58" s="30" t="str">
        <f t="shared" si="0"/>
        <v/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0" t="str">
        <f t="shared" si="1"/>
        <v/>
      </c>
      <c r="M58" s="34"/>
      <c r="N58" s="34" t="str">
        <f t="shared" si="2"/>
        <v/>
      </c>
      <c r="O58" s="34"/>
      <c r="P58" s="34"/>
      <c r="Q58" s="34"/>
      <c r="R58" s="34"/>
      <c r="S58" s="35"/>
      <c r="T58" s="35"/>
      <c r="U58" s="34"/>
      <c r="V58" s="34"/>
      <c r="W58" s="34"/>
      <c r="X58" s="35"/>
      <c r="Y58" s="34"/>
      <c r="Z58" s="34"/>
      <c r="AA58" s="34"/>
      <c r="AB58" s="30" t="str">
        <f ca="1" t="shared" si="3"/>
        <v/>
      </c>
      <c r="AC58" s="34"/>
    </row>
    <row r="59" spans="1:29">
      <c r="A59" s="30" t="str">
        <f t="shared" si="0"/>
        <v/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0" t="str">
        <f t="shared" si="1"/>
        <v/>
      </c>
      <c r="M59" s="34"/>
      <c r="N59" s="34" t="str">
        <f t="shared" si="2"/>
        <v/>
      </c>
      <c r="O59" s="34"/>
      <c r="P59" s="34"/>
      <c r="Q59" s="34"/>
      <c r="R59" s="34"/>
      <c r="S59" s="35"/>
      <c r="T59" s="35"/>
      <c r="U59" s="34"/>
      <c r="V59" s="34"/>
      <c r="W59" s="34"/>
      <c r="X59" s="35"/>
      <c r="Y59" s="34"/>
      <c r="Z59" s="34"/>
      <c r="AA59" s="34"/>
      <c r="AB59" s="30" t="str">
        <f ca="1" t="shared" si="3"/>
        <v/>
      </c>
      <c r="AC59" s="34"/>
    </row>
    <row r="60" spans="1:29">
      <c r="A60" s="30" t="str">
        <f t="shared" si="0"/>
        <v/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0" t="str">
        <f t="shared" si="1"/>
        <v/>
      </c>
      <c r="M60" s="34"/>
      <c r="N60" s="34" t="str">
        <f t="shared" si="2"/>
        <v/>
      </c>
      <c r="O60" s="34"/>
      <c r="P60" s="34"/>
      <c r="Q60" s="34"/>
      <c r="R60" s="34"/>
      <c r="S60" s="35"/>
      <c r="T60" s="35"/>
      <c r="U60" s="34"/>
      <c r="V60" s="34"/>
      <c r="W60" s="34"/>
      <c r="X60" s="35"/>
      <c r="Y60" s="34"/>
      <c r="Z60" s="34"/>
      <c r="AA60" s="34"/>
      <c r="AB60" s="30" t="str">
        <f ca="1" t="shared" si="3"/>
        <v/>
      </c>
      <c r="AC60" s="34"/>
    </row>
    <row r="61" spans="1:29">
      <c r="A61" s="30" t="str">
        <f t="shared" si="0"/>
        <v/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0" t="str">
        <f t="shared" si="1"/>
        <v/>
      </c>
      <c r="M61" s="34"/>
      <c r="N61" s="34" t="str">
        <f t="shared" si="2"/>
        <v/>
      </c>
      <c r="O61" s="34"/>
      <c r="P61" s="34"/>
      <c r="Q61" s="34"/>
      <c r="R61" s="34"/>
      <c r="S61" s="35"/>
      <c r="T61" s="35"/>
      <c r="U61" s="34"/>
      <c r="V61" s="34"/>
      <c r="W61" s="34"/>
      <c r="X61" s="35"/>
      <c r="Y61" s="34"/>
      <c r="Z61" s="34"/>
      <c r="AA61" s="34"/>
      <c r="AB61" s="30" t="str">
        <f ca="1" t="shared" si="3"/>
        <v/>
      </c>
      <c r="AC61" s="34"/>
    </row>
    <row r="62" spans="1:29">
      <c r="A62" s="30" t="str">
        <f t="shared" si="0"/>
        <v/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0" t="str">
        <f t="shared" si="1"/>
        <v/>
      </c>
      <c r="M62" s="34"/>
      <c r="N62" s="34" t="str">
        <f t="shared" si="2"/>
        <v/>
      </c>
      <c r="O62" s="34"/>
      <c r="P62" s="34"/>
      <c r="Q62" s="34"/>
      <c r="R62" s="34"/>
      <c r="S62" s="35"/>
      <c r="T62" s="35"/>
      <c r="U62" s="34"/>
      <c r="V62" s="34"/>
      <c r="W62" s="34"/>
      <c r="X62" s="35"/>
      <c r="Y62" s="34"/>
      <c r="Z62" s="34"/>
      <c r="AA62" s="34"/>
      <c r="AB62" s="30" t="str">
        <f ca="1" t="shared" si="3"/>
        <v/>
      </c>
      <c r="AC62" s="34"/>
    </row>
    <row r="63" spans="1:29">
      <c r="A63" s="30" t="str">
        <f t="shared" si="0"/>
        <v/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0" t="str">
        <f t="shared" si="1"/>
        <v/>
      </c>
      <c r="M63" s="34"/>
      <c r="N63" s="34" t="str">
        <f t="shared" si="2"/>
        <v/>
      </c>
      <c r="O63" s="34"/>
      <c r="P63" s="34"/>
      <c r="Q63" s="34"/>
      <c r="R63" s="34"/>
      <c r="S63" s="35"/>
      <c r="T63" s="35"/>
      <c r="U63" s="34"/>
      <c r="V63" s="34"/>
      <c r="W63" s="34"/>
      <c r="X63" s="35"/>
      <c r="Y63" s="34"/>
      <c r="Z63" s="34"/>
      <c r="AA63" s="34"/>
      <c r="AB63" s="30" t="str">
        <f ca="1" t="shared" si="3"/>
        <v/>
      </c>
      <c r="AC63" s="34"/>
    </row>
    <row r="64" spans="1:29">
      <c r="A64" s="30" t="str">
        <f t="shared" si="0"/>
        <v/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0" t="str">
        <f t="shared" si="1"/>
        <v/>
      </c>
      <c r="M64" s="34"/>
      <c r="N64" s="34" t="str">
        <f t="shared" si="2"/>
        <v/>
      </c>
      <c r="O64" s="34"/>
      <c r="P64" s="34"/>
      <c r="Q64" s="34"/>
      <c r="R64" s="34"/>
      <c r="S64" s="35"/>
      <c r="T64" s="35"/>
      <c r="U64" s="34"/>
      <c r="V64" s="34"/>
      <c r="W64" s="34"/>
      <c r="X64" s="35"/>
      <c r="Y64" s="34"/>
      <c r="Z64" s="34"/>
      <c r="AA64" s="34"/>
      <c r="AB64" s="30" t="str">
        <f ca="1" t="shared" si="3"/>
        <v/>
      </c>
      <c r="AC64" s="34"/>
    </row>
    <row r="65" spans="1:29">
      <c r="A65" s="30" t="str">
        <f t="shared" si="0"/>
        <v/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0" t="str">
        <f t="shared" si="1"/>
        <v/>
      </c>
      <c r="M65" s="34"/>
      <c r="N65" s="34" t="str">
        <f t="shared" si="2"/>
        <v/>
      </c>
      <c r="O65" s="34"/>
      <c r="P65" s="34"/>
      <c r="Q65" s="34"/>
      <c r="R65" s="34"/>
      <c r="S65" s="35"/>
      <c r="T65" s="35"/>
      <c r="U65" s="34"/>
      <c r="V65" s="34"/>
      <c r="W65" s="34"/>
      <c r="X65" s="35"/>
      <c r="Y65" s="34"/>
      <c r="Z65" s="34"/>
      <c r="AA65" s="34"/>
      <c r="AB65" s="30" t="str">
        <f ca="1" t="shared" si="3"/>
        <v/>
      </c>
      <c r="AC65" s="34"/>
    </row>
    <row r="66" spans="1:29">
      <c r="A66" s="30" t="str">
        <f t="shared" si="0"/>
        <v/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0" t="str">
        <f t="shared" si="1"/>
        <v/>
      </c>
      <c r="M66" s="34"/>
      <c r="N66" s="34" t="str">
        <f t="shared" si="2"/>
        <v/>
      </c>
      <c r="O66" s="34"/>
      <c r="P66" s="34"/>
      <c r="Q66" s="34"/>
      <c r="R66" s="34"/>
      <c r="S66" s="35"/>
      <c r="T66" s="35"/>
      <c r="U66" s="34"/>
      <c r="V66" s="34"/>
      <c r="W66" s="34"/>
      <c r="X66" s="35"/>
      <c r="Y66" s="34"/>
      <c r="Z66" s="34"/>
      <c r="AA66" s="34"/>
      <c r="AB66" s="30" t="str">
        <f ca="1" t="shared" si="3"/>
        <v/>
      </c>
      <c r="AC66" s="34"/>
    </row>
    <row r="67" spans="1:29">
      <c r="A67" s="30" t="str">
        <f t="shared" si="0"/>
        <v/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0" t="str">
        <f t="shared" si="1"/>
        <v/>
      </c>
      <c r="M67" s="34"/>
      <c r="N67" s="34" t="str">
        <f t="shared" si="2"/>
        <v/>
      </c>
      <c r="O67" s="34"/>
      <c r="P67" s="34"/>
      <c r="Q67" s="34"/>
      <c r="R67" s="34"/>
      <c r="S67" s="35"/>
      <c r="T67" s="35"/>
      <c r="U67" s="34"/>
      <c r="V67" s="34"/>
      <c r="W67" s="34"/>
      <c r="X67" s="35"/>
      <c r="Y67" s="34"/>
      <c r="Z67" s="34"/>
      <c r="AA67" s="34"/>
      <c r="AB67" s="30" t="str">
        <f ca="1" t="shared" si="3"/>
        <v/>
      </c>
      <c r="AC67" s="34"/>
    </row>
    <row r="68" spans="1:29">
      <c r="A68" s="30" t="str">
        <f t="shared" si="0"/>
        <v/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0" t="str">
        <f t="shared" si="1"/>
        <v/>
      </c>
      <c r="M68" s="34"/>
      <c r="N68" s="34" t="str">
        <f t="shared" si="2"/>
        <v/>
      </c>
      <c r="O68" s="34"/>
      <c r="P68" s="34"/>
      <c r="Q68" s="34"/>
      <c r="R68" s="34"/>
      <c r="S68" s="35"/>
      <c r="T68" s="35"/>
      <c r="U68" s="34"/>
      <c r="V68" s="34"/>
      <c r="W68" s="34"/>
      <c r="X68" s="35"/>
      <c r="Y68" s="34"/>
      <c r="Z68" s="34"/>
      <c r="AA68" s="34"/>
      <c r="AB68" s="30" t="str">
        <f ca="1" t="shared" si="3"/>
        <v/>
      </c>
      <c r="AC68" s="34"/>
    </row>
    <row r="69" spans="1:29">
      <c r="A69" s="30" t="str">
        <f t="shared" si="0"/>
        <v/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0" t="str">
        <f t="shared" si="1"/>
        <v/>
      </c>
      <c r="M69" s="34"/>
      <c r="N69" s="34" t="str">
        <f t="shared" si="2"/>
        <v/>
      </c>
      <c r="O69" s="34"/>
      <c r="P69" s="34"/>
      <c r="Q69" s="34"/>
      <c r="R69" s="34"/>
      <c r="S69" s="35"/>
      <c r="T69" s="35"/>
      <c r="U69" s="34"/>
      <c r="V69" s="34"/>
      <c r="W69" s="34"/>
      <c r="X69" s="35"/>
      <c r="Y69" s="34"/>
      <c r="Z69" s="34"/>
      <c r="AA69" s="34"/>
      <c r="AB69" s="30" t="str">
        <f ca="1" t="shared" si="3"/>
        <v/>
      </c>
      <c r="AC69" s="34"/>
    </row>
    <row r="70" spans="1:29">
      <c r="A70" s="30" t="str">
        <f t="shared" si="0"/>
        <v/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0" t="str">
        <f t="shared" si="1"/>
        <v/>
      </c>
      <c r="M70" s="34"/>
      <c r="N70" s="34" t="str">
        <f t="shared" si="2"/>
        <v/>
      </c>
      <c r="O70" s="34"/>
      <c r="P70" s="34"/>
      <c r="Q70" s="34"/>
      <c r="R70" s="34"/>
      <c r="S70" s="35"/>
      <c r="T70" s="35"/>
      <c r="U70" s="34"/>
      <c r="V70" s="34"/>
      <c r="W70" s="34"/>
      <c r="X70" s="35"/>
      <c r="Y70" s="34"/>
      <c r="Z70" s="34"/>
      <c r="AA70" s="34"/>
      <c r="AB70" s="30" t="str">
        <f ca="1" t="shared" si="3"/>
        <v/>
      </c>
      <c r="AC70" s="34"/>
    </row>
    <row r="71" spans="1:29">
      <c r="A71" s="30" t="str">
        <f t="shared" si="0"/>
        <v/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0" t="str">
        <f t="shared" si="1"/>
        <v/>
      </c>
      <c r="M71" s="34"/>
      <c r="N71" s="34" t="str">
        <f t="shared" si="2"/>
        <v/>
      </c>
      <c r="O71" s="34"/>
      <c r="P71" s="34"/>
      <c r="Q71" s="34"/>
      <c r="R71" s="34"/>
      <c r="S71" s="35"/>
      <c r="T71" s="35"/>
      <c r="U71" s="34"/>
      <c r="V71" s="34"/>
      <c r="W71" s="34"/>
      <c r="X71" s="35"/>
      <c r="Y71" s="34"/>
      <c r="Z71" s="34"/>
      <c r="AA71" s="34"/>
      <c r="AB71" s="30" t="str">
        <f ca="1" t="shared" si="3"/>
        <v/>
      </c>
      <c r="AC71" s="34"/>
    </row>
    <row r="72" spans="1:29">
      <c r="A72" s="30" t="str">
        <f t="shared" si="0"/>
        <v/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0" t="str">
        <f t="shared" si="1"/>
        <v/>
      </c>
      <c r="M72" s="34"/>
      <c r="N72" s="34" t="str">
        <f t="shared" si="2"/>
        <v/>
      </c>
      <c r="O72" s="34"/>
      <c r="P72" s="34"/>
      <c r="Q72" s="34"/>
      <c r="R72" s="34"/>
      <c r="S72" s="35"/>
      <c r="T72" s="35"/>
      <c r="U72" s="34"/>
      <c r="V72" s="34"/>
      <c r="W72" s="34"/>
      <c r="X72" s="35"/>
      <c r="Y72" s="34"/>
      <c r="Z72" s="34"/>
      <c r="AA72" s="34"/>
      <c r="AB72" s="30" t="str">
        <f ca="1" t="shared" si="3"/>
        <v/>
      </c>
      <c r="AC72" s="34"/>
    </row>
    <row r="73" spans="1:29">
      <c r="A73" s="30" t="str">
        <f t="shared" ref="A73:A108" si="4">IF(B73="","","SH-"&amp;TEXT(ROW()-8,"000"))</f>
        <v/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0" t="str">
        <f t="shared" ref="L73:L108" si="5">IF(OR(J73="",K73=""),"",IF(K73="抵触",1,IF(K73="不支持",2,IF(K73="中立",3,IF(K73="支持",4,IF(K73="积极推动",5,"")))))-IF(J73="抵触",1,IF(J73="不支持",2,IF(J73="中立",3,IF(J73="支持",4,IF(J73="积极推动",5,""))))))</f>
        <v/>
      </c>
      <c r="M73" s="34"/>
      <c r="N73" s="34" t="str">
        <f t="shared" ref="N73:N108" si="6">IF(OR(H73="",I73=""),"",IF(AND(H73="高",I73="高"),"重点管理",IF(H73="高","保持满意",IF(I73="高","保持沟通","监督观察"))))</f>
        <v/>
      </c>
      <c r="O73" s="34"/>
      <c r="P73" s="34"/>
      <c r="Q73" s="34"/>
      <c r="R73" s="34"/>
      <c r="S73" s="35"/>
      <c r="T73" s="35"/>
      <c r="U73" s="34"/>
      <c r="V73" s="34"/>
      <c r="W73" s="34"/>
      <c r="X73" s="35"/>
      <c r="Y73" s="34"/>
      <c r="Z73" s="34"/>
      <c r="AA73" s="34"/>
      <c r="AB73" s="30" t="str">
        <f ca="1" t="shared" ref="AB73:AB108" si="7">IF(B73="","",IF(AND(H73="高",OR(J73="抵触",J73="不支持")),"高权力不支持；","")&amp;IF(L73&gt;0,"存在支持差距；","")&amp;IF(AND(T73&lt;&gt;"",T73&lt;TODAY()),"沟通逾期；","")&amp;IF(AND(V73&lt;&gt;"",X73&lt;TODAY(),Y73&lt;&gt;"已完成"),"行动逾期；","")&amp;IF(AND(Z73="是",AA73=""),"未填升级对象",""))</f>
        <v/>
      </c>
      <c r="AC73" s="34"/>
    </row>
    <row r="74" spans="1:29">
      <c r="A74" s="30" t="str">
        <f t="shared" si="4"/>
        <v/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0" t="str">
        <f t="shared" si="5"/>
        <v/>
      </c>
      <c r="M74" s="34"/>
      <c r="N74" s="34" t="str">
        <f t="shared" si="6"/>
        <v/>
      </c>
      <c r="O74" s="34"/>
      <c r="P74" s="34"/>
      <c r="Q74" s="34"/>
      <c r="R74" s="34"/>
      <c r="S74" s="35"/>
      <c r="T74" s="35"/>
      <c r="U74" s="34"/>
      <c r="V74" s="34"/>
      <c r="W74" s="34"/>
      <c r="X74" s="35"/>
      <c r="Y74" s="34"/>
      <c r="Z74" s="34"/>
      <c r="AA74" s="34"/>
      <c r="AB74" s="30" t="str">
        <f ca="1" t="shared" si="7"/>
        <v/>
      </c>
      <c r="AC74" s="34"/>
    </row>
    <row r="75" spans="1:29">
      <c r="A75" s="30" t="str">
        <f t="shared" si="4"/>
        <v/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0" t="str">
        <f t="shared" si="5"/>
        <v/>
      </c>
      <c r="M75" s="34"/>
      <c r="N75" s="34" t="str">
        <f t="shared" si="6"/>
        <v/>
      </c>
      <c r="O75" s="34"/>
      <c r="P75" s="34"/>
      <c r="Q75" s="34"/>
      <c r="R75" s="34"/>
      <c r="S75" s="35"/>
      <c r="T75" s="35"/>
      <c r="U75" s="34"/>
      <c r="V75" s="34"/>
      <c r="W75" s="34"/>
      <c r="X75" s="35"/>
      <c r="Y75" s="34"/>
      <c r="Z75" s="34"/>
      <c r="AA75" s="34"/>
      <c r="AB75" s="30" t="str">
        <f ca="1" t="shared" si="7"/>
        <v/>
      </c>
      <c r="AC75" s="34"/>
    </row>
    <row r="76" spans="1:29">
      <c r="A76" s="30" t="str">
        <f t="shared" si="4"/>
        <v/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0" t="str">
        <f t="shared" si="5"/>
        <v/>
      </c>
      <c r="M76" s="34"/>
      <c r="N76" s="34" t="str">
        <f t="shared" si="6"/>
        <v/>
      </c>
      <c r="O76" s="34"/>
      <c r="P76" s="34"/>
      <c r="Q76" s="34"/>
      <c r="R76" s="34"/>
      <c r="S76" s="35"/>
      <c r="T76" s="35"/>
      <c r="U76" s="34"/>
      <c r="V76" s="34"/>
      <c r="W76" s="34"/>
      <c r="X76" s="35"/>
      <c r="Y76" s="34"/>
      <c r="Z76" s="34"/>
      <c r="AA76" s="34"/>
      <c r="AB76" s="30" t="str">
        <f ca="1" t="shared" si="7"/>
        <v/>
      </c>
      <c r="AC76" s="34"/>
    </row>
    <row r="77" spans="1:29">
      <c r="A77" s="30" t="str">
        <f t="shared" si="4"/>
        <v/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0" t="str">
        <f t="shared" si="5"/>
        <v/>
      </c>
      <c r="M77" s="34"/>
      <c r="N77" s="34" t="str">
        <f t="shared" si="6"/>
        <v/>
      </c>
      <c r="O77" s="34"/>
      <c r="P77" s="34"/>
      <c r="Q77" s="34"/>
      <c r="R77" s="34"/>
      <c r="S77" s="35"/>
      <c r="T77" s="35"/>
      <c r="U77" s="34"/>
      <c r="V77" s="34"/>
      <c r="W77" s="34"/>
      <c r="X77" s="35"/>
      <c r="Y77" s="34"/>
      <c r="Z77" s="34"/>
      <c r="AA77" s="34"/>
      <c r="AB77" s="30" t="str">
        <f ca="1" t="shared" si="7"/>
        <v/>
      </c>
      <c r="AC77" s="34"/>
    </row>
    <row r="78" spans="1:29">
      <c r="A78" s="30" t="str">
        <f t="shared" si="4"/>
        <v/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0" t="str">
        <f t="shared" si="5"/>
        <v/>
      </c>
      <c r="M78" s="34"/>
      <c r="N78" s="34" t="str">
        <f t="shared" si="6"/>
        <v/>
      </c>
      <c r="O78" s="34"/>
      <c r="P78" s="34"/>
      <c r="Q78" s="34"/>
      <c r="R78" s="34"/>
      <c r="S78" s="35"/>
      <c r="T78" s="35"/>
      <c r="U78" s="34"/>
      <c r="V78" s="34"/>
      <c r="W78" s="34"/>
      <c r="X78" s="35"/>
      <c r="Y78" s="34"/>
      <c r="Z78" s="34"/>
      <c r="AA78" s="34"/>
      <c r="AB78" s="30" t="str">
        <f ca="1" t="shared" si="7"/>
        <v/>
      </c>
      <c r="AC78" s="34"/>
    </row>
    <row r="79" spans="1:29">
      <c r="A79" s="30" t="str">
        <f t="shared" si="4"/>
        <v/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0" t="str">
        <f t="shared" si="5"/>
        <v/>
      </c>
      <c r="M79" s="34"/>
      <c r="N79" s="34" t="str">
        <f t="shared" si="6"/>
        <v/>
      </c>
      <c r="O79" s="34"/>
      <c r="P79" s="34"/>
      <c r="Q79" s="34"/>
      <c r="R79" s="34"/>
      <c r="S79" s="35"/>
      <c r="T79" s="35"/>
      <c r="U79" s="34"/>
      <c r="V79" s="34"/>
      <c r="W79" s="34"/>
      <c r="X79" s="35"/>
      <c r="Y79" s="34"/>
      <c r="Z79" s="34"/>
      <c r="AA79" s="34"/>
      <c r="AB79" s="30" t="str">
        <f ca="1" t="shared" si="7"/>
        <v/>
      </c>
      <c r="AC79" s="34"/>
    </row>
    <row r="80" spans="1:29">
      <c r="A80" s="30" t="str">
        <f t="shared" si="4"/>
        <v/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0" t="str">
        <f t="shared" si="5"/>
        <v/>
      </c>
      <c r="M80" s="34"/>
      <c r="N80" s="34" t="str">
        <f t="shared" si="6"/>
        <v/>
      </c>
      <c r="O80" s="34"/>
      <c r="P80" s="34"/>
      <c r="Q80" s="34"/>
      <c r="R80" s="34"/>
      <c r="S80" s="35"/>
      <c r="T80" s="35"/>
      <c r="U80" s="34"/>
      <c r="V80" s="34"/>
      <c r="W80" s="34"/>
      <c r="X80" s="35"/>
      <c r="Y80" s="34"/>
      <c r="Z80" s="34"/>
      <c r="AA80" s="34"/>
      <c r="AB80" s="30" t="str">
        <f ca="1" t="shared" si="7"/>
        <v/>
      </c>
      <c r="AC80" s="34"/>
    </row>
    <row r="81" spans="1:29">
      <c r="A81" s="30" t="str">
        <f t="shared" si="4"/>
        <v/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0" t="str">
        <f t="shared" si="5"/>
        <v/>
      </c>
      <c r="M81" s="34"/>
      <c r="N81" s="34" t="str">
        <f t="shared" si="6"/>
        <v/>
      </c>
      <c r="O81" s="34"/>
      <c r="P81" s="34"/>
      <c r="Q81" s="34"/>
      <c r="R81" s="34"/>
      <c r="S81" s="35"/>
      <c r="T81" s="35"/>
      <c r="U81" s="34"/>
      <c r="V81" s="34"/>
      <c r="W81" s="34"/>
      <c r="X81" s="35"/>
      <c r="Y81" s="34"/>
      <c r="Z81" s="34"/>
      <c r="AA81" s="34"/>
      <c r="AB81" s="30" t="str">
        <f ca="1" t="shared" si="7"/>
        <v/>
      </c>
      <c r="AC81" s="34"/>
    </row>
    <row r="82" spans="1:29">
      <c r="A82" s="30" t="str">
        <f t="shared" si="4"/>
        <v/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0" t="str">
        <f t="shared" si="5"/>
        <v/>
      </c>
      <c r="M82" s="34"/>
      <c r="N82" s="34" t="str">
        <f t="shared" si="6"/>
        <v/>
      </c>
      <c r="O82" s="34"/>
      <c r="P82" s="34"/>
      <c r="Q82" s="34"/>
      <c r="R82" s="34"/>
      <c r="S82" s="35"/>
      <c r="T82" s="35"/>
      <c r="U82" s="34"/>
      <c r="V82" s="34"/>
      <c r="W82" s="34"/>
      <c r="X82" s="35"/>
      <c r="Y82" s="34"/>
      <c r="Z82" s="34"/>
      <c r="AA82" s="34"/>
      <c r="AB82" s="30" t="str">
        <f ca="1" t="shared" si="7"/>
        <v/>
      </c>
      <c r="AC82" s="34"/>
    </row>
    <row r="83" spans="1:29">
      <c r="A83" s="30" t="str">
        <f t="shared" si="4"/>
        <v/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0" t="str">
        <f t="shared" si="5"/>
        <v/>
      </c>
      <c r="M83" s="34"/>
      <c r="N83" s="34" t="str">
        <f t="shared" si="6"/>
        <v/>
      </c>
      <c r="O83" s="34"/>
      <c r="P83" s="34"/>
      <c r="Q83" s="34"/>
      <c r="R83" s="34"/>
      <c r="S83" s="35"/>
      <c r="T83" s="35"/>
      <c r="U83" s="34"/>
      <c r="V83" s="34"/>
      <c r="W83" s="34"/>
      <c r="X83" s="35"/>
      <c r="Y83" s="34"/>
      <c r="Z83" s="34"/>
      <c r="AA83" s="34"/>
      <c r="AB83" s="30" t="str">
        <f ca="1" t="shared" si="7"/>
        <v/>
      </c>
      <c r="AC83" s="34"/>
    </row>
    <row r="84" spans="1:29">
      <c r="A84" s="30" t="str">
        <f t="shared" si="4"/>
        <v/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0" t="str">
        <f t="shared" si="5"/>
        <v/>
      </c>
      <c r="M84" s="34"/>
      <c r="N84" s="34" t="str">
        <f t="shared" si="6"/>
        <v/>
      </c>
      <c r="O84" s="34"/>
      <c r="P84" s="34"/>
      <c r="Q84" s="34"/>
      <c r="R84" s="34"/>
      <c r="S84" s="35"/>
      <c r="T84" s="35"/>
      <c r="U84" s="34"/>
      <c r="V84" s="34"/>
      <c r="W84" s="34"/>
      <c r="X84" s="35"/>
      <c r="Y84" s="34"/>
      <c r="Z84" s="34"/>
      <c r="AA84" s="34"/>
      <c r="AB84" s="30" t="str">
        <f ca="1" t="shared" si="7"/>
        <v/>
      </c>
      <c r="AC84" s="34"/>
    </row>
    <row r="85" spans="1:29">
      <c r="A85" s="30" t="str">
        <f t="shared" si="4"/>
        <v/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0" t="str">
        <f t="shared" si="5"/>
        <v/>
      </c>
      <c r="M85" s="34"/>
      <c r="N85" s="34" t="str">
        <f t="shared" si="6"/>
        <v/>
      </c>
      <c r="O85" s="34"/>
      <c r="P85" s="34"/>
      <c r="Q85" s="34"/>
      <c r="R85" s="34"/>
      <c r="S85" s="35"/>
      <c r="T85" s="35"/>
      <c r="U85" s="34"/>
      <c r="V85" s="34"/>
      <c r="W85" s="34"/>
      <c r="X85" s="35"/>
      <c r="Y85" s="34"/>
      <c r="Z85" s="34"/>
      <c r="AA85" s="34"/>
      <c r="AB85" s="30" t="str">
        <f ca="1" t="shared" si="7"/>
        <v/>
      </c>
      <c r="AC85" s="34"/>
    </row>
    <row r="86" spans="1:29">
      <c r="A86" s="30" t="str">
        <f t="shared" si="4"/>
        <v/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0" t="str">
        <f t="shared" si="5"/>
        <v/>
      </c>
      <c r="M86" s="34"/>
      <c r="N86" s="34" t="str">
        <f t="shared" si="6"/>
        <v/>
      </c>
      <c r="O86" s="34"/>
      <c r="P86" s="34"/>
      <c r="Q86" s="34"/>
      <c r="R86" s="34"/>
      <c r="S86" s="35"/>
      <c r="T86" s="35"/>
      <c r="U86" s="34"/>
      <c r="V86" s="34"/>
      <c r="W86" s="34"/>
      <c r="X86" s="35"/>
      <c r="Y86" s="34"/>
      <c r="Z86" s="34"/>
      <c r="AA86" s="34"/>
      <c r="AB86" s="30" t="str">
        <f ca="1" t="shared" si="7"/>
        <v/>
      </c>
      <c r="AC86" s="34"/>
    </row>
    <row r="87" spans="1:29">
      <c r="A87" s="30" t="str">
        <f t="shared" si="4"/>
        <v/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0" t="str">
        <f t="shared" si="5"/>
        <v/>
      </c>
      <c r="M87" s="34"/>
      <c r="N87" s="34" t="str">
        <f t="shared" si="6"/>
        <v/>
      </c>
      <c r="O87" s="34"/>
      <c r="P87" s="34"/>
      <c r="Q87" s="34"/>
      <c r="R87" s="34"/>
      <c r="S87" s="35"/>
      <c r="T87" s="35"/>
      <c r="U87" s="34"/>
      <c r="V87" s="34"/>
      <c r="W87" s="34"/>
      <c r="X87" s="35"/>
      <c r="Y87" s="34"/>
      <c r="Z87" s="34"/>
      <c r="AA87" s="34"/>
      <c r="AB87" s="30" t="str">
        <f ca="1" t="shared" si="7"/>
        <v/>
      </c>
      <c r="AC87" s="34"/>
    </row>
    <row r="88" spans="1:29">
      <c r="A88" s="30" t="str">
        <f t="shared" si="4"/>
        <v/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0" t="str">
        <f t="shared" si="5"/>
        <v/>
      </c>
      <c r="M88" s="34"/>
      <c r="N88" s="34" t="str">
        <f t="shared" si="6"/>
        <v/>
      </c>
      <c r="O88" s="34"/>
      <c r="P88" s="34"/>
      <c r="Q88" s="34"/>
      <c r="R88" s="34"/>
      <c r="S88" s="35"/>
      <c r="T88" s="35"/>
      <c r="U88" s="34"/>
      <c r="V88" s="34"/>
      <c r="W88" s="34"/>
      <c r="X88" s="35"/>
      <c r="Y88" s="34"/>
      <c r="Z88" s="34"/>
      <c r="AA88" s="34"/>
      <c r="AB88" s="30" t="str">
        <f ca="1" t="shared" si="7"/>
        <v/>
      </c>
      <c r="AC88" s="34"/>
    </row>
    <row r="89" spans="1:29">
      <c r="A89" s="30" t="str">
        <f t="shared" si="4"/>
        <v/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0" t="str">
        <f t="shared" si="5"/>
        <v/>
      </c>
      <c r="M89" s="34"/>
      <c r="N89" s="34" t="str">
        <f t="shared" si="6"/>
        <v/>
      </c>
      <c r="O89" s="34"/>
      <c r="P89" s="34"/>
      <c r="Q89" s="34"/>
      <c r="R89" s="34"/>
      <c r="S89" s="35"/>
      <c r="T89" s="35"/>
      <c r="U89" s="34"/>
      <c r="V89" s="34"/>
      <c r="W89" s="34"/>
      <c r="X89" s="35"/>
      <c r="Y89" s="34"/>
      <c r="Z89" s="34"/>
      <c r="AA89" s="34"/>
      <c r="AB89" s="30" t="str">
        <f ca="1" t="shared" si="7"/>
        <v/>
      </c>
      <c r="AC89" s="34"/>
    </row>
    <row r="90" spans="1:29">
      <c r="A90" s="30" t="str">
        <f t="shared" si="4"/>
        <v/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0" t="str">
        <f t="shared" si="5"/>
        <v/>
      </c>
      <c r="M90" s="34"/>
      <c r="N90" s="34" t="str">
        <f t="shared" si="6"/>
        <v/>
      </c>
      <c r="O90" s="34"/>
      <c r="P90" s="34"/>
      <c r="Q90" s="34"/>
      <c r="R90" s="34"/>
      <c r="S90" s="35"/>
      <c r="T90" s="35"/>
      <c r="U90" s="34"/>
      <c r="V90" s="34"/>
      <c r="W90" s="34"/>
      <c r="X90" s="35"/>
      <c r="Y90" s="34"/>
      <c r="Z90" s="34"/>
      <c r="AA90" s="34"/>
      <c r="AB90" s="30" t="str">
        <f ca="1" t="shared" si="7"/>
        <v/>
      </c>
      <c r="AC90" s="34"/>
    </row>
    <row r="91" spans="1:29">
      <c r="A91" s="30" t="str">
        <f t="shared" si="4"/>
        <v/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0" t="str">
        <f t="shared" si="5"/>
        <v/>
      </c>
      <c r="M91" s="34"/>
      <c r="N91" s="34" t="str">
        <f t="shared" si="6"/>
        <v/>
      </c>
      <c r="O91" s="34"/>
      <c r="P91" s="34"/>
      <c r="Q91" s="34"/>
      <c r="R91" s="34"/>
      <c r="S91" s="35"/>
      <c r="T91" s="35"/>
      <c r="U91" s="34"/>
      <c r="V91" s="34"/>
      <c r="W91" s="34"/>
      <c r="X91" s="35"/>
      <c r="Y91" s="34"/>
      <c r="Z91" s="34"/>
      <c r="AA91" s="34"/>
      <c r="AB91" s="30" t="str">
        <f ca="1" t="shared" si="7"/>
        <v/>
      </c>
      <c r="AC91" s="34"/>
    </row>
    <row r="92" spans="1:29">
      <c r="A92" s="30" t="str">
        <f t="shared" si="4"/>
        <v/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0" t="str">
        <f t="shared" si="5"/>
        <v/>
      </c>
      <c r="M92" s="34"/>
      <c r="N92" s="34" t="str">
        <f t="shared" si="6"/>
        <v/>
      </c>
      <c r="O92" s="34"/>
      <c r="P92" s="34"/>
      <c r="Q92" s="34"/>
      <c r="R92" s="34"/>
      <c r="S92" s="35"/>
      <c r="T92" s="35"/>
      <c r="U92" s="34"/>
      <c r="V92" s="34"/>
      <c r="W92" s="34"/>
      <c r="X92" s="35"/>
      <c r="Y92" s="34"/>
      <c r="Z92" s="34"/>
      <c r="AA92" s="34"/>
      <c r="AB92" s="30" t="str">
        <f ca="1" t="shared" si="7"/>
        <v/>
      </c>
      <c r="AC92" s="34"/>
    </row>
    <row r="93" spans="1:29">
      <c r="A93" s="30" t="str">
        <f t="shared" si="4"/>
        <v/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0" t="str">
        <f t="shared" si="5"/>
        <v/>
      </c>
      <c r="M93" s="34"/>
      <c r="N93" s="34" t="str">
        <f t="shared" si="6"/>
        <v/>
      </c>
      <c r="O93" s="34"/>
      <c r="P93" s="34"/>
      <c r="Q93" s="34"/>
      <c r="R93" s="34"/>
      <c r="S93" s="35"/>
      <c r="T93" s="35"/>
      <c r="U93" s="34"/>
      <c r="V93" s="34"/>
      <c r="W93" s="34"/>
      <c r="X93" s="35"/>
      <c r="Y93" s="34"/>
      <c r="Z93" s="34"/>
      <c r="AA93" s="34"/>
      <c r="AB93" s="30" t="str">
        <f ca="1" t="shared" si="7"/>
        <v/>
      </c>
      <c r="AC93" s="34"/>
    </row>
    <row r="94" spans="1:29">
      <c r="A94" s="30" t="str">
        <f t="shared" si="4"/>
        <v/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0" t="str">
        <f t="shared" si="5"/>
        <v/>
      </c>
      <c r="M94" s="34"/>
      <c r="N94" s="34" t="str">
        <f t="shared" si="6"/>
        <v/>
      </c>
      <c r="O94" s="34"/>
      <c r="P94" s="34"/>
      <c r="Q94" s="34"/>
      <c r="R94" s="34"/>
      <c r="S94" s="35"/>
      <c r="T94" s="35"/>
      <c r="U94" s="34"/>
      <c r="V94" s="34"/>
      <c r="W94" s="34"/>
      <c r="X94" s="35"/>
      <c r="Y94" s="34"/>
      <c r="Z94" s="34"/>
      <c r="AA94" s="34"/>
      <c r="AB94" s="30" t="str">
        <f ca="1" t="shared" si="7"/>
        <v/>
      </c>
      <c r="AC94" s="34"/>
    </row>
    <row r="95" spans="1:29">
      <c r="A95" s="30" t="str">
        <f t="shared" si="4"/>
        <v/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0" t="str">
        <f t="shared" si="5"/>
        <v/>
      </c>
      <c r="M95" s="34"/>
      <c r="N95" s="34" t="str">
        <f t="shared" si="6"/>
        <v/>
      </c>
      <c r="O95" s="34"/>
      <c r="P95" s="34"/>
      <c r="Q95" s="34"/>
      <c r="R95" s="34"/>
      <c r="S95" s="35"/>
      <c r="T95" s="35"/>
      <c r="U95" s="34"/>
      <c r="V95" s="34"/>
      <c r="W95" s="34"/>
      <c r="X95" s="35"/>
      <c r="Y95" s="34"/>
      <c r="Z95" s="34"/>
      <c r="AA95" s="34"/>
      <c r="AB95" s="30" t="str">
        <f ca="1" t="shared" si="7"/>
        <v/>
      </c>
      <c r="AC95" s="34"/>
    </row>
    <row r="96" spans="1:29">
      <c r="A96" s="30" t="str">
        <f t="shared" si="4"/>
        <v/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0" t="str">
        <f t="shared" si="5"/>
        <v/>
      </c>
      <c r="M96" s="34"/>
      <c r="N96" s="34" t="str">
        <f t="shared" si="6"/>
        <v/>
      </c>
      <c r="O96" s="34"/>
      <c r="P96" s="34"/>
      <c r="Q96" s="34"/>
      <c r="R96" s="34"/>
      <c r="S96" s="35"/>
      <c r="T96" s="35"/>
      <c r="U96" s="34"/>
      <c r="V96" s="34"/>
      <c r="W96" s="34"/>
      <c r="X96" s="35"/>
      <c r="Y96" s="34"/>
      <c r="Z96" s="34"/>
      <c r="AA96" s="34"/>
      <c r="AB96" s="30" t="str">
        <f ca="1" t="shared" si="7"/>
        <v/>
      </c>
      <c r="AC96" s="34"/>
    </row>
    <row r="97" spans="1:29">
      <c r="A97" s="30" t="str">
        <f t="shared" si="4"/>
        <v/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0" t="str">
        <f t="shared" si="5"/>
        <v/>
      </c>
      <c r="M97" s="34"/>
      <c r="N97" s="34" t="str">
        <f t="shared" si="6"/>
        <v/>
      </c>
      <c r="O97" s="34"/>
      <c r="P97" s="34"/>
      <c r="Q97" s="34"/>
      <c r="R97" s="34"/>
      <c r="S97" s="35"/>
      <c r="T97" s="35"/>
      <c r="U97" s="34"/>
      <c r="V97" s="34"/>
      <c r="W97" s="34"/>
      <c r="X97" s="35"/>
      <c r="Y97" s="34"/>
      <c r="Z97" s="34"/>
      <c r="AA97" s="34"/>
      <c r="AB97" s="30" t="str">
        <f ca="1" t="shared" si="7"/>
        <v/>
      </c>
      <c r="AC97" s="34"/>
    </row>
    <row r="98" spans="1:29">
      <c r="A98" s="30" t="str">
        <f t="shared" si="4"/>
        <v/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0" t="str">
        <f t="shared" si="5"/>
        <v/>
      </c>
      <c r="M98" s="34"/>
      <c r="N98" s="34" t="str">
        <f t="shared" si="6"/>
        <v/>
      </c>
      <c r="O98" s="34"/>
      <c r="P98" s="34"/>
      <c r="Q98" s="34"/>
      <c r="R98" s="34"/>
      <c r="S98" s="35"/>
      <c r="T98" s="35"/>
      <c r="U98" s="34"/>
      <c r="V98" s="34"/>
      <c r="W98" s="34"/>
      <c r="X98" s="35"/>
      <c r="Y98" s="34"/>
      <c r="Z98" s="34"/>
      <c r="AA98" s="34"/>
      <c r="AB98" s="30" t="str">
        <f ca="1" t="shared" si="7"/>
        <v/>
      </c>
      <c r="AC98" s="34"/>
    </row>
    <row r="99" spans="1:29">
      <c r="A99" s="30" t="str">
        <f t="shared" si="4"/>
        <v/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0" t="str">
        <f t="shared" si="5"/>
        <v/>
      </c>
      <c r="M99" s="34"/>
      <c r="N99" s="34" t="str">
        <f t="shared" si="6"/>
        <v/>
      </c>
      <c r="O99" s="34"/>
      <c r="P99" s="34"/>
      <c r="Q99" s="34"/>
      <c r="R99" s="34"/>
      <c r="S99" s="35"/>
      <c r="T99" s="35"/>
      <c r="U99" s="34"/>
      <c r="V99" s="34"/>
      <c r="W99" s="34"/>
      <c r="X99" s="35"/>
      <c r="Y99" s="34"/>
      <c r="Z99" s="34"/>
      <c r="AA99" s="34"/>
      <c r="AB99" s="30" t="str">
        <f ca="1" t="shared" si="7"/>
        <v/>
      </c>
      <c r="AC99" s="34"/>
    </row>
    <row r="100" spans="1:29">
      <c r="A100" s="30" t="str">
        <f t="shared" si="4"/>
        <v/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0" t="str">
        <f t="shared" si="5"/>
        <v/>
      </c>
      <c r="M100" s="34"/>
      <c r="N100" s="34" t="str">
        <f t="shared" si="6"/>
        <v/>
      </c>
      <c r="O100" s="34"/>
      <c r="P100" s="34"/>
      <c r="Q100" s="34"/>
      <c r="R100" s="34"/>
      <c r="S100" s="35"/>
      <c r="T100" s="35"/>
      <c r="U100" s="34"/>
      <c r="V100" s="34"/>
      <c r="W100" s="34"/>
      <c r="X100" s="35"/>
      <c r="Y100" s="34"/>
      <c r="Z100" s="34"/>
      <c r="AA100" s="34"/>
      <c r="AB100" s="30" t="str">
        <f ca="1" t="shared" si="7"/>
        <v/>
      </c>
      <c r="AC100" s="34"/>
    </row>
    <row r="101" spans="1:29">
      <c r="A101" s="30" t="str">
        <f t="shared" si="4"/>
        <v/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0" t="str">
        <f t="shared" si="5"/>
        <v/>
      </c>
      <c r="M101" s="34"/>
      <c r="N101" s="34" t="str">
        <f t="shared" si="6"/>
        <v/>
      </c>
      <c r="O101" s="34"/>
      <c r="P101" s="34"/>
      <c r="Q101" s="34"/>
      <c r="R101" s="34"/>
      <c r="S101" s="35"/>
      <c r="T101" s="35"/>
      <c r="U101" s="34"/>
      <c r="V101" s="34"/>
      <c r="W101" s="34"/>
      <c r="X101" s="35"/>
      <c r="Y101" s="34"/>
      <c r="Z101" s="34"/>
      <c r="AA101" s="34"/>
      <c r="AB101" s="30" t="str">
        <f ca="1" t="shared" si="7"/>
        <v/>
      </c>
      <c r="AC101" s="34"/>
    </row>
    <row r="102" spans="1:29">
      <c r="A102" s="30" t="str">
        <f t="shared" si="4"/>
        <v/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0" t="str">
        <f t="shared" si="5"/>
        <v/>
      </c>
      <c r="M102" s="34"/>
      <c r="N102" s="34" t="str">
        <f t="shared" si="6"/>
        <v/>
      </c>
      <c r="O102" s="34"/>
      <c r="P102" s="34"/>
      <c r="Q102" s="34"/>
      <c r="R102" s="34"/>
      <c r="S102" s="35"/>
      <c r="T102" s="35"/>
      <c r="U102" s="34"/>
      <c r="V102" s="34"/>
      <c r="W102" s="34"/>
      <c r="X102" s="35"/>
      <c r="Y102" s="34"/>
      <c r="Z102" s="34"/>
      <c r="AA102" s="34"/>
      <c r="AB102" s="30" t="str">
        <f ca="1" t="shared" si="7"/>
        <v/>
      </c>
      <c r="AC102" s="34"/>
    </row>
    <row r="103" spans="1:29">
      <c r="A103" s="30" t="str">
        <f t="shared" si="4"/>
        <v/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0" t="str">
        <f t="shared" si="5"/>
        <v/>
      </c>
      <c r="M103" s="34"/>
      <c r="N103" s="34" t="str">
        <f t="shared" si="6"/>
        <v/>
      </c>
      <c r="O103" s="34"/>
      <c r="P103" s="34"/>
      <c r="Q103" s="34"/>
      <c r="R103" s="34"/>
      <c r="S103" s="35"/>
      <c r="T103" s="35"/>
      <c r="U103" s="34"/>
      <c r="V103" s="34"/>
      <c r="W103" s="34"/>
      <c r="X103" s="35"/>
      <c r="Y103" s="34"/>
      <c r="Z103" s="34"/>
      <c r="AA103" s="34"/>
      <c r="AB103" s="30" t="str">
        <f ca="1" t="shared" si="7"/>
        <v/>
      </c>
      <c r="AC103" s="34"/>
    </row>
    <row r="104" spans="1:29">
      <c r="A104" s="30" t="str">
        <f t="shared" si="4"/>
        <v/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0" t="str">
        <f t="shared" si="5"/>
        <v/>
      </c>
      <c r="M104" s="34"/>
      <c r="N104" s="34" t="str">
        <f t="shared" si="6"/>
        <v/>
      </c>
      <c r="O104" s="34"/>
      <c r="P104" s="34"/>
      <c r="Q104" s="34"/>
      <c r="R104" s="34"/>
      <c r="S104" s="35"/>
      <c r="T104" s="35"/>
      <c r="U104" s="34"/>
      <c r="V104" s="34"/>
      <c r="W104" s="34"/>
      <c r="X104" s="35"/>
      <c r="Y104" s="34"/>
      <c r="Z104" s="34"/>
      <c r="AA104" s="34"/>
      <c r="AB104" s="30" t="str">
        <f ca="1" t="shared" si="7"/>
        <v/>
      </c>
      <c r="AC104" s="34"/>
    </row>
    <row r="105" spans="1:29">
      <c r="A105" s="30" t="str">
        <f t="shared" si="4"/>
        <v/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0" t="str">
        <f t="shared" si="5"/>
        <v/>
      </c>
      <c r="M105" s="34"/>
      <c r="N105" s="34" t="str">
        <f t="shared" si="6"/>
        <v/>
      </c>
      <c r="O105" s="34"/>
      <c r="P105" s="34"/>
      <c r="Q105" s="34"/>
      <c r="R105" s="34"/>
      <c r="S105" s="35"/>
      <c r="T105" s="35"/>
      <c r="U105" s="34"/>
      <c r="V105" s="34"/>
      <c r="W105" s="34"/>
      <c r="X105" s="35"/>
      <c r="Y105" s="34"/>
      <c r="Z105" s="34"/>
      <c r="AA105" s="34"/>
      <c r="AB105" s="30" t="str">
        <f ca="1" t="shared" si="7"/>
        <v/>
      </c>
      <c r="AC105" s="34"/>
    </row>
    <row r="106" spans="1:29">
      <c r="A106" s="30" t="str">
        <f t="shared" si="4"/>
        <v/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0" t="str">
        <f t="shared" si="5"/>
        <v/>
      </c>
      <c r="M106" s="34"/>
      <c r="N106" s="34" t="str">
        <f t="shared" si="6"/>
        <v/>
      </c>
      <c r="O106" s="34"/>
      <c r="P106" s="34"/>
      <c r="Q106" s="34"/>
      <c r="R106" s="34"/>
      <c r="S106" s="35"/>
      <c r="T106" s="35"/>
      <c r="U106" s="34"/>
      <c r="V106" s="34"/>
      <c r="W106" s="34"/>
      <c r="X106" s="35"/>
      <c r="Y106" s="34"/>
      <c r="Z106" s="34"/>
      <c r="AA106" s="34"/>
      <c r="AB106" s="30" t="str">
        <f ca="1" t="shared" si="7"/>
        <v/>
      </c>
      <c r="AC106" s="34"/>
    </row>
    <row r="107" spans="1:29">
      <c r="A107" s="30" t="str">
        <f t="shared" si="4"/>
        <v/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0" t="str">
        <f t="shared" si="5"/>
        <v/>
      </c>
      <c r="M107" s="34"/>
      <c r="N107" s="34" t="str">
        <f t="shared" si="6"/>
        <v/>
      </c>
      <c r="O107" s="34"/>
      <c r="P107" s="34"/>
      <c r="Q107" s="34"/>
      <c r="R107" s="34"/>
      <c r="S107" s="35"/>
      <c r="T107" s="35"/>
      <c r="U107" s="34"/>
      <c r="V107" s="34"/>
      <c r="W107" s="34"/>
      <c r="X107" s="35"/>
      <c r="Y107" s="34"/>
      <c r="Z107" s="34"/>
      <c r="AA107" s="34"/>
      <c r="AB107" s="30" t="str">
        <f ca="1" t="shared" si="7"/>
        <v/>
      </c>
      <c r="AC107" s="34"/>
    </row>
    <row r="108" spans="1:29">
      <c r="A108" s="30" t="str">
        <f t="shared" si="4"/>
        <v/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0" t="str">
        <f t="shared" si="5"/>
        <v/>
      </c>
      <c r="M108" s="34"/>
      <c r="N108" s="34" t="str">
        <f t="shared" si="6"/>
        <v/>
      </c>
      <c r="O108" s="34"/>
      <c r="P108" s="34"/>
      <c r="Q108" s="34"/>
      <c r="R108" s="34"/>
      <c r="S108" s="35"/>
      <c r="T108" s="35"/>
      <c r="U108" s="34"/>
      <c r="V108" s="34"/>
      <c r="W108" s="34"/>
      <c r="X108" s="35"/>
      <c r="Y108" s="34"/>
      <c r="Z108" s="34"/>
      <c r="AA108" s="34"/>
      <c r="AB108" s="30" t="str">
        <f ca="1" t="shared" si="7"/>
        <v/>
      </c>
      <c r="AC108" s="34"/>
    </row>
  </sheetData>
  <mergeCells count="18">
    <mergeCell ref="A1:AC1"/>
    <mergeCell ref="A2:AC2"/>
    <mergeCell ref="A4:C4"/>
    <mergeCell ref="D4:F4"/>
    <mergeCell ref="G4:I4"/>
    <mergeCell ref="J4:L4"/>
    <mergeCell ref="M4:O4"/>
    <mergeCell ref="P4:R4"/>
    <mergeCell ref="S4:U4"/>
    <mergeCell ref="V4:X4"/>
    <mergeCell ref="A5:C5"/>
    <mergeCell ref="D5:F5"/>
    <mergeCell ref="G5:I5"/>
    <mergeCell ref="J5:L5"/>
    <mergeCell ref="M5:O5"/>
    <mergeCell ref="P5:R5"/>
    <mergeCell ref="S5:U5"/>
    <mergeCell ref="V5:X5"/>
  </mergeCells>
  <dataValidations count="8">
    <dataValidation type="list" allowBlank="1" sqref="E9:E108">
      <formula1>"决策方,业务方,建设方,使用方,监管方,供应商"</formula1>
    </dataValidation>
    <dataValidation type="list" allowBlank="1" sqref="M9:M108">
      <formula1>"正向,中性,负向"</formula1>
    </dataValidation>
    <dataValidation type="list" allowBlank="1" sqref="O9:O108">
      <formula1>"会议,周报,专题汇报,邮件,即时沟通"</formula1>
    </dataValidation>
    <dataValidation type="list" allowBlank="1" sqref="P9:P108">
      <formula1>"随时,每周,双周,每月,里程碑"</formula1>
    </dataValidation>
    <dataValidation type="list" allowBlank="1" sqref="Y9:Y108">
      <formula1>"未开始,进行中,已完成,暂停"</formula1>
    </dataValidation>
    <dataValidation type="list" allowBlank="1" sqref="Z9:Z108">
      <formula1>"是,否"</formula1>
    </dataValidation>
    <dataValidation type="list" allowBlank="1" sqref="H9:I108">
      <formula1>"高,中,低"</formula1>
    </dataValidation>
    <dataValidation type="list" allowBlank="1" sqref="J9:K108">
      <formula1>"抵触,不支持,中立,支持,积极推动"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N24"/>
  <sheetViews>
    <sheetView showGridLines="0" workbookViewId="0">
      <pane xSplit="2" ySplit="7" topLeftCell="C8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15" customWidth="1"/>
    <col min="2" max="2" width="10" customWidth="1"/>
    <col min="3" max="3" width="22" customWidth="1"/>
    <col min="4" max="4" width="12" customWidth="1"/>
    <col min="5" max="5" width="16" customWidth="1"/>
    <col min="6" max="7" width="34" customWidth="1"/>
    <col min="8" max="8" width="16" customWidth="1"/>
    <col min="9" max="10" width="13" customWidth="1"/>
    <col min="11" max="11" width="18" customWidth="1"/>
    <col min="12" max="12" width="28" customWidth="1"/>
    <col min="13" max="13" width="16" customWidth="1"/>
    <col min="14" max="14" width="30" customWidth="1"/>
  </cols>
  <sheetData>
    <row r="1" ht="28" customHeight="1" spans="1:14">
      <c r="A1" s="11" t="s">
        <v>195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32" customHeight="1" spans="1:14">
      <c r="A2" s="12" t="s">
        <v>196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>
      <c r="A4" s="13" t="s">
        <v>197</v>
      </c>
      <c r="B4" s="13"/>
      <c r="C4" s="13"/>
      <c r="D4" s="13" t="s">
        <v>198</v>
      </c>
      <c r="E4" s="13"/>
      <c r="F4" s="13"/>
      <c r="G4" s="13" t="s">
        <v>199</v>
      </c>
      <c r="H4" s="13"/>
      <c r="I4" s="13"/>
      <c r="J4" s="13" t="s">
        <v>200</v>
      </c>
      <c r="K4" s="13"/>
      <c r="L4" s="21"/>
      <c r="M4" s="21"/>
      <c r="N4" s="21"/>
    </row>
    <row r="5" ht="22" spans="1:14">
      <c r="A5" s="14">
        <f>COUNTA(D8:D24)</f>
        <v>17</v>
      </c>
      <c r="B5" s="14"/>
      <c r="C5" s="14"/>
      <c r="D5" s="14">
        <f>COUNTIFS(B8:B24,"P0")</f>
        <v>11</v>
      </c>
      <c r="E5" s="14"/>
      <c r="F5" s="14"/>
      <c r="G5" s="14">
        <f>COUNTIFS(B8:B24,"P1")</f>
        <v>6</v>
      </c>
      <c r="H5" s="14"/>
      <c r="I5" s="14"/>
      <c r="J5" s="14">
        <f>COUNTBLANK(M8:M24)</f>
        <v>17</v>
      </c>
      <c r="K5" s="14"/>
      <c r="L5" s="21"/>
      <c r="M5" s="21"/>
      <c r="N5" s="21"/>
    </row>
    <row r="6" spans="1:1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34" customHeight="1" spans="1:14">
      <c r="A7" s="15" t="s">
        <v>201</v>
      </c>
      <c r="B7" s="15" t="s">
        <v>202</v>
      </c>
      <c r="C7" s="15" t="s">
        <v>203</v>
      </c>
      <c r="D7" s="15" t="s">
        <v>204</v>
      </c>
      <c r="E7" s="15" t="s">
        <v>205</v>
      </c>
      <c r="F7" s="15" t="s">
        <v>206</v>
      </c>
      <c r="G7" s="15" t="s">
        <v>207</v>
      </c>
      <c r="H7" s="15" t="s">
        <v>208</v>
      </c>
      <c r="I7" s="15" t="s">
        <v>209</v>
      </c>
      <c r="J7" s="15" t="s">
        <v>210</v>
      </c>
      <c r="K7" s="15" t="s">
        <v>211</v>
      </c>
      <c r="L7" s="15" t="s">
        <v>212</v>
      </c>
      <c r="M7" s="15" t="s">
        <v>213</v>
      </c>
      <c r="N7" s="15" t="s">
        <v>39</v>
      </c>
    </row>
    <row r="8" ht="38" customHeight="1" spans="1:14">
      <c r="A8" s="16" t="s">
        <v>214</v>
      </c>
      <c r="B8" s="16" t="s">
        <v>215</v>
      </c>
      <c r="C8" s="16" t="s">
        <v>116</v>
      </c>
      <c r="D8" s="16" t="s">
        <v>115</v>
      </c>
      <c r="E8" s="16" t="s">
        <v>216</v>
      </c>
      <c r="F8" s="17" t="s">
        <v>217</v>
      </c>
      <c r="G8" s="17" t="s">
        <v>218</v>
      </c>
      <c r="H8" s="16" t="s">
        <v>84</v>
      </c>
      <c r="I8" s="18">
        <v>46249</v>
      </c>
      <c r="J8" s="18">
        <v>46290</v>
      </c>
      <c r="K8" s="16" t="s">
        <v>219</v>
      </c>
      <c r="L8" s="17" t="s">
        <v>220</v>
      </c>
      <c r="M8" s="17" t="s">
        <v>57</v>
      </c>
      <c r="N8" s="17" t="s">
        <v>221</v>
      </c>
    </row>
    <row r="9" ht="38" customHeight="1" spans="1:14">
      <c r="A9" s="16" t="s">
        <v>214</v>
      </c>
      <c r="B9" s="16" t="s">
        <v>215</v>
      </c>
      <c r="C9" s="16" t="s">
        <v>126</v>
      </c>
      <c r="D9" s="16" t="s">
        <v>125</v>
      </c>
      <c r="E9" s="16" t="s">
        <v>222</v>
      </c>
      <c r="F9" s="17" t="s">
        <v>217</v>
      </c>
      <c r="G9" s="17" t="s">
        <v>218</v>
      </c>
      <c r="H9" s="16" t="s">
        <v>84</v>
      </c>
      <c r="I9" s="18">
        <v>46249</v>
      </c>
      <c r="J9" s="18">
        <v>46290</v>
      </c>
      <c r="K9" s="16" t="s">
        <v>219</v>
      </c>
      <c r="L9" s="17" t="s">
        <v>220</v>
      </c>
      <c r="M9" s="17" t="s">
        <v>57</v>
      </c>
      <c r="N9" s="17" t="s">
        <v>221</v>
      </c>
    </row>
    <row r="10" ht="38" customHeight="1" spans="1:14">
      <c r="A10" s="16" t="s">
        <v>214</v>
      </c>
      <c r="B10" s="16" t="s">
        <v>215</v>
      </c>
      <c r="C10" s="16" t="s">
        <v>130</v>
      </c>
      <c r="D10" s="16" t="s">
        <v>129</v>
      </c>
      <c r="E10" s="16" t="s">
        <v>223</v>
      </c>
      <c r="F10" s="17" t="s">
        <v>217</v>
      </c>
      <c r="G10" s="17" t="s">
        <v>218</v>
      </c>
      <c r="H10" s="16" t="s">
        <v>84</v>
      </c>
      <c r="I10" s="18">
        <v>46249</v>
      </c>
      <c r="J10" s="18">
        <v>46290</v>
      </c>
      <c r="K10" s="16" t="s">
        <v>219</v>
      </c>
      <c r="L10" s="17" t="s">
        <v>220</v>
      </c>
      <c r="M10" s="17" t="s">
        <v>57</v>
      </c>
      <c r="N10" s="17" t="s">
        <v>221</v>
      </c>
    </row>
    <row r="11" ht="38" customHeight="1" spans="1:14">
      <c r="A11" s="16" t="s">
        <v>214</v>
      </c>
      <c r="B11" s="16" t="s">
        <v>215</v>
      </c>
      <c r="C11" s="16" t="s">
        <v>134</v>
      </c>
      <c r="D11" s="16" t="s">
        <v>133</v>
      </c>
      <c r="E11" s="16" t="s">
        <v>224</v>
      </c>
      <c r="F11" s="17" t="s">
        <v>217</v>
      </c>
      <c r="G11" s="17" t="s">
        <v>218</v>
      </c>
      <c r="H11" s="16" t="s">
        <v>84</v>
      </c>
      <c r="I11" s="18">
        <v>46249</v>
      </c>
      <c r="J11" s="18">
        <v>46290</v>
      </c>
      <c r="K11" s="16" t="s">
        <v>219</v>
      </c>
      <c r="L11" s="17" t="s">
        <v>220</v>
      </c>
      <c r="M11" s="17" t="s">
        <v>57</v>
      </c>
      <c r="N11" s="17" t="s">
        <v>221</v>
      </c>
    </row>
    <row r="12" ht="38" customHeight="1" spans="1:14">
      <c r="A12" s="16" t="s">
        <v>225</v>
      </c>
      <c r="B12" s="16" t="s">
        <v>215</v>
      </c>
      <c r="C12" s="16" t="s">
        <v>138</v>
      </c>
      <c r="D12" s="16" t="s">
        <v>137</v>
      </c>
      <c r="E12" s="16" t="s">
        <v>226</v>
      </c>
      <c r="F12" s="17" t="s">
        <v>227</v>
      </c>
      <c r="G12" s="17" t="s">
        <v>228</v>
      </c>
      <c r="H12" s="16" t="s">
        <v>84</v>
      </c>
      <c r="I12" s="18">
        <v>46249</v>
      </c>
      <c r="J12" s="18">
        <v>46290</v>
      </c>
      <c r="K12" s="16" t="s">
        <v>219</v>
      </c>
      <c r="L12" s="17" t="s">
        <v>220</v>
      </c>
      <c r="M12" s="17" t="s">
        <v>57</v>
      </c>
      <c r="N12" s="17" t="s">
        <v>221</v>
      </c>
    </row>
    <row r="13" ht="38" customHeight="1" spans="1:14">
      <c r="A13" s="16" t="s">
        <v>225</v>
      </c>
      <c r="B13" s="16" t="s">
        <v>215</v>
      </c>
      <c r="C13" s="16" t="s">
        <v>143</v>
      </c>
      <c r="D13" s="16" t="s">
        <v>142</v>
      </c>
      <c r="E13" s="16" t="s">
        <v>229</v>
      </c>
      <c r="F13" s="17" t="s">
        <v>227</v>
      </c>
      <c r="G13" s="17" t="s">
        <v>228</v>
      </c>
      <c r="H13" s="16" t="s">
        <v>84</v>
      </c>
      <c r="I13" s="18">
        <v>46249</v>
      </c>
      <c r="J13" s="18">
        <v>46290</v>
      </c>
      <c r="K13" s="16" t="s">
        <v>219</v>
      </c>
      <c r="L13" s="17" t="s">
        <v>220</v>
      </c>
      <c r="M13" s="17" t="s">
        <v>57</v>
      </c>
      <c r="N13" s="17" t="s">
        <v>221</v>
      </c>
    </row>
    <row r="14" ht="38" customHeight="1" spans="1:14">
      <c r="A14" s="16" t="s">
        <v>225</v>
      </c>
      <c r="B14" s="16" t="s">
        <v>215</v>
      </c>
      <c r="C14" s="16" t="s">
        <v>147</v>
      </c>
      <c r="D14" s="16" t="s">
        <v>146</v>
      </c>
      <c r="E14" s="16" t="s">
        <v>230</v>
      </c>
      <c r="F14" s="17" t="s">
        <v>227</v>
      </c>
      <c r="G14" s="17" t="s">
        <v>228</v>
      </c>
      <c r="H14" s="16" t="s">
        <v>84</v>
      </c>
      <c r="I14" s="18">
        <v>46249</v>
      </c>
      <c r="J14" s="18">
        <v>46290</v>
      </c>
      <c r="K14" s="16" t="s">
        <v>219</v>
      </c>
      <c r="L14" s="17" t="s">
        <v>220</v>
      </c>
      <c r="M14" s="17" t="s">
        <v>57</v>
      </c>
      <c r="N14" s="17" t="s">
        <v>221</v>
      </c>
    </row>
    <row r="15" ht="38" customHeight="1" spans="1:14">
      <c r="A15" s="16" t="s">
        <v>231</v>
      </c>
      <c r="B15" s="16" t="s">
        <v>215</v>
      </c>
      <c r="C15" s="16" t="s">
        <v>151</v>
      </c>
      <c r="D15" s="16" t="s">
        <v>150</v>
      </c>
      <c r="E15" s="16" t="s">
        <v>232</v>
      </c>
      <c r="F15" s="17" t="s">
        <v>233</v>
      </c>
      <c r="G15" s="17" t="s">
        <v>234</v>
      </c>
      <c r="H15" s="16" t="s">
        <v>154</v>
      </c>
      <c r="I15" s="18">
        <v>46249</v>
      </c>
      <c r="J15" s="18">
        <v>46290</v>
      </c>
      <c r="K15" s="16" t="s">
        <v>219</v>
      </c>
      <c r="L15" s="17" t="s">
        <v>220</v>
      </c>
      <c r="M15" s="17" t="s">
        <v>57</v>
      </c>
      <c r="N15" s="17" t="s">
        <v>221</v>
      </c>
    </row>
    <row r="16" ht="38" customHeight="1" spans="1:14">
      <c r="A16" s="16" t="s">
        <v>231</v>
      </c>
      <c r="B16" s="16" t="s">
        <v>215</v>
      </c>
      <c r="C16" s="16" t="s">
        <v>157</v>
      </c>
      <c r="D16" s="16" t="s">
        <v>156</v>
      </c>
      <c r="E16" s="16" t="s">
        <v>235</v>
      </c>
      <c r="F16" s="17" t="s">
        <v>233</v>
      </c>
      <c r="G16" s="17" t="s">
        <v>234</v>
      </c>
      <c r="H16" s="16" t="s">
        <v>154</v>
      </c>
      <c r="I16" s="18">
        <v>46249</v>
      </c>
      <c r="J16" s="18">
        <v>46290</v>
      </c>
      <c r="K16" s="16" t="s">
        <v>219</v>
      </c>
      <c r="L16" s="17" t="s">
        <v>220</v>
      </c>
      <c r="M16" s="17" t="s">
        <v>57</v>
      </c>
      <c r="N16" s="17" t="s">
        <v>221</v>
      </c>
    </row>
    <row r="17" ht="38" customHeight="1" spans="1:14">
      <c r="A17" s="16" t="s">
        <v>231</v>
      </c>
      <c r="B17" s="16" t="s">
        <v>215</v>
      </c>
      <c r="C17" s="16" t="s">
        <v>161</v>
      </c>
      <c r="D17" s="16" t="s">
        <v>160</v>
      </c>
      <c r="E17" s="16" t="s">
        <v>236</v>
      </c>
      <c r="F17" s="17" t="s">
        <v>233</v>
      </c>
      <c r="G17" s="17" t="s">
        <v>234</v>
      </c>
      <c r="H17" s="16" t="s">
        <v>154</v>
      </c>
      <c r="I17" s="18">
        <v>46249</v>
      </c>
      <c r="J17" s="18">
        <v>46290</v>
      </c>
      <c r="K17" s="16" t="s">
        <v>219</v>
      </c>
      <c r="L17" s="17" t="s">
        <v>220</v>
      </c>
      <c r="M17" s="17" t="s">
        <v>57</v>
      </c>
      <c r="N17" s="17" t="s">
        <v>221</v>
      </c>
    </row>
    <row r="18" ht="38" customHeight="1" spans="1:14">
      <c r="A18" s="16" t="s">
        <v>231</v>
      </c>
      <c r="B18" s="16" t="s">
        <v>215</v>
      </c>
      <c r="C18" s="16" t="s">
        <v>165</v>
      </c>
      <c r="D18" s="16" t="s">
        <v>164</v>
      </c>
      <c r="E18" s="16" t="s">
        <v>237</v>
      </c>
      <c r="F18" s="17" t="s">
        <v>233</v>
      </c>
      <c r="G18" s="17" t="s">
        <v>234</v>
      </c>
      <c r="H18" s="16" t="s">
        <v>154</v>
      </c>
      <c r="I18" s="18">
        <v>46249</v>
      </c>
      <c r="J18" s="18">
        <v>46290</v>
      </c>
      <c r="K18" s="16" t="s">
        <v>219</v>
      </c>
      <c r="L18" s="17" t="s">
        <v>220</v>
      </c>
      <c r="M18" s="17" t="s">
        <v>57</v>
      </c>
      <c r="N18" s="17" t="s">
        <v>221</v>
      </c>
    </row>
    <row r="19" ht="38" customHeight="1" spans="1:14">
      <c r="A19" s="16" t="s">
        <v>238</v>
      </c>
      <c r="B19" s="16" t="s">
        <v>239</v>
      </c>
      <c r="C19" s="16" t="s">
        <v>170</v>
      </c>
      <c r="D19" s="16" t="s">
        <v>169</v>
      </c>
      <c r="E19" s="16" t="s">
        <v>240</v>
      </c>
      <c r="F19" s="17" t="s">
        <v>241</v>
      </c>
      <c r="G19" s="17" t="s">
        <v>242</v>
      </c>
      <c r="H19" s="16" t="s">
        <v>63</v>
      </c>
      <c r="I19" s="18">
        <v>46249</v>
      </c>
      <c r="J19" s="18">
        <v>46290</v>
      </c>
      <c r="K19" s="16" t="s">
        <v>219</v>
      </c>
      <c r="L19" s="17" t="s">
        <v>220</v>
      </c>
      <c r="M19" s="17" t="s">
        <v>57</v>
      </c>
      <c r="N19" s="17" t="s">
        <v>221</v>
      </c>
    </row>
    <row r="20" ht="38" customHeight="1" spans="1:14">
      <c r="A20" s="16" t="s">
        <v>238</v>
      </c>
      <c r="B20" s="16" t="s">
        <v>239</v>
      </c>
      <c r="C20" s="16" t="s">
        <v>175</v>
      </c>
      <c r="D20" s="16" t="s">
        <v>174</v>
      </c>
      <c r="E20" s="16" t="s">
        <v>243</v>
      </c>
      <c r="F20" s="17" t="s">
        <v>241</v>
      </c>
      <c r="G20" s="17" t="s">
        <v>242</v>
      </c>
      <c r="H20" s="16" t="s">
        <v>63</v>
      </c>
      <c r="I20" s="18">
        <v>46249</v>
      </c>
      <c r="J20" s="18">
        <v>46290</v>
      </c>
      <c r="K20" s="16" t="s">
        <v>219</v>
      </c>
      <c r="L20" s="17" t="s">
        <v>220</v>
      </c>
      <c r="M20" s="17" t="s">
        <v>57</v>
      </c>
      <c r="N20" s="17" t="s">
        <v>221</v>
      </c>
    </row>
    <row r="21" ht="38" customHeight="1" spans="1:14">
      <c r="A21" s="16" t="s">
        <v>244</v>
      </c>
      <c r="B21" s="16" t="s">
        <v>239</v>
      </c>
      <c r="C21" s="16" t="s">
        <v>179</v>
      </c>
      <c r="D21" s="16" t="s">
        <v>178</v>
      </c>
      <c r="E21" s="16" t="s">
        <v>245</v>
      </c>
      <c r="F21" s="17" t="s">
        <v>246</v>
      </c>
      <c r="G21" s="17" t="s">
        <v>247</v>
      </c>
      <c r="H21" s="16" t="s">
        <v>154</v>
      </c>
      <c r="I21" s="18">
        <v>46249</v>
      </c>
      <c r="J21" s="18">
        <v>46290</v>
      </c>
      <c r="K21" s="16" t="s">
        <v>219</v>
      </c>
      <c r="L21" s="17" t="s">
        <v>220</v>
      </c>
      <c r="M21" s="17" t="s">
        <v>57</v>
      </c>
      <c r="N21" s="17" t="s">
        <v>221</v>
      </c>
    </row>
    <row r="22" ht="38" customHeight="1" spans="1:14">
      <c r="A22" s="16" t="s">
        <v>244</v>
      </c>
      <c r="B22" s="16" t="s">
        <v>239</v>
      </c>
      <c r="C22" s="16" t="s">
        <v>184</v>
      </c>
      <c r="D22" s="16" t="s">
        <v>183</v>
      </c>
      <c r="E22" s="16" t="s">
        <v>248</v>
      </c>
      <c r="F22" s="17" t="s">
        <v>246</v>
      </c>
      <c r="G22" s="17" t="s">
        <v>247</v>
      </c>
      <c r="H22" s="16" t="s">
        <v>154</v>
      </c>
      <c r="I22" s="18">
        <v>46249</v>
      </c>
      <c r="J22" s="18">
        <v>46290</v>
      </c>
      <c r="K22" s="16" t="s">
        <v>219</v>
      </c>
      <c r="L22" s="17" t="s">
        <v>220</v>
      </c>
      <c r="M22" s="17" t="s">
        <v>57</v>
      </c>
      <c r="N22" s="17" t="s">
        <v>221</v>
      </c>
    </row>
    <row r="23" ht="38" customHeight="1" spans="1:14">
      <c r="A23" s="16" t="s">
        <v>244</v>
      </c>
      <c r="B23" s="16" t="s">
        <v>239</v>
      </c>
      <c r="C23" s="16" t="s">
        <v>188</v>
      </c>
      <c r="D23" s="16" t="s">
        <v>187</v>
      </c>
      <c r="E23" s="16" t="s">
        <v>249</v>
      </c>
      <c r="F23" s="17" t="s">
        <v>246</v>
      </c>
      <c r="G23" s="17" t="s">
        <v>247</v>
      </c>
      <c r="H23" s="16" t="s">
        <v>154</v>
      </c>
      <c r="I23" s="18">
        <v>46249</v>
      </c>
      <c r="J23" s="18">
        <v>46290</v>
      </c>
      <c r="K23" s="16" t="s">
        <v>219</v>
      </c>
      <c r="L23" s="17" t="s">
        <v>220</v>
      </c>
      <c r="M23" s="17" t="s">
        <v>57</v>
      </c>
      <c r="N23" s="17" t="s">
        <v>221</v>
      </c>
    </row>
    <row r="24" ht="38" customHeight="1" spans="1:14">
      <c r="A24" s="16" t="s">
        <v>244</v>
      </c>
      <c r="B24" s="16" t="s">
        <v>239</v>
      </c>
      <c r="C24" s="16" t="s">
        <v>192</v>
      </c>
      <c r="D24" s="16" t="s">
        <v>191</v>
      </c>
      <c r="E24" s="16" t="s">
        <v>250</v>
      </c>
      <c r="F24" s="17" t="s">
        <v>246</v>
      </c>
      <c r="G24" s="17" t="s">
        <v>247</v>
      </c>
      <c r="H24" s="16" t="s">
        <v>154</v>
      </c>
      <c r="I24" s="18">
        <v>46249</v>
      </c>
      <c r="J24" s="18">
        <v>46290</v>
      </c>
      <c r="K24" s="16" t="s">
        <v>219</v>
      </c>
      <c r="L24" s="17" t="s">
        <v>220</v>
      </c>
      <c r="M24" s="17" t="s">
        <v>57</v>
      </c>
      <c r="N24" s="17" t="s">
        <v>221</v>
      </c>
    </row>
  </sheetData>
  <mergeCells count="10">
    <mergeCell ref="A1:N1"/>
    <mergeCell ref="A2:N2"/>
    <mergeCell ref="A4:B4"/>
    <mergeCell ref="D4:E4"/>
    <mergeCell ref="G4:H4"/>
    <mergeCell ref="J4:K4"/>
    <mergeCell ref="A5:B5"/>
    <mergeCell ref="D5:E5"/>
    <mergeCell ref="G5:H5"/>
    <mergeCell ref="J5:K5"/>
  </mergeCells>
  <dataValidations count="3">
    <dataValidation type="list" sqref="B8:B24">
      <formula1>"P0,P1"</formula1>
    </dataValidation>
    <dataValidation type="list" sqref="K8:K24">
      <formula1>"未开始,进行中（待确认）,已完成,暂停"</formula1>
    </dataValidation>
    <dataValidation type="list" sqref="M8:M24">
      <formula1>"采纳,有条件采纳,不采纳,待评审"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O24"/>
  <sheetViews>
    <sheetView showGridLines="0" workbookViewId="0">
      <pane xSplit="4" ySplit="7" topLeftCell="E8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6.8"/>
  <cols>
    <col min="1" max="1" width="15" customWidth="1"/>
    <col min="2" max="2" width="9" customWidth="1"/>
    <col min="3" max="3" width="22" customWidth="1"/>
    <col min="4" max="4" width="12" customWidth="1"/>
    <col min="5" max="5" width="15" customWidth="1"/>
    <col min="6" max="8" width="14" customWidth="1"/>
    <col min="9" max="10" width="13" customWidth="1"/>
    <col min="11" max="11" width="12" customWidth="1"/>
    <col min="12" max="13" width="15" customWidth="1"/>
    <col min="14" max="14" width="28" customWidth="1"/>
    <col min="15" max="15" width="22" customWidth="1"/>
  </cols>
  <sheetData>
    <row r="1" ht="28" customHeight="1" spans="1:15">
      <c r="A1" s="11" t="s">
        <v>251</v>
      </c>
    </row>
    <row r="2" ht="30" customHeight="1" spans="1:15">
      <c r="A2" s="12" t="s">
        <v>252</v>
      </c>
    </row>
    <row r="4" spans="1:15">
      <c r="A4" s="13" t="s">
        <v>253</v>
      </c>
      <c r="B4" s="13"/>
      <c r="D4" s="13" t="s">
        <v>254</v>
      </c>
      <c r="E4" s="13"/>
      <c r="G4" s="13" t="s">
        <v>255</v>
      </c>
      <c r="H4" s="13"/>
      <c r="J4" s="13" t="s">
        <v>256</v>
      </c>
      <c r="K4" s="13"/>
    </row>
    <row r="5" ht="22" spans="1:15">
      <c r="A5" s="14">
        <f>COUNTA(C8:C24)</f>
        <v>17</v>
      </c>
      <c r="B5" s="14"/>
      <c r="D5" s="14">
        <f>COUNT(K8:K24)</f>
        <v>0</v>
      </c>
      <c r="E5" s="14"/>
      <c r="G5" s="14">
        <f>COUNTIFS(L8:L24,"通过")+COUNTIFS(L8:L24,"有条件通过")</f>
        <v>0</v>
      </c>
      <c r="H5" s="14"/>
      <c r="J5" s="14">
        <f>COUNTBLANK(K8:K24)</f>
        <v>17</v>
      </c>
      <c r="K5" s="14"/>
    </row>
    <row r="6" spans="1:15">
      <c r="D6" t="s">
        <v>257</v>
      </c>
      <c r="E6" s="19">
        <v>0.25</v>
      </c>
      <c r="F6" s="19">
        <v>0.2</v>
      </c>
      <c r="G6" s="19">
        <v>0.2</v>
      </c>
      <c r="H6" s="19">
        <v>0.15</v>
      </c>
      <c r="I6" s="19">
        <v>0.1</v>
      </c>
      <c r="J6" s="19">
        <v>0.1</v>
      </c>
    </row>
    <row r="7" spans="1:15">
      <c r="A7" s="15" t="s">
        <v>201</v>
      </c>
      <c r="B7" s="15" t="s">
        <v>202</v>
      </c>
      <c r="C7" s="15" t="s">
        <v>203</v>
      </c>
      <c r="D7" s="15" t="s">
        <v>204</v>
      </c>
      <c r="E7" s="15" t="s">
        <v>258</v>
      </c>
      <c r="F7" s="15" t="s">
        <v>259</v>
      </c>
      <c r="G7" s="15" t="s">
        <v>260</v>
      </c>
      <c r="H7" s="15" t="s">
        <v>261</v>
      </c>
      <c r="I7" s="15" t="s">
        <v>262</v>
      </c>
      <c r="J7" s="15" t="s">
        <v>263</v>
      </c>
      <c r="K7" s="15" t="s">
        <v>264</v>
      </c>
      <c r="L7" s="15" t="s">
        <v>265</v>
      </c>
      <c r="M7" s="15" t="s">
        <v>266</v>
      </c>
      <c r="N7" s="15" t="s">
        <v>267</v>
      </c>
      <c r="O7" s="15" t="s">
        <v>268</v>
      </c>
    </row>
    <row r="8" ht="30" customHeight="1" spans="1:15">
      <c r="A8" s="16" t="s">
        <v>214</v>
      </c>
      <c r="B8" s="16" t="s">
        <v>215</v>
      </c>
      <c r="C8" s="16" t="s">
        <v>116</v>
      </c>
      <c r="D8" s="16" t="s">
        <v>115</v>
      </c>
      <c r="E8" s="16"/>
      <c r="F8" s="16"/>
      <c r="G8" s="16"/>
      <c r="H8" s="16"/>
      <c r="I8" s="16"/>
      <c r="J8" s="16"/>
      <c r="K8" s="20" t="str">
        <f t="shared" ref="K8:K24" si="0">IF(COUNT(E8:J8)&lt;6,"",SUMPRODUCT(E8:J8,$E$6:$J$6)*20)</f>
        <v/>
      </c>
      <c r="L8" s="16" t="str">
        <f t="shared" ref="L8:L24" si="1">IF(K8="","待评分",IF(OR(G8&lt;3,MIN(E8:J8)&lt;2),"未通过",IF(K8&gt;=80,"通过",IF(K8&gt;=70,"有条件通过","未通过"))))</f>
        <v>待评分</v>
      </c>
      <c r="M8" s="16" t="str">
        <f t="shared" ref="M8:M24" si="2">IF(L8="待评分","待评分",IF(L8="通过","建议入围",IF(L8="有条件通过","整改后复评","不建议入围")))</f>
        <v>待评分</v>
      </c>
      <c r="N8" s="17" t="s">
        <v>57</v>
      </c>
      <c r="O8" s="17" t="s">
        <v>57</v>
      </c>
    </row>
    <row r="9" ht="30" customHeight="1" spans="1:15">
      <c r="A9" s="16" t="s">
        <v>214</v>
      </c>
      <c r="B9" s="16" t="s">
        <v>215</v>
      </c>
      <c r="C9" s="16" t="s">
        <v>126</v>
      </c>
      <c r="D9" s="16" t="s">
        <v>125</v>
      </c>
      <c r="E9" s="16"/>
      <c r="F9" s="16"/>
      <c r="G9" s="16"/>
      <c r="H9" s="16"/>
      <c r="I9" s="16"/>
      <c r="J9" s="16"/>
      <c r="K9" s="20" t="str">
        <f t="shared" si="0"/>
        <v/>
      </c>
      <c r="L9" s="16" t="str">
        <f t="shared" si="1"/>
        <v>待评分</v>
      </c>
      <c r="M9" s="16" t="str">
        <f t="shared" si="2"/>
        <v>待评分</v>
      </c>
      <c r="N9" s="17" t="s">
        <v>57</v>
      </c>
      <c r="O9" s="17" t="s">
        <v>57</v>
      </c>
    </row>
    <row r="10" ht="30" customHeight="1" spans="1:15">
      <c r="A10" s="16" t="s">
        <v>214</v>
      </c>
      <c r="B10" s="16" t="s">
        <v>215</v>
      </c>
      <c r="C10" s="16" t="s">
        <v>130</v>
      </c>
      <c r="D10" s="16" t="s">
        <v>129</v>
      </c>
      <c r="E10" s="16"/>
      <c r="F10" s="16"/>
      <c r="G10" s="16"/>
      <c r="H10" s="16"/>
      <c r="I10" s="16"/>
      <c r="J10" s="16"/>
      <c r="K10" s="20" t="str">
        <f t="shared" si="0"/>
        <v/>
      </c>
      <c r="L10" s="16" t="str">
        <f t="shared" si="1"/>
        <v>待评分</v>
      </c>
      <c r="M10" s="16" t="str">
        <f t="shared" si="2"/>
        <v>待评分</v>
      </c>
      <c r="N10" s="17" t="s">
        <v>57</v>
      </c>
      <c r="O10" s="17" t="s">
        <v>57</v>
      </c>
    </row>
    <row r="11" ht="30" customHeight="1" spans="1:15">
      <c r="A11" s="16" t="s">
        <v>214</v>
      </c>
      <c r="B11" s="16" t="s">
        <v>215</v>
      </c>
      <c r="C11" s="16" t="s">
        <v>134</v>
      </c>
      <c r="D11" s="16" t="s">
        <v>133</v>
      </c>
      <c r="E11" s="16"/>
      <c r="F11" s="16"/>
      <c r="G11" s="16"/>
      <c r="H11" s="16"/>
      <c r="I11" s="16"/>
      <c r="J11" s="16"/>
      <c r="K11" s="20" t="str">
        <f t="shared" si="0"/>
        <v/>
      </c>
      <c r="L11" s="16" t="str">
        <f t="shared" si="1"/>
        <v>待评分</v>
      </c>
      <c r="M11" s="16" t="str">
        <f t="shared" si="2"/>
        <v>待评分</v>
      </c>
      <c r="N11" s="17" t="s">
        <v>57</v>
      </c>
      <c r="O11" s="17" t="s">
        <v>57</v>
      </c>
    </row>
    <row r="12" ht="30" customHeight="1" spans="1:15">
      <c r="A12" s="16" t="s">
        <v>225</v>
      </c>
      <c r="B12" s="16" t="s">
        <v>215</v>
      </c>
      <c r="C12" s="16" t="s">
        <v>138</v>
      </c>
      <c r="D12" s="16" t="s">
        <v>137</v>
      </c>
      <c r="E12" s="16"/>
      <c r="F12" s="16"/>
      <c r="G12" s="16"/>
      <c r="H12" s="16"/>
      <c r="I12" s="16"/>
      <c r="J12" s="16"/>
      <c r="K12" s="20" t="str">
        <f t="shared" si="0"/>
        <v/>
      </c>
      <c r="L12" s="16" t="str">
        <f t="shared" si="1"/>
        <v>待评分</v>
      </c>
      <c r="M12" s="16" t="str">
        <f t="shared" si="2"/>
        <v>待评分</v>
      </c>
      <c r="N12" s="17" t="s">
        <v>57</v>
      </c>
      <c r="O12" s="17" t="s">
        <v>57</v>
      </c>
    </row>
    <row r="13" ht="30" customHeight="1" spans="1:15">
      <c r="A13" s="16" t="s">
        <v>225</v>
      </c>
      <c r="B13" s="16" t="s">
        <v>215</v>
      </c>
      <c r="C13" s="16" t="s">
        <v>143</v>
      </c>
      <c r="D13" s="16" t="s">
        <v>142</v>
      </c>
      <c r="E13" s="16"/>
      <c r="F13" s="16"/>
      <c r="G13" s="16"/>
      <c r="H13" s="16"/>
      <c r="I13" s="16"/>
      <c r="J13" s="16"/>
      <c r="K13" s="20" t="str">
        <f t="shared" si="0"/>
        <v/>
      </c>
      <c r="L13" s="16" t="str">
        <f t="shared" si="1"/>
        <v>待评分</v>
      </c>
      <c r="M13" s="16" t="str">
        <f t="shared" si="2"/>
        <v>待评分</v>
      </c>
      <c r="N13" s="17" t="s">
        <v>57</v>
      </c>
      <c r="O13" s="17" t="s">
        <v>57</v>
      </c>
    </row>
    <row r="14" ht="30" customHeight="1" spans="1:15">
      <c r="A14" s="16" t="s">
        <v>225</v>
      </c>
      <c r="B14" s="16" t="s">
        <v>215</v>
      </c>
      <c r="C14" s="16" t="s">
        <v>147</v>
      </c>
      <c r="D14" s="16" t="s">
        <v>146</v>
      </c>
      <c r="E14" s="16"/>
      <c r="F14" s="16"/>
      <c r="G14" s="16"/>
      <c r="H14" s="16"/>
      <c r="I14" s="16"/>
      <c r="J14" s="16"/>
      <c r="K14" s="20" t="str">
        <f t="shared" si="0"/>
        <v/>
      </c>
      <c r="L14" s="16" t="str">
        <f t="shared" si="1"/>
        <v>待评分</v>
      </c>
      <c r="M14" s="16" t="str">
        <f t="shared" si="2"/>
        <v>待评分</v>
      </c>
      <c r="N14" s="17" t="s">
        <v>57</v>
      </c>
      <c r="O14" s="17" t="s">
        <v>57</v>
      </c>
    </row>
    <row r="15" ht="30" customHeight="1" spans="1:15">
      <c r="A15" s="16" t="s">
        <v>231</v>
      </c>
      <c r="B15" s="16" t="s">
        <v>215</v>
      </c>
      <c r="C15" s="16" t="s">
        <v>151</v>
      </c>
      <c r="D15" s="16" t="s">
        <v>150</v>
      </c>
      <c r="E15" s="16"/>
      <c r="F15" s="16"/>
      <c r="G15" s="16"/>
      <c r="H15" s="16"/>
      <c r="I15" s="16"/>
      <c r="J15" s="16"/>
      <c r="K15" s="20" t="str">
        <f t="shared" si="0"/>
        <v/>
      </c>
      <c r="L15" s="16" t="str">
        <f t="shared" si="1"/>
        <v>待评分</v>
      </c>
      <c r="M15" s="16" t="str">
        <f t="shared" si="2"/>
        <v>待评分</v>
      </c>
      <c r="N15" s="17" t="s">
        <v>57</v>
      </c>
      <c r="O15" s="17" t="s">
        <v>57</v>
      </c>
    </row>
    <row r="16" ht="30" customHeight="1" spans="1:15">
      <c r="A16" s="16" t="s">
        <v>231</v>
      </c>
      <c r="B16" s="16" t="s">
        <v>215</v>
      </c>
      <c r="C16" s="16" t="s">
        <v>157</v>
      </c>
      <c r="D16" s="16" t="s">
        <v>156</v>
      </c>
      <c r="E16" s="16"/>
      <c r="F16" s="16"/>
      <c r="G16" s="16"/>
      <c r="H16" s="16"/>
      <c r="I16" s="16"/>
      <c r="J16" s="16"/>
      <c r="K16" s="20" t="str">
        <f t="shared" si="0"/>
        <v/>
      </c>
      <c r="L16" s="16" t="str">
        <f t="shared" si="1"/>
        <v>待评分</v>
      </c>
      <c r="M16" s="16" t="str">
        <f t="shared" si="2"/>
        <v>待评分</v>
      </c>
      <c r="N16" s="17" t="s">
        <v>57</v>
      </c>
      <c r="O16" s="17" t="s">
        <v>57</v>
      </c>
    </row>
    <row r="17" ht="30" customHeight="1" spans="1:15">
      <c r="A17" s="16" t="s">
        <v>231</v>
      </c>
      <c r="B17" s="16" t="s">
        <v>215</v>
      </c>
      <c r="C17" s="16" t="s">
        <v>161</v>
      </c>
      <c r="D17" s="16" t="s">
        <v>160</v>
      </c>
      <c r="E17" s="16"/>
      <c r="F17" s="16"/>
      <c r="G17" s="16"/>
      <c r="H17" s="16"/>
      <c r="I17" s="16"/>
      <c r="J17" s="16"/>
      <c r="K17" s="20" t="str">
        <f t="shared" si="0"/>
        <v/>
      </c>
      <c r="L17" s="16" t="str">
        <f t="shared" si="1"/>
        <v>待评分</v>
      </c>
      <c r="M17" s="16" t="str">
        <f t="shared" si="2"/>
        <v>待评分</v>
      </c>
      <c r="N17" s="17" t="s">
        <v>57</v>
      </c>
      <c r="O17" s="17" t="s">
        <v>57</v>
      </c>
    </row>
    <row r="18" ht="30" customHeight="1" spans="1:15">
      <c r="A18" s="16" t="s">
        <v>231</v>
      </c>
      <c r="B18" s="16" t="s">
        <v>215</v>
      </c>
      <c r="C18" s="16" t="s">
        <v>165</v>
      </c>
      <c r="D18" s="16" t="s">
        <v>164</v>
      </c>
      <c r="E18" s="16"/>
      <c r="F18" s="16"/>
      <c r="G18" s="16"/>
      <c r="H18" s="16"/>
      <c r="I18" s="16"/>
      <c r="J18" s="16"/>
      <c r="K18" s="20" t="str">
        <f t="shared" si="0"/>
        <v/>
      </c>
      <c r="L18" s="16" t="str">
        <f t="shared" si="1"/>
        <v>待评分</v>
      </c>
      <c r="M18" s="16" t="str">
        <f t="shared" si="2"/>
        <v>待评分</v>
      </c>
      <c r="N18" s="17" t="s">
        <v>57</v>
      </c>
      <c r="O18" s="17" t="s">
        <v>57</v>
      </c>
    </row>
    <row r="19" ht="30" customHeight="1" spans="1:15">
      <c r="A19" s="16" t="s">
        <v>238</v>
      </c>
      <c r="B19" s="16" t="s">
        <v>239</v>
      </c>
      <c r="C19" s="16" t="s">
        <v>170</v>
      </c>
      <c r="D19" s="16" t="s">
        <v>169</v>
      </c>
      <c r="E19" s="16"/>
      <c r="F19" s="16"/>
      <c r="G19" s="16"/>
      <c r="H19" s="16"/>
      <c r="I19" s="16"/>
      <c r="J19" s="16"/>
      <c r="K19" s="20" t="str">
        <f t="shared" si="0"/>
        <v/>
      </c>
      <c r="L19" s="16" t="str">
        <f t="shared" si="1"/>
        <v>待评分</v>
      </c>
      <c r="M19" s="16" t="str">
        <f t="shared" si="2"/>
        <v>待评分</v>
      </c>
      <c r="N19" s="17" t="s">
        <v>57</v>
      </c>
      <c r="O19" s="17" t="s">
        <v>57</v>
      </c>
    </row>
    <row r="20" ht="30" customHeight="1" spans="1:15">
      <c r="A20" s="16" t="s">
        <v>238</v>
      </c>
      <c r="B20" s="16" t="s">
        <v>239</v>
      </c>
      <c r="C20" s="16" t="s">
        <v>175</v>
      </c>
      <c r="D20" s="16" t="s">
        <v>174</v>
      </c>
      <c r="E20" s="16"/>
      <c r="F20" s="16"/>
      <c r="G20" s="16"/>
      <c r="H20" s="16"/>
      <c r="I20" s="16"/>
      <c r="J20" s="16"/>
      <c r="K20" s="20" t="str">
        <f t="shared" si="0"/>
        <v/>
      </c>
      <c r="L20" s="16" t="str">
        <f t="shared" si="1"/>
        <v>待评分</v>
      </c>
      <c r="M20" s="16" t="str">
        <f t="shared" si="2"/>
        <v>待评分</v>
      </c>
      <c r="N20" s="17" t="s">
        <v>57</v>
      </c>
      <c r="O20" s="17" t="s">
        <v>57</v>
      </c>
    </row>
    <row r="21" ht="30" customHeight="1" spans="1:15">
      <c r="A21" s="16" t="s">
        <v>244</v>
      </c>
      <c r="B21" s="16" t="s">
        <v>239</v>
      </c>
      <c r="C21" s="16" t="s">
        <v>179</v>
      </c>
      <c r="D21" s="16" t="s">
        <v>178</v>
      </c>
      <c r="E21" s="16"/>
      <c r="F21" s="16"/>
      <c r="G21" s="16"/>
      <c r="H21" s="16"/>
      <c r="I21" s="16"/>
      <c r="J21" s="16"/>
      <c r="K21" s="20" t="str">
        <f t="shared" si="0"/>
        <v/>
      </c>
      <c r="L21" s="16" t="str">
        <f t="shared" si="1"/>
        <v>待评分</v>
      </c>
      <c r="M21" s="16" t="str">
        <f t="shared" si="2"/>
        <v>待评分</v>
      </c>
      <c r="N21" s="17" t="s">
        <v>57</v>
      </c>
      <c r="O21" s="17" t="s">
        <v>57</v>
      </c>
    </row>
    <row r="22" ht="30" customHeight="1" spans="1:15">
      <c r="A22" s="16" t="s">
        <v>244</v>
      </c>
      <c r="B22" s="16" t="s">
        <v>239</v>
      </c>
      <c r="C22" s="16" t="s">
        <v>184</v>
      </c>
      <c r="D22" s="16" t="s">
        <v>183</v>
      </c>
      <c r="E22" s="16"/>
      <c r="F22" s="16"/>
      <c r="G22" s="16"/>
      <c r="H22" s="16"/>
      <c r="I22" s="16"/>
      <c r="J22" s="16"/>
      <c r="K22" s="20" t="str">
        <f t="shared" si="0"/>
        <v/>
      </c>
      <c r="L22" s="16" t="str">
        <f t="shared" si="1"/>
        <v>待评分</v>
      </c>
      <c r="M22" s="16" t="str">
        <f t="shared" si="2"/>
        <v>待评分</v>
      </c>
      <c r="N22" s="17" t="s">
        <v>57</v>
      </c>
      <c r="O22" s="17" t="s">
        <v>57</v>
      </c>
    </row>
    <row r="23" ht="30" customHeight="1" spans="1:15">
      <c r="A23" s="16" t="s">
        <v>244</v>
      </c>
      <c r="B23" s="16" t="s">
        <v>239</v>
      </c>
      <c r="C23" s="16" t="s">
        <v>188</v>
      </c>
      <c r="D23" s="16" t="s">
        <v>187</v>
      </c>
      <c r="E23" s="16"/>
      <c r="F23" s="16"/>
      <c r="G23" s="16"/>
      <c r="H23" s="16"/>
      <c r="I23" s="16"/>
      <c r="J23" s="16"/>
      <c r="K23" s="20" t="str">
        <f t="shared" si="0"/>
        <v/>
      </c>
      <c r="L23" s="16" t="str">
        <f t="shared" si="1"/>
        <v>待评分</v>
      </c>
      <c r="M23" s="16" t="str">
        <f t="shared" si="2"/>
        <v>待评分</v>
      </c>
      <c r="N23" s="17" t="s">
        <v>57</v>
      </c>
      <c r="O23" s="17" t="s">
        <v>57</v>
      </c>
    </row>
    <row r="24" ht="30" customHeight="1" spans="1:15">
      <c r="A24" s="16" t="s">
        <v>244</v>
      </c>
      <c r="B24" s="16" t="s">
        <v>239</v>
      </c>
      <c r="C24" s="16" t="s">
        <v>192</v>
      </c>
      <c r="D24" s="16" t="s">
        <v>191</v>
      </c>
      <c r="E24" s="16"/>
      <c r="F24" s="16"/>
      <c r="G24" s="16"/>
      <c r="H24" s="16"/>
      <c r="I24" s="16"/>
      <c r="J24" s="16"/>
      <c r="K24" s="20" t="str">
        <f t="shared" si="0"/>
        <v/>
      </c>
      <c r="L24" s="16" t="str">
        <f t="shared" si="1"/>
        <v>待评分</v>
      </c>
      <c r="M24" s="16" t="str">
        <f t="shared" si="2"/>
        <v>待评分</v>
      </c>
      <c r="N24" s="17" t="s">
        <v>57</v>
      </c>
      <c r="O24" s="17" t="s">
        <v>57</v>
      </c>
    </row>
  </sheetData>
  <mergeCells count="10">
    <mergeCell ref="A1:O1"/>
    <mergeCell ref="A2:O2"/>
    <mergeCell ref="A4:B4"/>
    <mergeCell ref="D4:E4"/>
    <mergeCell ref="G4:H4"/>
    <mergeCell ref="J4:K4"/>
    <mergeCell ref="A5:B5"/>
    <mergeCell ref="D5:E5"/>
    <mergeCell ref="G5:H5"/>
    <mergeCell ref="J5:K5"/>
  </mergeCells>
  <conditionalFormatting sqref="K8:K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operator="between" sqref="E8:J24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M27"/>
  <sheetViews>
    <sheetView showGridLines="0" tabSelected="1" workbookViewId="0">
      <pane xSplit="3" ySplit="7" topLeftCell="D19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6.8"/>
  <cols>
    <col min="1" max="1" width="10" customWidth="1"/>
    <col min="2" max="2" width="14" customWidth="1"/>
    <col min="3" max="3" width="30" customWidth="1"/>
    <col min="4" max="4" width="36" customWidth="1"/>
    <col min="5" max="5" width="16" customWidth="1"/>
    <col min="6" max="6" width="24" customWidth="1"/>
    <col min="7" max="7" width="13" customWidth="1"/>
    <col min="8" max="8" width="14" customWidth="1"/>
    <col min="9" max="9" width="11" customWidth="1"/>
    <col min="10" max="10" width="15" customWidth="1"/>
    <col min="11" max="12" width="28" customWidth="1"/>
    <col min="13" max="13" width="24" customWidth="1"/>
  </cols>
  <sheetData>
    <row r="1" ht="28" customHeight="1" spans="1:13">
      <c r="A1" s="11" t="s">
        <v>269</v>
      </c>
    </row>
    <row r="2" ht="30" customHeight="1" spans="1:13">
      <c r="A2" s="12" t="s">
        <v>270</v>
      </c>
    </row>
    <row r="4" spans="1:13">
      <c r="A4" s="13" t="s">
        <v>271</v>
      </c>
      <c r="B4" s="13"/>
      <c r="D4" s="13" t="s">
        <v>272</v>
      </c>
      <c r="E4" s="13"/>
      <c r="G4" s="13" t="s">
        <v>273</v>
      </c>
      <c r="H4" s="13"/>
      <c r="J4" s="13" t="s">
        <v>274</v>
      </c>
      <c r="K4" s="13"/>
    </row>
    <row r="5" ht="22" spans="1:13">
      <c r="A5" s="14">
        <f>COUNTA(A8:A27)</f>
        <v>20</v>
      </c>
      <c r="B5" s="14"/>
      <c r="D5" s="14">
        <f>COUNTIFS(I8:I27,"是")</f>
        <v>17</v>
      </c>
      <c r="E5" s="14"/>
      <c r="G5" s="14">
        <f>COUNTIFS(H8:H27,"已通过")</f>
        <v>0</v>
      </c>
      <c r="H5" s="14"/>
      <c r="J5" s="14">
        <f>COUNTIFS(H8:H27,"&lt;&gt;已通过")</f>
        <v>20</v>
      </c>
      <c r="K5" s="14"/>
    </row>
    <row r="7" spans="1:13">
      <c r="A7" s="15" t="s">
        <v>275</v>
      </c>
      <c r="B7" s="15" t="s">
        <v>276</v>
      </c>
      <c r="C7" s="15" t="s">
        <v>277</v>
      </c>
      <c r="D7" s="15" t="s">
        <v>278</v>
      </c>
      <c r="E7" s="15" t="s">
        <v>279</v>
      </c>
      <c r="F7" s="15" t="s">
        <v>280</v>
      </c>
      <c r="G7" s="15" t="s">
        <v>281</v>
      </c>
      <c r="H7" s="15" t="s">
        <v>282</v>
      </c>
      <c r="I7" s="15" t="s">
        <v>283</v>
      </c>
      <c r="J7" s="15" t="s">
        <v>213</v>
      </c>
      <c r="K7" s="15" t="s">
        <v>284</v>
      </c>
      <c r="L7" s="15" t="s">
        <v>285</v>
      </c>
      <c r="M7" s="15" t="s">
        <v>39</v>
      </c>
    </row>
    <row r="8" ht="34" customHeight="1" spans="1:13">
      <c r="A8" s="16" t="s">
        <v>286</v>
      </c>
      <c r="B8" s="16" t="s">
        <v>287</v>
      </c>
      <c r="C8" s="16" t="s">
        <v>288</v>
      </c>
      <c r="D8" s="17" t="s">
        <v>289</v>
      </c>
      <c r="E8" s="16" t="s">
        <v>103</v>
      </c>
      <c r="F8" s="16" t="s">
        <v>98</v>
      </c>
      <c r="G8" s="18">
        <v>46300</v>
      </c>
      <c r="H8" s="16" t="s">
        <v>290</v>
      </c>
      <c r="I8" s="16" t="s">
        <v>291</v>
      </c>
      <c r="J8" s="16" t="s">
        <v>57</v>
      </c>
      <c r="K8" s="17" t="s">
        <v>57</v>
      </c>
      <c r="L8" s="17" t="s">
        <v>57</v>
      </c>
      <c r="M8" s="17" t="s">
        <v>57</v>
      </c>
    </row>
    <row r="9" ht="34" customHeight="1" spans="1:13">
      <c r="A9" s="16" t="s">
        <v>292</v>
      </c>
      <c r="B9" s="16" t="s">
        <v>293</v>
      </c>
      <c r="C9" s="16" t="s">
        <v>294</v>
      </c>
      <c r="D9" s="17" t="s">
        <v>295</v>
      </c>
      <c r="E9" s="16" t="s">
        <v>103</v>
      </c>
      <c r="F9" s="16" t="s">
        <v>296</v>
      </c>
      <c r="G9" s="18">
        <v>46301</v>
      </c>
      <c r="H9" s="16" t="s">
        <v>290</v>
      </c>
      <c r="I9" s="16" t="s">
        <v>291</v>
      </c>
      <c r="J9" s="16" t="s">
        <v>57</v>
      </c>
      <c r="K9" s="17" t="s">
        <v>57</v>
      </c>
      <c r="L9" s="17" t="s">
        <v>57</v>
      </c>
      <c r="M9" s="17" t="s">
        <v>57</v>
      </c>
    </row>
    <row r="10" ht="34" customHeight="1" spans="1:13">
      <c r="A10" s="16" t="s">
        <v>297</v>
      </c>
      <c r="B10" s="16" t="s">
        <v>298</v>
      </c>
      <c r="C10" s="16" t="s">
        <v>299</v>
      </c>
      <c r="D10" s="17" t="s">
        <v>300</v>
      </c>
      <c r="E10" s="16" t="s">
        <v>98</v>
      </c>
      <c r="F10" s="16" t="s">
        <v>301</v>
      </c>
      <c r="G10" s="18">
        <v>46302</v>
      </c>
      <c r="H10" s="16" t="s">
        <v>290</v>
      </c>
      <c r="I10" s="16" t="s">
        <v>291</v>
      </c>
      <c r="J10" s="16" t="s">
        <v>57</v>
      </c>
      <c r="K10" s="17" t="s">
        <v>57</v>
      </c>
      <c r="L10" s="17" t="s">
        <v>57</v>
      </c>
      <c r="M10" s="17" t="s">
        <v>57</v>
      </c>
    </row>
    <row r="11" ht="34" customHeight="1" spans="1:13">
      <c r="A11" s="16" t="s">
        <v>302</v>
      </c>
      <c r="B11" s="16" t="s">
        <v>303</v>
      </c>
      <c r="C11" s="16" t="s">
        <v>304</v>
      </c>
      <c r="D11" s="17" t="s">
        <v>305</v>
      </c>
      <c r="E11" s="16" t="s">
        <v>98</v>
      </c>
      <c r="F11" s="16" t="s">
        <v>306</v>
      </c>
      <c r="G11" s="18">
        <v>46303</v>
      </c>
      <c r="H11" s="16" t="s">
        <v>290</v>
      </c>
      <c r="I11" s="16" t="s">
        <v>291</v>
      </c>
      <c r="J11" s="16" t="s">
        <v>57</v>
      </c>
      <c r="K11" s="17" t="s">
        <v>57</v>
      </c>
      <c r="L11" s="17" t="s">
        <v>57</v>
      </c>
      <c r="M11" s="17" t="s">
        <v>57</v>
      </c>
    </row>
    <row r="12" ht="34" customHeight="1" spans="1:13">
      <c r="A12" s="16" t="s">
        <v>307</v>
      </c>
      <c r="B12" s="16" t="s">
        <v>308</v>
      </c>
      <c r="C12" s="16" t="s">
        <v>309</v>
      </c>
      <c r="D12" s="17" t="s">
        <v>310</v>
      </c>
      <c r="E12" s="16" t="s">
        <v>103</v>
      </c>
      <c r="F12" s="16" t="s">
        <v>311</v>
      </c>
      <c r="G12" s="18">
        <v>46303</v>
      </c>
      <c r="H12" s="16" t="s">
        <v>290</v>
      </c>
      <c r="I12" s="16" t="s">
        <v>291</v>
      </c>
      <c r="J12" s="16" t="s">
        <v>57</v>
      </c>
      <c r="K12" s="17" t="s">
        <v>57</v>
      </c>
      <c r="L12" s="17" t="s">
        <v>57</v>
      </c>
      <c r="M12" s="17" t="s">
        <v>57</v>
      </c>
    </row>
    <row r="13" ht="34" customHeight="1" spans="1:13">
      <c r="A13" s="16" t="s">
        <v>312</v>
      </c>
      <c r="B13" s="16" t="s">
        <v>313</v>
      </c>
      <c r="C13" s="16" t="s">
        <v>314</v>
      </c>
      <c r="D13" s="17" t="s">
        <v>315</v>
      </c>
      <c r="E13" s="16" t="s">
        <v>103</v>
      </c>
      <c r="F13" s="16" t="s">
        <v>306</v>
      </c>
      <c r="G13" s="18">
        <v>46304</v>
      </c>
      <c r="H13" s="16" t="s">
        <v>290</v>
      </c>
      <c r="I13" s="16" t="s">
        <v>291</v>
      </c>
      <c r="J13" s="16" t="s">
        <v>57</v>
      </c>
      <c r="K13" s="17" t="s">
        <v>57</v>
      </c>
      <c r="L13" s="17" t="s">
        <v>57</v>
      </c>
      <c r="M13" s="17" t="s">
        <v>57</v>
      </c>
    </row>
    <row r="14" ht="34" customHeight="1" spans="1:13">
      <c r="A14" s="16" t="s">
        <v>316</v>
      </c>
      <c r="B14" s="16" t="s">
        <v>317</v>
      </c>
      <c r="C14" s="16" t="s">
        <v>318</v>
      </c>
      <c r="D14" s="17" t="s">
        <v>319</v>
      </c>
      <c r="E14" s="16" t="s">
        <v>98</v>
      </c>
      <c r="F14" s="16" t="s">
        <v>301</v>
      </c>
      <c r="G14" s="18">
        <v>46304</v>
      </c>
      <c r="H14" s="16" t="s">
        <v>290</v>
      </c>
      <c r="I14" s="16" t="s">
        <v>56</v>
      </c>
      <c r="J14" s="16" t="s">
        <v>57</v>
      </c>
      <c r="K14" s="17" t="s">
        <v>57</v>
      </c>
      <c r="L14" s="17" t="s">
        <v>57</v>
      </c>
      <c r="M14" s="17" t="s">
        <v>57</v>
      </c>
    </row>
    <row r="15" ht="34" customHeight="1" spans="1:13">
      <c r="A15" s="16" t="s">
        <v>320</v>
      </c>
      <c r="B15" s="16" t="s">
        <v>321</v>
      </c>
      <c r="C15" s="16" t="s">
        <v>322</v>
      </c>
      <c r="D15" s="17" t="s">
        <v>323</v>
      </c>
      <c r="E15" s="16" t="s">
        <v>103</v>
      </c>
      <c r="F15" s="16" t="s">
        <v>324</v>
      </c>
      <c r="G15" s="18">
        <v>46305</v>
      </c>
      <c r="H15" s="16" t="s">
        <v>290</v>
      </c>
      <c r="I15" s="16" t="s">
        <v>291</v>
      </c>
      <c r="J15" s="16" t="s">
        <v>57</v>
      </c>
      <c r="K15" s="17" t="s">
        <v>57</v>
      </c>
      <c r="L15" s="17" t="s">
        <v>57</v>
      </c>
      <c r="M15" s="17" t="s">
        <v>57</v>
      </c>
    </row>
    <row r="16" ht="34" customHeight="1" spans="1:13">
      <c r="A16" s="16" t="s">
        <v>325</v>
      </c>
      <c r="B16" s="16" t="s">
        <v>326</v>
      </c>
      <c r="C16" s="16" t="s">
        <v>327</v>
      </c>
      <c r="D16" s="17" t="s">
        <v>328</v>
      </c>
      <c r="E16" s="16" t="s">
        <v>107</v>
      </c>
      <c r="F16" s="16" t="s">
        <v>329</v>
      </c>
      <c r="G16" s="18">
        <v>46305</v>
      </c>
      <c r="H16" s="16" t="s">
        <v>290</v>
      </c>
      <c r="I16" s="16" t="s">
        <v>291</v>
      </c>
      <c r="J16" s="16" t="s">
        <v>57</v>
      </c>
      <c r="K16" s="17" t="s">
        <v>57</v>
      </c>
      <c r="L16" s="17" t="s">
        <v>57</v>
      </c>
      <c r="M16" s="17" t="s">
        <v>57</v>
      </c>
    </row>
    <row r="17" ht="34" customHeight="1" spans="1:13">
      <c r="A17" s="16" t="s">
        <v>330</v>
      </c>
      <c r="B17" s="16" t="s">
        <v>331</v>
      </c>
      <c r="C17" s="16" t="s">
        <v>332</v>
      </c>
      <c r="D17" s="17" t="s">
        <v>333</v>
      </c>
      <c r="E17" s="16" t="s">
        <v>107</v>
      </c>
      <c r="F17" s="16" t="s">
        <v>334</v>
      </c>
      <c r="G17" s="18">
        <v>46290</v>
      </c>
      <c r="H17" s="16" t="s">
        <v>290</v>
      </c>
      <c r="I17" s="16" t="s">
        <v>291</v>
      </c>
      <c r="J17" s="16" t="s">
        <v>57</v>
      </c>
      <c r="K17" s="17" t="s">
        <v>57</v>
      </c>
      <c r="L17" s="17" t="s">
        <v>57</v>
      </c>
      <c r="M17" s="17" t="s">
        <v>57</v>
      </c>
    </row>
    <row r="18" ht="34" customHeight="1" spans="1:13">
      <c r="A18" s="16" t="s">
        <v>335</v>
      </c>
      <c r="B18" s="16" t="s">
        <v>336</v>
      </c>
      <c r="C18" s="16" t="s">
        <v>337</v>
      </c>
      <c r="D18" s="17" t="s">
        <v>338</v>
      </c>
      <c r="E18" s="16" t="s">
        <v>111</v>
      </c>
      <c r="F18" s="16" t="s">
        <v>339</v>
      </c>
      <c r="G18" s="18">
        <v>46306</v>
      </c>
      <c r="H18" s="16" t="s">
        <v>290</v>
      </c>
      <c r="I18" s="16" t="s">
        <v>291</v>
      </c>
      <c r="J18" s="16" t="s">
        <v>57</v>
      </c>
      <c r="K18" s="17" t="s">
        <v>57</v>
      </c>
      <c r="L18" s="17" t="s">
        <v>57</v>
      </c>
      <c r="M18" s="17" t="s">
        <v>57</v>
      </c>
    </row>
    <row r="19" ht="34" customHeight="1" spans="1:13">
      <c r="A19" s="16" t="s">
        <v>340</v>
      </c>
      <c r="B19" s="16" t="s">
        <v>341</v>
      </c>
      <c r="C19" s="16" t="s">
        <v>342</v>
      </c>
      <c r="D19" s="17" t="s">
        <v>343</v>
      </c>
      <c r="E19" s="16" t="s">
        <v>344</v>
      </c>
      <c r="F19" s="16" t="s">
        <v>345</v>
      </c>
      <c r="G19" s="18">
        <v>46306</v>
      </c>
      <c r="H19" s="16" t="s">
        <v>290</v>
      </c>
      <c r="I19" s="16" t="s">
        <v>291</v>
      </c>
      <c r="J19" s="16" t="s">
        <v>57</v>
      </c>
      <c r="K19" s="17" t="s">
        <v>57</v>
      </c>
      <c r="L19" s="17" t="s">
        <v>57</v>
      </c>
      <c r="M19" s="17" t="s">
        <v>57</v>
      </c>
    </row>
    <row r="20" ht="34" customHeight="1" spans="1:13">
      <c r="A20" s="16" t="s">
        <v>346</v>
      </c>
      <c r="B20" s="16" t="s">
        <v>347</v>
      </c>
      <c r="C20" s="16" t="s">
        <v>348</v>
      </c>
      <c r="D20" s="17" t="s">
        <v>349</v>
      </c>
      <c r="E20" s="16" t="s">
        <v>98</v>
      </c>
      <c r="F20" s="16" t="s">
        <v>350</v>
      </c>
      <c r="G20" s="18">
        <v>46307</v>
      </c>
      <c r="H20" s="16" t="s">
        <v>290</v>
      </c>
      <c r="I20" s="16" t="s">
        <v>291</v>
      </c>
      <c r="J20" s="16" t="s">
        <v>57</v>
      </c>
      <c r="K20" s="17" t="s">
        <v>57</v>
      </c>
      <c r="L20" s="17" t="s">
        <v>57</v>
      </c>
      <c r="M20" s="17" t="s">
        <v>57</v>
      </c>
    </row>
    <row r="21" ht="34" customHeight="1" spans="1:13">
      <c r="A21" s="16" t="s">
        <v>351</v>
      </c>
      <c r="B21" s="16" t="s">
        <v>352</v>
      </c>
      <c r="C21" s="16" t="s">
        <v>353</v>
      </c>
      <c r="D21" s="17" t="s">
        <v>354</v>
      </c>
      <c r="E21" s="16" t="s">
        <v>103</v>
      </c>
      <c r="F21" s="16" t="s">
        <v>355</v>
      </c>
      <c r="G21" s="18">
        <v>46307</v>
      </c>
      <c r="H21" s="16" t="s">
        <v>290</v>
      </c>
      <c r="I21" s="16" t="s">
        <v>56</v>
      </c>
      <c r="J21" s="16" t="s">
        <v>57</v>
      </c>
      <c r="K21" s="17" t="s">
        <v>57</v>
      </c>
      <c r="L21" s="17" t="s">
        <v>57</v>
      </c>
      <c r="M21" s="17" t="s">
        <v>57</v>
      </c>
    </row>
    <row r="22" ht="34" customHeight="1" spans="1:13">
      <c r="A22" s="16" t="s">
        <v>356</v>
      </c>
      <c r="B22" s="16" t="s">
        <v>357</v>
      </c>
      <c r="C22" s="16" t="s">
        <v>358</v>
      </c>
      <c r="D22" s="17" t="s">
        <v>359</v>
      </c>
      <c r="E22" s="16" t="s">
        <v>111</v>
      </c>
      <c r="F22" s="16" t="s">
        <v>360</v>
      </c>
      <c r="G22" s="18">
        <v>46308</v>
      </c>
      <c r="H22" s="16" t="s">
        <v>290</v>
      </c>
      <c r="I22" s="16" t="s">
        <v>291</v>
      </c>
      <c r="J22" s="16" t="s">
        <v>57</v>
      </c>
      <c r="K22" s="17" t="s">
        <v>57</v>
      </c>
      <c r="L22" s="17" t="s">
        <v>57</v>
      </c>
      <c r="M22" s="17" t="s">
        <v>57</v>
      </c>
    </row>
    <row r="23" ht="34" customHeight="1" spans="1:13">
      <c r="A23" s="16" t="s">
        <v>361</v>
      </c>
      <c r="B23" s="16" t="s">
        <v>362</v>
      </c>
      <c r="C23" s="16" t="s">
        <v>363</v>
      </c>
      <c r="D23" s="17" t="s">
        <v>364</v>
      </c>
      <c r="E23" s="16" t="s">
        <v>107</v>
      </c>
      <c r="F23" s="16" t="s">
        <v>365</v>
      </c>
      <c r="G23" s="18">
        <v>46308</v>
      </c>
      <c r="H23" s="16" t="s">
        <v>290</v>
      </c>
      <c r="I23" s="16" t="s">
        <v>291</v>
      </c>
      <c r="J23" s="16" t="s">
        <v>57</v>
      </c>
      <c r="K23" s="17" t="s">
        <v>57</v>
      </c>
      <c r="L23" s="17" t="s">
        <v>57</v>
      </c>
      <c r="M23" s="17" t="s">
        <v>57</v>
      </c>
    </row>
    <row r="24" ht="34" customHeight="1" spans="1:13">
      <c r="A24" s="16" t="s">
        <v>366</v>
      </c>
      <c r="B24" s="16" t="s">
        <v>367</v>
      </c>
      <c r="C24" s="16" t="s">
        <v>368</v>
      </c>
      <c r="D24" s="17" t="s">
        <v>369</v>
      </c>
      <c r="E24" s="16" t="s">
        <v>370</v>
      </c>
      <c r="F24" s="16" t="s">
        <v>371</v>
      </c>
      <c r="G24" s="18">
        <v>46309</v>
      </c>
      <c r="H24" s="16" t="s">
        <v>290</v>
      </c>
      <c r="I24" s="16" t="s">
        <v>291</v>
      </c>
      <c r="J24" s="16" t="s">
        <v>57</v>
      </c>
      <c r="K24" s="17" t="s">
        <v>57</v>
      </c>
      <c r="L24" s="17" t="s">
        <v>57</v>
      </c>
      <c r="M24" s="17" t="s">
        <v>57</v>
      </c>
    </row>
    <row r="25" ht="34" customHeight="1" spans="1:13">
      <c r="A25" s="16" t="s">
        <v>372</v>
      </c>
      <c r="B25" s="16" t="s">
        <v>373</v>
      </c>
      <c r="C25" s="16" t="s">
        <v>374</v>
      </c>
      <c r="D25" s="17" t="s">
        <v>375</v>
      </c>
      <c r="E25" s="16" t="s">
        <v>98</v>
      </c>
      <c r="F25" s="16" t="s">
        <v>350</v>
      </c>
      <c r="G25" s="18">
        <v>46309</v>
      </c>
      <c r="H25" s="16" t="s">
        <v>290</v>
      </c>
      <c r="I25" s="16" t="s">
        <v>56</v>
      </c>
      <c r="J25" s="16" t="s">
        <v>57</v>
      </c>
      <c r="K25" s="17" t="s">
        <v>57</v>
      </c>
      <c r="L25" s="17" t="s">
        <v>57</v>
      </c>
      <c r="M25" s="17" t="s">
        <v>57</v>
      </c>
    </row>
    <row r="26" ht="34" customHeight="1" spans="1:13">
      <c r="A26" s="16" t="s">
        <v>376</v>
      </c>
      <c r="B26" s="16" t="s">
        <v>377</v>
      </c>
      <c r="C26" s="16" t="s">
        <v>378</v>
      </c>
      <c r="D26" s="17" t="s">
        <v>379</v>
      </c>
      <c r="E26" s="16" t="s">
        <v>103</v>
      </c>
      <c r="F26" s="16" t="s">
        <v>380</v>
      </c>
      <c r="G26" s="18">
        <v>46310</v>
      </c>
      <c r="H26" s="16" t="s">
        <v>290</v>
      </c>
      <c r="I26" s="16" t="s">
        <v>291</v>
      </c>
      <c r="J26" s="16" t="s">
        <v>57</v>
      </c>
      <c r="K26" s="17" t="s">
        <v>57</v>
      </c>
      <c r="L26" s="17" t="s">
        <v>57</v>
      </c>
      <c r="M26" s="17" t="s">
        <v>57</v>
      </c>
    </row>
    <row r="27" ht="34" customHeight="1" spans="1:13">
      <c r="A27" s="16" t="s">
        <v>381</v>
      </c>
      <c r="B27" s="16" t="s">
        <v>382</v>
      </c>
      <c r="C27" s="16" t="s">
        <v>383</v>
      </c>
      <c r="D27" s="17" t="s">
        <v>384</v>
      </c>
      <c r="E27" s="16" t="s">
        <v>103</v>
      </c>
      <c r="F27" s="16" t="s">
        <v>385</v>
      </c>
      <c r="G27" s="18">
        <v>46311</v>
      </c>
      <c r="H27" s="16" t="s">
        <v>290</v>
      </c>
      <c r="I27" s="16" t="s">
        <v>291</v>
      </c>
      <c r="J27" s="16" t="s">
        <v>57</v>
      </c>
      <c r="K27" s="17" t="s">
        <v>57</v>
      </c>
      <c r="L27" s="17" t="s">
        <v>57</v>
      </c>
      <c r="M27" s="17" t="s">
        <v>57</v>
      </c>
    </row>
  </sheetData>
  <mergeCells count="10">
    <mergeCell ref="A1:M1"/>
    <mergeCell ref="A2:M2"/>
    <mergeCell ref="A4:B4"/>
    <mergeCell ref="D4:E4"/>
    <mergeCell ref="G4:H4"/>
    <mergeCell ref="J4:K4"/>
    <mergeCell ref="A5:B5"/>
    <mergeCell ref="D5:E5"/>
    <mergeCell ref="G5:H5"/>
    <mergeCell ref="J5:K5"/>
  </mergeCells>
  <dataValidations count="3">
    <dataValidation type="list" sqref="H8:H27">
      <formula1>"待确认,未开始,进行中,已通过,有条件通过,不通过,暂停"</formula1>
    </dataValidation>
    <dataValidation type="list" sqref="I8:I27">
      <formula1>"是,否"</formula1>
    </dataValidation>
    <dataValidation type="list" sqref="J8:J27">
      <formula1>"通过,有条件通过,不通过,待评审"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2"/>
  <sheetViews>
    <sheetView showGridLines="0" workbookViewId="0">
      <pane ySplit="2" topLeftCell="A19" activePane="bottomLeft" state="frozen"/>
      <selection/>
      <selection pane="bottomLeft" activeCell="E6" sqref="E6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386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387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388</v>
      </c>
      <c r="B4" s="5" t="s">
        <v>389</v>
      </c>
      <c r="C4" s="6"/>
      <c r="D4" s="3"/>
      <c r="E4" s="3"/>
      <c r="F4" s="3"/>
      <c r="G4" s="3"/>
      <c r="H4" s="3"/>
    </row>
    <row r="5" ht="22" customHeight="1" spans="1:8">
      <c r="A5" s="4" t="s">
        <v>390</v>
      </c>
      <c r="B5" s="5" t="s">
        <v>391</v>
      </c>
      <c r="C5" s="6"/>
      <c r="D5" s="3"/>
      <c r="E5" s="3"/>
      <c r="F5" s="3"/>
      <c r="G5" s="3"/>
      <c r="H5" s="3"/>
    </row>
    <row r="6" ht="22" customHeight="1" spans="1:8">
      <c r="A6" s="4" t="s">
        <v>392</v>
      </c>
      <c r="B6" s="5" t="s">
        <v>393</v>
      </c>
      <c r="C6" s="6"/>
      <c r="D6" s="3"/>
      <c r="E6" s="3"/>
      <c r="F6" s="3"/>
      <c r="G6" s="3"/>
      <c r="H6" s="3"/>
    </row>
    <row r="7" ht="22" customHeight="1" spans="1:8">
      <c r="A7" s="4" t="s">
        <v>394</v>
      </c>
      <c r="B7" s="5" t="s">
        <v>395</v>
      </c>
      <c r="C7" s="6"/>
      <c r="D7" s="3"/>
      <c r="E7" s="3"/>
      <c r="F7" s="3"/>
      <c r="G7" s="3"/>
      <c r="H7" s="3"/>
    </row>
    <row r="8" ht="22" customHeight="1" spans="1:8">
      <c r="A8" s="4" t="s">
        <v>396</v>
      </c>
      <c r="B8" s="5" t="s">
        <v>397</v>
      </c>
      <c r="C8" s="6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7" t="s">
        <v>398</v>
      </c>
      <c r="B10" s="8"/>
      <c r="C10" s="8"/>
      <c r="D10" s="8"/>
      <c r="E10" s="8"/>
      <c r="F10" s="8"/>
      <c r="G10" s="8"/>
      <c r="H10" s="9"/>
    </row>
    <row r="11" ht="22" customHeight="1" spans="1:8">
      <c r="A11" s="3">
        <v>1</v>
      </c>
      <c r="B11" s="3" t="s">
        <v>399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400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401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402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403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7" t="s">
        <v>404</v>
      </c>
      <c r="B18" s="8"/>
      <c r="C18" s="8"/>
      <c r="D18" s="8"/>
      <c r="E18" s="8"/>
      <c r="F18" s="8"/>
      <c r="G18" s="8"/>
      <c r="H18" s="9"/>
    </row>
    <row r="19" ht="22" customHeight="1" spans="1:8">
      <c r="A19" s="10" t="s">
        <v>405</v>
      </c>
      <c r="B19" s="10" t="s">
        <v>406</v>
      </c>
      <c r="C19" s="10" t="s">
        <v>407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408</v>
      </c>
      <c r="C20" s="4" t="s">
        <v>409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410</v>
      </c>
      <c r="C21" s="4" t="s">
        <v>411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412</v>
      </c>
      <c r="C22" s="4" t="s">
        <v>413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414</v>
      </c>
      <c r="C23" s="4" t="s">
        <v>415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416</v>
      </c>
      <c r="C24" s="4" t="s">
        <v>417</v>
      </c>
      <c r="D24" s="3"/>
      <c r="E24" s="3"/>
      <c r="F24" s="3"/>
      <c r="G24" s="3"/>
      <c r="H24" s="3"/>
    </row>
    <row r="25" ht="22" customHeight="1" spans="1:8">
      <c r="A25" s="3"/>
      <c r="B25" s="3"/>
      <c r="C25" s="3"/>
      <c r="D25" s="3"/>
      <c r="E25" s="3"/>
      <c r="F25" s="3"/>
      <c r="G25" s="3"/>
      <c r="H25" s="3"/>
    </row>
    <row r="26" ht="22" customHeight="1" spans="1:8">
      <c r="A26" s="7" t="s">
        <v>418</v>
      </c>
      <c r="B26" s="8"/>
      <c r="C26" s="8"/>
      <c r="D26" s="8"/>
      <c r="E26" s="8"/>
      <c r="F26" s="8"/>
      <c r="G26" s="8"/>
      <c r="H26" s="9"/>
    </row>
    <row r="27" ht="22" customHeight="1" spans="1:8">
      <c r="A27" s="3">
        <v>1</v>
      </c>
      <c r="B27" s="3" t="s">
        <v>419</v>
      </c>
      <c r="C27" s="3"/>
      <c r="D27" s="3"/>
      <c r="E27" s="3"/>
      <c r="F27" s="3"/>
      <c r="G27" s="3"/>
      <c r="H27" s="3"/>
    </row>
    <row r="28" ht="22" customHeight="1" spans="1:8">
      <c r="A28" s="3">
        <v>2</v>
      </c>
      <c r="B28" s="3" t="s">
        <v>420</v>
      </c>
      <c r="C28" s="3"/>
      <c r="D28" s="3"/>
      <c r="E28" s="3"/>
      <c r="F28" s="3"/>
      <c r="G28" s="3"/>
      <c r="H28" s="3"/>
    </row>
    <row r="29" ht="22" customHeight="1" spans="1:8">
      <c r="A29" s="3">
        <v>3</v>
      </c>
      <c r="B29" s="3" t="s">
        <v>421</v>
      </c>
      <c r="C29" s="3"/>
      <c r="D29" s="3"/>
      <c r="E29" s="3"/>
      <c r="F29" s="3"/>
      <c r="G29" s="3"/>
      <c r="H29" s="3"/>
    </row>
    <row r="30" ht="22" customHeight="1" spans="1:8">
      <c r="A30" s="3">
        <v>4</v>
      </c>
      <c r="B30" s="3" t="s">
        <v>422</v>
      </c>
      <c r="C30" s="3"/>
      <c r="D30" s="3"/>
      <c r="E30" s="3"/>
      <c r="F30" s="3"/>
      <c r="G30" s="3"/>
      <c r="H30" s="3"/>
    </row>
    <row r="31" ht="22" customHeight="1" spans="1:8">
      <c r="A31" s="3">
        <v>5</v>
      </c>
      <c r="B31" s="3" t="s">
        <v>423</v>
      </c>
      <c r="C31" s="3"/>
      <c r="D31" s="3"/>
      <c r="E31" s="3"/>
      <c r="F31" s="3"/>
      <c r="G31" s="3"/>
      <c r="H31" s="3"/>
    </row>
    <row r="32" ht="22" customHeight="1" spans="1:8">
      <c r="A32" s="3">
        <v>6</v>
      </c>
      <c r="B32" s="3" t="s">
        <v>424</v>
      </c>
      <c r="C32" s="3"/>
      <c r="D32" s="3"/>
      <c r="E32" s="3"/>
      <c r="F32" s="3"/>
      <c r="G32" s="3"/>
      <c r="H32" s="3"/>
    </row>
  </sheetData>
  <mergeCells count="21">
    <mergeCell ref="A1:H1"/>
    <mergeCell ref="A2:H2"/>
    <mergeCell ref="B4:C4"/>
    <mergeCell ref="B5:C5"/>
    <mergeCell ref="B6:C6"/>
    <mergeCell ref="B7:C7"/>
    <mergeCell ref="B8:C8"/>
    <mergeCell ref="A10:H10"/>
    <mergeCell ref="B11:H11"/>
    <mergeCell ref="B12:H12"/>
    <mergeCell ref="B13:H13"/>
    <mergeCell ref="B14:H14"/>
    <mergeCell ref="B15:H15"/>
    <mergeCell ref="A18:H18"/>
    <mergeCell ref="A26:H26"/>
    <mergeCell ref="B27:H27"/>
    <mergeCell ref="B28:H28"/>
    <mergeCell ref="B29:H29"/>
    <mergeCell ref="B30:H30"/>
    <mergeCell ref="B31:H31"/>
    <mergeCell ref="B32:H3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2" sqref="C12"/>
    </sheetView>
  </sheetViews>
  <sheetFormatPr defaultColWidth="9" defaultRowHeight="16.8" outlineLevelRow="5" outlineLevelCol="1"/>
  <sheetData>
    <row r="1" spans="1:2">
      <c r="A1" t="s">
        <v>425</v>
      </c>
      <c r="B1" t="s">
        <v>426</v>
      </c>
    </row>
    <row r="2" spans="1:2">
      <c r="A2" t="s">
        <v>427</v>
      </c>
      <c r="B2" t="s">
        <v>428</v>
      </c>
    </row>
    <row r="3" spans="1:2">
      <c r="A3" t="s">
        <v>429</v>
      </c>
      <c r="B3" t="s">
        <v>389</v>
      </c>
    </row>
    <row r="4" spans="1:2">
      <c r="A4" t="s">
        <v>430</v>
      </c>
      <c r="B4" t="s">
        <v>431</v>
      </c>
    </row>
    <row r="5" spans="1:2">
      <c r="A5" t="s">
        <v>432</v>
      </c>
      <c r="B5" t="s">
        <v>433</v>
      </c>
    </row>
    <row r="6" spans="1:2">
      <c r="A6" t="s">
        <v>434</v>
      </c>
      <c r="B6" t="s">
        <v>435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相关方管理</vt:lpstr>
      <vt:lpstr>供应商POC计划</vt:lpstr>
      <vt:lpstr>POC评分表</vt:lpstr>
      <vt:lpstr>启动门禁清单</vt:lpstr>
      <vt:lpstr>使用说明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2026-09-17T23:26:00Z</dcterms:created>
  <dcterms:modified xsi:type="dcterms:W3CDTF">2026-09-20T09:03:33Z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A7263104FD9F38B65296AB6A21DF9297_42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
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报价对比" sheetId="2" state="visible" r:id="rId2"/>
    <sheet xmlns:r="http://schemas.openxmlformats.org/officeDocument/2006/relationships" name="包汇总" sheetId="3" state="visible" r:id="rId3"/>
  </sheets>
  <definedNames>
    <definedName name="_xlnm._FilterDatabase" localSheetId="1" hidden="1">'报价对比'!$A$4:$M$22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94" customWidth="1" min="2" max="2"/>
  </cols>
  <sheetData>
    <row r="1">
      <c r="A1" s="10" t="inlineStr">
        <is>
          <t>项目</t>
        </is>
      </c>
      <c r="B1" s="11" t="inlineStr">
        <is>
          <t>能源行业合同全生命周期管理系统</t>
        </is>
      </c>
    </row>
    <row r="2">
      <c r="A2" s="10" t="inlineStr">
        <is>
          <t>用途</t>
        </is>
      </c>
      <c r="B2" s="11" t="inlineStr">
        <is>
          <t>D-001 产品选型厂商报价对比，支撑 BUD-002—004 预算量化（最迟 2026-09-25）与 10-15 签约</t>
        </is>
      </c>
    </row>
    <row r="3">
      <c r="A3" s="10" t="inlineStr">
        <is>
          <t>填写人</t>
        </is>
      </c>
      <c r="B3" s="11" t="inlineStr">
        <is>
          <t>采购牵头，技术经理复核接口/实施费用口径</t>
        </is>
      </c>
    </row>
    <row r="4">
      <c r="A4" s="10" t="inlineStr">
        <is>
          <t>更新频率</t>
        </is>
      </c>
      <c r="B4" s="11" t="inlineStr">
        <is>
          <t>每收到一家报价即时登记；上会前锁定</t>
        </is>
      </c>
    </row>
    <row r="5">
      <c r="A5" s="10" t="inlineStr">
        <is>
          <t>版本日期</t>
        </is>
      </c>
      <c r="B5" s="11" t="inlineStr">
        <is>
          <t>2026-09-24</t>
        </is>
      </c>
    </row>
    <row r="6">
      <c r="A6" s="10" t="inlineStr">
        <is>
          <t>颜色约定</t>
        </is>
      </c>
      <c r="B6" s="11" t="inlineStr">
        <is>
          <t>浅蓝表头；黄色为人工输入区；红色=报价未取得</t>
        </is>
      </c>
    </row>
    <row r="7">
      <c r="A7" s="10" t="inlineStr">
        <is>
          <t>联动规则</t>
        </is>
      </c>
      <c r="B7" s="11" t="inlineStr">
        <is>
          <t>一次性合计=许可费+接口费+实施费；三年TCO=一次性合计+维保费×3；订阅模式把年度订阅费填入维保费列并备注；包汇总按"已取得"统计最低/平均 TCO</t>
        </is>
      </c>
    </row>
    <row r="8">
      <c r="A8" s="10" t="inlineStr">
        <is>
          <t>口径提醒</t>
        </is>
      </c>
      <c r="B8" s="11" t="inlineStr">
        <is>
          <t>报价须含许可模式、接口费用、实施与维保全口径；对应评分表候选编号（P-01—P-17）保持可追溯</t>
        </is>
      </c>
    </row>
    <row r="9">
      <c r="A9" s="10" t="inlineStr">
        <is>
          <t>边界说明</t>
        </is>
      </c>
      <c r="B9" s="11" t="inlineStr">
        <is>
          <t>本表为决策证据材料：报价真实性由采购与厂商书面报价单核验；预算基线批准属 D-003 权限，本表不替代审批</t>
        </is>
      </c>
    </row>
    <row r="10">
      <c r="A10" s="10" t="inlineStr">
        <is>
          <t>对照文件</t>
        </is>
      </c>
      <c r="B10" s="11" t="inlineStr">
        <is>
          <t>D001-产品选型决策简报-20260924.md；POC评分表-20260924-V1.xlsx；G15-会前签认跟踪-20260924-V1.xlsx（SIG-01）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1" customWidth="1" min="9" max="9"/>
    <col width="11" customWidth="1" min="10" max="10"/>
    <col width="13" customWidth="1" min="11" max="11"/>
    <col width="10" customWidth="1" min="12" max="12"/>
    <col width="26" customWidth="1" min="13" max="13"/>
  </cols>
  <sheetData>
    <row r="1">
      <c r="A1" s="1" t="inlineStr">
        <is>
          <t>厂商报价对比表（D-001 上会材料，支撑 BUD-002—004 预算量化）</t>
        </is>
      </c>
    </row>
    <row r="2">
      <c r="A2" s="2" t="inlineStr">
        <is>
          <t>编制日期 2026-09-24｜预算量化最迟 2026-09-25｜签约目标 10-15｜一次性合计与三年 TCO 自动计算；订阅模式请把年度订阅费填入"维保费(万元/年)"并在备注注明</t>
        </is>
      </c>
    </row>
    <row r="4">
      <c r="A4" s="3" t="inlineStr">
        <is>
          <t>采购包</t>
        </is>
      </c>
      <c r="B4" s="3" t="inlineStr">
        <is>
          <t>候选编号
(对应评分表)</t>
        </is>
      </c>
      <c r="C4" s="3" t="inlineStr">
        <is>
          <t>厂商及产品名称</t>
        </is>
      </c>
      <c r="D4" s="3" t="inlineStr">
        <is>
          <t>许可模式</t>
        </is>
      </c>
      <c r="E4" s="3" t="inlineStr">
        <is>
          <t>许可费
(万元)</t>
        </is>
      </c>
      <c r="F4" s="3" t="inlineStr">
        <is>
          <t>接口/集成费
(万元)</t>
        </is>
      </c>
      <c r="G4" s="3" t="inlineStr">
        <is>
          <t>实施费
(万元)</t>
        </is>
      </c>
      <c r="H4" s="3" t="inlineStr">
        <is>
          <t>维保费
(万元/年)</t>
        </is>
      </c>
      <c r="I4" s="3" t="inlineStr">
        <is>
          <t>一次性合计
(万元)</t>
        </is>
      </c>
      <c r="J4" s="3" t="inlineStr">
        <is>
          <t>三年TCO
(万元)</t>
        </is>
      </c>
      <c r="K4" s="3" t="inlineStr">
        <is>
          <t>对应预算基线</t>
        </is>
      </c>
      <c r="L4" s="3" t="inlineStr">
        <is>
          <t>报价状态</t>
        </is>
      </c>
      <c r="M4" s="3" t="inlineStr">
        <is>
          <t>备注</t>
        </is>
      </c>
    </row>
    <row r="5">
      <c r="A5" s="4" t="inlineStr">
        <is>
          <t>PKG-001 CA及电子签章</t>
        </is>
      </c>
      <c r="B5" s="4" t="inlineStr">
        <is>
          <t>P-01</t>
        </is>
      </c>
      <c r="C5" s="4" t="inlineStr">
        <is>
          <t>华安信创·信诺CA及电子签章平台</t>
        </is>
      </c>
      <c r="D5" s="4" t="inlineStr">
        <is>
          <t>永久许可</t>
        </is>
      </c>
      <c r="E5" s="5" t="n">
        <v>98</v>
      </c>
      <c r="F5" s="5" t="n">
        <v>32</v>
      </c>
      <c r="G5" s="5" t="n">
        <v>45</v>
      </c>
      <c r="H5" s="5" t="n">
        <v>18</v>
      </c>
      <c r="I5" s="6">
        <f>IF(COUNT(E5:G5)=0,"",ROUND(SUM(E5:G5),2))</f>
        <v>175</v>
      </c>
      <c r="J5" s="6">
        <f>IF(I5="","",IF(H5="","",ROUND(I5+H5*3,2)))</f>
        <v>229</v>
      </c>
      <c r="K5" s="4" t="inlineStr">
        <is>
          <t>BUD-002</t>
        </is>
      </c>
      <c r="L5" s="4" t="inlineStr">
        <is>
          <t>已取得</t>
        </is>
      </c>
      <c r="M5" s="7" t="n"/>
    </row>
    <row r="6">
      <c r="A6" s="4" t="inlineStr">
        <is>
          <t>PKG-001 CA及电子签章</t>
        </is>
      </c>
      <c r="B6" s="4" t="inlineStr">
        <is>
          <t>P-02</t>
        </is>
      </c>
      <c r="C6" s="4" t="inlineStr">
        <is>
          <t>云章科技·云签宝企业版</t>
        </is>
      </c>
      <c r="D6" s="4" t="inlineStr">
        <is>
          <t>订阅(年付)</t>
        </is>
      </c>
      <c r="E6" s="5" t="n"/>
      <c r="F6" s="5" t="n">
        <v>28</v>
      </c>
      <c r="G6" s="5" t="n">
        <v>40</v>
      </c>
      <c r="H6" s="5" t="n">
        <v>52</v>
      </c>
      <c r="I6" s="6">
        <f>IF(COUNT(E6:G6)=0,"",ROUND(SUM(E6:G6),2))</f>
        <v>68</v>
      </c>
      <c r="J6" s="6">
        <f>IF(I6="","",IF(H6="","",ROUND(I6+H6*3,2)))</f>
        <v>224</v>
      </c>
      <c r="K6" s="4" t="inlineStr">
        <is>
          <t>BUD-002</t>
        </is>
      </c>
      <c r="L6" s="4" t="inlineStr">
        <is>
          <t>已取得</t>
        </is>
      </c>
      <c r="M6" s="7" t="inlineStr">
        <is>
          <t>年度订阅费52万/年计入TCO</t>
        </is>
      </c>
    </row>
    <row r="7">
      <c r="A7" s="4" t="inlineStr">
        <is>
          <t>PKG-001 CA及电子签章</t>
        </is>
      </c>
      <c r="B7" s="4" t="inlineStr">
        <is>
          <t>P-03</t>
        </is>
      </c>
      <c r="C7" s="4" t="inlineStr">
        <is>
          <t>安御数科·御章签管一体化系统</t>
        </is>
      </c>
      <c r="D7" s="4" t="inlineStr">
        <is>
          <t>永久许可</t>
        </is>
      </c>
      <c r="E7" s="5" t="n">
        <v>120</v>
      </c>
      <c r="F7" s="5" t="n">
        <v>38</v>
      </c>
      <c r="G7" s="5" t="n">
        <v>55</v>
      </c>
      <c r="H7" s="5" t="n">
        <v>22</v>
      </c>
      <c r="I7" s="6">
        <f>IF(COUNT(E7:G7)=0,"",ROUND(SUM(E7:G7),2))</f>
        <v>213</v>
      </c>
      <c r="J7" s="6">
        <f>IF(I7="","",IF(H7="","",ROUND(I7+H7*3,2)))</f>
        <v>279</v>
      </c>
      <c r="K7" s="4" t="inlineStr">
        <is>
          <t>BUD-002</t>
        </is>
      </c>
      <c r="L7" s="4" t="inlineStr">
        <is>
          <t>已取得</t>
        </is>
      </c>
      <c r="M7" s="7" t="n"/>
    </row>
    <row r="8">
      <c r="A8" s="4" t="inlineStr">
        <is>
          <t>PKG-001 CA及电子签章</t>
        </is>
      </c>
      <c r="B8" s="4" t="inlineStr">
        <is>
          <t>P-04</t>
        </is>
      </c>
      <c r="C8" s="4" t="inlineStr">
        <is>
          <t>契约云·契信签章云平台</t>
        </is>
      </c>
      <c r="D8" s="4" t="inlineStr">
        <is>
          <t>订阅(年付)</t>
        </is>
      </c>
      <c r="E8" s="5" t="n"/>
      <c r="F8" s="5" t="n">
        <v>22</v>
      </c>
      <c r="G8" s="5" t="n">
        <v>35</v>
      </c>
      <c r="H8" s="5" t="n">
        <v>46</v>
      </c>
      <c r="I8" s="6">
        <f>IF(COUNT(E8:G8)=0,"",ROUND(SUM(E8:G8),2))</f>
        <v>57</v>
      </c>
      <c r="J8" s="6">
        <f>IF(I8="","",IF(H8="","",ROUND(I8+H8*3,2)))</f>
        <v>195</v>
      </c>
      <c r="K8" s="4" t="inlineStr">
        <is>
          <t>BUD-002</t>
        </is>
      </c>
      <c r="L8" s="4" t="inlineStr">
        <is>
          <t>已取得</t>
        </is>
      </c>
      <c r="M8" s="7" t="inlineStr">
        <is>
          <t>年度订阅费46万/年计入TCO</t>
        </is>
      </c>
    </row>
    <row r="9">
      <c r="A9" s="4" t="inlineStr">
        <is>
          <t>PKG-001 CA及电子签章</t>
        </is>
      </c>
      <c r="B9" s="4" t="inlineStr">
        <is>
          <t>P-05</t>
        </is>
      </c>
      <c r="C9" s="4" t="inlineStr">
        <is>
          <t>中科签·安心签企业套件</t>
        </is>
      </c>
      <c r="D9" s="4" t="inlineStr">
        <is>
          <t>永久许可</t>
        </is>
      </c>
      <c r="E9" s="5" t="n">
        <v>85</v>
      </c>
      <c r="F9" s="5" t="n">
        <v>25</v>
      </c>
      <c r="G9" s="5" t="n">
        <v>38</v>
      </c>
      <c r="H9" s="5" t="n">
        <v>15</v>
      </c>
      <c r="I9" s="6">
        <f>IF(COUNT(E9:G9)=0,"",ROUND(SUM(E9:G9),2))</f>
        <v>148</v>
      </c>
      <c r="J9" s="6">
        <f>IF(I9="","",IF(H9="","",ROUND(I9+H9*3,2)))</f>
        <v>193</v>
      </c>
      <c r="K9" s="4" t="inlineStr">
        <is>
          <t>BUD-002</t>
        </is>
      </c>
      <c r="L9" s="4" t="inlineStr">
        <is>
          <t>已取得</t>
        </is>
      </c>
      <c r="M9" s="7" t="n"/>
    </row>
    <row r="10">
      <c r="A10" s="4" t="inlineStr">
        <is>
          <t>PKG-001 CA及电子签章</t>
        </is>
      </c>
      <c r="B10" s="4" t="inlineStr">
        <is>
          <t>P-06</t>
        </is>
      </c>
      <c r="C10" s="4" t="inlineStr">
        <is>
          <t>金石信用·金印CA签章系统</t>
        </is>
      </c>
      <c r="D10" s="4" t="inlineStr">
        <is>
          <t>永久许可</t>
        </is>
      </c>
      <c r="E10" s="5" t="n">
        <v>72</v>
      </c>
      <c r="F10" s="5" t="n">
        <v>20</v>
      </c>
      <c r="G10" s="5" t="n">
        <v>30</v>
      </c>
      <c r="H10" s="5" t="n">
        <v>12</v>
      </c>
      <c r="I10" s="6">
        <f>IF(COUNT(E10:G10)=0,"",ROUND(SUM(E10:G10),2))</f>
        <v>122</v>
      </c>
      <c r="J10" s="6">
        <f>IF(I10="","",IF(H10="","",ROUND(I10+H10*3,2)))</f>
        <v>158</v>
      </c>
      <c r="K10" s="4" t="inlineStr">
        <is>
          <t>BUD-002</t>
        </is>
      </c>
      <c r="L10" s="4" t="inlineStr">
        <is>
          <t>需补充</t>
        </is>
      </c>
      <c r="M10" s="7" t="inlineStr">
        <is>
          <t>维保费口径待厂商书面确认</t>
        </is>
      </c>
    </row>
    <row r="11">
      <c r="A11" s="4" t="inlineStr">
        <is>
          <t>PKG-001 CA及电子签章</t>
        </is>
      </c>
      <c r="B11" s="4" t="inlineStr">
        <is>
          <t>P-07</t>
        </is>
      </c>
      <c r="C11" s="4" t="inlineStr">
        <is>
          <t>国网安迅·迅签平台</t>
        </is>
      </c>
      <c r="D11" s="4" t="inlineStr">
        <is>
          <t>按量计费</t>
        </is>
      </c>
      <c r="E11" s="5" t="n"/>
      <c r="F11" s="5" t="n"/>
      <c r="G11" s="5" t="n"/>
      <c r="H11" s="5" t="n"/>
      <c r="I11" s="6">
        <f>IF(COUNT(E11:G11)=0,"",ROUND(SUM(E11:G11),2))</f>
        <v/>
      </c>
      <c r="J11" s="6">
        <f>IF(I11="","",IF(H11="","",ROUND(I11+H11*3,2)))</f>
        <v/>
      </c>
      <c r="K11" s="4" t="inlineStr">
        <is>
          <t>BUD-002</t>
        </is>
      </c>
      <c r="L11" s="4" t="inlineStr">
        <is>
          <t>未取得</t>
        </is>
      </c>
      <c r="M11" s="7" t="inlineStr">
        <is>
          <t>按量单价函待厂商回复</t>
        </is>
      </c>
    </row>
    <row r="12">
      <c r="A12" s="4" t="inlineStr">
        <is>
          <t>PKG-002 电子文档</t>
        </is>
      </c>
      <c r="B12" s="4" t="inlineStr">
        <is>
          <t>P-08</t>
        </is>
      </c>
      <c r="C12" s="4" t="inlineStr">
        <is>
          <t>云档科技·云档文档中台</t>
        </is>
      </c>
      <c r="D12" s="4" t="inlineStr">
        <is>
          <t>永久许可</t>
        </is>
      </c>
      <c r="E12" s="5" t="n">
        <v>76</v>
      </c>
      <c r="F12" s="5" t="n">
        <v>24</v>
      </c>
      <c r="G12" s="5" t="n">
        <v>42</v>
      </c>
      <c r="H12" s="5" t="n">
        <v>14</v>
      </c>
      <c r="I12" s="6">
        <f>IF(COUNT(E12:G12)=0,"",ROUND(SUM(E12:G12),2))</f>
        <v>142</v>
      </c>
      <c r="J12" s="6">
        <f>IF(I12="","",IF(H12="","",ROUND(I12+H12*3,2)))</f>
        <v>184</v>
      </c>
      <c r="K12" s="4" t="inlineStr">
        <is>
          <t>BUD-003</t>
        </is>
      </c>
      <c r="L12" s="4" t="inlineStr">
        <is>
          <t>已取得</t>
        </is>
      </c>
      <c r="M12" s="7" t="n"/>
    </row>
    <row r="13">
      <c r="A13" s="4" t="inlineStr">
        <is>
          <t>PKG-002 电子文档</t>
        </is>
      </c>
      <c r="B13" s="4" t="inlineStr">
        <is>
          <t>P-09</t>
        </is>
      </c>
      <c r="C13" s="4" t="inlineStr">
        <is>
          <t>智文数科·智文文档管理系统</t>
        </is>
      </c>
      <c r="D13" s="4" t="inlineStr">
        <is>
          <t>永久许可</t>
        </is>
      </c>
      <c r="E13" s="5" t="n">
        <v>65</v>
      </c>
      <c r="F13" s="5" t="n">
        <v>20</v>
      </c>
      <c r="G13" s="5" t="n">
        <v>36</v>
      </c>
      <c r="H13" s="5" t="n">
        <v>12</v>
      </c>
      <c r="I13" s="6">
        <f>IF(COUNT(E13:G13)=0,"",ROUND(SUM(E13:G13),2))</f>
        <v>121</v>
      </c>
      <c r="J13" s="6">
        <f>IF(I13="","",IF(H13="","",ROUND(I13+H13*3,2)))</f>
        <v>157</v>
      </c>
      <c r="K13" s="4" t="inlineStr">
        <is>
          <t>BUD-003</t>
        </is>
      </c>
      <c r="L13" s="4" t="inlineStr">
        <is>
          <t>已取得</t>
        </is>
      </c>
      <c r="M13" s="7" t="n"/>
    </row>
    <row r="14">
      <c r="A14" s="4" t="inlineStr">
        <is>
          <t>PKG-002 电子文档</t>
        </is>
      </c>
      <c r="B14" s="4" t="inlineStr">
        <is>
          <t>P-10</t>
        </is>
      </c>
      <c r="C14" s="4" t="inlineStr">
        <is>
          <t>安存信息·安存文档云</t>
        </is>
      </c>
      <c r="D14" s="4" t="inlineStr">
        <is>
          <t>订阅(年付)</t>
        </is>
      </c>
      <c r="E14" s="5" t="n"/>
      <c r="F14" s="5" t="n">
        <v>18</v>
      </c>
      <c r="G14" s="5" t="n">
        <v>30</v>
      </c>
      <c r="H14" s="5" t="n">
        <v>38</v>
      </c>
      <c r="I14" s="6">
        <f>IF(COUNT(E14:G14)=0,"",ROUND(SUM(E14:G14),2))</f>
        <v>48</v>
      </c>
      <c r="J14" s="6">
        <f>IF(I14="","",IF(H14="","",ROUND(I14+H14*3,2)))</f>
        <v>162</v>
      </c>
      <c r="K14" s="4" t="inlineStr">
        <is>
          <t>BUD-003</t>
        </is>
      </c>
      <c r="L14" s="4" t="inlineStr">
        <is>
          <t>已取得</t>
        </is>
      </c>
      <c r="M14" s="7" t="inlineStr">
        <is>
          <t>年度订阅费38万/年计入TCO</t>
        </is>
      </c>
    </row>
    <row r="15">
      <c r="A15" s="4" t="inlineStr">
        <is>
          <t>PKG-002 电子文档</t>
        </is>
      </c>
      <c r="B15" s="4" t="inlineStr">
        <is>
          <t>P-11</t>
        </is>
      </c>
      <c r="C15" s="4" t="inlineStr">
        <is>
          <t>华档软件·华档ECM企业版</t>
        </is>
      </c>
      <c r="D15" s="4" t="inlineStr">
        <is>
          <t>永久许可</t>
        </is>
      </c>
      <c r="E15" s="5" t="n">
        <v>88</v>
      </c>
      <c r="F15" s="5" t="n">
        <v>26</v>
      </c>
      <c r="G15" s="5" t="n">
        <v>45</v>
      </c>
      <c r="H15" s="5" t="n">
        <v>15</v>
      </c>
      <c r="I15" s="6">
        <f>IF(COUNT(E15:G15)=0,"",ROUND(SUM(E15:G15),2))</f>
        <v>159</v>
      </c>
      <c r="J15" s="6">
        <f>IF(I15="","",IF(H15="","",ROUND(I15+H15*3,2)))</f>
        <v>204</v>
      </c>
      <c r="K15" s="4" t="inlineStr">
        <is>
          <t>BUD-003</t>
        </is>
      </c>
      <c r="L15" s="4" t="inlineStr">
        <is>
          <t>需补充</t>
        </is>
      </c>
      <c r="M15" s="7" t="inlineStr">
        <is>
          <t>接口费按最终接口清单重报</t>
        </is>
      </c>
    </row>
    <row r="16">
      <c r="A16" s="4" t="inlineStr">
        <is>
          <t>PKG-002 电子文档</t>
        </is>
      </c>
      <c r="B16" s="4" t="inlineStr">
        <is>
          <t>P-12</t>
        </is>
      </c>
      <c r="C16" s="4" t="inlineStr">
        <is>
          <t>易卷科技·易卷文档平台</t>
        </is>
      </c>
      <c r="D16" s="4" t="inlineStr">
        <is>
          <t>按量计费</t>
        </is>
      </c>
      <c r="E16" s="5" t="n"/>
      <c r="F16" s="5" t="n"/>
      <c r="G16" s="5" t="n"/>
      <c r="H16" s="5" t="n"/>
      <c r="I16" s="6">
        <f>IF(COUNT(E16:G16)=0,"",ROUND(SUM(E16:G16),2))</f>
        <v/>
      </c>
      <c r="J16" s="6">
        <f>IF(I16="","",IF(H16="","",ROUND(I16+H16*3,2)))</f>
        <v/>
      </c>
      <c r="K16" s="4" t="inlineStr">
        <is>
          <t>BUD-003</t>
        </is>
      </c>
      <c r="L16" s="4" t="inlineStr">
        <is>
          <t>未取得</t>
        </is>
      </c>
      <c r="M16" s="7" t="n"/>
    </row>
    <row r="17">
      <c r="A17" s="4" t="inlineStr">
        <is>
          <t>PKG-003 BI报表</t>
        </is>
      </c>
      <c r="B17" s="4" t="inlineStr">
        <is>
          <t>P-13</t>
        </is>
      </c>
      <c r="C17" s="4" t="inlineStr">
        <is>
          <t>数视科技·数视BI企业版</t>
        </is>
      </c>
      <c r="D17" s="4" t="inlineStr">
        <is>
          <t>永久许可</t>
        </is>
      </c>
      <c r="E17" s="5" t="n">
        <v>58</v>
      </c>
      <c r="F17" s="5" t="n">
        <v>22</v>
      </c>
      <c r="G17" s="5" t="n">
        <v>35</v>
      </c>
      <c r="H17" s="5" t="n">
        <v>12</v>
      </c>
      <c r="I17" s="6">
        <f>IF(COUNT(E17:G17)=0,"",ROUND(SUM(E17:G17),2))</f>
        <v>115</v>
      </c>
      <c r="J17" s="6">
        <f>IF(I17="","",IF(H17="","",ROUND(I17+H17*3,2)))</f>
        <v>151</v>
      </c>
      <c r="K17" s="4" t="inlineStr">
        <is>
          <t>BUD-004</t>
        </is>
      </c>
      <c r="L17" s="4" t="inlineStr">
        <is>
          <t>已取得</t>
        </is>
      </c>
      <c r="M17" s="7" t="n"/>
    </row>
    <row r="18">
      <c r="A18" s="4" t="inlineStr">
        <is>
          <t>PKG-003 BI报表</t>
        </is>
      </c>
      <c r="B18" s="4" t="inlineStr">
        <is>
          <t>P-14</t>
        </is>
      </c>
      <c r="C18" s="4" t="inlineStr">
        <is>
          <t>云图智能·云图BI云服务</t>
        </is>
      </c>
      <c r="D18" s="4" t="inlineStr">
        <is>
          <t>订阅(年付)</t>
        </is>
      </c>
      <c r="E18" s="5" t="n"/>
      <c r="F18" s="5" t="n">
        <v>15</v>
      </c>
      <c r="G18" s="5" t="n">
        <v>25</v>
      </c>
      <c r="H18" s="5" t="n">
        <v>30</v>
      </c>
      <c r="I18" s="6">
        <f>IF(COUNT(E18:G18)=0,"",ROUND(SUM(E18:G18),2))</f>
        <v>40</v>
      </c>
      <c r="J18" s="6">
        <f>IF(I18="","",IF(H18="","",ROUND(I18+H18*3,2)))</f>
        <v>130</v>
      </c>
      <c r="K18" s="4" t="inlineStr">
        <is>
          <t>BUD-004</t>
        </is>
      </c>
      <c r="L18" s="4" t="inlineStr">
        <is>
          <t>已取得</t>
        </is>
      </c>
      <c r="M18" s="7" t="inlineStr">
        <is>
          <t>年度订阅费30万/年计入TCO</t>
        </is>
      </c>
    </row>
    <row r="19">
      <c r="A19" s="4" t="inlineStr">
        <is>
          <t>PKG-003 BI报表</t>
        </is>
      </c>
      <c r="B19" s="4" t="inlineStr">
        <is>
          <t>P-15</t>
        </is>
      </c>
      <c r="C19" s="4" t="inlineStr">
        <is>
          <t>慧析数科·慧析报表平台</t>
        </is>
      </c>
      <c r="D19" s="4" t="inlineStr">
        <is>
          <t>永久许可</t>
        </is>
      </c>
      <c r="E19" s="5" t="n">
        <v>66</v>
      </c>
      <c r="F19" s="5" t="n">
        <v>24</v>
      </c>
      <c r="G19" s="5" t="n">
        <v>38</v>
      </c>
      <c r="H19" s="5" t="n">
        <v>13</v>
      </c>
      <c r="I19" s="6">
        <f>IF(COUNT(E19:G19)=0,"",ROUND(SUM(E19:G19),2))</f>
        <v>128</v>
      </c>
      <c r="J19" s="6">
        <f>IF(I19="","",IF(H19="","",ROUND(I19+H19*3,2)))</f>
        <v>167</v>
      </c>
      <c r="K19" s="4" t="inlineStr">
        <is>
          <t>BUD-004</t>
        </is>
      </c>
      <c r="L19" s="4" t="inlineStr">
        <is>
          <t>已取得</t>
        </is>
      </c>
      <c r="M19" s="7" t="n"/>
    </row>
    <row r="20">
      <c r="A20" s="4" t="inlineStr">
        <is>
          <t>PKG-003 BI报表</t>
        </is>
      </c>
      <c r="B20" s="4" t="inlineStr">
        <is>
          <t>P-16</t>
        </is>
      </c>
      <c r="C20" s="4" t="inlineStr">
        <is>
          <t>迅报软件·迅报BI套件</t>
        </is>
      </c>
      <c r="D20" s="4" t="inlineStr">
        <is>
          <t>永久许可</t>
        </is>
      </c>
      <c r="E20" s="5" t="n">
        <v>49</v>
      </c>
      <c r="F20" s="5" t="n">
        <v>18</v>
      </c>
      <c r="G20" s="5" t="n">
        <v>28</v>
      </c>
      <c r="H20" s="5" t="n">
        <v>10</v>
      </c>
      <c r="I20" s="6">
        <f>IF(COUNT(E20:G20)=0,"",ROUND(SUM(E20:G20),2))</f>
        <v>95</v>
      </c>
      <c r="J20" s="6">
        <f>IF(I20="","",IF(H20="","",ROUND(I20+H20*3,2)))</f>
        <v>125</v>
      </c>
      <c r="K20" s="4" t="inlineStr">
        <is>
          <t>BUD-004</t>
        </is>
      </c>
      <c r="L20" s="4" t="inlineStr">
        <is>
          <t>已取得</t>
        </is>
      </c>
      <c r="M20" s="7" t="n"/>
    </row>
    <row r="21">
      <c r="A21" s="4" t="inlineStr">
        <is>
          <t>PKG-003 BI报表</t>
        </is>
      </c>
      <c r="B21" s="4" t="inlineStr">
        <is>
          <t>P-17</t>
        </is>
      </c>
      <c r="C21" s="4" t="inlineStr">
        <is>
          <t>洞察云·洞察分析平台</t>
        </is>
      </c>
      <c r="D21" s="4" t="inlineStr">
        <is>
          <t>订阅(年付)</t>
        </is>
      </c>
      <c r="E21" s="5" t="n"/>
      <c r="F21" s="5" t="n"/>
      <c r="G21" s="5" t="n"/>
      <c r="H21" s="5" t="n"/>
      <c r="I21" s="6">
        <f>IF(COUNT(E21:G21)=0,"",ROUND(SUM(E21:G21),2))</f>
        <v/>
      </c>
      <c r="J21" s="6">
        <f>IF(I21="","",IF(H21="","",ROUND(I21+H21*3,2)))</f>
        <v/>
      </c>
      <c r="K21" s="4" t="inlineStr">
        <is>
          <t>BUD-004</t>
        </is>
      </c>
      <c r="L21" s="4" t="inlineStr">
        <is>
          <t>需补充</t>
        </is>
      </c>
      <c r="M21" s="7" t="inlineStr">
        <is>
          <t>订阅价函已收（38万/年意向），实施与接口费待厂商正式报价</t>
        </is>
      </c>
    </row>
    <row r="22">
      <c r="A22" s="4" t="n"/>
      <c r="B22" s="4" t="n"/>
      <c r="C22" s="4" t="n"/>
      <c r="D22" s="4" t="n"/>
      <c r="E22" s="5" t="n"/>
      <c r="F22" s="5" t="n"/>
      <c r="G22" s="5" t="n"/>
      <c r="H22" s="5" t="n"/>
      <c r="I22" s="6">
        <f>IF(COUNT(E22:G22)=0,"",ROUND(SUM(E22:G22),2))</f>
        <v/>
      </c>
      <c r="J22" s="6">
        <f>IF(I22="","",IF(H22="","",ROUND(I22+H22*3,2)))</f>
        <v/>
      </c>
      <c r="K22" s="4" t="n"/>
      <c r="L22" s="4" t="n"/>
      <c r="M22" s="7" t="n"/>
    </row>
  </sheetData>
  <autoFilter ref="A4:M22"/>
  <conditionalFormatting sqref="L5:L22">
    <cfRule type="cellIs" priority="1" operator="equal" dxfId="0">
      <formula>"未取得"</formula>
    </cfRule>
  </conditionalFormatting>
  <dataValidations count="4">
    <dataValidation sqref="A5:A22" showDropDown="0" showInputMessage="0" showErrorMessage="0" allowBlank="1" type="list">
      <formula1>"PKG-001 CA及电子签章,PKG-002 电子文档,PKG-003 BI报表"</formula1>
    </dataValidation>
    <dataValidation sqref="D5:D22" showDropDown="0" showInputMessage="0" showErrorMessage="0" allowBlank="1" type="list">
      <formula1>"永久许可,订阅(年付),按量计费"</formula1>
    </dataValidation>
    <dataValidation sqref="K5:K22" showDropDown="0" showInputMessage="0" showErrorMessage="0" allowBlank="1" type="list">
      <formula1>"BUD-002,BUD-003,BUD-004"</formula1>
    </dataValidation>
    <dataValidation sqref="L5:L22" showDropDown="0" showInputMessage="0" showErrorMessage="0" allowBlank="1" type="list">
      <formula1>"已取得,未取得,需补充"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采购包报价汇总（自动，只读）</t>
        </is>
      </c>
    </row>
    <row r="2">
      <c r="A2" s="2" t="inlineStr">
        <is>
          <t>仅统计"报价状态=已取得"的候选；取得报价前显示"—"。</t>
        </is>
      </c>
    </row>
    <row r="4">
      <c r="A4" s="3" t="inlineStr">
        <is>
          <t>采购包</t>
        </is>
      </c>
      <c r="B4" s="3" t="inlineStr">
        <is>
          <t>对应预算基线</t>
        </is>
      </c>
      <c r="C4" s="3" t="inlineStr">
        <is>
          <t>候选数</t>
        </is>
      </c>
      <c r="D4" s="3" t="inlineStr">
        <is>
          <t>已取得报价数</t>
        </is>
      </c>
      <c r="E4" s="3" t="inlineStr">
        <is>
          <t>最低三年TCO(万元)</t>
        </is>
      </c>
      <c r="F4" s="3" t="inlineStr">
        <is>
          <t>平均三年TCO(万元)</t>
        </is>
      </c>
      <c r="G4" s="3" t="inlineStr">
        <is>
          <t>预算基线状态</t>
        </is>
      </c>
      <c r="H4" s="3" t="inlineStr">
        <is>
          <t>最迟日期</t>
        </is>
      </c>
    </row>
    <row r="5">
      <c r="A5" s="8" t="inlineStr">
        <is>
          <t>PKG-001 CA及电子签章</t>
        </is>
      </c>
      <c r="B5" s="9" t="inlineStr">
        <is>
          <t>BUD-002</t>
        </is>
      </c>
      <c r="C5" s="9">
        <f>COUNTIF(报价对比!$A$5:$A$22,A5)</f>
        <v>7</v>
      </c>
      <c r="D5" s="9">
        <f>COUNTIFS(报价对比!$A$5:$A$22,A5,报价对比!$L$5:$L$22,"已取得")</f>
        <v>5</v>
      </c>
      <c r="E5" s="6">
        <f>IF(D5=0,"—",ROUND(_xlfn.MINIFS(报价对比!$J$5:$J$22,报价对比!$A$5:$A$22,A5,报价对比!$L$5:$L$22,"已取得"),2))</f>
        <v>193</v>
      </c>
      <c r="F5" s="6">
        <f>IF(D5=0,"—",ROUND(AVERAGEIFS(报价对比!$J$5:$J$22,报价对比!$A$5:$A$22,A5,报价对比!$L$5:$L$22,"已取得"),2))</f>
        <v>224</v>
      </c>
      <c r="G5" s="9" t="inlineStr">
        <is>
          <t>已量化</t>
        </is>
      </c>
      <c r="H5" s="9" t="inlineStr">
        <is>
          <t>2026-09-25</t>
        </is>
      </c>
    </row>
    <row r="6">
      <c r="A6" s="8" t="inlineStr">
        <is>
          <t>PKG-002 电子文档</t>
        </is>
      </c>
      <c r="B6" s="9" t="inlineStr">
        <is>
          <t>BUD-003</t>
        </is>
      </c>
      <c r="C6" s="9">
        <f>COUNTIF(报价对比!$A$5:$A$22,A6)</f>
        <v>5</v>
      </c>
      <c r="D6" s="9">
        <f>COUNTIFS(报价对比!$A$5:$A$22,A6,报价对比!$L$5:$L$22,"已取得")</f>
        <v>3</v>
      </c>
      <c r="E6" s="6">
        <f>IF(D6=0,"—",ROUND(_xlfn.MINIFS(报价对比!$J$5:$J$22,报价对比!$A$5:$A$22,A6,报价对比!$L$5:$L$22,"已取得"),2))</f>
        <v>157</v>
      </c>
      <c r="F6" s="6">
        <f>IF(D6=0,"—",ROUND(AVERAGEIFS(报价对比!$J$5:$J$22,报价对比!$A$5:$A$22,A6,报价对比!$L$5:$L$22,"已取得"),2))</f>
        <v>167.67</v>
      </c>
      <c r="G6" s="9" t="inlineStr">
        <is>
          <t>已量化</t>
        </is>
      </c>
      <c r="H6" s="9" t="inlineStr">
        <is>
          <t>2026-09-25</t>
        </is>
      </c>
    </row>
    <row r="7">
      <c r="A7" s="8" t="inlineStr">
        <is>
          <t>PKG-003 BI报表</t>
        </is>
      </c>
      <c r="B7" s="9" t="inlineStr">
        <is>
          <t>BUD-004</t>
        </is>
      </c>
      <c r="C7" s="9">
        <f>COUNTIF(报价对比!$A$5:$A$22,A7)</f>
        <v>5</v>
      </c>
      <c r="D7" s="9">
        <f>COUNTIFS(报价对比!$A$5:$A$22,A7,报价对比!$L$5:$L$22,"已取得")</f>
        <v>4</v>
      </c>
      <c r="E7" s="6">
        <f>IF(D7=0,"—",ROUND(_xlfn.MINIFS(报价对比!$J$5:$J$22,报价对比!$A$5:$A$22,A7,报价对比!$L$5:$L$22,"已取得"),2))</f>
        <v>125</v>
      </c>
      <c r="F7" s="6">
        <f>IF(D7=0,"—",ROUND(AVERAGEIFS(报价对比!$J$5:$J$22,报价对比!$A$5:$A$22,A7,报价对比!$L$5:$L$22,"已取得"),2))</f>
        <v>143.25</v>
      </c>
      <c r="G7" s="9" t="inlineStr">
        <is>
          <t>已量化</t>
        </is>
      </c>
      <c r="H7" s="9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2026-09-23T23:54:35Z</dcterms:created>
  <dcterms:modified xmlns:dcterms="http://purl.org/dc/terms/" xmlns:xsi="http://www.w3.org/2001/XMLSchema-instance" xsi:type="dcterms:W3CDTF">2026-09-24T07:09:38Z</dcterms:modified>
</cp:coreProperties>
</file>
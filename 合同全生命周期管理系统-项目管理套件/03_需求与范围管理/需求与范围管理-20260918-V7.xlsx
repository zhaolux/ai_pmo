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260" windowHeight="12720" firstSheet="3" activeTab="9"/>
  </bookViews>
  <sheets>
    <sheet name="使用说明" sheetId="1" r:id="rId1"/>
    <sheet name="范围总览" sheetId="2" r:id="rId2"/>
    <sheet name="需求池" sheetId="3" r:id="rId3"/>
    <sheet name="范围基线" sheetId="4" r:id="rId4"/>
    <sheet name="需求追踪矩阵" sheetId="5" r:id="rId5"/>
    <sheet name="WBS字典" sheetId="6" r:id="rId6"/>
    <sheet name="范围变更评审" sheetId="7" r:id="rId7"/>
    <sheet name="_数据接口" sheetId="8" r:id="rId8"/>
    <sheet name="接口清单" sheetId="9" r:id="rId9"/>
    <sheet name="接口评审清单" sheetId="10" r:id="rId10"/>
    <sheet name="P0接口规格台账"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<sst xmlns="http://schemas.openxmlformats.org/spreadsheetml/2006/main" count="4887" uniqueCount="1040">
  <si>
    <t>需求与范围管理-20260918-V7 使用说明</t>
  </si>
  <si>
    <t>管理需求入口、范围基线、追踪关系、WBS字典和范围变更。</t>
  </si>
  <si>
    <t>项目</t>
  </si>
  <si>
    <t>能源行业合同全生命周期管理系统</t>
  </si>
  <si>
    <t>适用对象</t>
  </si>
  <si>
    <t>产品经理、业务负责人、项目经理、测试负责人</t>
  </si>
  <si>
    <t>更新频率</t>
  </si>
  <si>
    <t>需求评审后更新；变更评审和基线发布时同步维护。</t>
  </si>
  <si>
    <t>版本日期</t>
  </si>
  <si>
    <t>2026-09-18</t>
  </si>
  <si>
    <t>颜色约定</t>
  </si>
  <si>
    <t>浅蓝表头；黄色为人工输入区；白色/灰色通常为公式、说明或系统数据。</t>
  </si>
  <si>
    <t>推荐使用流程</t>
  </si>
  <si>
    <t>登记需求并完成澄清</t>
  </si>
  <si>
    <t>确认优先级和验收标准</t>
  </si>
  <si>
    <t>纳入范围基线并建立追踪</t>
  </si>
  <si>
    <t>编制并评审94条P0接口规格，批准后再进入详细设计基线</t>
  </si>
  <si>
    <t>通过范围变更评审处理新增或删减</t>
  </si>
  <si>
    <t>工作表导航</t>
  </si>
  <si>
    <t>顺序</t>
  </si>
  <si>
    <t>工作表</t>
  </si>
  <si>
    <t>用途</t>
  </si>
  <si>
    <t>范围总览</t>
  </si>
  <si>
    <t>查看需求与范围关键指标和门禁。</t>
  </si>
  <si>
    <t>需求池</t>
  </si>
  <si>
    <t>登记、澄清、评审和排序需求。</t>
  </si>
  <si>
    <t>范围基线</t>
  </si>
  <si>
    <t>记录批准纳入和排除的范围。</t>
  </si>
  <si>
    <t>需求追踪矩阵</t>
  </si>
  <si>
    <t>连接需求、设计、开发、测试和验收证据。</t>
  </si>
  <si>
    <t>WBS字典</t>
  </si>
  <si>
    <t>定义工作包边界、交付物和验收条件。</t>
  </si>
  <si>
    <t>范围变更评审</t>
  </si>
  <si>
    <t>评估范围变更影响及批准结论。</t>
  </si>
  <si>
    <t>_数据接口</t>
  </si>
  <si>
    <t>供Python脚本和AI PMO读取，人工一般不直接修改。</t>
  </si>
  <si>
    <t>接口管理补充说明</t>
  </si>
  <si>
    <t>接口清单：131条接口范围、优先级和责任人的权威录入点；范围变更须先审批。</t>
  </si>
  <si>
    <t>接口评审清单：维护跨系统联合评审结论及责任，按系统ID核对接口数量。</t>
  </si>
  <si>
    <t>P0接口规格台账：保存待批准的规格基线；系统集成文件维护执行明细。</t>
  </si>
  <si>
    <t>数据入口与联动规则</t>
  </si>
  <si>
    <t>接口范围和优先级在本文件唯一录入；04系统集成为执行快照。批准变更后按IF/SPEC ID核对并同步，不将静态复制视为实时联动。</t>
  </si>
  <si>
    <t>顶部六项统计为公式联动：需求总数/P0/待确认来自需求池，范围项与包含、排除来自范围基线，追踪覆盖率来自追踪矩阵；灰色计算字段随台账自动更新</t>
  </si>
  <si>
    <t>需求与范围管理总览</t>
  </si>
  <si>
    <t>数据日期：2026-09-18。当前内容为需求基线评审前的初始草案，黄色字段需项目团队确认。</t>
  </si>
  <si>
    <t>需求总数</t>
  </si>
  <si>
    <t>P0需求</t>
  </si>
  <si>
    <t>待确认/待验证</t>
  </si>
  <si>
    <t>范围项</t>
  </si>
  <si>
    <t>包含/条件包含</t>
  </si>
  <si>
    <t>排除项</t>
  </si>
  <si>
    <t>追踪覆盖率</t>
  </si>
  <si>
    <t>需求基线门禁</t>
  </si>
  <si>
    <t>门禁项</t>
  </si>
  <si>
    <t>当前状态</t>
  </si>
  <si>
    <t>责任人</t>
  </si>
  <si>
    <t>最迟日期</t>
  </si>
  <si>
    <t>通过标准</t>
  </si>
  <si>
    <t>证据位置</t>
  </si>
  <si>
    <t>P0/P1/P2分级完成</t>
  </si>
  <si>
    <t>未通过</t>
  </si>
  <si>
    <t>产品经理</t>
  </si>
  <si>
    <t>每项需求完成优先级、范围决策和验收标准</t>
  </si>
  <si>
    <t>业务需求评审完成</t>
  </si>
  <si>
    <t>业务负责人确认核心场景、规则和边界</t>
  </si>
  <si>
    <t>评审纪要</t>
  </si>
  <si>
    <t>技术可行性评审完成</t>
  </si>
  <si>
    <t>技术经理</t>
  </si>
  <si>
    <t>接口、数据、安全、性能和外部依赖可实现</t>
  </si>
  <si>
    <t>技术评审记录</t>
  </si>
  <si>
    <t>需求追踪矩阵完整</t>
  </si>
  <si>
    <t>项目经理</t>
  </si>
  <si>
    <t>P0需求均关联WBS、设计、测试和验收证据</t>
  </si>
  <si>
    <t>范围基线批准</t>
  </si>
  <si>
    <t>项目集经理</t>
  </si>
  <si>
    <t>包含、排除、假设和约束均得到批准</t>
  </si>
  <si>
    <t>范围基线批准记录</t>
  </si>
  <si>
    <t>接口范围与责任矩阵确认</t>
  </si>
  <si>
    <t>37个系统完成责任确认；P0接口范围、责任人和联调窗口获得批准</t>
  </si>
  <si>
    <t>接口评审清单</t>
  </si>
  <si>
    <t>使用规则</t>
  </si>
  <si>
    <t>1</t>
  </si>
  <si>
    <t>需求先进入需求池，完成来源、优先级、验收标准和范围决策后才能进入基线。</t>
  </si>
  <si>
    <t>2</t>
  </si>
  <si>
    <t>P0需求必须关联WBS、设计/接口、测试用例、UAT场景和验收证据。</t>
  </si>
  <si>
    <t>3</t>
  </si>
  <si>
    <t>范围基线批准后，新增、删除或调整需求必须通过“范围变更评审”。</t>
  </si>
  <si>
    <t>4</t>
  </si>
  <si>
    <t>黄色字段为人工确认项；灰色字段为计算或关联结果；红色表示门禁未通过。</t>
  </si>
  <si>
    <t>5</t>
  </si>
  <si>
    <t>外部产品需求以POC结论为准，未通过验证的能力不得直接承诺进入P0。</t>
  </si>
  <si>
    <t>用于收集、分级和确认需求；“范围决策”为需求基线入口。</t>
  </si>
  <si>
    <t>需求ID</t>
  </si>
  <si>
    <t>业务域</t>
  </si>
  <si>
    <t>功能模块</t>
  </si>
  <si>
    <t>需求描述</t>
  </si>
  <si>
    <t>来源</t>
  </si>
  <si>
    <t>优先级</t>
  </si>
  <si>
    <t>需求类型</t>
  </si>
  <si>
    <t>确认状态</t>
  </si>
  <si>
    <t>验收标准</t>
  </si>
  <si>
    <t>关联里程碑</t>
  </si>
  <si>
    <t>关联工作包</t>
  </si>
  <si>
    <t>范围决策</t>
  </si>
  <si>
    <t>REQ-001</t>
  </si>
  <si>
    <t>合同准备</t>
  </si>
  <si>
    <t>合同模板</t>
  </si>
  <si>
    <t>支持按合同类型维护标准模板和必填条款</t>
  </si>
  <si>
    <t>业务梳理初稿</t>
  </si>
  <si>
    <t>P0</t>
  </si>
  <si>
    <t>业务</t>
  </si>
  <si>
    <t>待确认</t>
  </si>
  <si>
    <t>模板版本可追溯，必填条款缺失时不能提交</t>
  </si>
  <si>
    <t>MS008</t>
  </si>
  <si>
    <t>SCP-WP-001</t>
  </si>
  <si>
    <t>拟纳入</t>
  </si>
  <si>
    <t>REQ-002</t>
  </si>
  <si>
    <t>相对方管理</t>
  </si>
  <si>
    <t>统一维护合同相对方、资质、联系人和风险标识</t>
  </si>
  <si>
    <t>可查询有效资质并提示过期或黑名单状态</t>
  </si>
  <si>
    <t>SCP-WP-002</t>
  </si>
  <si>
    <t>REQ-003</t>
  </si>
  <si>
    <t>合同起草</t>
  </si>
  <si>
    <t>在线起草</t>
  </si>
  <si>
    <t>基于模板生成合同并支持条款编辑、版本比较</t>
  </si>
  <si>
    <t>保留每次版本及差异，可回退到历史版本</t>
  </si>
  <si>
    <t>SCP-WP-003</t>
  </si>
  <si>
    <t>REQ-004</t>
  </si>
  <si>
    <t>附件管理</t>
  </si>
  <si>
    <t>支持附件上传、分类、版本和在线预览</t>
  </si>
  <si>
    <t>附件版本、上传人和时间完整记录</t>
  </si>
  <si>
    <t>REQ-005</t>
  </si>
  <si>
    <t>合同审查</t>
  </si>
  <si>
    <t>规则审查</t>
  </si>
  <si>
    <t>按合同类型执行必备条款和风险条款检查</t>
  </si>
  <si>
    <t>命中规则时给出风险等级、依据和处理建议</t>
  </si>
  <si>
    <t>SCP-WP-004</t>
  </si>
  <si>
    <t>REQ-006</t>
  </si>
  <si>
    <t>会签审批</t>
  </si>
  <si>
    <t>支持业务、法务、财务等多角色并行或串行审批</t>
  </si>
  <si>
    <t>审批路径可配置，意见与操作全程留痕</t>
  </si>
  <si>
    <t>SCP-WP-005</t>
  </si>
  <si>
    <t>REQ-007</t>
  </si>
  <si>
    <t>合同签署</t>
  </si>
  <si>
    <t>电子签署</t>
  </si>
  <si>
    <t>对接CA和电子签章完成签署、验签和时间戳</t>
  </si>
  <si>
    <t>POC范围</t>
  </si>
  <si>
    <t>接口</t>
  </si>
  <si>
    <t>待验证</t>
  </si>
  <si>
    <t>签署结果可验真，失败可重试并记录原因</t>
  </si>
  <si>
    <t>MS012</t>
  </si>
  <si>
    <t>SCP-WP-006</t>
  </si>
  <si>
    <t>POC后确认</t>
  </si>
  <si>
    <t>REQ-008</t>
  </si>
  <si>
    <t>纸质签署</t>
  </si>
  <si>
    <t>支持线下签署登记、扫描件上传和原件位置记录</t>
  </si>
  <si>
    <t>P1</t>
  </si>
  <si>
    <t>纸质签署状态与电子归档一致</t>
  </si>
  <si>
    <t>REQ-009</t>
  </si>
  <si>
    <t>合同履约</t>
  </si>
  <si>
    <t>履约计划</t>
  </si>
  <si>
    <t>按合同约定生成交付、收付款和关键义务计划</t>
  </si>
  <si>
    <t>计划包含责任人、日期、金额和完成证据</t>
  </si>
  <si>
    <t>SCP-WP-007</t>
  </si>
  <si>
    <t>REQ-010</t>
  </si>
  <si>
    <t>履约预警</t>
  </si>
  <si>
    <t>对到期、逾期、金额偏差和证照到期进行预警</t>
  </si>
  <si>
    <t>预警规则可配置并形成闭环记录</t>
  </si>
  <si>
    <t>REQ-011</t>
  </si>
  <si>
    <t>付款申请</t>
  </si>
  <si>
    <t>关联合同、履约节点和发票发起付款申请</t>
  </si>
  <si>
    <t>付款金额不超过合同可支付余额且依据完整</t>
  </si>
  <si>
    <t>SCP-WP-008</t>
  </si>
  <si>
    <t>REQ-012</t>
  </si>
  <si>
    <t>收款跟踪</t>
  </si>
  <si>
    <t>登记应收计划、实收结果及逾期原因</t>
  </si>
  <si>
    <t>应收、实收和差异可按合同追溯</t>
  </si>
  <si>
    <t>REQ-013</t>
  </si>
  <si>
    <t>合同变更</t>
  </si>
  <si>
    <t>变更申请</t>
  </si>
  <si>
    <t>记录变更原因、范围、金额、工期和影响分析</t>
  </si>
  <si>
    <t>PMBOK治理要求</t>
  </si>
  <si>
    <t>治理</t>
  </si>
  <si>
    <t>未经批准的变更不得更新合同基线</t>
  </si>
  <si>
    <t>SCP-WP-009</t>
  </si>
  <si>
    <t>REQ-014</t>
  </si>
  <si>
    <t>补充协议</t>
  </si>
  <si>
    <t>关联原合同管理补充协议及其生效条件</t>
  </si>
  <si>
    <t>补充协议与原合同版本和金额联动</t>
  </si>
  <si>
    <t>REQ-015</t>
  </si>
  <si>
    <t>合同终止</t>
  </si>
  <si>
    <t>终止与解除</t>
  </si>
  <si>
    <t>支持到期、终止、解除及结算材料归集</t>
  </si>
  <si>
    <t>关闭前校验未完成义务、款项和争议</t>
  </si>
  <si>
    <t>SCP-WP-010</t>
  </si>
  <si>
    <t>REQ-016</t>
  </si>
  <si>
    <t>合同归档</t>
  </si>
  <si>
    <t>电子归档</t>
  </si>
  <si>
    <t>合同正文、附件、审批、签署和履约证据统一归档</t>
  </si>
  <si>
    <t>归档包完整、可检索、可授权并支持长期保存</t>
  </si>
  <si>
    <t>SCP-WP-011</t>
  </si>
  <si>
    <t>REQ-017</t>
  </si>
  <si>
    <t>查询分析</t>
  </si>
  <si>
    <t>综合查询</t>
  </si>
  <si>
    <t>按组织、类型、相对方、金额、状态等组合查询</t>
  </si>
  <si>
    <t>常用查询在目标数据量下满足性能标准</t>
  </si>
  <si>
    <t>SCP-WP-012</t>
  </si>
  <si>
    <t>REQ-018</t>
  </si>
  <si>
    <t>经营分析</t>
  </si>
  <si>
    <t>提供合同金额、履约、收付款和风险主题报表</t>
  </si>
  <si>
    <t>报表</t>
  </si>
  <si>
    <t>指标口径可追溯，支持权限过滤和钻取导出</t>
  </si>
  <si>
    <t>REQ-019</t>
  </si>
  <si>
    <t>基础能力</t>
  </si>
  <si>
    <t>组织权限</t>
  </si>
  <si>
    <t>支持角色、组织和数据范围组合授权</t>
  </si>
  <si>
    <t>架构基线</t>
  </si>
  <si>
    <t>安全</t>
  </si>
  <si>
    <t>最小权限、越权拦截和授权变更均可验证</t>
  </si>
  <si>
    <t>MS009</t>
  </si>
  <si>
    <t>SCP-WP-013</t>
  </si>
  <si>
    <t>REQ-020</t>
  </si>
  <si>
    <t>审计追踪</t>
  </si>
  <si>
    <t>记录关键数据新增、修改、删除和审批操作</t>
  </si>
  <si>
    <t>日志防篡改并可按对象、用户和时间检索</t>
  </si>
  <si>
    <t>REQ-021</t>
  </si>
  <si>
    <t>系统集成</t>
  </si>
  <si>
    <t>主数据接口</t>
  </si>
  <si>
    <t>对接MDG、IAM、EPM等主数据与基础平台，覆盖组织、人员、往来单位、物料、服务、项目及财务主数据</t>
  </si>
  <si>
    <t>02合同系统2.0集成接口.xlsx</t>
  </si>
  <si>
    <t>已确认接口逐项形成字段映射、增量/失效规则、重试与对账方案</t>
  </si>
  <si>
    <t>SCP-WP-014</t>
  </si>
  <si>
    <t>REQ-022</t>
  </si>
  <si>
    <t>财务接口</t>
  </si>
  <si>
    <t>对接大集中ERP、昆仑ERP、财务共享，覆盖合同、采购、履约、收付款、发票、结算和状态回传</t>
  </si>
  <si>
    <t>核心交易双向可追溯，重复提交幂等，失败可补偿并完成业务对账</t>
  </si>
  <si>
    <t>REQ-023</t>
  </si>
  <si>
    <t>非功能</t>
  </si>
  <si>
    <t>性能容量</t>
  </si>
  <si>
    <t>核心页面和接口满足响应时间及并发目标</t>
  </si>
  <si>
    <t>待量化</t>
  </si>
  <si>
    <t>基线评审前明确并发、数据量和响应指标</t>
  </si>
  <si>
    <t>SCP-WP-015</t>
  </si>
  <si>
    <t>REQ-024</t>
  </si>
  <si>
    <t>可用性容灾</t>
  </si>
  <si>
    <t>明确可用性、备份、恢复和容灾目标</t>
  </si>
  <si>
    <t>明确SLA、RPO、RTO并完成演练验证</t>
  </si>
  <si>
    <t>明确项目包含、不包含和条件包含的边界。基线批准后，调整必须走范围变更评审。</t>
  </si>
  <si>
    <t>范围ID</t>
  </si>
  <si>
    <t>范围主题</t>
  </si>
  <si>
    <t>范围说明</t>
  </si>
  <si>
    <t>范围类型</t>
  </si>
  <si>
    <t>边界/前提条件</t>
  </si>
  <si>
    <t>负责人</t>
  </si>
  <si>
    <t>SCP-001</t>
  </si>
  <si>
    <t>合同全生命周期业务</t>
  </si>
  <si>
    <t>合同准备、起草、审查、审批、签署、履约、变更、终止和归档</t>
  </si>
  <si>
    <t>包含</t>
  </si>
  <si>
    <t>P0需求基线批准</t>
  </si>
  <si>
    <t>SCP-002</t>
  </si>
  <si>
    <t>外部产品集成</t>
  </si>
  <si>
    <t>CA、电子文档和BI报表产品能力集成</t>
  </si>
  <si>
    <t>条件包含</t>
  </si>
  <si>
    <t>POC通过并形成选型结论</t>
  </si>
  <si>
    <t>MS017</t>
  </si>
  <si>
    <t>SCP-003</t>
  </si>
  <si>
    <t>内部系统集成</t>
  </si>
  <si>
    <t>统一身份、组织人员、消息及内部主数据接口</t>
  </si>
  <si>
    <t>接口清单和责任边界确认</t>
  </si>
  <si>
    <t>MS011</t>
  </si>
  <si>
    <t>SCP-004</t>
  </si>
  <si>
    <t>外部系统集成</t>
  </si>
  <si>
    <t>ERP、财务、OA、电子签章和外部主数据接口</t>
  </si>
  <si>
    <t>对方接口计划和测试环境落实</t>
  </si>
  <si>
    <t>SCP-005</t>
  </si>
  <si>
    <t>数据迁移</t>
  </si>
  <si>
    <t>存量合同、附件、相对方和履约关键数据迁移</t>
  </si>
  <si>
    <t>范围、质量标准和切换方案确认</t>
  </si>
  <si>
    <t>MS014</t>
  </si>
  <si>
    <t>SCP-006</t>
  </si>
  <si>
    <t>安全与审计</t>
  </si>
  <si>
    <t>身份、权限、数据范围、日志和敏感数据保护</t>
  </si>
  <si>
    <t>安全方案与测试标准批准</t>
  </si>
  <si>
    <t>SCP-007</t>
  </si>
  <si>
    <t>测试与验收</t>
  </si>
  <si>
    <t>单元、集成、系统、性能、安全和UAT</t>
  </si>
  <si>
    <t>测试策略及验收样例批准</t>
  </si>
  <si>
    <t>高级测试人员、中级测试人员</t>
  </si>
  <si>
    <t>SCP-008</t>
  </si>
  <si>
    <t>上线与移交</t>
  </si>
  <si>
    <t>生产部署、数据切换、培训、支持和运维移交</t>
  </si>
  <si>
    <t>上线门禁全部通过</t>
  </si>
  <si>
    <t>MS016</t>
  </si>
  <si>
    <t>SCP-009</t>
  </si>
  <si>
    <t>硬件采购</t>
  </si>
  <si>
    <t>业务终端、网络和基础硬件采购</t>
  </si>
  <si>
    <t>不包含</t>
  </si>
  <si>
    <t>由基础设施专项另行管理</t>
  </si>
  <si>
    <t>MS006</t>
  </si>
  <si>
    <t>已排除</t>
  </si>
  <si>
    <t>SCP-010</t>
  </si>
  <si>
    <t>历史纸质档案数字化</t>
  </si>
  <si>
    <t>全部存量纸质合同扫描和人工著录</t>
  </si>
  <si>
    <t>仅迁移已数字化且质量合格的数据</t>
  </si>
  <si>
    <t>SCP-011</t>
  </si>
  <si>
    <t>第三方产品改造</t>
  </si>
  <si>
    <t>CA、电子文档、BI产品内核定制开发</t>
  </si>
  <si>
    <t>采用标准产品能力与公开接口</t>
  </si>
  <si>
    <t>SCP-012</t>
  </si>
  <si>
    <t>上线后长期运营</t>
  </si>
  <si>
    <t>试运行结束后的常态化运营服务</t>
  </si>
  <si>
    <t>另行签订运维服务与SLA</t>
  </si>
  <si>
    <t>P0需求应形成“需求—范围—工作包—设计—测试—UAT—验收证据”闭环。</t>
  </si>
  <si>
    <t>工作包ID</t>
  </si>
  <si>
    <t>设计/接口文档</t>
  </si>
  <si>
    <t>测试用例ID</t>
  </si>
  <si>
    <t>UAT场景ID</t>
  </si>
  <si>
    <t>验收证据</t>
  </si>
  <si>
    <t>目标里程碑</t>
  </si>
  <si>
    <t>追踪完整性</t>
  </si>
  <si>
    <t>待补充</t>
  </si>
  <si>
    <t>对接组织、人员、供应商和客户主数据</t>
  </si>
  <si>
    <t>对接付款、收款、发票和会计凭证信息</t>
  </si>
  <si>
    <t>范围WBS字典</t>
  </si>
  <si>
    <t>定义范围工作包、交付物和完成标准；计划日期和资源安排在计划与进度管理模块维护。</t>
  </si>
  <si>
    <t>WBS编码</t>
  </si>
  <si>
    <t>工作包名称</t>
  </si>
  <si>
    <t>工作内容</t>
  </si>
  <si>
    <t>主要交付物</t>
  </si>
  <si>
    <t>关联需求</t>
  </si>
  <si>
    <t>完成标准</t>
  </si>
  <si>
    <t>1.1</t>
  </si>
  <si>
    <t>模板与条款库</t>
  </si>
  <si>
    <t>完成合同类型、模板、条款和必填规则配置</t>
  </si>
  <si>
    <t>需求说明、原型、配置清单</t>
  </si>
  <si>
    <t>MS010</t>
  </si>
  <si>
    <t>验收样例通过</t>
  </si>
  <si>
    <t>1.2</t>
  </si>
  <si>
    <t>建设相对方主档、资质、联系人和风险标识</t>
  </si>
  <si>
    <t>需求说明、数据模型、接口说明</t>
  </si>
  <si>
    <t>主数据验证通过</t>
  </si>
  <si>
    <t>2.1</t>
  </si>
  <si>
    <t>合同起草与附件</t>
  </si>
  <si>
    <t>实现在线起草、版本比较和附件管理</t>
  </si>
  <si>
    <t>可测试功能、单元测试证据</t>
  </si>
  <si>
    <t>高级开发人员</t>
  </si>
  <si>
    <t>REQ-003,REQ-004</t>
  </si>
  <si>
    <t>P0功能及单测通过</t>
  </si>
  <si>
    <t>2.2</t>
  </si>
  <si>
    <t>合同规则审查</t>
  </si>
  <si>
    <t>建设必备条款和风险条款检查能力</t>
  </si>
  <si>
    <t>规则清单、审查报告样例</t>
  </si>
  <si>
    <t>规则命中结果准确</t>
  </si>
  <si>
    <t>2.3</t>
  </si>
  <si>
    <t>实现多角色审批路径、意见和留痕</t>
  </si>
  <si>
    <t>流程配置、审批记录</t>
  </si>
  <si>
    <t>端到端审批通过</t>
  </si>
  <si>
    <t>3.1</t>
  </si>
  <si>
    <t>集成电子签署并支持纸质签署登记</t>
  </si>
  <si>
    <t>接口、签署回执、验签证据</t>
  </si>
  <si>
    <t>REQ-007,REQ-008</t>
  </si>
  <si>
    <t>签署及异常场景通过</t>
  </si>
  <si>
    <t>4.1</t>
  </si>
  <si>
    <t>履约计划与预警</t>
  </si>
  <si>
    <t>实现履约计划、责任分配和预警闭环</t>
  </si>
  <si>
    <t>履约计划、预警记录</t>
  </si>
  <si>
    <t>REQ-009,REQ-010</t>
  </si>
  <si>
    <t>核心履约场景通过</t>
  </si>
  <si>
    <t>4.2</t>
  </si>
  <si>
    <t>收付款管理</t>
  </si>
  <si>
    <t>实现付款申请、收款跟踪和差异核对</t>
  </si>
  <si>
    <t>交易记录、对账报告</t>
  </si>
  <si>
    <t>REQ-011,REQ-012</t>
  </si>
  <si>
    <t>财务对账通过</t>
  </si>
  <si>
    <t>5.1</t>
  </si>
  <si>
    <t>实现变更申请、评审、补充协议和基线更新</t>
  </si>
  <si>
    <t>变更单、批准记录、版本</t>
  </si>
  <si>
    <t>REQ-013,REQ-014</t>
  </si>
  <si>
    <t>未批准变更无法生效</t>
  </si>
  <si>
    <t>5.2</t>
  </si>
  <si>
    <t>终止与关闭</t>
  </si>
  <si>
    <t>实现终止、解除、结算和关闭校验</t>
  </si>
  <si>
    <t>关闭清单、终止记录</t>
  </si>
  <si>
    <t>未结事项得到处置</t>
  </si>
  <si>
    <t>6.1</t>
  </si>
  <si>
    <t>形成完整归档包及检索授权能力</t>
  </si>
  <si>
    <t>归档包、检索验证记录</t>
  </si>
  <si>
    <t>完整性和权限验证通过</t>
  </si>
  <si>
    <t>7.1</t>
  </si>
  <si>
    <t>查询与分析</t>
  </si>
  <si>
    <t>建设综合查询、经营指标和主题报表</t>
  </si>
  <si>
    <t>报表清单、指标口径、验证报告</t>
  </si>
  <si>
    <t>REQ-017,REQ-018</t>
  </si>
  <si>
    <t>口径和权限验证通过</t>
  </si>
  <si>
    <t>8.1</t>
  </si>
  <si>
    <t>权限与审计</t>
  </si>
  <si>
    <t>实现角色、数据范围和审计日志</t>
  </si>
  <si>
    <t>权限矩阵、审计验证报告</t>
  </si>
  <si>
    <t>REQ-019,REQ-020</t>
  </si>
  <si>
    <t>越权与审计测试通过</t>
  </si>
  <si>
    <t>8.2</t>
  </si>
  <si>
    <t>系统接口</t>
  </si>
  <si>
    <t>完成主数据、财务及其他系统接口</t>
  </si>
  <si>
    <t>接口清单、联调与对账报告</t>
  </si>
  <si>
    <t>REQ-021,REQ-022</t>
  </si>
  <si>
    <t>联调、补偿、对账通过</t>
  </si>
  <si>
    <t>8.3</t>
  </si>
  <si>
    <t>非功能能力</t>
  </si>
  <si>
    <t>实现性能、容量、可用性、备份和容灾要求</t>
  </si>
  <si>
    <t>非功能方案、测试与演练报告</t>
  </si>
  <si>
    <t>REQ-023,REQ-024</t>
  </si>
  <si>
    <t>MS013</t>
  </si>
  <si>
    <t>量化指标验证通过</t>
  </si>
  <si>
    <t>需求基线批准后使用。填写变更内容和影响分析，由变更控制委员会决定是否更新基线。</t>
  </si>
  <si>
    <t>变更ID</t>
  </si>
  <si>
    <t>提出日期</t>
  </si>
  <si>
    <t>提出人</t>
  </si>
  <si>
    <t>变更类型</t>
  </si>
  <si>
    <t>关联需求/范围</t>
  </si>
  <si>
    <t>变更说明</t>
  </si>
  <si>
    <t>业务价值</t>
  </si>
  <si>
    <t>范围影响</t>
  </si>
  <si>
    <t>进度影响(天)</t>
  </si>
  <si>
    <t>成本影响(元)</t>
  </si>
  <si>
    <t>质量/风险影响</t>
  </si>
  <si>
    <t>评估负责人</t>
  </si>
  <si>
    <t>决策</t>
  </si>
  <si>
    <t>决策人</t>
  </si>
  <si>
    <t>决策日期</t>
  </si>
  <si>
    <t>基线更新状态</t>
  </si>
  <si>
    <t>字段</t>
  </si>
  <si>
    <t>值</t>
  </si>
  <si>
    <t>Project_ID</t>
  </si>
  <si>
    <t>ECM-2026</t>
  </si>
  <si>
    <t>项目名称</t>
  </si>
  <si>
    <t>模块编码</t>
  </si>
  <si>
    <t>03</t>
  </si>
  <si>
    <t>数据日期</t>
  </si>
  <si>
    <t>数据模式</t>
  </si>
  <si>
    <t>需求与范围基线草案</t>
  </si>
  <si>
    <t>P0需求数</t>
  </si>
  <si>
    <t>范围项数</t>
  </si>
  <si>
    <t>工作包数</t>
  </si>
  <si>
    <t>需求基线里程碑</t>
  </si>
  <si>
    <t>基线计划完成</t>
  </si>
  <si>
    <t>2026-11-30</t>
  </si>
  <si>
    <t>中央数据库</t>
  </si>
  <si>
    <t>../90_项目数据中心/ai_pmo.db</t>
  </si>
  <si>
    <t>外部系统接口清单</t>
  </si>
  <si>
    <t>来源：02合同系统2.0集成接口.xlsx。131条已有明细接口分级建议：P0 94条、P1 27条、P2 10条、暂不建设 0条；结论需联合评审批准。</t>
  </si>
  <si>
    <t>清单ID</t>
  </si>
  <si>
    <t>集成系统</t>
  </si>
  <si>
    <t>接口名称</t>
  </si>
  <si>
    <t>接口描述</t>
  </si>
  <si>
    <t>接口方向</t>
  </si>
  <si>
    <t>接口责任人</t>
  </si>
  <si>
    <t>规格状态</t>
  </si>
  <si>
    <t>测试状态</t>
  </si>
  <si>
    <t>备注</t>
  </si>
  <si>
    <t>IF-001</t>
  </si>
  <si>
    <t>大集中ERP</t>
  </si>
  <si>
    <t>CI11-合同信息传输接口</t>
  </si>
  <si>
    <t>合同签订完成后，将合同签订相关信息（含合同标的明细）推送到ERP系统，在ERP系统进行保存，ERP系统维护采购订单时，引用或校验合同信息（当需要由合同信息建立采购订单是引用合同信息，当手动维护采购订单时，校验合同信息）
[20231018ADD]对项目服务采购的合同信息，在ERP接受后，根据WBS的组织信息，自动匹配上对应的采购组织信息，并完成采购订单的自动创建。
已补充合同相对人银行信息相关字段</t>
  </si>
  <si>
    <t>合同系统推送大集中erp</t>
  </si>
  <si>
    <t>拟纳入一期</t>
  </si>
  <si>
    <t>规格台账已建立</t>
  </si>
  <si>
    <t>未开始</t>
  </si>
  <si>
    <t>AI评审建议：直接支撑合同、采购、预算、履约、结算、收付款或主数据核心链路；需业务、技术及外部系统责任人确认。</t>
  </si>
  <si>
    <t>IF-002</t>
  </si>
  <si>
    <t>CI12-采购订单创建信息同步接口</t>
  </si>
  <si>
    <t>ERP系统依据采购合同创建采购订单后，将采购订单相关信息传输给合同系统，合同管理系统保存合同与采购订单的关系和采购订单状态值，传采购订单号（先签框架协议合同，依据框架协议创建采购订单，采购订单记录框架协议号，传输合同系统，建立框架协议子合同，返回ERP更新采购订单中的合同号）</t>
  </si>
  <si>
    <t>大集中erp推送合同系统</t>
  </si>
  <si>
    <t>IF-003</t>
  </si>
  <si>
    <t>CI13-采购申请传输合同系统接口</t>
  </si>
  <si>
    <t>项目服务采购申请审批完成后，通过接口传输到合同系统，作为合同签约的依据，采购申请上传后采购申请状态被锁定，不能删除，合同系统成功接收采购申请后，回传信息，更新采购申请状态为已传输</t>
  </si>
  <si>
    <t>IF-004</t>
  </si>
  <si>
    <t>CI14-采购申请退回接口</t>
  </si>
  <si>
    <t>采购申请上传后，如需要进行修改使用采购申请退回接口，由合同系统退回采购申请到ERP系统，采购申请退回后，更新采购申请状态为：“已退回”ERP系统中采购申请解锁，并可以在修改后重新上传</t>
  </si>
  <si>
    <t>IF-005</t>
  </si>
  <si>
    <t>CI15-服务确认传输合同系统接口</t>
  </si>
  <si>
    <t>项目服务进度确认后，服务进度信息从ERP系统推送到合同系统，合同管理系统记录服务进度信息作为履约申请单的依据</t>
  </si>
  <si>
    <t>IF-006</t>
  </si>
  <si>
    <t>CI16-采购订单状态查询接口</t>
  </si>
  <si>
    <t>当采购订单进行变更时，合同系统通过此接口查询采购订单信息并进行校验，如果存在未结采购订单不能进行合同标的明细变更</t>
  </si>
  <si>
    <t>IF-007</t>
  </si>
  <si>
    <t>CI17-合同系统变更审批结果推送ERP系统（项目预算释放）</t>
  </si>
  <si>
    <t>带wbs号的变更申请，在合同系统变更审批完成后，通过此接口将信息传递到ERP系统，ERP系统接到接口信息进行采购订单变更</t>
  </si>
  <si>
    <t>IF-008</t>
  </si>
  <si>
    <t>CI18-采购订单退回ERP</t>
  </si>
  <si>
    <t>采购订单信息通过CI12接口传输合同系统后，如子合同审核未批准，删除子合同时传输信息到ERP系统</t>
  </si>
  <si>
    <t>IF-009</t>
  </si>
  <si>
    <t>CI19-合同变更申请信息推送ERP系统（项目预算占用）</t>
  </si>
  <si>
    <t>此接口为同步接口，带wbs号的变更申请，在合同系统提交变更审批时，调用ERP系统预算管控查询，如果变更申请不超过预算金额则可以提交，如果变更申请超过预算金额返回错误信息，错误信息包含超预算的行项目信息和金额，同时将变更信息更新到PR以占用预算</t>
  </si>
  <si>
    <t>IF-010</t>
  </si>
  <si>
    <t>CI22-合同解除接口</t>
  </si>
  <si>
    <t>合同解除状态推送大集中erp</t>
  </si>
  <si>
    <t>IF-011</t>
  </si>
  <si>
    <t>CI23-合同终止接口</t>
  </si>
  <si>
    <t>合同终止后结果发送到ERP系统，ERP系统不可以引用带有终止标记的合同</t>
  </si>
  <si>
    <t>IF-012</t>
  </si>
  <si>
    <t>CI25-销售订单状态查询接口</t>
  </si>
  <si>
    <t>在发起收入类合同变更前，查询ERP系统中销售订单的情况，入参：合同号，出参：合同号，订单号，订单状态描述等信息</t>
  </si>
  <si>
    <t>IF-013</t>
  </si>
  <si>
    <t>CI26-合同变更信息接口</t>
  </si>
  <si>
    <t>在合同系统完成合同变更流程审批通过后，推送到ERP系统，由ERP系统根据变更信息进行订单变更，采购订单，销售订单使用同一个合同变更接口，传输内容包括变更名明细和变更金额</t>
  </si>
  <si>
    <t>IF-014</t>
  </si>
  <si>
    <t>CI29-采购订单发票校验接口</t>
  </si>
  <si>
    <t>大集中erp系统将采购订单发票校验信息同步到合同系统</t>
  </si>
  <si>
    <t>IF-015</t>
  </si>
  <si>
    <t>CI31-销售订单出库单接口</t>
  </si>
  <si>
    <t>销售订单发货后，将销售订单出库记录传递给合同系统，需讨论是否需要，如果需要是否使用两层表结构</t>
  </si>
  <si>
    <t>候选优化</t>
  </si>
  <si>
    <t>P2</t>
  </si>
  <si>
    <t>待编制</t>
  </si>
  <si>
    <t>AI评审建议：业务价值和实现方式尚待确认；需业务、技术及外部系统责任人确认。</t>
  </si>
  <si>
    <t>IF-016</t>
  </si>
  <si>
    <t>CI32-项目WBS信息接口</t>
  </si>
  <si>
    <t>项目编码，项目名称，项目类型，wbs编码，wbs名称，MDG中的项目信息接口只包含T码，不包含WBS，此接口未WBS信息</t>
  </si>
  <si>
    <t>IF-017</t>
  </si>
  <si>
    <t>CI34-甲方与乙方的关系表</t>
  </si>
  <si>
    <t>内部/关联交易合同甲乙方合同信息关系</t>
  </si>
  <si>
    <t>拟纳入二期</t>
  </si>
  <si>
    <t>AI评审建议：重要辅助、查询或补偿能力，不阻断首批核心交易；需业务、技术及外部系统责任人确认。</t>
  </si>
  <si>
    <t>IF-018</t>
  </si>
  <si>
    <t>CI35-收入合同履约结构化信息传输接口</t>
  </si>
  <si>
    <t>合同系统履约申请单完成审批后，传输到资金模块作为收款依据，需补充提交</t>
  </si>
  <si>
    <t>IF-019</t>
  </si>
  <si>
    <t>CI37-采购订单子合同号返回接口</t>
  </si>
  <si>
    <t>适用于炼化产品框架协议+子合同的方案，依据框架协议建立采购订单后，采购订单推送到合同系统签署子合同，子合同签订完成后，合同信息同步到CI11接口，子合同与主合同的关系通过此接口同步到大集中ERP系统</t>
  </si>
  <si>
    <t>IF-020</t>
  </si>
  <si>
    <t>CI38-收入合同结算信息结构化</t>
  </si>
  <si>
    <t>收入合同履约计划审批完成后推送大集中erp系统</t>
  </si>
  <si>
    <t>IF-021</t>
  </si>
  <si>
    <t>CI42-入库单</t>
  </si>
  <si>
    <t>采购订单收货后，将采购订单入库记录传递给合同系统，使用两层表结构</t>
  </si>
  <si>
    <t>IF-022</t>
  </si>
  <si>
    <t>CI43-销售发票</t>
  </si>
  <si>
    <t>将发票校信息同步到合同系统</t>
  </si>
  <si>
    <t>IF-023</t>
  </si>
  <si>
    <t>CI44-支出合同履约信息数据接口</t>
  </si>
  <si>
    <t>合同系统履约申请单完成审批后，传输到资金模块作为付款依据</t>
  </si>
  <si>
    <t>IF-024</t>
  </si>
  <si>
    <t>CI45-合同付款信息表</t>
  </si>
  <si>
    <t>erp系统将付款信息同步到合同系统</t>
  </si>
  <si>
    <t>IF-025</t>
  </si>
  <si>
    <t>CI46-合同归档状态回转接口</t>
  </si>
  <si>
    <t>合同归档状态回转，将合同归档回转状态传送给ERP系统，ERP系统可以继续引用此合同</t>
  </si>
  <si>
    <t>IF-026</t>
  </si>
  <si>
    <t>CI47_合同文本查询接口（共享页面）</t>
  </si>
  <si>
    <t>发票校验时可以通过链接调用合同文本信息进行合同校验</t>
  </si>
  <si>
    <t>IF-027</t>
  </si>
  <si>
    <t>CI48-合同收款信息接口</t>
  </si>
  <si>
    <t>将收款信息同步到合同系统，预收款信息与此接口共享</t>
  </si>
  <si>
    <t>IF-028</t>
  </si>
  <si>
    <t>CI49-支出合同结算信息结构化</t>
  </si>
  <si>
    <t>支出合同履约计划审批完成后推送大集中erp系统</t>
  </si>
  <si>
    <t>IF-029</t>
  </si>
  <si>
    <t>CI74-合同履约分配接口</t>
  </si>
  <si>
    <t>合同履约分配信息推送大集中epr</t>
  </si>
  <si>
    <t>IF-030</t>
  </si>
  <si>
    <t>CI76-收入合同履约申请取消</t>
  </si>
  <si>
    <t>收入合同履约申报终止本次收款推送大集中erp</t>
  </si>
  <si>
    <t>IF-031</t>
  </si>
  <si>
    <t>CI77-支出合同履约取消</t>
  </si>
  <si>
    <t>支出合同履约申报终止本次付款推送大集中erp</t>
  </si>
  <si>
    <t>IF-032</t>
  </si>
  <si>
    <t>CI78-履约分配接口（新）</t>
  </si>
  <si>
    <t>IF-033</t>
  </si>
  <si>
    <t>CI1102_非合同2.0合同信息</t>
  </si>
  <si>
    <t>非2.0补录合同基本信息推送大集中erp</t>
  </si>
  <si>
    <t>AI评审建议：历史补录场景，建议在核心链路稳定后实施；需业务、技术及外部系统责任人确认。</t>
  </si>
  <si>
    <t>IF-034</t>
  </si>
  <si>
    <t>CI3801_补录收入合同结算信息结构化数据</t>
  </si>
  <si>
    <t>非2.0补录收入合同履约计划推送大集中erp</t>
  </si>
  <si>
    <t>IF-035</t>
  </si>
  <si>
    <t>CI4901_补录支出合同结算信息结构化数据</t>
  </si>
  <si>
    <t>非2.0补录支出合同履约计划推送大集中erp</t>
  </si>
  <si>
    <t>IF-036</t>
  </si>
  <si>
    <t>CI73-erp集成接口全局配置表分发接口</t>
  </si>
  <si>
    <t>erp全局单位八位码配置信息推送合同系统</t>
  </si>
  <si>
    <t>IF-037</t>
  </si>
  <si>
    <t>云梦泽</t>
  </si>
  <si>
    <t>CI01-采购订单传输接口</t>
  </si>
  <si>
    <t>ERP系统物资采购申请传输到电采系统2.0后，经过电采系统2.0进行采购寻源，生成的采购订单和电采采购订单，将电采采购订单传输到合同系统作为合同系统内合同申报的依据</t>
  </si>
  <si>
    <t>云梦泽推送合同系统</t>
  </si>
  <si>
    <t>AI评审建议：采购订单、标段、框架协议、合同和变更构成核心采购闭环；需业务、技术及外部系统责任人确认。</t>
  </si>
  <si>
    <t>IF-038</t>
  </si>
  <si>
    <t>CI0101-采购订单主数据</t>
  </si>
  <si>
    <t>采购订单主数据传输接口</t>
  </si>
  <si>
    <t>IF-039</t>
  </si>
  <si>
    <t>CI0102-采购订单行项目</t>
  </si>
  <si>
    <t>采购订单行项目传输接口</t>
  </si>
  <si>
    <t>IF-040</t>
  </si>
  <si>
    <t>CI02-合同信息回传接口</t>
  </si>
  <si>
    <t>支出物资买卖合同签约后，合同信息通过接口回传到电子采购系统2.0，电采系统2.0将合同信息记录于电采系统2.0采购订单中，通过与电采与ERP订单接口，将合同编号传输ERP系统</t>
  </si>
  <si>
    <t>合同系统推送云梦泽</t>
  </si>
  <si>
    <t>IF-041</t>
  </si>
  <si>
    <t>CI03-采购订单退回电采接口电采</t>
  </si>
  <si>
    <t>电采采购订单发送到合同系统后，如果合同审批未通过，通过合同系统触发退回电采系统</t>
  </si>
  <si>
    <t>AI评审建议：异常退回属于重要补偿能力，可与核心正向链路分批交付；需业务、技术及外部系统责任人确认。</t>
  </si>
  <si>
    <t>IF-042</t>
  </si>
  <si>
    <t>CI71-电销合同信息推送</t>
  </si>
  <si>
    <t>收入物资买卖合同签订完成后推送云梦泽电销系统</t>
  </si>
  <si>
    <t>IF-043</t>
  </si>
  <si>
    <t>CMS_YMZP_FORWARD_ASYNC_03_BPO退回云梦泽接口</t>
  </si>
  <si>
    <t>云梦泽传输到合同系统的框架协议订单在未签订合同前可通过此接口可退回云梦泽系统</t>
  </si>
  <si>
    <t>IF-044</t>
  </si>
  <si>
    <t>CMS_YMZP_FORWARD_ASYNC_05_合同终止状态传输云梦泽</t>
  </si>
  <si>
    <t>合同终止后结果发送到云梦泽系统</t>
  </si>
  <si>
    <t>IF-045</t>
  </si>
  <si>
    <t>CMS_YMZP_FORWARD_SYNC_01_合同获取云梦泽用户登录信息</t>
  </si>
  <si>
    <t>合同系统跳转云梦泽界面Token获取接口</t>
  </si>
  <si>
    <t>合同系统调取云梦泽</t>
  </si>
  <si>
    <t>AI评审建议：单点跳转体验不阻断核心采购合同闭环；需业务、技术及外部系统责任人确认。</t>
  </si>
  <si>
    <t>IF-046</t>
  </si>
  <si>
    <t>CMS_YMZP_REVERSE_ASYNC_0101-工程服务成交中标结果传输接口</t>
  </si>
  <si>
    <t>云梦泽标段主信息传输接口</t>
  </si>
  <si>
    <t>IF-047</t>
  </si>
  <si>
    <t>CMS_YMZP_REVERSE_ASYNC_0102-工程服务成交中标结果采购申请行项目传输接口</t>
  </si>
  <si>
    <t>云梦泽标段行项目信息传输接口</t>
  </si>
  <si>
    <t>IF-048</t>
  </si>
  <si>
    <t>CMS_YMZP_REVERSE_ASYNC_0201-BPO框架协议数据接收（主数据）</t>
  </si>
  <si>
    <t>云梦泽框架协议订单主数据信息传输接口</t>
  </si>
  <si>
    <t>IF-049</t>
  </si>
  <si>
    <t>CMS_YMZP_REVERSE_ASYNC_0201-BPO框架协议数据接收（行信息）</t>
  </si>
  <si>
    <t>云梦泽框架协议订单行信息传输接口</t>
  </si>
  <si>
    <t>IF-050</t>
  </si>
  <si>
    <t>CI72-合同解除</t>
  </si>
  <si>
    <t>合同解除信息推送云梦泽系统</t>
  </si>
  <si>
    <t>IF-051</t>
  </si>
  <si>
    <t>CMS_YMZP_FORWARD_ASYNC_02工程服务成交中标结果退回</t>
  </si>
  <si>
    <t>云梦泽标段退回接口</t>
  </si>
  <si>
    <t>IF-052</t>
  </si>
  <si>
    <t>CMS_YMZP_FORWARD_ASYNC_01合同信息传输</t>
  </si>
  <si>
    <t>合同申报关联云梦泽标包合同数据通过此接口推送至云梦泽</t>
  </si>
  <si>
    <t>IF-053</t>
  </si>
  <si>
    <t>CMS_YMZP_FORWARD_ASYNC_04合同变更推送接口</t>
  </si>
  <si>
    <t>关联云梦泽标包合同数据进行合同变更后通过此接口将变更结果推送至云梦泽</t>
  </si>
  <si>
    <t>IF-054</t>
  </si>
  <si>
    <t>昆仑ERP</t>
  </si>
  <si>
    <t>合同系统推送昆仑erp</t>
  </si>
  <si>
    <t>IF-055</t>
  </si>
  <si>
    <t>昆仑erp推送合同系统</t>
  </si>
  <si>
    <t>IF-056</t>
  </si>
  <si>
    <t>IF-057</t>
  </si>
  <si>
    <t>IF-058</t>
  </si>
  <si>
    <t>IF-059</t>
  </si>
  <si>
    <t>IF-060</t>
  </si>
  <si>
    <t>IF-061</t>
  </si>
  <si>
    <t>IF-062</t>
  </si>
  <si>
    <t>IF-063</t>
  </si>
  <si>
    <t>合同解除状态推送昆仑erp</t>
  </si>
  <si>
    <t>IF-064</t>
  </si>
  <si>
    <t>IF-065</t>
  </si>
  <si>
    <t>IF-066</t>
  </si>
  <si>
    <t>IF-067</t>
  </si>
  <si>
    <t>昆仑erp系统将采购订单发票校验信息同步到合同系统</t>
  </si>
  <si>
    <t>IF-068</t>
  </si>
  <si>
    <t>IF-069</t>
  </si>
  <si>
    <t>IF-070</t>
  </si>
  <si>
    <t>IF-071</t>
  </si>
  <si>
    <t>IF-072</t>
  </si>
  <si>
    <t>适用于炼化产品框架协议+子合同的方案，依据框架协议建立采购订单后，采购订单推送到合同系统签署子合同，子合同签订完成后，合同信息同步到CI11接口，子合同与主合同的关系通过此接口同步到昆仑erp系统</t>
  </si>
  <si>
    <t>IF-073</t>
  </si>
  <si>
    <t>收入合同履约计划审批完成后推送昆仑erp系统</t>
  </si>
  <si>
    <t>IF-074</t>
  </si>
  <si>
    <t>IF-075</t>
  </si>
  <si>
    <t>IF-076</t>
  </si>
  <si>
    <t>IF-077</t>
  </si>
  <si>
    <t>IF-078</t>
  </si>
  <si>
    <t>IF-079</t>
  </si>
  <si>
    <t>IF-080</t>
  </si>
  <si>
    <t>IF-081</t>
  </si>
  <si>
    <t>支出合同履约计划审批完成后推送昆仑erp系统</t>
  </si>
  <si>
    <t>IF-082</t>
  </si>
  <si>
    <t>IF-083</t>
  </si>
  <si>
    <t>收入合同履约申报终止本次收款推送昆仑erp</t>
  </si>
  <si>
    <t>IF-084</t>
  </si>
  <si>
    <t>支出合同履约申报终止本次付款推送昆仑erp</t>
  </si>
  <si>
    <t>IF-085</t>
  </si>
  <si>
    <t>IF-086</t>
  </si>
  <si>
    <t>非2.0补录合同基本信息推送昆仑erp</t>
  </si>
  <si>
    <t>IF-087</t>
  </si>
  <si>
    <t>非2.0补录收入合同履约计划推送昆仑erp</t>
  </si>
  <si>
    <t>IF-088</t>
  </si>
  <si>
    <t>非2.0补录支出合同履约计划推送昆仑erp</t>
  </si>
  <si>
    <t>IF-089</t>
  </si>
  <si>
    <t>IF-090</t>
  </si>
  <si>
    <t>财务共享</t>
  </si>
  <si>
    <t>财务共享CI1101拉取接口</t>
  </si>
  <si>
    <t>财务共享系统通过此接口来拉取合同系统2.0合同数据</t>
  </si>
  <si>
    <t>财务共享调取合同系统</t>
  </si>
  <si>
    <t>AI评审建议：直接支撑履约、收付款及财务共享核验；需业务、技术及外部系统责任人确认。</t>
  </si>
  <si>
    <t>IF-091</t>
  </si>
  <si>
    <t>财务共享CI4401查询接口</t>
  </si>
  <si>
    <t>财务共享系统通过此接口来查询合同系统2.0合同履约接口</t>
  </si>
  <si>
    <t>IF-092</t>
  </si>
  <si>
    <t>财务共享非2.0合同信息拉取接口</t>
  </si>
  <si>
    <t>财务共享系统通过此接口来拉取合同系统2.0的补录合同信息数据</t>
  </si>
  <si>
    <t>IF-093</t>
  </si>
  <si>
    <t>CI36合同履约单版式文件获取接口</t>
  </si>
  <si>
    <t>财务共享系统通过此接口来拉取合同系统2.0合同履约接口</t>
  </si>
  <si>
    <t>IF-094</t>
  </si>
  <si>
    <t>共享页面</t>
  </si>
  <si>
    <t>财务共享系统通过此接口来查看合同界面信息</t>
  </si>
  <si>
    <t>IF-095</t>
  </si>
  <si>
    <t>财务共享系统获取合同系统token</t>
  </si>
  <si>
    <t>IF-096</t>
  </si>
  <si>
    <t>合同基本信息</t>
  </si>
  <si>
    <t>合同签订完成后，合同签订信息推送财务共享</t>
  </si>
  <si>
    <t>合同系统推送财务共享</t>
  </si>
  <si>
    <t>IF-097</t>
  </si>
  <si>
    <t>推送履约申报（支出）</t>
  </si>
  <si>
    <t>推送合同履约申报信息</t>
  </si>
  <si>
    <t>IF-098</t>
  </si>
  <si>
    <t>推送履约付款确认（支出）</t>
  </si>
  <si>
    <t>支出合同付款确认信息推送财务共享</t>
  </si>
  <si>
    <t>IF-099</t>
  </si>
  <si>
    <t>推送履约申报（收入）</t>
  </si>
  <si>
    <t>收入合同履约信息推送财务共享</t>
  </si>
  <si>
    <t>IF-100</t>
  </si>
  <si>
    <t>档案系统</t>
  </si>
  <si>
    <t>合同签订信息推送</t>
  </si>
  <si>
    <t>合同签订完成后，合同签订信息推送档案系统</t>
  </si>
  <si>
    <t>合同推送档案系统</t>
  </si>
  <si>
    <t>AI评审建议：合同签订、变更、终止和履约归档属于合规闭环；需业务、技术及外部系统责任人确认。</t>
  </si>
  <si>
    <t>IF-101</t>
  </si>
  <si>
    <t>合同终止后将状态推送档案系统</t>
  </si>
  <si>
    <t>IF-102</t>
  </si>
  <si>
    <t>IF-103</t>
  </si>
  <si>
    <t>支出合同付款确认信息推送档案系统</t>
  </si>
  <si>
    <t>IF-104</t>
  </si>
  <si>
    <t>收入合同履约信息推送档案系统</t>
  </si>
  <si>
    <t>IF-105</t>
  </si>
  <si>
    <t>推送履约变更</t>
  </si>
  <si>
    <t>合同变更信息推送档案系统</t>
  </si>
  <si>
    <t>IF-106</t>
  </si>
  <si>
    <t>推送履约解除</t>
  </si>
  <si>
    <t>合同解除状态推送档案系统</t>
  </si>
  <si>
    <t>IF-107</t>
  </si>
  <si>
    <t>IAM</t>
  </si>
  <si>
    <t>员工编号</t>
  </si>
  <si>
    <t>合同系统通过此接口获取IAM员工编号信息</t>
  </si>
  <si>
    <t>合同系统调取IAM</t>
  </si>
  <si>
    <t>AI评审建议：身份映射是登录、权限和审计的前置条件；需业务、技术及外部系统责任人确认。</t>
  </si>
  <si>
    <t>IF-108</t>
  </si>
  <si>
    <t>工程建设EPM</t>
  </si>
  <si>
    <t>合同信息推送</t>
  </si>
  <si>
    <t>建设工程类合同签订完成后推送合同基本信息（建设工程合同全部推送EPM，包括：支出、收入、不涉及）</t>
  </si>
  <si>
    <t>合同系统推送epm</t>
  </si>
  <si>
    <t>AI评审建议：建设工程合同和承包商资质校验属于核心控制；需业务、技术及外部系统责任人确认。</t>
  </si>
  <si>
    <t>IF-109</t>
  </si>
  <si>
    <t>调用工程承包商资质状态查询接口</t>
  </si>
  <si>
    <t>资金渠道（投资）、集团投资项目（是）、合同一级类别（建设工程合同）、二级类别（勘察、设计、施工、监理、咨询、总承包、无损检测）。
调用接口传输数据：资金渠道、集团投资项目、合同一级类别、二级类别、合同相对人MDG往来单位编码、统一社会信用代码</t>
  </si>
  <si>
    <t>合同系统调用EPM</t>
  </si>
  <si>
    <t>IF-110</t>
  </si>
  <si>
    <t>工程承包商查询</t>
  </si>
  <si>
    <t>AI评审建议：通用查询能力可在核心资质校验后完善；需业务、技术及外部系统责任人确认。</t>
  </si>
  <si>
    <t>IF-111</t>
  </si>
  <si>
    <t>工程承包商查询下载</t>
  </si>
  <si>
    <t>AI评审建议：查询下载属于辅助能力；需业务、技术及外部系统责任人确认。</t>
  </si>
  <si>
    <t>IF-112</t>
  </si>
  <si>
    <t>MDG</t>
  </si>
  <si>
    <t>CI50-物料明细</t>
  </si>
  <si>
    <t>物料主数据传输接口，合同系统接收主数据相关的物料数据信息，只要物料主数据已经建立了，就可以签署合同，合同系统不负责ERP端业务视图的校验</t>
  </si>
  <si>
    <t>MDG推送合同系统</t>
  </si>
  <si>
    <t>AI评审建议：组织、人员、往来单位、物料、服务、项目及财务主数据是核心前置；需业务、技术及外部系统责任人确认。</t>
  </si>
  <si>
    <t>IF-113</t>
  </si>
  <si>
    <t>CI51-MDG物料-分类</t>
  </si>
  <si>
    <t>物料分类数据</t>
  </si>
  <si>
    <t>IF-114</t>
  </si>
  <si>
    <t>CI52-基础数据-往来单位</t>
  </si>
  <si>
    <t>往来单位客户、供应商、承包商、服务商、自然人都包含在此接口，个人供应商使用身份证号，员工使用HRID，供应商、承包商、服务商与客户接口的字段相同，使用CI52</t>
  </si>
  <si>
    <t>IF-115</t>
  </si>
  <si>
    <t>CI53_服务主数据</t>
  </si>
  <si>
    <t>服务主数据传输接口，合同系统接收主数据相关的服务数据信息，只要服务主数据已经建立了，就可以签署合同，合同系统不负责ERP端业务视图的校验</t>
  </si>
  <si>
    <t>IF-116</t>
  </si>
  <si>
    <t>CI56-MDG组织单元-组织机构-v02 数据接收</t>
  </si>
  <si>
    <t>8位标准组织机构代码</t>
  </si>
  <si>
    <t>IF-117</t>
  </si>
  <si>
    <t>CI57-MDG组织单元-组织机构-公司代码</t>
  </si>
  <si>
    <t>大集中ERP中的公司代码，接口包括8位标准组织结构代码和4位公司代码</t>
  </si>
  <si>
    <t>IF-118</t>
  </si>
  <si>
    <t>CI58-基础数据-计量单位</t>
  </si>
  <si>
    <t>合同管理系统接收MDM平台发布的计量单位信息</t>
  </si>
  <si>
    <t>IF-119</t>
  </si>
  <si>
    <t>CI59-基础数据-币种</t>
  </si>
  <si>
    <t>合同管理系统接收MDM平台发布的币种信息</t>
  </si>
  <si>
    <t>IF-120</t>
  </si>
  <si>
    <t>CI60-基础数据-投资项目信息接收</t>
  </si>
  <si>
    <t>投资项目信息到T码，不包含WBS信息</t>
  </si>
  <si>
    <t>IF-121</t>
  </si>
  <si>
    <t>CI62-基础数据-设备分类技术参数接收</t>
  </si>
  <si>
    <t>设备分类技术参数数据</t>
  </si>
  <si>
    <t>AI评审建议：专业主数据，可在合同核心主数据之后接入；需业务、技术及外部系统责任人确认。</t>
  </si>
  <si>
    <t>IF-122</t>
  </si>
  <si>
    <t>CI63-服务分类主数据接口</t>
  </si>
  <si>
    <t>MDG基础数据-服务分类</t>
  </si>
  <si>
    <t>AI评审建议：分类扩展数据不阻断核心合同流程；需业务、技术及外部系统责任人确认。</t>
  </si>
  <si>
    <t>IF-123</t>
  </si>
  <si>
    <t>CI91-项目类型数据接收</t>
  </si>
  <si>
    <t>项目类型信息</t>
  </si>
  <si>
    <t>IF-124</t>
  </si>
  <si>
    <t>CI92-04-MDG组织单元-组织机构-利润中心数据接收</t>
  </si>
  <si>
    <t>MDG组织单元-组织机构-利润中心</t>
  </si>
  <si>
    <t>IF-125</t>
  </si>
  <si>
    <t>CI93-05-MDG组织单元-组织机构-成本中心数据接收</t>
  </si>
  <si>
    <t>MDG组织单元-组织机构-成本中心</t>
  </si>
  <si>
    <t>IF-126</t>
  </si>
  <si>
    <t>CI94-06-MDG 基础数据-核算维度 数据接收</t>
  </si>
  <si>
    <t>MDG基础数据-核算维度</t>
  </si>
  <si>
    <t>IF-127</t>
  </si>
  <si>
    <t>CI95-06-MDG基础数据-会计科目数据接收</t>
  </si>
  <si>
    <t>MDG基础数据-会计科目</t>
  </si>
  <si>
    <t>IF-128</t>
  </si>
  <si>
    <t>CI96-MDG基础数据-设备分类数据接收</t>
  </si>
  <si>
    <t>设备分类数据</t>
  </si>
  <si>
    <t>IF-129</t>
  </si>
  <si>
    <t>CI97-基础数据-银行数据接收</t>
  </si>
  <si>
    <t>由MDG系统进行分发，合同系统接收银行数据</t>
  </si>
  <si>
    <t>IF-130</t>
  </si>
  <si>
    <t>CI98-资产目录数据接收</t>
  </si>
  <si>
    <t>MDG资产目录</t>
  </si>
  <si>
    <t>IF-131</t>
  </si>
  <si>
    <t>CI99-01-MDG员工模型</t>
  </si>
  <si>
    <t>MDG综合编码</t>
  </si>
  <si>
    <t>接口联合评审与责任矩阵</t>
  </si>
  <si>
    <t>覆盖37个集成系统。黄色字段需由合同系统、外部系统和业务共同确认；评审结论未批准前不得视为正式范围基线。</t>
  </si>
  <si>
    <t>系统ID</t>
  </si>
  <si>
    <t>明细状态</t>
  </si>
  <si>
    <t>接口总数</t>
  </si>
  <si>
    <t>建议范围</t>
  </si>
  <si>
    <t>合同系统负责人</t>
  </si>
  <si>
    <t>外部系统负责人</t>
  </si>
  <si>
    <t>业务确认人</t>
  </si>
  <si>
    <t>最迟确认日期</t>
  </si>
  <si>
    <t>评审状态</t>
  </si>
  <si>
    <t>评审结论</t>
  </si>
  <si>
    <t>未决问题</t>
  </si>
  <si>
    <t>证据/备注</t>
  </si>
  <si>
    <t>SYS-001</t>
  </si>
  <si>
    <t>已有接口明细</t>
  </si>
  <si>
    <t>一期+后续批次</t>
  </si>
  <si>
    <t>待外部系统指定</t>
  </si>
  <si>
    <t>财务/采购业务负责人</t>
  </si>
  <si>
    <t>待评审</t>
  </si>
  <si>
    <t>确认P0边界、责任人、规格和联调窗口</t>
  </si>
  <si>
    <t>来源：02合同系统2.0集成接口.xlsx；联合评审后形成批准结论</t>
  </si>
  <si>
    <t>SYS-002</t>
  </si>
  <si>
    <t>SYS-003</t>
  </si>
  <si>
    <t>采购业务负责人</t>
  </si>
  <si>
    <t>SYS-004</t>
  </si>
  <si>
    <t>税务系统</t>
  </si>
  <si>
    <t>接口明细待补充</t>
  </si>
  <si>
    <t>补充接口清单、业务场景、方向和责任人</t>
  </si>
  <si>
    <t>SYS-005</t>
  </si>
  <si>
    <t>档案业务负责人</t>
  </si>
  <si>
    <t>SYS-006</t>
  </si>
  <si>
    <t>SYS-007</t>
  </si>
  <si>
    <t>国资监管平台</t>
  </si>
  <si>
    <t>对应业务系统负责人</t>
  </si>
  <si>
    <t>SYS-008</t>
  </si>
  <si>
    <t>数据/信息化负责人</t>
  </si>
  <si>
    <t>SYS-009</t>
  </si>
  <si>
    <t>工程业务负责人</t>
  </si>
  <si>
    <t>SYS-010</t>
  </si>
  <si>
    <t>采油与地面工程运行管理系统（A5)</t>
  </si>
  <si>
    <t>SYS-011</t>
  </si>
  <si>
    <t>客户关系CRM</t>
  </si>
  <si>
    <t>SYS-012</t>
  </si>
  <si>
    <t>资金管理(中间库)</t>
  </si>
  <si>
    <t>SYS-013</t>
  </si>
  <si>
    <t>数据仓库</t>
  </si>
  <si>
    <t>SYS-014</t>
  </si>
  <si>
    <t>SYS-015</t>
  </si>
  <si>
    <t>司库平台</t>
  </si>
  <si>
    <t>SYS-016</t>
  </si>
  <si>
    <t>短信平台</t>
  </si>
  <si>
    <t>SYS-017</t>
  </si>
  <si>
    <t>移动办公</t>
  </si>
  <si>
    <t>SYS-018</t>
  </si>
  <si>
    <t>电子邮件</t>
  </si>
  <si>
    <t>SYS-019</t>
  </si>
  <si>
    <t>租赁管理系统</t>
  </si>
  <si>
    <t>SYS-020</t>
  </si>
  <si>
    <t>总部用户平台</t>
  </si>
  <si>
    <t>SYS-021</t>
  </si>
  <si>
    <t>审计管理系统</t>
  </si>
  <si>
    <t>SYS-022</t>
  </si>
  <si>
    <t>联合监督平台</t>
  </si>
  <si>
    <t>SYS-023</t>
  </si>
  <si>
    <t>先锋系统（自建系统）</t>
  </si>
  <si>
    <t>SYS-024</t>
  </si>
  <si>
    <t>中油技开（自建ERP系统）</t>
  </si>
  <si>
    <t>SYS-025</t>
  </si>
  <si>
    <t>塔里木油田业财平台和市场平台（自建系统）</t>
  </si>
  <si>
    <t>SYS-026</t>
  </si>
  <si>
    <t>长庆油田三商系统和业财系统（自建系统）</t>
  </si>
  <si>
    <t>SYS-027</t>
  </si>
  <si>
    <t>运输公司物流平台（自建系统）</t>
  </si>
  <si>
    <t>SYS-028</t>
  </si>
  <si>
    <t>勘探院（自建系统）</t>
  </si>
  <si>
    <t>SYS-029</t>
  </si>
  <si>
    <t>大港油田（自建系统）</t>
  </si>
  <si>
    <t>SYS-030</t>
  </si>
  <si>
    <t>长庆石化（自建系统）</t>
  </si>
  <si>
    <t>SYS-031</t>
  </si>
  <si>
    <t>大庆炼化（自建系统）</t>
  </si>
  <si>
    <t>SYS-032</t>
  </si>
  <si>
    <t>华北油田（自建系统）</t>
  </si>
  <si>
    <t>SYS-033</t>
  </si>
  <si>
    <t>信息化平台</t>
  </si>
  <si>
    <t>SYS-034</t>
  </si>
  <si>
    <t>纠纷系统2.0</t>
  </si>
  <si>
    <t>SYS-035</t>
  </si>
  <si>
    <t>西南油气田（自建系统）</t>
  </si>
  <si>
    <t>SYS-036</t>
  </si>
  <si>
    <t>中油工程（自建系统）</t>
  </si>
  <si>
    <t>SYS-037</t>
  </si>
  <si>
    <t>加管3.0</t>
  </si>
  <si>
    <t>P0接口规格准备台账</t>
  </si>
  <si>
    <t>共94条P0接口。参考资料仅提供接口名称、描述和方向；黄色字段必须由相关责任人补充并通过评审，禁止将“待确认”直接作为设计基线。</t>
  </si>
  <si>
    <t>规格ID</t>
  </si>
  <si>
    <t>业务描述</t>
  </si>
  <si>
    <t>源系统</t>
  </si>
  <si>
    <t>目标系统</t>
  </si>
  <si>
    <t>交互模式</t>
  </si>
  <si>
    <t>调用频率</t>
  </si>
  <si>
    <t>关键字段</t>
  </si>
  <si>
    <t>鉴权方式</t>
  </si>
  <si>
    <t>幂等键</t>
  </si>
  <si>
    <t>超时/重试</t>
  </si>
  <si>
    <t>异常补偿</t>
  </si>
  <si>
    <t>对账规则</t>
  </si>
  <si>
    <t>数据敏感级别</t>
  </si>
  <si>
    <t>计划评审日期</t>
  </si>
  <si>
    <t>SPEC-001</t>
  </si>
  <si>
    <t>合同系统</t>
  </si>
  <si>
    <t>待业务确认</t>
  </si>
  <si>
    <t>待补充字段清单</t>
  </si>
  <si>
    <t>重要业务数据</t>
  </si>
  <si>
    <t>由合同系统、外部系统、业务和测试联合评审</t>
  </si>
  <si>
    <t>SPEC-002</t>
  </si>
  <si>
    <t>SPEC-003</t>
  </si>
  <si>
    <t>SPEC-004</t>
  </si>
  <si>
    <t>SPEC-005</t>
  </si>
  <si>
    <t>SPEC-006</t>
  </si>
  <si>
    <t>同步（待确认）</t>
  </si>
  <si>
    <t>SPEC-007</t>
  </si>
  <si>
    <t>SPEC-008</t>
  </si>
  <si>
    <t>SPEC-009</t>
  </si>
  <si>
    <t>SPEC-010</t>
  </si>
  <si>
    <t>SPEC-011</t>
  </si>
  <si>
    <t>SPEC-012</t>
  </si>
  <si>
    <t>SPEC-013</t>
  </si>
  <si>
    <t>SPEC-014</t>
  </si>
  <si>
    <t>SPEC-015</t>
  </si>
  <si>
    <t>SPEC-016</t>
  </si>
  <si>
    <t>SPEC-017</t>
  </si>
  <si>
    <t>SPEC-018</t>
  </si>
  <si>
    <t>SPEC-019</t>
  </si>
  <si>
    <t>SPEC-020</t>
  </si>
  <si>
    <t>SPEC-021</t>
  </si>
  <si>
    <t>SPEC-022</t>
  </si>
  <si>
    <t>SPEC-023</t>
  </si>
  <si>
    <t>SPEC-024</t>
  </si>
  <si>
    <t>内部业务数据</t>
  </si>
  <si>
    <t>SPEC-025</t>
  </si>
  <si>
    <t>SPEC-026</t>
  </si>
  <si>
    <t>SPEC-027</t>
  </si>
  <si>
    <t>SPEC-028</t>
  </si>
  <si>
    <t>SPEC-029</t>
  </si>
  <si>
    <t>异步</t>
  </si>
  <si>
    <t>SPEC-030</t>
  </si>
  <si>
    <t>SPEC-031</t>
  </si>
  <si>
    <t>SPEC-032</t>
  </si>
  <si>
    <t>SPEC-033</t>
  </si>
  <si>
    <t>SPEC-034</t>
  </si>
  <si>
    <t>SPEC-035</t>
  </si>
  <si>
    <t>SPEC-036</t>
  </si>
  <si>
    <t>SPEC-037</t>
  </si>
  <si>
    <t>SPEC-038</t>
  </si>
  <si>
    <t>SPEC-039</t>
  </si>
  <si>
    <t>SPEC-040</t>
  </si>
  <si>
    <t>SPEC-041</t>
  </si>
  <si>
    <t>SPEC-042</t>
  </si>
  <si>
    <t>SPEC-043</t>
  </si>
  <si>
    <t>SPEC-044</t>
  </si>
  <si>
    <t>SPEC-045</t>
  </si>
  <si>
    <t>SPEC-046</t>
  </si>
  <si>
    <t>SPEC-047</t>
  </si>
  <si>
    <t>SPEC-048</t>
  </si>
  <si>
    <t>SPEC-049</t>
  </si>
  <si>
    <t>SPEC-050</t>
  </si>
  <si>
    <t>SPEC-051</t>
  </si>
  <si>
    <t>SPEC-052</t>
  </si>
  <si>
    <t>SPEC-053</t>
  </si>
  <si>
    <t>SPEC-054</t>
  </si>
  <si>
    <t>SPEC-055</t>
  </si>
  <si>
    <t>SPEC-056</t>
  </si>
  <si>
    <t>SPEC-057</t>
  </si>
  <si>
    <t>SPEC-058</t>
  </si>
  <si>
    <t>SPEC-059</t>
  </si>
  <si>
    <t>SPEC-060</t>
  </si>
  <si>
    <t>SPEC-061</t>
  </si>
  <si>
    <t>SPEC-062</t>
  </si>
  <si>
    <t>SPEC-063</t>
  </si>
  <si>
    <t>SPEC-064</t>
  </si>
  <si>
    <t>SPEC-065</t>
  </si>
  <si>
    <t>SPEC-066</t>
  </si>
  <si>
    <t>SPEC-067</t>
  </si>
  <si>
    <t>SPEC-068</t>
  </si>
  <si>
    <t>SPEC-069</t>
  </si>
  <si>
    <t>敏感合同文档</t>
  </si>
  <si>
    <t>SPEC-070</t>
  </si>
  <si>
    <t>SPEC-071</t>
  </si>
  <si>
    <t>SPEC-072</t>
  </si>
  <si>
    <t>SPEC-073</t>
  </si>
  <si>
    <t>SPEC-074</t>
  </si>
  <si>
    <t>SPEC-075</t>
  </si>
  <si>
    <t>SPEC-076</t>
  </si>
  <si>
    <t>身份与权限数据</t>
  </si>
  <si>
    <t>SPEC-077</t>
  </si>
  <si>
    <t>SPEC-078</t>
  </si>
  <si>
    <t>SPEC-079</t>
  </si>
  <si>
    <t>SPEC-080</t>
  </si>
  <si>
    <t>SPEC-081</t>
  </si>
  <si>
    <t>SPEC-082</t>
  </si>
  <si>
    <t>SPEC-083</t>
  </si>
  <si>
    <t>SPEC-084</t>
  </si>
  <si>
    <t>SPEC-085</t>
  </si>
  <si>
    <t>SPEC-086</t>
  </si>
  <si>
    <t>SPEC-087</t>
  </si>
  <si>
    <t>SPEC-088</t>
  </si>
  <si>
    <t>SPEC-089</t>
  </si>
  <si>
    <t>SPEC-090</t>
  </si>
  <si>
    <t>SPEC-091</t>
  </si>
  <si>
    <t>SPEC-092</t>
  </si>
  <si>
    <t>SPEC-093</t>
  </si>
  <si>
    <t>SPEC-094</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</si>
</sst>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 numFmtId="177" formatCode="#,##0.0"/>
  </numFmts>
  <fonts count="31">
    <font>
      <sz val="11"/>
      <name val="Carlito"/>
      <charset val="134"/>
    </font>
    <font>
      <b/>
      <sz val="15"/>
      <color rgb="FFFFFFFF"/>
      <name val="Arial"/>
      <charset val="134"/>
    </font>
    <font>
      <i/>
      <sz val="10"/>
      <color rgb="FF667788"/>
      <name val="Arial"/>
      <charset val="134"/>
    </font>
    <font>
      <b/>
      <sz val="10"/>
      <color rgb="FF1F4E78"/>
      <name val="Arial"/>
      <charset val="134"/>
    </font>
    <font>
      <sz val="10"/>
      <color rgb="FF404040"/>
      <name val="Arial"/>
      <charset val="134"/>
    </font>
    <font>
      <b/>
      <sz val="10"/>
      <color rgb="FFFFFFFF"/>
      <name val="Arial"/>
      <charset val="134"/>
    </font>
    <font>
      <sz val="10"/>
      <color rgb="FF243447"/>
      <name val="Arial"/>
      <charset val="134"/>
    </font>
    <font>
      <b/>
      <sz val="15"/>
      <color rgb="FF1F4E78"/>
      <name val="Arial"/>
      <charset val="134"/>
    </font>
    <font>
      <b/>
      <sz val="10"/>
      <color rgb="FF243447"/>
      <name val="Arial"/>
      <charset val="134"/>
    </font>
    <font>
      <b/>
      <sz val="16"/>
      <color rgb="FF1F4E78"/>
      <name val="Arial"/>
      <charset val="134"/>
    </font>
    <font>
      <i/>
      <sz val="10"/>
      <color rgb="FF666666"/>
      <name val="Arial"/>
      <charset val="134"/>
    </font>
    <font>
      <b/>
      <sz val="11"/>
      <color rgb="FF1F4E78"/>
      <name val="Arial"/>
      <charset val="134"/>
    </font>
    <font>
      <sz val="11"/>
      <color theme="1"/>
      <name val="Calibri"/>
      <charset val="134"/>
    </font>
    <font>
      <sz val="11"/>
      <color rgb="FF0000FF"/>
      <name val="Calibri"/>
      <charset val="134"/>
    </font>
    <font>
      <sz val="11"/>
      <color rgb="FF800080"/>
      <name val="Calibri"/>
      <charset val="134"/>
    </font>
    <font>
      <sz val="11"/>
      <color rgb="FFFF0000"/>
      <name val="Calibri"/>
      <charset val="134"/>
    </font>
    <font>
      <b/>
      <sz val="18"/>
      <color theme="3"/>
      <name val="Calibri"/>
      <charset val="134"/>
    </font>
    <font>
      <i/>
      <sz val="11"/>
      <color rgb="FF7F7F7F"/>
      <name val="Calibri"/>
      <charset val="134"/>
    </font>
    <font>
      <b/>
      <sz val="15"/>
      <color theme="3"/>
      <name val="Calibri"/>
      <charset val="134"/>
    </font>
    <font>
      <b/>
      <sz val="13"/>
      <color theme="3"/>
      <name val="Calibri"/>
      <charset val="134"/>
    </font>
    <font>
      <b/>
      <sz val="11"/>
      <color theme="3"/>
      <name val="Calibri"/>
      <charset val="134"/>
    </font>
    <font>
      <sz val="11"/>
      <color rgb="FF3F3F76"/>
      <name val="Calibri"/>
      <charset val="134"/>
    </font>
    <font>
      <b/>
      <sz val="11"/>
      <color rgb="FF3F3F3F"/>
      <name val="Calibri"/>
      <charset val="134"/>
    </font>
    <font>
      <b/>
      <sz val="11"/>
      <color rgb="FFFA7D00"/>
      <name val="Calibri"/>
      <charset val="134"/>
    </font>
    <font>
      <b/>
      <sz val="11"/>
      <color rgb="FFFFFFFF"/>
      <name val="Calibri"/>
      <charset val="134"/>
    </font>
    <font>
      <sz val="11"/>
      <color rgb="FFFA7D00"/>
      <name val="Calibri"/>
      <charset val="134"/>
    </font>
    <font>
      <b/>
      <sz val="11"/>
      <color theme="1"/>
      <name val="Calibri"/>
      <charset val="134"/>
    </font>
    <font>
      <sz val="11"/>
      <color rgb="FF006100"/>
      <name val="Calibri"/>
      <charset val="134"/>
    </font>
    <font>
      <sz val="11"/>
      <color rgb="FF9C0006"/>
      <name val="Calibri"/>
      <charset val="134"/>
    </font>
    <font>
      <sz val="11"/>
      <color rgb="FF9C6500"/>
      <name val="Calibri"/>
      <charset val="134"/>
    </font>
    <font>
      <sz val="11"/>
      <color theme="0"/>
      <name val="Calibri"/>
      <charset val="134"/>
    </font>
  </fonts>
  <fills count="40">
    <fill>
      <patternFill patternType="none"/>
    </fill>
    <fill>
      <patternFill patternType="gray125"/>
    </fill>
    <fill>
      <patternFill patternType="solid">
        <fgColor rgb="FF1F4E78"/>
        <bgColor indexed="64"/>
      </patternFill>
    </fill>
    <fill>
      <patternFill patternType="solid">
        <fgColor rgb="FFBDD7EE"/>
        <bgColor indexed="64"/>
      </patternFill>
    </fill>
    <fill>
      <patternFill patternType="solid">
        <fgColor rgb="FFFFF2CC"/>
        <bgColor indexed="64"/>
      </patternFill>
    </fill>
    <fill>
      <patternFill patternType="solid">
        <fgColor rgb="FFE7E6E6"/>
        <bgColor indexed="64"/>
      </patternFill>
    </fill>
    <fill>
      <patternFill patternType="solid">
        <fgColor rgb="FFD9EAF7"/>
        <bgColor indexed="64"/>
      </patternFill>
    </fill>
    <fill>
      <patternFill patternType="solid">
        <fgColor rgb="FFFCE4D6"/>
        <bgColor indexed="64"/>
      </patternFill>
    </fill>
    <fill>
      <patternFill patternType="solid">
        <fgColor rgb="FFFCE8E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21">
    <border>
      <left/>
      <right/>
      <top/>
      <bottom/>
      <diagonal/>
    </border>
    <border>
      <left style="thin">
        <color rgb="FFB4C7E7"/>
      </left>
      <right style="thin">
        <color rgb="FFB4C7E7"/>
      </right>
      <top style="thin">
        <color rgb="FFB4C7E7"/>
      </top>
      <bottom style="thin">
        <color rgb="FFB4C7E7"/>
      </bottom>
      <diagonal/>
    </border>
    <border>
      <left/>
      <right/>
      <top style="thin">
        <color rgb="FFB4C7E7"/>
      </top>
      <bottom style="thin">
        <color rgb="FFB4C7E7"/>
      </bottom>
      <diagonal/>
    </border>
    <border>
      <left/>
      <right style="thin">
        <color rgb="FFB4C7E7"/>
      </right>
      <top style="thin">
        <color rgb="FFB4C7E7"/>
      </top>
      <bottom style="thin">
        <color rgb="FFB4C7E7"/>
      </bottom>
      <diagonal/>
    </border>
    <border>
      <left style="thin">
        <color rgb="FFB4C6D7"/>
      </left>
      <right style="thin">
        <color rgb="FFB4C6D7"/>
      </right>
      <top style="thin">
        <color rgb="FFB4C6D7"/>
      </top>
      <bottom style="thin">
        <color rgb="FFB4C6D7"/>
      </bottom>
      <diagonal/>
    </border>
    <border>
      <left style="thin">
        <color rgb="FF1F4E78"/>
      </left>
      <right style="thin">
        <color rgb="FFB4C6D7"/>
      </right>
      <top style="thin">
        <color rgb="FF1F4E78"/>
      </top>
      <bottom style="thin">
        <color rgb="FF1F4E78"/>
      </bottom>
      <diagonal/>
    </border>
    <border>
      <left style="thin">
        <color rgb="FFB4C6D7"/>
      </left>
      <right style="thin">
        <color rgb="FFB4C6D7"/>
      </right>
      <top style="thin">
        <color rgb="FF1F4E78"/>
      </top>
      <bottom style="thin">
        <color rgb="FF1F4E78"/>
      </bottom>
      <diagonal/>
    </border>
    <border>
      <left style="thin">
        <color rgb="FFB4C6D7"/>
      </left>
      <right style="thin">
        <color rgb="FF1F4E78"/>
      </right>
      <top style="thin">
        <color rgb="FF1F4E78"/>
      </top>
      <bottom style="thin">
        <color rgb="FF1F4E78"/>
      </bottom>
      <diagonal/>
    </border>
    <border>
      <left/>
      <right/>
      <top style="thin">
        <color rgb="FFB4C6D7"/>
      </top>
      <bottom style="thin">
        <color rgb="FFB4C6D7"/>
      </bottom>
      <diagonal/>
    </border>
    <border>
      <left/>
      <right style="thin">
        <color rgb="FFB4C6D7"/>
      </right>
      <top style="thin">
        <color rgb="FFB4C6D7"/>
      </top>
      <bottom style="thin">
        <color rgb="FFB4C6D7"/>
      </bottom>
      <diagonal/>
    </border>
    <border>
      <left style="thin">
        <color rgb="FFB4C6E7"/>
      </left>
      <right style="thin">
        <color rgb="FFB4C6E7"/>
      </right>
      <top style="thin">
        <color rgb="FFB4C6E7"/>
      </top>
      <bottom style="thin">
        <color rgb="FFB4C6E7"/>
      </bottom>
      <diagonal/>
    </border>
    <border>
      <left/>
      <right/>
      <top style="thin">
        <color rgb="FFB4C6E7"/>
      </top>
      <bottom style="thin">
        <color rgb="FFB4C6E7"/>
      </bottom>
      <diagonal/>
    </border>
    <border>
      <left/>
      <right style="thin">
        <color rgb="FFB4C6E7"/>
      </right>
      <top style="thin">
        <color rgb="FFB4C6E7"/>
      </top>
      <bottom style="thin">
        <color rgb="FFB4C6E7"/>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12" fillId="0" borderId="0">
      <alignment vertical="center"/>
    </xf>
    <xf numFmtId="44" fontId="12" fillId="0" borderId="0">
      <alignment vertical="center"/>
    </xf>
    <xf numFmtId="9" fontId="12" fillId="0" borderId="0">
      <alignment vertical="center"/>
    </xf>
    <xf numFmtId="41" fontId="12" fillId="0" borderId="0">
      <alignment vertical="center"/>
    </xf>
    <xf numFmtId="42" fontId="12" fillId="0" borderId="0">
      <alignment vertical="center"/>
    </xf>
    <xf numFmtId="0" fontId="13" fillId="0" borderId="0">
      <alignment vertical="center"/>
    </xf>
    <xf numFmtId="0" fontId="14" fillId="0" borderId="0">
      <alignment vertical="center"/>
    </xf>
    <xf numFmtId="0" fontId="12" fillId="9" borderId="13">
      <alignment vertical="center"/>
    </xf>
    <xf numFmtId="0" fontId="15" fillId="0" borderId="0">
      <alignment vertical="center"/>
    </xf>
    <xf numFmtId="0" fontId="16" fillId="0" borderId="0">
      <alignment vertical="center"/>
    </xf>
    <xf numFmtId="0" fontId="17" fillId="0" borderId="0">
      <alignment vertical="center"/>
    </xf>
    <xf numFmtId="0" fontId="18" fillId="0" borderId="14">
      <alignment vertical="center"/>
    </xf>
    <xf numFmtId="0" fontId="19" fillId="0" borderId="14">
      <alignment vertical="center"/>
    </xf>
    <xf numFmtId="0" fontId="20" fillId="0" borderId="15">
      <alignment vertical="center"/>
    </xf>
    <xf numFmtId="0" fontId="20" fillId="0" borderId="0">
      <alignment vertical="center"/>
    </xf>
    <xf numFmtId="0" fontId="21" fillId="10" borderId="16">
      <alignment vertical="center"/>
    </xf>
    <xf numFmtId="0" fontId="22" fillId="11" borderId="17">
      <alignment vertical="center"/>
    </xf>
    <xf numFmtId="0" fontId="23" fillId="11" borderId="16">
      <alignment vertical="center"/>
    </xf>
    <xf numFmtId="0" fontId="24" fillId="12" borderId="18">
      <alignment vertical="center"/>
    </xf>
    <xf numFmtId="0" fontId="25" fillId="0" borderId="19">
      <alignment vertical="center"/>
    </xf>
    <xf numFmtId="0" fontId="26" fillId="0" borderId="20">
      <alignment vertical="center"/>
    </xf>
    <xf numFmtId="0" fontId="27" fillId="13" borderId="0">
      <alignment vertical="center"/>
    </xf>
    <xf numFmtId="0" fontId="28" fillId="14" borderId="0">
      <alignment vertical="center"/>
    </xf>
    <xf numFmtId="0" fontId="29" fillId="15" borderId="0">
      <alignment vertical="center"/>
    </xf>
    <xf numFmtId="0" fontId="30" fillId="16" borderId="0">
      <alignment vertical="center"/>
    </xf>
    <xf numFmtId="0" fontId="12" fillId="17" borderId="0">
      <alignment vertical="center"/>
    </xf>
    <xf numFmtId="0" fontId="12" fillId="18" borderId="0">
      <alignment vertical="center"/>
    </xf>
    <xf numFmtId="0" fontId="30" fillId="19" borderId="0">
      <alignment vertical="center"/>
    </xf>
    <xf numFmtId="0" fontId="30" fillId="20" borderId="0">
      <alignment vertical="center"/>
    </xf>
    <xf numFmtId="0" fontId="12" fillId="21" borderId="0">
      <alignment vertical="center"/>
    </xf>
    <xf numFmtId="0" fontId="12" fillId="22" borderId="0">
      <alignment vertical="center"/>
    </xf>
    <xf numFmtId="0" fontId="30" fillId="23" borderId="0">
      <alignment vertical="center"/>
    </xf>
    <xf numFmtId="0" fontId="30" fillId="24" borderId="0">
      <alignment vertical="center"/>
    </xf>
    <xf numFmtId="0" fontId="12" fillId="25" borderId="0">
      <alignment vertical="center"/>
    </xf>
    <xf numFmtId="0" fontId="12" fillId="26" borderId="0">
      <alignment vertical="center"/>
    </xf>
    <xf numFmtId="0" fontId="30" fillId="27" borderId="0">
      <alignment vertical="center"/>
    </xf>
    <xf numFmtId="0" fontId="30" fillId="28" borderId="0">
      <alignment vertical="center"/>
    </xf>
    <xf numFmtId="0" fontId="12" fillId="29" borderId="0">
      <alignment vertical="center"/>
    </xf>
    <xf numFmtId="0" fontId="12" fillId="30" borderId="0">
      <alignment vertical="center"/>
    </xf>
    <xf numFmtId="0" fontId="30" fillId="31" borderId="0">
      <alignment vertical="center"/>
    </xf>
    <xf numFmtId="0" fontId="30" fillId="32" borderId="0">
      <alignment vertical="center"/>
    </xf>
    <xf numFmtId="0" fontId="12" fillId="33" borderId="0">
      <alignment vertical="center"/>
    </xf>
    <xf numFmtId="0" fontId="12" fillId="34" borderId="0">
      <alignment vertical="center"/>
    </xf>
    <xf numFmtId="0" fontId="30" fillId="35" borderId="0">
      <alignment vertical="center"/>
    </xf>
    <xf numFmtId="0" fontId="30" fillId="36" borderId="0">
      <alignment vertical="center"/>
    </xf>
    <xf numFmtId="0" fontId="12" fillId="37" borderId="0">
      <alignment vertical="center"/>
    </xf>
    <xf numFmtId="0" fontId="12" fillId="38" borderId="0">
      <alignment vertical="center"/>
    </xf>
    <xf numFmtId="0" fontId="30" fillId="39" borderId="0">
      <alignment vertical="center"/>
    </xf>
    <xf numFmtId="0" fontId="0" fillId="0" borderId="0"/>
  </cellStyleXfs>
  <cellXfs count="52">
    <xf numFmtId="0" fontId="0" fillId="0" borderId="0" xfId="49"/>
    <xf numFmtId="0" fontId="0" fillId="0" borderId="0" xfId="0" applyAlignment="1"/>
    <xf numFmtId="0" fontId="1" fillId="2" borderId="0" xfId="0" applyFont="1" applyFill="1" applyAlignment="1">
      <alignment vertical="center"/>
    </xf>
    <xf numFmtId="0" fontId="2" fillId="0" borderId="0" xfId="0" applyFont="1" applyAlignment="1">
      <alignment wrapText="1"/>
    </xf>
    <xf numFmtId="0" fontId="3" fillId="3" borderId="1" xfId="0" applyFont="1" applyFill="1" applyBorder="1" applyAlignment="1">
      <alignment horizontal="center" vertical="center" wrapText="1"/>
    </xf>
    <xf numFmtId="0" fontId="4" fillId="0" borderId="1" xfId="0" applyFont="1" applyBorder="1" applyAlignment="1">
      <alignment vertical="center" wrapText="1"/>
    </xf>
    <xf numFmtId="0" fontId="4" fillId="4" borderId="1" xfId="0" applyFont="1" applyFill="1" applyBorder="1" applyAlignment="1">
      <alignment vertical="center" wrapText="1"/>
    </xf>
    <xf numFmtId="176" fontId="4" fillId="4" borderId="1" xfId="0" applyNumberFormat="1" applyFont="1" applyFill="1" applyBorder="1" applyAlignment="1">
      <alignment vertical="center" wrapText="1"/>
    </xf>
    <xf numFmtId="0" fontId="1" fillId="2" borderId="1" xfId="0" applyFont="1" applyFill="1" applyBorder="1" applyAlignment="1">
      <alignment vertical="center"/>
    </xf>
    <xf numFmtId="0" fontId="0" fillId="0" borderId="2" xfId="0" applyBorder="1" applyAlignment="1"/>
    <xf numFmtId="0" fontId="0" fillId="0" borderId="3" xfId="0" applyBorder="1" applyAlignment="1"/>
    <xf numFmtId="0" fontId="2" fillId="0" borderId="1" xfId="0" applyFont="1" applyBorder="1" applyAlignment="1">
      <alignment wrapText="1"/>
    </xf>
    <xf numFmtId="0" fontId="0" fillId="0" borderId="1" xfId="0" applyBorder="1" applyAlignment="1"/>
    <xf numFmtId="0" fontId="4" fillId="4" borderId="1" xfId="0" applyFont="1" applyFill="1" applyBorder="1" applyAlignment="1">
      <alignment horizontal="center" vertical="center" wrapText="1"/>
    </xf>
    <xf numFmtId="0" fontId="5" fillId="2" borderId="4" xfId="49" applyFont="1" applyFill="1" applyBorder="1" applyAlignment="1">
      <alignment horizontal="center" vertical="center" wrapText="1"/>
    </xf>
    <xf numFmtId="0" fontId="6" fillId="0" borderId="4" xfId="49" applyFont="1" applyBorder="1" applyAlignment="1">
      <alignment vertical="center"/>
    </xf>
    <xf numFmtId="176" fontId="6" fillId="0" borderId="4" xfId="49" applyNumberFormat="1" applyFont="1" applyBorder="1" applyAlignment="1">
      <alignment vertical="center"/>
    </xf>
    <xf numFmtId="0" fontId="7" fillId="0" borderId="0" xfId="49" applyFont="1"/>
    <xf numFmtId="0" fontId="2" fillId="0" borderId="0" xfId="49" applyFont="1"/>
    <xf numFmtId="0" fontId="6" fillId="4" borderId="4" xfId="49" applyFont="1" applyFill="1" applyBorder="1" applyAlignment="1">
      <alignment vertical="center"/>
    </xf>
    <xf numFmtId="176" fontId="6" fillId="4" borderId="4" xfId="49" applyNumberFormat="1" applyFont="1" applyFill="1" applyBorder="1" applyAlignment="1">
      <alignment vertical="center"/>
    </xf>
    <xf numFmtId="0" fontId="6" fillId="4" borderId="4" xfId="49" applyFont="1" applyFill="1" applyBorder="1" applyAlignment="1">
      <alignment vertical="center" wrapText="1"/>
    </xf>
    <xf numFmtId="177" fontId="6" fillId="4" borderId="4" xfId="49" applyNumberFormat="1" applyFont="1" applyFill="1" applyBorder="1" applyAlignment="1">
      <alignment vertical="center"/>
    </xf>
    <xf numFmtId="0" fontId="6" fillId="0" borderId="4" xfId="49" applyFont="1" applyBorder="1" applyAlignment="1">
      <alignment vertical="center" wrapText="1"/>
    </xf>
    <xf numFmtId="0" fontId="6" fillId="5" borderId="4" xfId="49" applyFont="1" applyFill="1" applyBorder="1" applyAlignment="1">
      <alignment vertical="center"/>
    </xf>
    <xf numFmtId="0" fontId="6" fillId="0" borderId="4" xfId="49" applyFont="1" applyBorder="1" applyAlignment="1">
      <alignment horizontal="center" vertical="center"/>
    </xf>
    <xf numFmtId="0" fontId="7" fillId="0" borderId="0" xfId="49" applyFont="1" applyAlignment="1">
      <alignment vertical="center"/>
    </xf>
    <xf numFmtId="0" fontId="2" fillId="0" borderId="0" xfId="49" applyFont="1" applyAlignment="1">
      <alignment vertical="center"/>
    </xf>
    <xf numFmtId="0" fontId="0" fillId="0" borderId="0" xfId="49" applyAlignment="1">
      <alignment vertical="center"/>
    </xf>
    <xf numFmtId="0" fontId="3" fillId="3" borderId="1" xfId="0" applyFont="1" applyFill="1" applyBorder="1" applyAlignment="1">
      <alignment horizontal="center" vertical="center"/>
    </xf>
    <xf numFmtId="0" fontId="8" fillId="0" borderId="1" xfId="0" applyFont="1" applyBorder="1" applyAlignment="1">
      <alignment horizontal="center" vertical="center"/>
    </xf>
    <xf numFmtId="9" fontId="8" fillId="0" borderId="1" xfId="0" applyNumberFormat="1" applyFont="1" applyBorder="1" applyAlignment="1">
      <alignment horizontal="center" vertical="center"/>
    </xf>
    <xf numFmtId="0" fontId="3" fillId="6" borderId="5" xfId="49" applyFont="1" applyFill="1" applyBorder="1" applyAlignment="1">
      <alignment vertical="center"/>
    </xf>
    <xf numFmtId="0" fontId="3" fillId="6" borderId="6" xfId="49" applyFont="1" applyFill="1" applyBorder="1" applyAlignment="1">
      <alignment vertical="center"/>
    </xf>
    <xf numFmtId="0" fontId="3" fillId="6" borderId="7" xfId="49" applyFont="1" applyFill="1" applyBorder="1" applyAlignment="1">
      <alignment vertical="center"/>
    </xf>
    <xf numFmtId="0" fontId="6" fillId="7" borderId="4" xfId="49" applyFont="1" applyFill="1" applyBorder="1" applyAlignment="1">
      <alignment vertical="center" wrapText="1"/>
    </xf>
    <xf numFmtId="176" fontId="6" fillId="0" borderId="4" xfId="49" applyNumberFormat="1" applyFont="1" applyBorder="1" applyAlignment="1">
      <alignment vertical="center" wrapText="1"/>
    </xf>
    <xf numFmtId="0" fontId="0" fillId="0" borderId="1" xfId="0" applyBorder="1" applyAlignment="1">
      <alignment vertical="center" wrapText="1"/>
    </xf>
    <xf numFmtId="0" fontId="0" fillId="8" borderId="1" xfId="0" applyFill="1" applyBorder="1" applyAlignment="1">
      <alignment vertical="center" wrapText="1"/>
    </xf>
    <xf numFmtId="176" fontId="0" fillId="0" borderId="1" xfId="0" applyNumberFormat="1" applyBorder="1" applyAlignment="1">
      <alignment vertical="center" wrapText="1"/>
    </xf>
    <xf numFmtId="0" fontId="6" fillId="5" borderId="4" xfId="49" applyFont="1" applyFill="1" applyBorder="1" applyAlignment="1">
      <alignment vertical="center" wrapText="1"/>
    </xf>
    <xf numFmtId="0" fontId="0" fillId="0" borderId="8" xfId="0" applyBorder="1" applyAlignment="1"/>
    <xf numFmtId="0" fontId="0" fillId="0" borderId="9" xfId="0" applyBorder="1" applyAlignment="1"/>
    <xf numFmtId="0" fontId="9" fillId="0" borderId="0" xfId="49" applyFont="1" applyAlignment="1">
      <alignment vertical="center" wrapText="1"/>
    </xf>
    <xf numFmtId="0" fontId="10" fillId="0" borderId="0" xfId="49" applyFont="1" applyAlignment="1">
      <alignment vertical="center" wrapText="1"/>
    </xf>
    <xf numFmtId="0" fontId="4" fillId="0" borderId="0" xfId="49" applyFont="1" applyAlignment="1">
      <alignment vertical="center" wrapText="1"/>
    </xf>
    <xf numFmtId="0" fontId="4" fillId="0" borderId="10" xfId="49" applyFont="1" applyBorder="1" applyAlignment="1">
      <alignment vertical="center" wrapText="1"/>
    </xf>
    <xf numFmtId="0" fontId="4" fillId="4" borderId="10" xfId="49" applyFont="1" applyFill="1" applyBorder="1" applyAlignment="1">
      <alignment vertical="center" wrapText="1"/>
    </xf>
    <xf numFmtId="0" fontId="11" fillId="3" borderId="10" xfId="49" applyFont="1" applyFill="1" applyBorder="1" applyAlignment="1">
      <alignment vertical="center" wrapText="1"/>
    </xf>
    <xf numFmtId="0" fontId="0" fillId="0" borderId="11" xfId="0" applyBorder="1" applyAlignment="1"/>
    <xf numFmtId="0" fontId="0" fillId="0" borderId="12" xfId="0" applyBorder="1" applyAlignment="1"/>
    <xf numFmtId="0" fontId="3" fillId="3" borderId="10" xfId="49" applyFont="1" applyFill="1" applyBorder="1" applyAlignment="1">
      <alignment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24">
    <dxf>
      <font>
        <b val="1"/>
        <color rgb="FF9C0006"/>
      </font>
      <fill>
        <patternFill patternType="solid">
          <bgColor rgb="FFFCE4D6"/>
        </patternFill>
      </fill>
    </dxf>
    <dxf>
      <font>
        <b val="1"/>
        <color rgb="FF006100"/>
      </font>
      <fill>
        <patternFill patternType="solid">
          <bgColor rgb="FFE2F0D9"/>
        </patternFill>
      </fill>
    </dxf>
    <dxf>
      <font>
        <b val="1"/>
        <color rgb="FF9C0006"/>
      </font>
      <fill>
        <patternFill patternType="solid">
          <bgColor rgb="FFF4CCCC"/>
        </patternFill>
      </fill>
    </dxf>
    <dxf>
      <font>
        <b val="1"/>
        <color rgb="FF7F6000"/>
      </font>
      <fill>
        <patternFill patternType="solid">
          <bgColor rgb="FFFFF2CC"/>
        </patternFill>
      </fill>
    </dxf>
    <dxf>
      <font>
        <color rgb="FF274E13"/>
      </font>
      <fill>
        <patternFill patternType="solid">
          <bgColor rgb="FFD9EAD3"/>
        </patternFill>
      </fill>
    </dxf>
    <dxf>
      <font>
        <b val="1"/>
        <color rgb="FF9C0006"/>
      </font>
      <fill>
        <patternFill patternType="solid">
          <bgColor rgb="FFFCE8E6"/>
        </patternFill>
      </fill>
    </dxf>
    <dxf>
      <font>
        <b val="1"/>
        <color rgb="FF274E13"/>
      </font>
      <fill>
        <patternFill patternType="solid">
          <bgColor rgb="FFD9EAD3"/>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3"/>
      <tableStyleElement type="headerRow" dxfId="12"/>
      <tableStyleElement type="totalRow" dxfId="11"/>
      <tableStyleElement type="firstColumn" dxfId="10"/>
      <tableStyleElement type="lastColumn" dxfId="9"/>
      <tableStyleElement type="firstRowStripe" dxfId="8"/>
      <tableStyleElement type="firstColumnStripe" dxfId="7"/>
    </tableStyle>
    <tableStyle name="PivotStylePreset2_Accent1" table="0" count="10" xr9:uid="{267968C8-6FFD-4C36-ACC1-9EA1FD1885CA}">
      <tableStyleElement type="headerRow" dxfId="23"/>
      <tableStyleElement type="totalRow" dxfId="22"/>
      <tableStyleElement type="firstRowStripe" dxfId="21"/>
      <tableStyleElement type="firstColumnStripe" dxfId="20"/>
      <tableStyleElement type="firstSubtotalRow" dxfId="19"/>
      <tableStyleElement type="secondSubtotalRow" dxfId="18"/>
      <tableStyleElement type="firstRowSubheading" dxfId="17"/>
      <tableStyleElement type="secondRowSubheading" dxfId="16"/>
      <tableStyleElement type="pageFieldLabels" dxfId="15"/>
      <tableStyleElement type="pageFieldValues" dxfId="14"/>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F8C8D"/>
  </sheetPr>
  <dimension ref="A1:H35"/>
  <sheetViews>
    <sheetView showGridLines="0" workbookViewId="0">
      <pane ySplit="2" topLeftCell="A3" activePane="bottomLeft" state="frozen"/>
      <selection/>
      <selection pane="bottomLeft" activeCell="C5" sqref="C5"/>
    </sheetView>
  </sheetViews>
  <sheetFormatPr defaultColWidth="9" defaultRowHeight="16.8" outlineLevelCol="7"/>
  <cols>
    <col min="1" max="1" width="10" style="1" customWidth="1"/>
    <col min="2" max="2" width="28" style="1" customWidth="1"/>
    <col min="3" max="3" width="62" style="1" customWidth="1"/>
    <col min="4" max="8" width="14" style="1" customWidth="1"/>
  </cols>
  <sheetData>
    <row r="1" ht="28" customHeight="1" spans="1:8">
      <c r="A1" s="43" t="s">
        <v>0</v>
      </c>
    </row>
    <row r="2" ht="28" customHeight="1" spans="1:8">
      <c r="A2" s="44" t="s">
        <v>1</v>
      </c>
    </row>
    <row r="3" ht="22" customHeight="1" spans="1:8">
      <c r="A3" s="45"/>
      <c r="B3" s="45"/>
      <c r="C3" s="45"/>
      <c r="D3" s="45"/>
      <c r="E3" s="45"/>
      <c r="F3" s="45"/>
      <c r="G3" s="45"/>
      <c r="H3" s="45"/>
    </row>
    <row r="4" ht="22" customHeight="1" spans="1:8">
      <c r="A4" s="46" t="s">
        <v>2</v>
      </c>
      <c r="B4" s="47" t="s">
        <v>3</v>
      </c>
      <c r="C4" s="45"/>
      <c r="D4" s="45"/>
      <c r="E4" s="45"/>
      <c r="F4" s="45"/>
      <c r="G4" s="45"/>
      <c r="H4" s="45"/>
    </row>
    <row r="5" ht="22" customHeight="1" spans="1:8">
      <c r="A5" s="46" t="s">
        <v>4</v>
      </c>
      <c r="B5" s="47" t="s">
        <v>5</v>
      </c>
      <c r="C5" s="45"/>
      <c r="D5" s="45"/>
      <c r="E5" s="45"/>
      <c r="F5" s="45"/>
      <c r="G5" s="45"/>
      <c r="H5" s="45"/>
    </row>
    <row r="6" ht="22" customHeight="1" spans="1:8">
      <c r="A6" s="46" t="s">
        <v>6</v>
      </c>
      <c r="B6" s="47" t="s">
        <v>7</v>
      </c>
      <c r="C6" s="45"/>
      <c r="D6" s="45"/>
      <c r="E6" s="45"/>
      <c r="F6" s="45"/>
      <c r="G6" s="45"/>
      <c r="H6" s="45"/>
    </row>
    <row r="7" ht="22" customHeight="1" spans="1:8">
      <c r="A7" s="46" t="s">
        <v>8</v>
      </c>
      <c r="B7" s="47" t="s">
        <v>9</v>
      </c>
      <c r="C7" s="45"/>
      <c r="D7" s="45"/>
      <c r="E7" s="45"/>
      <c r="F7" s="45"/>
      <c r="G7" s="45"/>
      <c r="H7" s="45"/>
    </row>
    <row r="8" ht="22" customHeight="1" spans="1:8">
      <c r="A8" s="46" t="s">
        <v>10</v>
      </c>
      <c r="B8" s="47" t="s">
        <v>11</v>
      </c>
      <c r="C8" s="45"/>
      <c r="D8" s="45"/>
      <c r="E8" s="45"/>
      <c r="F8" s="45"/>
      <c r="G8" s="45"/>
      <c r="H8" s="45"/>
    </row>
    <row r="9" ht="22" customHeight="1" spans="1:8">
      <c r="A9" s="45"/>
      <c r="B9" s="45"/>
      <c r="C9" s="45"/>
      <c r="D9" s="45"/>
      <c r="E9" s="45"/>
      <c r="F9" s="45"/>
      <c r="G9" s="45"/>
      <c r="H9" s="45"/>
    </row>
    <row r="10" ht="22" customHeight="1" spans="1:8">
      <c r="A10" s="48" t="s">
        <v>12</v>
      </c>
      <c r="B10" s="49"/>
      <c r="C10" s="49"/>
      <c r="D10" s="49"/>
      <c r="E10" s="49"/>
      <c r="F10" s="49"/>
      <c r="G10" s="49"/>
      <c r="H10" s="50"/>
    </row>
    <row r="11" ht="22" customHeight="1" spans="1:8">
      <c r="A11" s="45">
        <v>1</v>
      </c>
      <c r="B11" s="45" t="s">
        <v>13</v>
      </c>
    </row>
    <row r="12" ht="22" customHeight="1" spans="1:8">
      <c r="A12" s="45">
        <v>2</v>
      </c>
      <c r="B12" s="45" t="s">
        <v>14</v>
      </c>
    </row>
    <row r="13" ht="22" customHeight="1" spans="1:8">
      <c r="A13" s="45">
        <v>3</v>
      </c>
      <c r="B13" s="45" t="s">
        <v>15</v>
      </c>
    </row>
    <row r="14" ht="22" customHeight="1" spans="1:8">
      <c r="A14" s="45">
        <v>4</v>
      </c>
      <c r="B14" s="45" t="s">
        <v>16</v>
      </c>
    </row>
    <row r="15" ht="22" customHeight="1" spans="1:8">
      <c r="A15" s="45">
        <v>5</v>
      </c>
      <c r="B15" s="45" t="s">
        <v>17</v>
      </c>
    </row>
    <row r="16" ht="22" customHeight="1" spans="1:8">
      <c r="A16" s="45"/>
      <c r="B16" s="45"/>
      <c r="C16" s="45"/>
      <c r="D16" s="45"/>
      <c r="E16" s="45"/>
      <c r="F16" s="45"/>
      <c r="G16" s="45"/>
      <c r="H16" s="45"/>
    </row>
    <row r="17" ht="22" customHeight="1" spans="1:8">
      <c r="A17" s="45"/>
      <c r="B17" s="45"/>
      <c r="C17" s="45"/>
      <c r="D17" s="45"/>
      <c r="E17" s="45"/>
      <c r="F17" s="45"/>
      <c r="G17" s="45"/>
      <c r="H17" s="45"/>
    </row>
    <row r="18" ht="22" customHeight="1" spans="1:8">
      <c r="A18" s="48" t="s">
        <v>18</v>
      </c>
      <c r="B18" s="49"/>
      <c r="C18" s="49"/>
      <c r="D18" s="49"/>
      <c r="E18" s="49"/>
      <c r="F18" s="49"/>
      <c r="G18" s="49"/>
      <c r="H18" s="50"/>
    </row>
    <row r="19" ht="22" customHeight="1" spans="1:8">
      <c r="A19" s="51" t="s">
        <v>19</v>
      </c>
      <c r="B19" s="51" t="s">
        <v>20</v>
      </c>
      <c r="C19" s="51" t="s">
        <v>21</v>
      </c>
      <c r="D19" s="45"/>
      <c r="E19" s="45"/>
      <c r="F19" s="45"/>
      <c r="G19" s="45"/>
      <c r="H19" s="45"/>
    </row>
    <row r="20" ht="22" customHeight="1" spans="1:8">
      <c r="A20" s="46">
        <v>1</v>
      </c>
      <c r="B20" s="46" t="s">
        <v>22</v>
      </c>
      <c r="C20" s="46" t="s">
        <v>23</v>
      </c>
      <c r="D20" s="45"/>
      <c r="E20" s="45"/>
      <c r="F20" s="45"/>
      <c r="G20" s="45"/>
      <c r="H20" s="45"/>
    </row>
    <row r="21" ht="22" customHeight="1" spans="1:8">
      <c r="A21" s="46">
        <v>2</v>
      </c>
      <c r="B21" s="46" t="s">
        <v>24</v>
      </c>
      <c r="C21" s="46" t="s">
        <v>25</v>
      </c>
      <c r="D21" s="45"/>
      <c r="E21" s="45"/>
      <c r="F21" s="45"/>
      <c r="G21" s="45"/>
      <c r="H21" s="45"/>
    </row>
    <row r="22" ht="22" customHeight="1" spans="1:8">
      <c r="A22" s="46">
        <v>3</v>
      </c>
      <c r="B22" s="46" t="s">
        <v>26</v>
      </c>
      <c r="C22" s="46" t="s">
        <v>27</v>
      </c>
      <c r="D22" s="45"/>
      <c r="E22" s="45"/>
      <c r="F22" s="45"/>
      <c r="G22" s="45"/>
      <c r="H22" s="45"/>
    </row>
    <row r="23" ht="22" customHeight="1" spans="1:8">
      <c r="A23" s="46">
        <v>4</v>
      </c>
      <c r="B23" s="46" t="s">
        <v>28</v>
      </c>
      <c r="C23" s="46" t="s">
        <v>29</v>
      </c>
      <c r="D23" s="45"/>
      <c r="E23" s="45"/>
      <c r="F23" s="45"/>
      <c r="G23" s="45"/>
      <c r="H23" s="45"/>
    </row>
    <row r="24" ht="22" customHeight="1" spans="1:8">
      <c r="A24" s="46">
        <v>5</v>
      </c>
      <c r="B24" s="46" t="s">
        <v>30</v>
      </c>
      <c r="C24" s="46" t="s">
        <v>31</v>
      </c>
      <c r="D24" s="45"/>
      <c r="E24" s="45"/>
      <c r="F24" s="45"/>
      <c r="G24" s="45"/>
      <c r="H24" s="45"/>
    </row>
    <row r="25" ht="22" customHeight="1" spans="1:8">
      <c r="A25" s="46">
        <v>6</v>
      </c>
      <c r="B25" s="46" t="s">
        <v>32</v>
      </c>
      <c r="C25" s="46" t="s">
        <v>33</v>
      </c>
      <c r="D25" s="45"/>
      <c r="E25" s="45"/>
      <c r="F25" s="45"/>
      <c r="G25" s="45"/>
      <c r="H25" s="45"/>
    </row>
    <row r="26" ht="22" customHeight="1" spans="1:8">
      <c r="A26" s="46">
        <v>7</v>
      </c>
      <c r="B26" s="46" t="s">
        <v>34</v>
      </c>
      <c r="C26" s="46" t="s">
        <v>35</v>
      </c>
      <c r="D26" s="45"/>
      <c r="E26" s="45"/>
      <c r="F26" s="45"/>
      <c r="G26" s="45"/>
      <c r="H26" s="45"/>
    </row>
    <row r="27" ht="22" customHeight="1" spans="1:8">
      <c r="A27" s="45"/>
      <c r="B27" s="45"/>
      <c r="C27" s="45"/>
      <c r="D27" s="45"/>
      <c r="E27" s="45"/>
      <c r="F27" s="45"/>
      <c r="G27" s="45"/>
      <c r="H27" s="45"/>
    </row>
    <row r="28" ht="22" customHeight="1" spans="1:8">
      <c r="A28" s="48" t="s">
        <v>36</v>
      </c>
      <c r="B28" s="49"/>
      <c r="C28" s="49"/>
      <c r="D28" s="49"/>
      <c r="E28" s="49"/>
      <c r="F28" s="49"/>
      <c r="G28" s="49"/>
      <c r="H28" s="50"/>
    </row>
    <row r="29" ht="22" customHeight="1" spans="1:8">
      <c r="A29" s="45">
        <v>1</v>
      </c>
      <c r="B29" s="45" t="s">
        <v>37</v>
      </c>
    </row>
    <row r="30" ht="22" customHeight="1" spans="1:8">
      <c r="A30" s="45">
        <v>2</v>
      </c>
      <c r="B30" s="45" t="s">
        <v>38</v>
      </c>
    </row>
    <row r="31" ht="22" customHeight="1" spans="1:8">
      <c r="A31" s="45">
        <v>3</v>
      </c>
      <c r="B31" s="45" t="s">
        <v>39</v>
      </c>
    </row>
    <row r="32" ht="22" customHeight="1" spans="1:8">
      <c r="A32" s="45"/>
      <c r="B32" s="45"/>
    </row>
    <row r="33" ht="22" customHeight="1" spans="1:2">
      <c r="A33" s="45" t="s">
        <v>40</v>
      </c>
      <c r="B33" s="45"/>
    </row>
    <row r="34" ht="22" customHeight="1" spans="1:2">
      <c r="A34" s="45">
        <v>1</v>
      </c>
      <c r="B34" s="45" t="s">
        <v>41</v>
      </c>
    </row>
    <row r="35" spans="1:2">
      <c r="A35" t="s">
        <v>22</v>
      </c>
      <c r="B35" t="s">
        <v>42</v>
      </c>
    </row>
  </sheetData>
  <mergeCells count="16">
    <mergeCell ref="A1:H1"/>
    <mergeCell ref="A2:H2"/>
    <mergeCell ref="A10:H10"/>
    <mergeCell ref="B11:H11"/>
    <mergeCell ref="B12:H12"/>
    <mergeCell ref="B13:H13"/>
    <mergeCell ref="B14:H14"/>
    <mergeCell ref="B15:H15"/>
    <mergeCell ref="A18:H18"/>
    <mergeCell ref="A28:H28"/>
    <mergeCell ref="B29:H29"/>
    <mergeCell ref="B30:H30"/>
    <mergeCell ref="B31:H31"/>
    <mergeCell ref="B32:H32"/>
    <mergeCell ref="B33:H33"/>
    <mergeCell ref="B34:H3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showGridLines="0" workbookViewId="0">
      <selection activeCell="A5" sqref="A5:B5"/>
    </sheetView>
  </sheetViews>
  <sheetFormatPr defaultColWidth="9" defaultRowHeight="16.8"/>
  <cols>
    <col min="1" max="1" width="18" style="1" customWidth="1"/>
    <col min="2" max="2" width="46" style="1" customWidth="1"/>
    <col min="3" max="3" width="16" style="1" customWidth="1"/>
    <col min="4" max="4" width="14" style="1" customWidth="1"/>
    <col min="5" max="6" width="26" style="1" customWidth="1"/>
    <col min="7" max="14" width="12" style="1" customWidth="1"/>
  </cols>
  <sheetData>
    <row r="1" ht="25" customHeight="1" spans="1:14">
      <c r="A1" s="26" t="s">
        <v>43</v>
      </c>
      <c r="B1" s="26"/>
      <c r="C1" s="26"/>
      <c r="D1" s="26"/>
      <c r="E1" s="26"/>
      <c r="F1" s="26"/>
      <c r="G1" s="26"/>
      <c r="H1" s="26"/>
      <c r="I1" s="26"/>
      <c r="J1" s="26"/>
      <c r="K1" s="26"/>
      <c r="L1" s="26"/>
      <c r="M1" s="26"/>
      <c r="N1" s="26"/>
    </row>
    <row r="2" spans="1:14">
      <c r="A2" s="27" t="s">
        <v>44</v>
      </c>
      <c r="B2" s="28"/>
      <c r="C2" s="28"/>
      <c r="D2" s="28"/>
      <c r="E2" s="28"/>
      <c r="F2" s="28"/>
      <c r="G2" s="28"/>
      <c r="H2" s="28"/>
      <c r="I2" s="28"/>
      <c r="J2" s="28"/>
      <c r="K2" s="28"/>
      <c r="L2" s="28"/>
      <c r="M2" s="28"/>
      <c r="N2" s="28"/>
    </row>
    <row r="3" spans="1:14">
      <c r="A3" s="28"/>
      <c r="B3" s="28"/>
      <c r="C3" s="28"/>
      <c r="D3" s="28"/>
      <c r="E3" s="28"/>
      <c r="F3" s="28"/>
      <c r="G3" s="28"/>
      <c r="H3" s="28"/>
      <c r="I3" s="28"/>
      <c r="J3" s="28"/>
      <c r="K3" s="28"/>
      <c r="L3" s="28"/>
      <c r="M3" s="28"/>
      <c r="N3" s="28"/>
    </row>
    <row r="4" spans="1:14">
      <c r="A4" s="29" t="s">
        <v>45</v>
      </c>
      <c r="B4" s="10"/>
      <c r="C4" s="29" t="s">
        <v>46</v>
      </c>
      <c r="D4" s="10"/>
      <c r="E4" s="29" t="s">
        <v>47</v>
      </c>
      <c r="F4" s="10"/>
      <c r="G4" s="29" t="s">
        <v>48</v>
      </c>
      <c r="H4" s="10"/>
      <c r="I4" s="29" t="s">
        <v>49</v>
      </c>
      <c r="J4" s="10"/>
      <c r="K4" s="29" t="s">
        <v>50</v>
      </c>
      <c r="L4" s="10"/>
      <c r="M4" s="29" t="s">
        <v>51</v>
      </c>
      <c r="N4" s="10"/>
    </row>
    <row r="5" spans="1:14">
      <c r="A5" s="30">
        <f>COUNTIF(需求池!$A$5:$A$100,"REQ-*")</f>
        <v>24</v>
      </c>
      <c r="B5" s="10"/>
      <c r="C5" s="30">
        <f>COUNTIF(需求池!$F$5:$F$100,"P0")</f>
        <v>19</v>
      </c>
      <c r="D5" s="10"/>
      <c r="E5" s="30">
        <f>COUNTIF(需求池!$I$5:$I$100,"待*")</f>
        <v>24</v>
      </c>
      <c r="F5" s="10"/>
      <c r="G5" s="30">
        <f>COUNTIF(范围基线!$A$5:$A$100,"SCP-*")</f>
        <v>12</v>
      </c>
      <c r="H5" s="10"/>
      <c r="I5" s="30">
        <f>COUNTIF(范围基线!$D$5:$D$100,"包含")+COUNTIF(范围基线!$D$5:$D$100,"条件包含")</f>
        <v>8</v>
      </c>
      <c r="J5" s="10"/>
      <c r="K5" s="30">
        <f>COUNTIF(范围基线!$D$5:$D$100,"不包含")</f>
        <v>4</v>
      </c>
      <c r="L5" s="10"/>
      <c r="M5" s="31">
        <f>IF(COUNTIF(需求追踪矩阵!$C$5:$C$100,"P0")=0,0,COUNTIFS(需求追踪矩阵!$C$5:$C$100,"P0",需求追踪矩阵!$N$5:$N$100,"完整")/COUNTIF(需求追踪矩阵!$C$5:$C$100,"P0"))</f>
        <v>0</v>
      </c>
      <c r="N5" s="10"/>
    </row>
    <row r="6" spans="1:14">
      <c r="A6" s="28"/>
      <c r="B6" s="28"/>
      <c r="C6" s="28"/>
      <c r="D6" s="28"/>
      <c r="E6" s="28"/>
      <c r="F6" s="28"/>
      <c r="G6" s="28"/>
      <c r="H6" s="28"/>
      <c r="I6" s="28"/>
      <c r="J6" s="28"/>
      <c r="K6" s="28"/>
      <c r="L6" s="28"/>
      <c r="M6" s="28"/>
      <c r="N6" s="28"/>
    </row>
    <row r="7" spans="1:14">
      <c r="A7" s="28"/>
      <c r="B7" s="28"/>
      <c r="C7" s="28"/>
      <c r="D7" s="28"/>
      <c r="E7" s="28"/>
      <c r="F7" s="28"/>
      <c r="G7" s="28"/>
      <c r="H7" s="28"/>
      <c r="I7" s="28"/>
      <c r="J7" s="28"/>
      <c r="K7" s="28"/>
      <c r="L7" s="28"/>
      <c r="M7" s="28"/>
      <c r="N7" s="28"/>
    </row>
    <row r="8" spans="1:14">
      <c r="A8" s="32" t="s">
        <v>52</v>
      </c>
      <c r="B8" s="33"/>
      <c r="C8" s="33"/>
      <c r="D8" s="33"/>
      <c r="E8" s="33"/>
      <c r="F8" s="34"/>
      <c r="G8" s="28"/>
      <c r="H8" s="28"/>
      <c r="I8" s="28"/>
      <c r="J8" s="28"/>
      <c r="K8" s="28"/>
      <c r="L8" s="28"/>
      <c r="M8" s="28"/>
      <c r="N8" s="28"/>
    </row>
    <row r="9" ht="32" customHeight="1" spans="1:14">
      <c r="A9" s="14" t="s">
        <v>53</v>
      </c>
      <c r="B9" s="14" t="s">
        <v>54</v>
      </c>
      <c r="C9" s="14" t="s">
        <v>55</v>
      </c>
      <c r="D9" s="14" t="s">
        <v>56</v>
      </c>
      <c r="E9" s="14" t="s">
        <v>57</v>
      </c>
      <c r="F9" s="14" t="s">
        <v>58</v>
      </c>
      <c r="G9" s="28"/>
      <c r="H9" s="28"/>
      <c r="I9" s="28"/>
      <c r="J9" s="28"/>
      <c r="K9" s="28"/>
      <c r="L9" s="28"/>
      <c r="M9" s="28"/>
      <c r="N9" s="28"/>
    </row>
    <row r="10" ht="31" customHeight="1" spans="1:14">
      <c r="A10" s="23" t="s">
        <v>59</v>
      </c>
      <c r="B10" s="35" t="s">
        <v>60</v>
      </c>
      <c r="C10" s="23" t="s">
        <v>61</v>
      </c>
      <c r="D10" s="36">
        <v>46346</v>
      </c>
      <c r="E10" s="23" t="s">
        <v>62</v>
      </c>
      <c r="F10" s="23" t="s">
        <v>24</v>
      </c>
      <c r="G10" s="28"/>
      <c r="H10" s="28"/>
      <c r="I10" s="28"/>
      <c r="J10" s="28"/>
      <c r="K10" s="28"/>
      <c r="L10" s="28"/>
      <c r="M10" s="28"/>
      <c r="N10" s="28"/>
    </row>
    <row r="11" spans="1:14">
      <c r="A11" s="23" t="s">
        <v>63</v>
      </c>
      <c r="B11" s="35" t="s">
        <v>60</v>
      </c>
      <c r="C11" s="23" t="s">
        <v>61</v>
      </c>
      <c r="D11" s="36">
        <v>46351</v>
      </c>
      <c r="E11" s="23" t="s">
        <v>64</v>
      </c>
      <c r="F11" s="23" t="s">
        <v>65</v>
      </c>
      <c r="G11" s="28"/>
      <c r="H11" s="28"/>
      <c r="I11" s="28"/>
      <c r="J11" s="28"/>
      <c r="K11" s="28"/>
      <c r="L11" s="28"/>
      <c r="M11" s="28"/>
      <c r="N11" s="28"/>
    </row>
    <row r="12" ht="31" customHeight="1" spans="1:14">
      <c r="A12" s="23" t="s">
        <v>66</v>
      </c>
      <c r="B12" s="35" t="s">
        <v>60</v>
      </c>
      <c r="C12" s="23" t="s">
        <v>67</v>
      </c>
      <c r="D12" s="36">
        <v>46351</v>
      </c>
      <c r="E12" s="23" t="s">
        <v>68</v>
      </c>
      <c r="F12" s="23" t="s">
        <v>69</v>
      </c>
      <c r="G12" s="28"/>
      <c r="H12" s="28"/>
      <c r="I12" s="28"/>
      <c r="J12" s="28"/>
      <c r="K12" s="28"/>
      <c r="L12" s="28"/>
      <c r="M12" s="28"/>
      <c r="N12" s="28"/>
    </row>
    <row r="13" ht="31" customHeight="1" spans="1:14">
      <c r="A13" s="23" t="s">
        <v>70</v>
      </c>
      <c r="B13" s="35" t="s">
        <v>60</v>
      </c>
      <c r="C13" s="23" t="s">
        <v>71</v>
      </c>
      <c r="D13" s="36">
        <v>46353</v>
      </c>
      <c r="E13" s="23" t="s">
        <v>72</v>
      </c>
      <c r="F13" s="23" t="s">
        <v>28</v>
      </c>
      <c r="G13" s="28"/>
      <c r="H13" s="28"/>
      <c r="I13" s="28"/>
      <c r="J13" s="28"/>
      <c r="K13" s="28"/>
      <c r="L13" s="28"/>
      <c r="M13" s="28"/>
      <c r="N13" s="28"/>
    </row>
    <row r="14" spans="1:14">
      <c r="A14" s="23" t="s">
        <v>73</v>
      </c>
      <c r="B14" s="35" t="s">
        <v>60</v>
      </c>
      <c r="C14" s="23" t="s">
        <v>74</v>
      </c>
      <c r="D14" s="36">
        <v>46356</v>
      </c>
      <c r="E14" s="23" t="s">
        <v>75</v>
      </c>
      <c r="F14" s="23" t="s">
        <v>76</v>
      </c>
      <c r="G14" s="28"/>
      <c r="H14" s="28"/>
      <c r="I14" s="28"/>
      <c r="J14" s="28"/>
      <c r="K14" s="28"/>
      <c r="L14" s="28"/>
      <c r="M14" s="28"/>
      <c r="N14" s="28"/>
    </row>
    <row r="15" ht="40" customHeight="1" spans="1:14">
      <c r="A15" s="37" t="s">
        <v>77</v>
      </c>
      <c r="B15" s="38" t="s">
        <v>60</v>
      </c>
      <c r="C15" s="37" t="s">
        <v>67</v>
      </c>
      <c r="D15" s="39">
        <v>46311</v>
      </c>
      <c r="E15" s="37" t="s">
        <v>78</v>
      </c>
      <c r="F15" s="37" t="s">
        <v>79</v>
      </c>
      <c r="G15" s="28"/>
      <c r="H15" s="28"/>
      <c r="I15" s="28"/>
      <c r="J15" s="28"/>
      <c r="K15" s="28"/>
      <c r="L15" s="28"/>
      <c r="M15" s="28"/>
      <c r="N15" s="28"/>
    </row>
    <row r="16" spans="1:14">
      <c r="A16" s="28"/>
      <c r="B16" s="28"/>
      <c r="C16" s="28"/>
      <c r="D16" s="28"/>
      <c r="E16" s="28"/>
      <c r="F16" s="28"/>
      <c r="G16" s="28"/>
      <c r="H16" s="28"/>
      <c r="I16" s="28"/>
      <c r="J16" s="28"/>
      <c r="K16" s="28"/>
      <c r="L16" s="28"/>
      <c r="M16" s="28"/>
      <c r="N16" s="28"/>
    </row>
    <row r="17" spans="1:14">
      <c r="A17" s="32" t="s">
        <v>80</v>
      </c>
      <c r="B17" s="33"/>
      <c r="C17" s="33"/>
      <c r="D17" s="33"/>
      <c r="E17" s="33"/>
      <c r="F17" s="34"/>
      <c r="G17" s="28"/>
      <c r="H17" s="28"/>
      <c r="I17" s="28"/>
      <c r="J17" s="28"/>
      <c r="K17" s="28"/>
      <c r="L17" s="28"/>
      <c r="M17" s="28"/>
      <c r="N17" s="28"/>
    </row>
    <row r="18" ht="34" customHeight="1" spans="1:14">
      <c r="A18" s="40" t="s">
        <v>81</v>
      </c>
      <c r="B18" s="23" t="s">
        <v>82</v>
      </c>
      <c r="C18" s="41"/>
      <c r="D18" s="41"/>
      <c r="E18" s="41"/>
      <c r="F18" s="42"/>
      <c r="G18" s="28"/>
      <c r="H18" s="28"/>
      <c r="I18" s="28"/>
      <c r="J18" s="28"/>
      <c r="K18" s="28"/>
      <c r="L18" s="28"/>
      <c r="M18" s="28"/>
      <c r="N18" s="28"/>
    </row>
    <row r="19" ht="34" customHeight="1" spans="1:14">
      <c r="A19" s="40" t="s">
        <v>83</v>
      </c>
      <c r="B19" s="23" t="s">
        <v>84</v>
      </c>
      <c r="C19" s="41"/>
      <c r="D19" s="41"/>
      <c r="E19" s="41"/>
      <c r="F19" s="42"/>
      <c r="G19" s="28"/>
      <c r="H19" s="28"/>
      <c r="I19" s="28"/>
      <c r="J19" s="28"/>
      <c r="K19" s="28"/>
      <c r="L19" s="28"/>
      <c r="M19" s="28"/>
      <c r="N19" s="28"/>
    </row>
    <row r="20" ht="34" customHeight="1" spans="1:14">
      <c r="A20" s="40" t="s">
        <v>85</v>
      </c>
      <c r="B20" s="23" t="s">
        <v>86</v>
      </c>
      <c r="C20" s="41"/>
      <c r="D20" s="41"/>
      <c r="E20" s="41"/>
      <c r="F20" s="42"/>
      <c r="G20" s="28"/>
      <c r="H20" s="28"/>
      <c r="I20" s="28"/>
      <c r="J20" s="28"/>
      <c r="K20" s="28"/>
      <c r="L20" s="28"/>
      <c r="M20" s="28"/>
      <c r="N20" s="28"/>
    </row>
    <row r="21" ht="34" customHeight="1" spans="1:14">
      <c r="A21" s="40" t="s">
        <v>87</v>
      </c>
      <c r="B21" s="23" t="s">
        <v>88</v>
      </c>
      <c r="C21" s="41"/>
      <c r="D21" s="41"/>
      <c r="E21" s="41"/>
      <c r="F21" s="42"/>
      <c r="G21" s="28"/>
      <c r="H21" s="28"/>
      <c r="I21" s="28"/>
      <c r="J21" s="28"/>
      <c r="K21" s="28"/>
      <c r="L21" s="28"/>
      <c r="M21" s="28"/>
      <c r="N21" s="28"/>
    </row>
    <row r="22" ht="34" customHeight="1" spans="1:14">
      <c r="A22" s="40" t="s">
        <v>89</v>
      </c>
      <c r="B22" s="23" t="s">
        <v>90</v>
      </c>
      <c r="C22" s="41"/>
      <c r="D22" s="41"/>
      <c r="E22" s="41"/>
      <c r="F22" s="42"/>
      <c r="G22" s="28"/>
      <c r="H22" s="28"/>
      <c r="I22" s="28"/>
      <c r="J22" s="28"/>
      <c r="K22" s="28"/>
      <c r="L22" s="28"/>
      <c r="M22" s="28"/>
      <c r="N22" s="28"/>
    </row>
  </sheetData>
  <mergeCells count="19">
    <mergeCell ref="A4:B4"/>
    <mergeCell ref="C4:D4"/>
    <mergeCell ref="E4:F4"/>
    <mergeCell ref="G4:H4"/>
    <mergeCell ref="I4:J4"/>
    <mergeCell ref="K4:L4"/>
    <mergeCell ref="M4:N4"/>
    <mergeCell ref="A5:B5"/>
    <mergeCell ref="C5:D5"/>
    <mergeCell ref="E5:F5"/>
    <mergeCell ref="G5:H5"/>
    <mergeCell ref="I5:J5"/>
    <mergeCell ref="K5:L5"/>
    <mergeCell ref="M5:N5"/>
    <mergeCell ref="B18:F18"/>
    <mergeCell ref="B19:F19"/>
    <mergeCell ref="B20:F20"/>
    <mergeCell ref="B21:F21"/>
    <mergeCell ref="B22:F22"/>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8"/>
  <sheetViews>
    <sheetView showGridLines="0" workbookViewId="0">
      <pane xSplit="3" ySplit="4" topLeftCell="D5" activePane="bottomRight" state="frozen"/>
      <selection/>
      <selection pane="topRight"/>
      <selection pane="bottomLeft"/>
      <selection pane="bottomRight" activeCell="A1" sqref="A1"/>
    </sheetView>
  </sheetViews>
  <sheetFormatPr defaultColWidth="9" defaultRowHeight="16.8"/>
  <cols>
    <col min="1" max="1" width="12" style="1" customWidth="1"/>
    <col min="2" max="2" width="14" style="1" customWidth="1"/>
    <col min="3" max="3" width="16" style="1" customWidth="1"/>
    <col min="4" max="4" width="38" style="1" customWidth="1"/>
    <col min="5" max="5" width="18" style="1" customWidth="1"/>
    <col min="6" max="9" width="12" style="1" customWidth="1"/>
    <col min="10" max="10" width="38" style="1" customWidth="1"/>
    <col min="11" max="12" width="16" style="1" customWidth="1"/>
    <col min="13" max="13" width="14" style="1" customWidth="1"/>
  </cols>
  <sheetData>
    <row r="1" ht="25" customHeight="1" spans="1:13">
      <c r="A1" s="17" t="s">
        <v>24</v>
      </c>
      <c r="B1" s="17"/>
      <c r="C1" s="17"/>
      <c r="D1" s="17"/>
      <c r="E1" s="17"/>
      <c r="F1" s="17"/>
      <c r="G1" s="17"/>
      <c r="H1" s="17"/>
      <c r="I1" s="17"/>
      <c r="J1" s="17"/>
      <c r="K1" s="17"/>
      <c r="L1" s="17"/>
      <c r="M1" s="17"/>
    </row>
    <row r="2" spans="1:13">
      <c r="A2" s="18" t="s">
        <v>91</v>
      </c>
    </row>
    <row r="4" ht="32" customHeight="1" spans="1:13">
      <c r="A4" s="14" t="s">
        <v>92</v>
      </c>
      <c r="B4" s="14" t="s">
        <v>93</v>
      </c>
      <c r="C4" s="14" t="s">
        <v>94</v>
      </c>
      <c r="D4" s="14" t="s">
        <v>95</v>
      </c>
      <c r="E4" s="14" t="s">
        <v>96</v>
      </c>
      <c r="F4" s="14" t="s">
        <v>97</v>
      </c>
      <c r="G4" s="14" t="s">
        <v>98</v>
      </c>
      <c r="H4" s="14" t="s">
        <v>55</v>
      </c>
      <c r="I4" s="14" t="s">
        <v>99</v>
      </c>
      <c r="J4" s="14" t="s">
        <v>100</v>
      </c>
      <c r="K4" s="14" t="s">
        <v>101</v>
      </c>
      <c r="L4" s="14" t="s">
        <v>102</v>
      </c>
      <c r="M4" s="14" t="s">
        <v>103</v>
      </c>
    </row>
    <row r="5" spans="1:13">
      <c r="A5" s="25" t="s">
        <v>104</v>
      </c>
      <c r="B5" s="15" t="s">
        <v>105</v>
      </c>
      <c r="C5" s="15" t="s">
        <v>106</v>
      </c>
      <c r="D5" s="23" t="s">
        <v>107</v>
      </c>
      <c r="E5" s="19" t="s">
        <v>108</v>
      </c>
      <c r="F5" s="19" t="s">
        <v>109</v>
      </c>
      <c r="G5" s="19" t="s">
        <v>110</v>
      </c>
      <c r="H5" s="19" t="s">
        <v>61</v>
      </c>
      <c r="I5" s="19" t="s">
        <v>111</v>
      </c>
      <c r="J5" s="23" t="s">
        <v>112</v>
      </c>
      <c r="K5" s="15" t="s">
        <v>113</v>
      </c>
      <c r="L5" s="15" t="s">
        <v>114</v>
      </c>
      <c r="M5" s="19" t="s">
        <v>115</v>
      </c>
    </row>
    <row r="6" spans="1:13">
      <c r="A6" s="25" t="s">
        <v>116</v>
      </c>
      <c r="B6" s="15" t="s">
        <v>105</v>
      </c>
      <c r="C6" s="15" t="s">
        <v>117</v>
      </c>
      <c r="D6" s="23" t="s">
        <v>118</v>
      </c>
      <c r="E6" s="19" t="s">
        <v>108</v>
      </c>
      <c r="F6" s="19" t="s">
        <v>109</v>
      </c>
      <c r="G6" s="19" t="s">
        <v>110</v>
      </c>
      <c r="H6" s="19" t="s">
        <v>61</v>
      </c>
      <c r="I6" s="19" t="s">
        <v>111</v>
      </c>
      <c r="J6" s="23" t="s">
        <v>119</v>
      </c>
      <c r="K6" s="15" t="s">
        <v>113</v>
      </c>
      <c r="L6" s="15" t="s">
        <v>120</v>
      </c>
      <c r="M6" s="19" t="s">
        <v>115</v>
      </c>
    </row>
    <row r="7" spans="1:13">
      <c r="A7" s="25" t="s">
        <v>121</v>
      </c>
      <c r="B7" s="15" t="s">
        <v>122</v>
      </c>
      <c r="C7" s="15" t="s">
        <v>123</v>
      </c>
      <c r="D7" s="23" t="s">
        <v>124</v>
      </c>
      <c r="E7" s="19" t="s">
        <v>108</v>
      </c>
      <c r="F7" s="19" t="s">
        <v>109</v>
      </c>
      <c r="G7" s="19" t="s">
        <v>110</v>
      </c>
      <c r="H7" s="19" t="s">
        <v>61</v>
      </c>
      <c r="I7" s="19" t="s">
        <v>111</v>
      </c>
      <c r="J7" s="23" t="s">
        <v>125</v>
      </c>
      <c r="K7" s="15" t="s">
        <v>113</v>
      </c>
      <c r="L7" s="15" t="s">
        <v>126</v>
      </c>
      <c r="M7" s="19" t="s">
        <v>115</v>
      </c>
    </row>
    <row r="8" spans="1:13">
      <c r="A8" s="25" t="s">
        <v>127</v>
      </c>
      <c r="B8" s="15" t="s">
        <v>122</v>
      </c>
      <c r="C8" s="15" t="s">
        <v>128</v>
      </c>
      <c r="D8" s="23" t="s">
        <v>129</v>
      </c>
      <c r="E8" s="19" t="s">
        <v>108</v>
      </c>
      <c r="F8" s="19" t="s">
        <v>109</v>
      </c>
      <c r="G8" s="19" t="s">
        <v>110</v>
      </c>
      <c r="H8" s="19" t="s">
        <v>61</v>
      </c>
      <c r="I8" s="19" t="s">
        <v>111</v>
      </c>
      <c r="J8" s="23" t="s">
        <v>130</v>
      </c>
      <c r="K8" s="15" t="s">
        <v>113</v>
      </c>
      <c r="L8" s="15" t="s">
        <v>126</v>
      </c>
      <c r="M8" s="19" t="s">
        <v>115</v>
      </c>
    </row>
    <row r="9" spans="1:13">
      <c r="A9" s="25" t="s">
        <v>131</v>
      </c>
      <c r="B9" s="15" t="s">
        <v>132</v>
      </c>
      <c r="C9" s="15" t="s">
        <v>133</v>
      </c>
      <c r="D9" s="23" t="s">
        <v>134</v>
      </c>
      <c r="E9" s="19" t="s">
        <v>108</v>
      </c>
      <c r="F9" s="19" t="s">
        <v>109</v>
      </c>
      <c r="G9" s="19" t="s">
        <v>110</v>
      </c>
      <c r="H9" s="19" t="s">
        <v>61</v>
      </c>
      <c r="I9" s="19" t="s">
        <v>111</v>
      </c>
      <c r="J9" s="23" t="s">
        <v>135</v>
      </c>
      <c r="K9" s="15" t="s">
        <v>113</v>
      </c>
      <c r="L9" s="15" t="s">
        <v>136</v>
      </c>
      <c r="M9" s="19" t="s">
        <v>115</v>
      </c>
    </row>
    <row r="10" spans="1:13">
      <c r="A10" s="25" t="s">
        <v>137</v>
      </c>
      <c r="B10" s="15" t="s">
        <v>132</v>
      </c>
      <c r="C10" s="15" t="s">
        <v>138</v>
      </c>
      <c r="D10" s="23" t="s">
        <v>139</v>
      </c>
      <c r="E10" s="19" t="s">
        <v>108</v>
      </c>
      <c r="F10" s="19" t="s">
        <v>109</v>
      </c>
      <c r="G10" s="19" t="s">
        <v>110</v>
      </c>
      <c r="H10" s="19" t="s">
        <v>61</v>
      </c>
      <c r="I10" s="19" t="s">
        <v>111</v>
      </c>
      <c r="J10" s="23" t="s">
        <v>140</v>
      </c>
      <c r="K10" s="15" t="s">
        <v>113</v>
      </c>
      <c r="L10" s="15" t="s">
        <v>141</v>
      </c>
      <c r="M10" s="19" t="s">
        <v>115</v>
      </c>
    </row>
    <row r="11" spans="1:13">
      <c r="A11" s="25" t="s">
        <v>142</v>
      </c>
      <c r="B11" s="15" t="s">
        <v>143</v>
      </c>
      <c r="C11" s="15" t="s">
        <v>144</v>
      </c>
      <c r="D11" s="23" t="s">
        <v>145</v>
      </c>
      <c r="E11" s="19" t="s">
        <v>146</v>
      </c>
      <c r="F11" s="19" t="s">
        <v>109</v>
      </c>
      <c r="G11" s="19" t="s">
        <v>147</v>
      </c>
      <c r="H11" s="19" t="s">
        <v>67</v>
      </c>
      <c r="I11" s="19" t="s">
        <v>148</v>
      </c>
      <c r="J11" s="23" t="s">
        <v>149</v>
      </c>
      <c r="K11" s="15" t="s">
        <v>150</v>
      </c>
      <c r="L11" s="15" t="s">
        <v>151</v>
      </c>
      <c r="M11" s="19" t="s">
        <v>152</v>
      </c>
    </row>
    <row r="12" spans="1:13">
      <c r="A12" s="25" t="s">
        <v>153</v>
      </c>
      <c r="B12" s="15" t="s">
        <v>143</v>
      </c>
      <c r="C12" s="15" t="s">
        <v>154</v>
      </c>
      <c r="D12" s="23" t="s">
        <v>155</v>
      </c>
      <c r="E12" s="19" t="s">
        <v>108</v>
      </c>
      <c r="F12" s="19" t="s">
        <v>156</v>
      </c>
      <c r="G12" s="19" t="s">
        <v>110</v>
      </c>
      <c r="H12" s="19" t="s">
        <v>61</v>
      </c>
      <c r="I12" s="19" t="s">
        <v>111</v>
      </c>
      <c r="J12" s="23" t="s">
        <v>157</v>
      </c>
      <c r="K12" s="15" t="s">
        <v>113</v>
      </c>
      <c r="L12" s="15" t="s">
        <v>151</v>
      </c>
      <c r="M12" s="19" t="s">
        <v>115</v>
      </c>
    </row>
    <row r="13" spans="1:13">
      <c r="A13" s="25" t="s">
        <v>158</v>
      </c>
      <c r="B13" s="15" t="s">
        <v>159</v>
      </c>
      <c r="C13" s="15" t="s">
        <v>160</v>
      </c>
      <c r="D13" s="23" t="s">
        <v>161</v>
      </c>
      <c r="E13" s="19" t="s">
        <v>108</v>
      </c>
      <c r="F13" s="19" t="s">
        <v>109</v>
      </c>
      <c r="G13" s="19" t="s">
        <v>110</v>
      </c>
      <c r="H13" s="19" t="s">
        <v>61</v>
      </c>
      <c r="I13" s="19" t="s">
        <v>111</v>
      </c>
      <c r="J13" s="23" t="s">
        <v>162</v>
      </c>
      <c r="K13" s="15" t="s">
        <v>113</v>
      </c>
      <c r="L13" s="15" t="s">
        <v>163</v>
      </c>
      <c r="M13" s="19" t="s">
        <v>115</v>
      </c>
    </row>
    <row r="14" spans="1:13">
      <c r="A14" s="25" t="s">
        <v>164</v>
      </c>
      <c r="B14" s="15" t="s">
        <v>159</v>
      </c>
      <c r="C14" s="15" t="s">
        <v>165</v>
      </c>
      <c r="D14" s="23" t="s">
        <v>166</v>
      </c>
      <c r="E14" s="19" t="s">
        <v>108</v>
      </c>
      <c r="F14" s="19" t="s">
        <v>109</v>
      </c>
      <c r="G14" s="19" t="s">
        <v>110</v>
      </c>
      <c r="H14" s="19" t="s">
        <v>61</v>
      </c>
      <c r="I14" s="19" t="s">
        <v>111</v>
      </c>
      <c r="J14" s="23" t="s">
        <v>167</v>
      </c>
      <c r="K14" s="15" t="s">
        <v>113</v>
      </c>
      <c r="L14" s="15" t="s">
        <v>163</v>
      </c>
      <c r="M14" s="19" t="s">
        <v>115</v>
      </c>
    </row>
    <row r="15" spans="1:13">
      <c r="A15" s="25" t="s">
        <v>168</v>
      </c>
      <c r="B15" s="15" t="s">
        <v>159</v>
      </c>
      <c r="C15" s="15" t="s">
        <v>169</v>
      </c>
      <c r="D15" s="23" t="s">
        <v>170</v>
      </c>
      <c r="E15" s="19" t="s">
        <v>108</v>
      </c>
      <c r="F15" s="19" t="s">
        <v>109</v>
      </c>
      <c r="G15" s="19" t="s">
        <v>110</v>
      </c>
      <c r="H15" s="19" t="s">
        <v>61</v>
      </c>
      <c r="I15" s="19" t="s">
        <v>111</v>
      </c>
      <c r="J15" s="23" t="s">
        <v>171</v>
      </c>
      <c r="K15" s="15" t="s">
        <v>113</v>
      </c>
      <c r="L15" s="15" t="s">
        <v>172</v>
      </c>
      <c r="M15" s="19" t="s">
        <v>115</v>
      </c>
    </row>
    <row r="16" spans="1:13">
      <c r="A16" s="25" t="s">
        <v>173</v>
      </c>
      <c r="B16" s="15" t="s">
        <v>159</v>
      </c>
      <c r="C16" s="15" t="s">
        <v>174</v>
      </c>
      <c r="D16" s="23" t="s">
        <v>175</v>
      </c>
      <c r="E16" s="19" t="s">
        <v>108</v>
      </c>
      <c r="F16" s="19" t="s">
        <v>156</v>
      </c>
      <c r="G16" s="19" t="s">
        <v>110</v>
      </c>
      <c r="H16" s="19" t="s">
        <v>61</v>
      </c>
      <c r="I16" s="19" t="s">
        <v>111</v>
      </c>
      <c r="J16" s="23" t="s">
        <v>176</v>
      </c>
      <c r="K16" s="15" t="s">
        <v>113</v>
      </c>
      <c r="L16" s="15" t="s">
        <v>172</v>
      </c>
      <c r="M16" s="19" t="s">
        <v>115</v>
      </c>
    </row>
    <row r="17" spans="1:13">
      <c r="A17" s="25" t="s">
        <v>177</v>
      </c>
      <c r="B17" s="15" t="s">
        <v>178</v>
      </c>
      <c r="C17" s="15" t="s">
        <v>179</v>
      </c>
      <c r="D17" s="23" t="s">
        <v>180</v>
      </c>
      <c r="E17" s="19" t="s">
        <v>181</v>
      </c>
      <c r="F17" s="19" t="s">
        <v>109</v>
      </c>
      <c r="G17" s="19" t="s">
        <v>182</v>
      </c>
      <c r="H17" s="19" t="s">
        <v>71</v>
      </c>
      <c r="I17" s="19" t="s">
        <v>111</v>
      </c>
      <c r="J17" s="23" t="s">
        <v>183</v>
      </c>
      <c r="K17" s="15" t="s">
        <v>113</v>
      </c>
      <c r="L17" s="15" t="s">
        <v>184</v>
      </c>
      <c r="M17" s="19" t="s">
        <v>115</v>
      </c>
    </row>
    <row r="18" spans="1:13">
      <c r="A18" s="25" t="s">
        <v>185</v>
      </c>
      <c r="B18" s="15" t="s">
        <v>178</v>
      </c>
      <c r="C18" s="15" t="s">
        <v>186</v>
      </c>
      <c r="D18" s="23" t="s">
        <v>187</v>
      </c>
      <c r="E18" s="19" t="s">
        <v>108</v>
      </c>
      <c r="F18" s="19" t="s">
        <v>109</v>
      </c>
      <c r="G18" s="19" t="s">
        <v>110</v>
      </c>
      <c r="H18" s="19" t="s">
        <v>61</v>
      </c>
      <c r="I18" s="19" t="s">
        <v>111</v>
      </c>
      <c r="J18" s="23" t="s">
        <v>188</v>
      </c>
      <c r="K18" s="15" t="s">
        <v>113</v>
      </c>
      <c r="L18" s="15" t="s">
        <v>184</v>
      </c>
      <c r="M18" s="19" t="s">
        <v>115</v>
      </c>
    </row>
    <row r="19" spans="1:13">
      <c r="A19" s="25" t="s">
        <v>189</v>
      </c>
      <c r="B19" s="15" t="s">
        <v>190</v>
      </c>
      <c r="C19" s="15" t="s">
        <v>191</v>
      </c>
      <c r="D19" s="23" t="s">
        <v>192</v>
      </c>
      <c r="E19" s="19" t="s">
        <v>108</v>
      </c>
      <c r="F19" s="19" t="s">
        <v>156</v>
      </c>
      <c r="G19" s="19" t="s">
        <v>110</v>
      </c>
      <c r="H19" s="19" t="s">
        <v>61</v>
      </c>
      <c r="I19" s="19" t="s">
        <v>111</v>
      </c>
      <c r="J19" s="23" t="s">
        <v>193</v>
      </c>
      <c r="K19" s="15" t="s">
        <v>113</v>
      </c>
      <c r="L19" s="15" t="s">
        <v>194</v>
      </c>
      <c r="M19" s="19" t="s">
        <v>115</v>
      </c>
    </row>
    <row r="20" spans="1:13">
      <c r="A20" s="25" t="s">
        <v>195</v>
      </c>
      <c r="B20" s="15" t="s">
        <v>196</v>
      </c>
      <c r="C20" s="15" t="s">
        <v>197</v>
      </c>
      <c r="D20" s="23" t="s">
        <v>198</v>
      </c>
      <c r="E20" s="19" t="s">
        <v>146</v>
      </c>
      <c r="F20" s="19" t="s">
        <v>109</v>
      </c>
      <c r="G20" s="19" t="s">
        <v>110</v>
      </c>
      <c r="H20" s="19" t="s">
        <v>61</v>
      </c>
      <c r="I20" s="19" t="s">
        <v>148</v>
      </c>
      <c r="J20" s="23" t="s">
        <v>199</v>
      </c>
      <c r="K20" s="15" t="s">
        <v>150</v>
      </c>
      <c r="L20" s="15" t="s">
        <v>200</v>
      </c>
      <c r="M20" s="19" t="s">
        <v>152</v>
      </c>
    </row>
    <row r="21" spans="1:13">
      <c r="A21" s="25" t="s">
        <v>201</v>
      </c>
      <c r="B21" s="15" t="s">
        <v>202</v>
      </c>
      <c r="C21" s="15" t="s">
        <v>203</v>
      </c>
      <c r="D21" s="23" t="s">
        <v>204</v>
      </c>
      <c r="E21" s="19" t="s">
        <v>108</v>
      </c>
      <c r="F21" s="19" t="s">
        <v>156</v>
      </c>
      <c r="G21" s="19" t="s">
        <v>110</v>
      </c>
      <c r="H21" s="19" t="s">
        <v>61</v>
      </c>
      <c r="I21" s="19" t="s">
        <v>111</v>
      </c>
      <c r="J21" s="23" t="s">
        <v>205</v>
      </c>
      <c r="K21" s="15" t="s">
        <v>113</v>
      </c>
      <c r="L21" s="15" t="s">
        <v>206</v>
      </c>
      <c r="M21" s="19" t="s">
        <v>115</v>
      </c>
    </row>
    <row r="22" spans="1:13">
      <c r="A22" s="25" t="s">
        <v>207</v>
      </c>
      <c r="B22" s="15" t="s">
        <v>202</v>
      </c>
      <c r="C22" s="15" t="s">
        <v>208</v>
      </c>
      <c r="D22" s="23" t="s">
        <v>209</v>
      </c>
      <c r="E22" s="19" t="s">
        <v>146</v>
      </c>
      <c r="F22" s="19" t="s">
        <v>156</v>
      </c>
      <c r="G22" s="19" t="s">
        <v>210</v>
      </c>
      <c r="H22" s="19" t="s">
        <v>61</v>
      </c>
      <c r="I22" s="19" t="s">
        <v>148</v>
      </c>
      <c r="J22" s="23" t="s">
        <v>211</v>
      </c>
      <c r="K22" s="15" t="s">
        <v>150</v>
      </c>
      <c r="L22" s="15" t="s">
        <v>206</v>
      </c>
      <c r="M22" s="19" t="s">
        <v>152</v>
      </c>
    </row>
    <row r="23" spans="1:13">
      <c r="A23" s="25" t="s">
        <v>212</v>
      </c>
      <c r="B23" s="15" t="s">
        <v>213</v>
      </c>
      <c r="C23" s="15" t="s">
        <v>214</v>
      </c>
      <c r="D23" s="23" t="s">
        <v>215</v>
      </c>
      <c r="E23" s="19" t="s">
        <v>216</v>
      </c>
      <c r="F23" s="19" t="s">
        <v>109</v>
      </c>
      <c r="G23" s="19" t="s">
        <v>217</v>
      </c>
      <c r="H23" s="19" t="s">
        <v>67</v>
      </c>
      <c r="I23" s="19" t="s">
        <v>111</v>
      </c>
      <c r="J23" s="23" t="s">
        <v>218</v>
      </c>
      <c r="K23" s="15" t="s">
        <v>219</v>
      </c>
      <c r="L23" s="15" t="s">
        <v>220</v>
      </c>
      <c r="M23" s="19" t="s">
        <v>115</v>
      </c>
    </row>
    <row r="24" spans="1:13">
      <c r="A24" s="25" t="s">
        <v>221</v>
      </c>
      <c r="B24" s="15" t="s">
        <v>213</v>
      </c>
      <c r="C24" s="15" t="s">
        <v>222</v>
      </c>
      <c r="D24" s="23" t="s">
        <v>223</v>
      </c>
      <c r="E24" s="19" t="s">
        <v>216</v>
      </c>
      <c r="F24" s="19" t="s">
        <v>109</v>
      </c>
      <c r="G24" s="19" t="s">
        <v>217</v>
      </c>
      <c r="H24" s="19" t="s">
        <v>67</v>
      </c>
      <c r="I24" s="19" t="s">
        <v>111</v>
      </c>
      <c r="J24" s="23" t="s">
        <v>224</v>
      </c>
      <c r="K24" s="15" t="s">
        <v>219</v>
      </c>
      <c r="L24" s="15" t="s">
        <v>220</v>
      </c>
      <c r="M24" s="19" t="s">
        <v>115</v>
      </c>
    </row>
    <row r="25" ht="31" customHeight="1" spans="1:13">
      <c r="A25" s="25" t="s">
        <v>225</v>
      </c>
      <c r="B25" s="15" t="s">
        <v>226</v>
      </c>
      <c r="C25" s="15" t="s">
        <v>227</v>
      </c>
      <c r="D25" s="23" t="s">
        <v>228</v>
      </c>
      <c r="E25" s="19" t="s">
        <v>229</v>
      </c>
      <c r="F25" s="19" t="s">
        <v>109</v>
      </c>
      <c r="G25" s="19" t="s">
        <v>147</v>
      </c>
      <c r="H25" s="19" t="s">
        <v>67</v>
      </c>
      <c r="I25" s="19" t="s">
        <v>111</v>
      </c>
      <c r="J25" s="23" t="s">
        <v>230</v>
      </c>
      <c r="K25" s="15" t="s">
        <v>150</v>
      </c>
      <c r="L25" s="15" t="s">
        <v>231</v>
      </c>
      <c r="M25" s="19" t="s">
        <v>115</v>
      </c>
    </row>
    <row r="26" ht="31" customHeight="1" spans="1:13">
      <c r="A26" s="25" t="s">
        <v>232</v>
      </c>
      <c r="B26" s="15" t="s">
        <v>226</v>
      </c>
      <c r="C26" s="15" t="s">
        <v>233</v>
      </c>
      <c r="D26" s="23" t="s">
        <v>234</v>
      </c>
      <c r="E26" s="19" t="s">
        <v>229</v>
      </c>
      <c r="F26" s="19" t="s">
        <v>109</v>
      </c>
      <c r="G26" s="19" t="s">
        <v>147</v>
      </c>
      <c r="H26" s="19" t="s">
        <v>67</v>
      </c>
      <c r="I26" s="19" t="s">
        <v>111</v>
      </c>
      <c r="J26" s="23" t="s">
        <v>235</v>
      </c>
      <c r="K26" s="15" t="s">
        <v>150</v>
      </c>
      <c r="L26" s="15" t="s">
        <v>231</v>
      </c>
      <c r="M26" s="19" t="s">
        <v>115</v>
      </c>
    </row>
    <row r="27" spans="1:13">
      <c r="A27" s="25" t="s">
        <v>236</v>
      </c>
      <c r="B27" s="15" t="s">
        <v>237</v>
      </c>
      <c r="C27" s="15" t="s">
        <v>238</v>
      </c>
      <c r="D27" s="23" t="s">
        <v>239</v>
      </c>
      <c r="E27" s="19" t="s">
        <v>216</v>
      </c>
      <c r="F27" s="19" t="s">
        <v>109</v>
      </c>
      <c r="G27" s="19" t="s">
        <v>237</v>
      </c>
      <c r="H27" s="19" t="s">
        <v>67</v>
      </c>
      <c r="I27" s="19" t="s">
        <v>240</v>
      </c>
      <c r="J27" s="23" t="s">
        <v>241</v>
      </c>
      <c r="K27" s="15" t="s">
        <v>219</v>
      </c>
      <c r="L27" s="15" t="s">
        <v>242</v>
      </c>
      <c r="M27" s="19" t="s">
        <v>240</v>
      </c>
    </row>
    <row r="28" spans="1:13">
      <c r="A28" s="25" t="s">
        <v>243</v>
      </c>
      <c r="B28" s="15" t="s">
        <v>237</v>
      </c>
      <c r="C28" s="15" t="s">
        <v>244</v>
      </c>
      <c r="D28" s="23" t="s">
        <v>245</v>
      </c>
      <c r="E28" s="19" t="s">
        <v>216</v>
      </c>
      <c r="F28" s="19" t="s">
        <v>109</v>
      </c>
      <c r="G28" s="19" t="s">
        <v>237</v>
      </c>
      <c r="H28" s="19" t="s">
        <v>67</v>
      </c>
      <c r="I28" s="19" t="s">
        <v>240</v>
      </c>
      <c r="J28" s="23" t="s">
        <v>246</v>
      </c>
      <c r="K28" s="15" t="s">
        <v>219</v>
      </c>
      <c r="L28" s="15" t="s">
        <v>242</v>
      </c>
      <c r="M28" s="19" t="s">
        <v>240</v>
      </c>
    </row>
  </sheetData>
  <dataValidations count="3">
    <dataValidation type="list" sqref="F5:F104">
      <formula1>"P0,P1,P2"</formula1>
    </dataValidation>
    <dataValidation type="list" sqref="I5:I104">
      <formula1>"待确认,已确认,待验证,已验证,待量化,已拒绝"</formula1>
    </dataValidation>
    <dataValidation type="list" sqref="M5:M104">
      <formula1>"拟纳入,已纳入,不纳入,POC后确认,待量化"</formula1>
    </dataValidation>
  </dataValidation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6"/>
  <sheetViews>
    <sheetView showGridLines="0" workbookViewId="0">
      <pane ySplit="4" topLeftCell="A5" activePane="bottomLeft" state="frozen"/>
      <selection/>
      <selection pane="bottomLeft" activeCell="A1" sqref="A1"/>
    </sheetView>
  </sheetViews>
  <sheetFormatPr defaultColWidth="9" defaultRowHeight="16.8" outlineLevelCol="7"/>
  <cols>
    <col min="1" max="1" width="12" style="1" customWidth="1"/>
    <col min="2" max="2" width="22" style="1" customWidth="1"/>
    <col min="3" max="3" width="42" style="1" customWidth="1"/>
    <col min="4" max="4" width="14" style="1" customWidth="1"/>
    <col min="5" max="5" width="38" style="1" customWidth="1"/>
    <col min="6" max="8" width="16" style="1" customWidth="1"/>
  </cols>
  <sheetData>
    <row r="1" ht="25" customHeight="1" spans="1:8">
      <c r="A1" s="17" t="s">
        <v>26</v>
      </c>
      <c r="B1" s="17"/>
      <c r="C1" s="17"/>
      <c r="D1" s="17"/>
      <c r="E1" s="17"/>
      <c r="F1" s="17"/>
      <c r="G1" s="17"/>
      <c r="H1" s="17"/>
    </row>
    <row r="2" spans="1:8">
      <c r="A2" s="18" t="s">
        <v>247</v>
      </c>
    </row>
    <row r="4" ht="32" customHeight="1" spans="1:8">
      <c r="A4" s="14" t="s">
        <v>248</v>
      </c>
      <c r="B4" s="14" t="s">
        <v>249</v>
      </c>
      <c r="C4" s="14" t="s">
        <v>250</v>
      </c>
      <c r="D4" s="14" t="s">
        <v>251</v>
      </c>
      <c r="E4" s="14" t="s">
        <v>252</v>
      </c>
      <c r="F4" s="14" t="s">
        <v>253</v>
      </c>
      <c r="G4" s="14" t="s">
        <v>101</v>
      </c>
      <c r="H4" s="14" t="s">
        <v>99</v>
      </c>
    </row>
    <row r="5" spans="1:8">
      <c r="A5" s="15" t="s">
        <v>254</v>
      </c>
      <c r="B5" s="15" t="s">
        <v>255</v>
      </c>
      <c r="C5" s="23" t="s">
        <v>256</v>
      </c>
      <c r="D5" s="21" t="s">
        <v>257</v>
      </c>
      <c r="E5" s="21" t="s">
        <v>258</v>
      </c>
      <c r="F5" s="19" t="s">
        <v>61</v>
      </c>
      <c r="G5" s="19" t="s">
        <v>113</v>
      </c>
      <c r="H5" s="19" t="s">
        <v>111</v>
      </c>
    </row>
    <row r="6" spans="1:8">
      <c r="A6" s="15" t="s">
        <v>259</v>
      </c>
      <c r="B6" s="15" t="s">
        <v>260</v>
      </c>
      <c r="C6" s="23" t="s">
        <v>261</v>
      </c>
      <c r="D6" s="21" t="s">
        <v>262</v>
      </c>
      <c r="E6" s="21" t="s">
        <v>263</v>
      </c>
      <c r="F6" s="19" t="s">
        <v>67</v>
      </c>
      <c r="G6" s="19" t="s">
        <v>264</v>
      </c>
      <c r="H6" s="19" t="s">
        <v>148</v>
      </c>
    </row>
    <row r="7" spans="1:8">
      <c r="A7" s="15" t="s">
        <v>265</v>
      </c>
      <c r="B7" s="15" t="s">
        <v>266</v>
      </c>
      <c r="C7" s="23" t="s">
        <v>267</v>
      </c>
      <c r="D7" s="21" t="s">
        <v>257</v>
      </c>
      <c r="E7" s="21" t="s">
        <v>268</v>
      </c>
      <c r="F7" s="19" t="s">
        <v>67</v>
      </c>
      <c r="G7" s="19" t="s">
        <v>269</v>
      </c>
      <c r="H7" s="19" t="s">
        <v>111</v>
      </c>
    </row>
    <row r="8" spans="1:8">
      <c r="A8" s="15" t="s">
        <v>270</v>
      </c>
      <c r="B8" s="15" t="s">
        <v>271</v>
      </c>
      <c r="C8" s="23" t="s">
        <v>272</v>
      </c>
      <c r="D8" s="21" t="s">
        <v>257</v>
      </c>
      <c r="E8" s="21" t="s">
        <v>273</v>
      </c>
      <c r="F8" s="19" t="s">
        <v>67</v>
      </c>
      <c r="G8" s="19" t="s">
        <v>150</v>
      </c>
      <c r="H8" s="19" t="s">
        <v>111</v>
      </c>
    </row>
    <row r="9" spans="1:8">
      <c r="A9" s="15" t="s">
        <v>274</v>
      </c>
      <c r="B9" s="15" t="s">
        <v>275</v>
      </c>
      <c r="C9" s="23" t="s">
        <v>276</v>
      </c>
      <c r="D9" s="21" t="s">
        <v>257</v>
      </c>
      <c r="E9" s="21" t="s">
        <v>277</v>
      </c>
      <c r="F9" s="19" t="s">
        <v>61</v>
      </c>
      <c r="G9" s="19" t="s">
        <v>278</v>
      </c>
      <c r="H9" s="19" t="s">
        <v>111</v>
      </c>
    </row>
    <row r="10" spans="1:8">
      <c r="A10" s="15" t="s">
        <v>279</v>
      </c>
      <c r="B10" s="15" t="s">
        <v>280</v>
      </c>
      <c r="C10" s="23" t="s">
        <v>281</v>
      </c>
      <c r="D10" s="21" t="s">
        <v>257</v>
      </c>
      <c r="E10" s="21" t="s">
        <v>282</v>
      </c>
      <c r="F10" s="19" t="s">
        <v>67</v>
      </c>
      <c r="G10" s="19" t="s">
        <v>219</v>
      </c>
      <c r="H10" s="19" t="s">
        <v>111</v>
      </c>
    </row>
    <row r="11" spans="1:8">
      <c r="A11" s="15" t="s">
        <v>283</v>
      </c>
      <c r="B11" s="15" t="s">
        <v>284</v>
      </c>
      <c r="C11" s="23" t="s">
        <v>285</v>
      </c>
      <c r="D11" s="21" t="s">
        <v>257</v>
      </c>
      <c r="E11" s="21" t="s">
        <v>286</v>
      </c>
      <c r="F11" s="19" t="s">
        <v>287</v>
      </c>
      <c r="G11" s="19" t="s">
        <v>278</v>
      </c>
      <c r="H11" s="19" t="s">
        <v>111</v>
      </c>
    </row>
    <row r="12" spans="1:8">
      <c r="A12" s="15" t="s">
        <v>288</v>
      </c>
      <c r="B12" s="15" t="s">
        <v>289</v>
      </c>
      <c r="C12" s="23" t="s">
        <v>290</v>
      </c>
      <c r="D12" s="21" t="s">
        <v>257</v>
      </c>
      <c r="E12" s="21" t="s">
        <v>291</v>
      </c>
      <c r="F12" s="19" t="s">
        <v>71</v>
      </c>
      <c r="G12" s="19" t="s">
        <v>292</v>
      </c>
      <c r="H12" s="19" t="s">
        <v>111</v>
      </c>
    </row>
    <row r="13" spans="1:8">
      <c r="A13" s="15" t="s">
        <v>293</v>
      </c>
      <c r="B13" s="15" t="s">
        <v>294</v>
      </c>
      <c r="C13" s="23" t="s">
        <v>295</v>
      </c>
      <c r="D13" s="21" t="s">
        <v>296</v>
      </c>
      <c r="E13" s="21" t="s">
        <v>297</v>
      </c>
      <c r="F13" s="19" t="s">
        <v>71</v>
      </c>
      <c r="G13" s="19" t="s">
        <v>298</v>
      </c>
      <c r="H13" s="19" t="s">
        <v>299</v>
      </c>
    </row>
    <row r="14" spans="1:8">
      <c r="A14" s="15" t="s">
        <v>300</v>
      </c>
      <c r="B14" s="15" t="s">
        <v>301</v>
      </c>
      <c r="C14" s="23" t="s">
        <v>302</v>
      </c>
      <c r="D14" s="21" t="s">
        <v>296</v>
      </c>
      <c r="E14" s="21" t="s">
        <v>303</v>
      </c>
      <c r="F14" s="19" t="s">
        <v>61</v>
      </c>
      <c r="G14" s="19" t="s">
        <v>113</v>
      </c>
      <c r="H14" s="19" t="s">
        <v>299</v>
      </c>
    </row>
    <row r="15" spans="1:8">
      <c r="A15" s="15" t="s">
        <v>304</v>
      </c>
      <c r="B15" s="15" t="s">
        <v>305</v>
      </c>
      <c r="C15" s="23" t="s">
        <v>306</v>
      </c>
      <c r="D15" s="21" t="s">
        <v>296</v>
      </c>
      <c r="E15" s="21" t="s">
        <v>307</v>
      </c>
      <c r="F15" s="19" t="s">
        <v>67</v>
      </c>
      <c r="G15" s="19" t="s">
        <v>264</v>
      </c>
      <c r="H15" s="19" t="s">
        <v>299</v>
      </c>
    </row>
    <row r="16" spans="1:8">
      <c r="A16" s="15" t="s">
        <v>308</v>
      </c>
      <c r="B16" s="15" t="s">
        <v>309</v>
      </c>
      <c r="C16" s="23" t="s">
        <v>310</v>
      </c>
      <c r="D16" s="21" t="s">
        <v>296</v>
      </c>
      <c r="E16" s="21" t="s">
        <v>311</v>
      </c>
      <c r="F16" s="19" t="s">
        <v>74</v>
      </c>
      <c r="G16" s="19" t="s">
        <v>292</v>
      </c>
      <c r="H16" s="19" t="s">
        <v>299</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8"/>
  <sheetViews>
    <sheetView showGridLines="0" workbookViewId="0">
      <pane xSplit="2" ySplit="4" topLeftCell="C5" activePane="bottomRight" state="frozen"/>
      <selection/>
      <selection pane="topRight"/>
      <selection pane="bottomLeft"/>
      <selection pane="bottomRight" activeCell="A1" sqref="A1"/>
    </sheetView>
  </sheetViews>
  <sheetFormatPr defaultColWidth="9" defaultRowHeight="16.8"/>
  <cols>
    <col min="1" max="1" width="12" style="1" customWidth="1"/>
    <col min="2" max="2" width="38" style="1" customWidth="1"/>
    <col min="3" max="6" width="14" style="1" customWidth="1"/>
    <col min="7" max="10" width="18" style="1" customWidth="1"/>
    <col min="11" max="14" width="16" style="1" customWidth="1"/>
  </cols>
  <sheetData>
    <row r="1" ht="25" customHeight="1" spans="1:14">
      <c r="A1" s="17" t="s">
        <v>28</v>
      </c>
      <c r="B1" s="17"/>
      <c r="C1" s="17"/>
      <c r="D1" s="17"/>
      <c r="E1" s="17"/>
      <c r="F1" s="17"/>
      <c r="G1" s="17"/>
      <c r="H1" s="17"/>
      <c r="I1" s="17"/>
      <c r="J1" s="17"/>
      <c r="K1" s="17"/>
      <c r="L1" s="17"/>
      <c r="M1" s="17"/>
      <c r="N1" s="17"/>
    </row>
    <row r="2" spans="1:14">
      <c r="A2" s="18" t="s">
        <v>312</v>
      </c>
    </row>
    <row r="4" ht="32" customHeight="1" spans="1:14">
      <c r="A4" s="14" t="s">
        <v>92</v>
      </c>
      <c r="B4" s="14" t="s">
        <v>95</v>
      </c>
      <c r="C4" s="14" t="s">
        <v>97</v>
      </c>
      <c r="D4" s="14" t="s">
        <v>103</v>
      </c>
      <c r="E4" s="14" t="s">
        <v>248</v>
      </c>
      <c r="F4" s="14" t="s">
        <v>313</v>
      </c>
      <c r="G4" s="14" t="s">
        <v>314</v>
      </c>
      <c r="H4" s="14" t="s">
        <v>315</v>
      </c>
      <c r="I4" s="14" t="s">
        <v>316</v>
      </c>
      <c r="J4" s="14" t="s">
        <v>317</v>
      </c>
      <c r="K4" s="14" t="s">
        <v>55</v>
      </c>
      <c r="L4" s="14" t="s">
        <v>318</v>
      </c>
      <c r="M4" s="14" t="s">
        <v>99</v>
      </c>
      <c r="N4" s="14" t="s">
        <v>319</v>
      </c>
    </row>
    <row r="5" spans="1:14">
      <c r="A5" s="15" t="s">
        <v>104</v>
      </c>
      <c r="B5" s="23" t="s">
        <v>107</v>
      </c>
      <c r="C5" s="15" t="s">
        <v>109</v>
      </c>
      <c r="D5" s="15" t="s">
        <v>115</v>
      </c>
      <c r="E5" s="19" t="s">
        <v>254</v>
      </c>
      <c r="F5" s="19" t="s">
        <v>114</v>
      </c>
      <c r="G5" s="19" t="s">
        <v>320</v>
      </c>
      <c r="H5" s="19" t="s">
        <v>320</v>
      </c>
      <c r="I5" s="19" t="s">
        <v>320</v>
      </c>
      <c r="J5" s="19" t="s">
        <v>320</v>
      </c>
      <c r="K5" s="15" t="s">
        <v>61</v>
      </c>
      <c r="L5" s="15" t="s">
        <v>113</v>
      </c>
      <c r="M5" s="15" t="s">
        <v>111</v>
      </c>
      <c r="N5" s="24" t="str">
        <f t="shared" ref="N5:N28" si="0">IF($C5&lt;&gt;"P0","按需",IF(COUNTBLANK($E5:$J5)+COUNTIF($E5:$J5,"待补充")=0,"完整","不完整"))</f>
        <v>不完整</v>
      </c>
    </row>
    <row r="6" spans="1:14">
      <c r="A6" s="15" t="s">
        <v>116</v>
      </c>
      <c r="B6" s="23" t="s">
        <v>118</v>
      </c>
      <c r="C6" s="15" t="s">
        <v>109</v>
      </c>
      <c r="D6" s="15" t="s">
        <v>115</v>
      </c>
      <c r="E6" s="19" t="s">
        <v>254</v>
      </c>
      <c r="F6" s="19" t="s">
        <v>120</v>
      </c>
      <c r="G6" s="19" t="s">
        <v>320</v>
      </c>
      <c r="H6" s="19" t="s">
        <v>320</v>
      </c>
      <c r="I6" s="19" t="s">
        <v>320</v>
      </c>
      <c r="J6" s="19" t="s">
        <v>320</v>
      </c>
      <c r="K6" s="15" t="s">
        <v>61</v>
      </c>
      <c r="L6" s="15" t="s">
        <v>113</v>
      </c>
      <c r="M6" s="15" t="s">
        <v>111</v>
      </c>
      <c r="N6" s="24" t="str">
        <f t="shared" si="0"/>
        <v>不完整</v>
      </c>
    </row>
    <row r="7" spans="1:14">
      <c r="A7" s="15" t="s">
        <v>121</v>
      </c>
      <c r="B7" s="23" t="s">
        <v>124</v>
      </c>
      <c r="C7" s="15" t="s">
        <v>109</v>
      </c>
      <c r="D7" s="15" t="s">
        <v>115</v>
      </c>
      <c r="E7" s="19" t="s">
        <v>254</v>
      </c>
      <c r="F7" s="19" t="s">
        <v>126</v>
      </c>
      <c r="G7" s="19" t="s">
        <v>320</v>
      </c>
      <c r="H7" s="19" t="s">
        <v>320</v>
      </c>
      <c r="I7" s="19" t="s">
        <v>320</v>
      </c>
      <c r="J7" s="19" t="s">
        <v>320</v>
      </c>
      <c r="K7" s="15" t="s">
        <v>61</v>
      </c>
      <c r="L7" s="15" t="s">
        <v>113</v>
      </c>
      <c r="M7" s="15" t="s">
        <v>111</v>
      </c>
      <c r="N7" s="24" t="str">
        <f t="shared" si="0"/>
        <v>不完整</v>
      </c>
    </row>
    <row r="8" spans="1:14">
      <c r="A8" s="15" t="s">
        <v>127</v>
      </c>
      <c r="B8" s="23" t="s">
        <v>129</v>
      </c>
      <c r="C8" s="15" t="s">
        <v>109</v>
      </c>
      <c r="D8" s="15" t="s">
        <v>115</v>
      </c>
      <c r="E8" s="19" t="s">
        <v>259</v>
      </c>
      <c r="F8" s="19" t="s">
        <v>126</v>
      </c>
      <c r="G8" s="19" t="s">
        <v>320</v>
      </c>
      <c r="H8" s="19" t="s">
        <v>320</v>
      </c>
      <c r="I8" s="19" t="s">
        <v>320</v>
      </c>
      <c r="J8" s="19" t="s">
        <v>320</v>
      </c>
      <c r="K8" s="15" t="s">
        <v>61</v>
      </c>
      <c r="L8" s="15" t="s">
        <v>113</v>
      </c>
      <c r="M8" s="15" t="s">
        <v>111</v>
      </c>
      <c r="N8" s="24" t="str">
        <f t="shared" si="0"/>
        <v>不完整</v>
      </c>
    </row>
    <row r="9" spans="1:14">
      <c r="A9" s="15" t="s">
        <v>131</v>
      </c>
      <c r="B9" s="23" t="s">
        <v>134</v>
      </c>
      <c r="C9" s="15" t="s">
        <v>109</v>
      </c>
      <c r="D9" s="15" t="s">
        <v>115</v>
      </c>
      <c r="E9" s="19" t="s">
        <v>259</v>
      </c>
      <c r="F9" s="19" t="s">
        <v>136</v>
      </c>
      <c r="G9" s="19" t="s">
        <v>320</v>
      </c>
      <c r="H9" s="19" t="s">
        <v>320</v>
      </c>
      <c r="I9" s="19" t="s">
        <v>320</v>
      </c>
      <c r="J9" s="19" t="s">
        <v>320</v>
      </c>
      <c r="K9" s="15" t="s">
        <v>61</v>
      </c>
      <c r="L9" s="15" t="s">
        <v>113</v>
      </c>
      <c r="M9" s="15" t="s">
        <v>111</v>
      </c>
      <c r="N9" s="24" t="str">
        <f t="shared" si="0"/>
        <v>不完整</v>
      </c>
    </row>
    <row r="10" spans="1:14">
      <c r="A10" s="15" t="s">
        <v>137</v>
      </c>
      <c r="B10" s="23" t="s">
        <v>139</v>
      </c>
      <c r="C10" s="15" t="s">
        <v>109</v>
      </c>
      <c r="D10" s="15" t="s">
        <v>115</v>
      </c>
      <c r="E10" s="19" t="s">
        <v>259</v>
      </c>
      <c r="F10" s="19" t="s">
        <v>141</v>
      </c>
      <c r="G10" s="19" t="s">
        <v>320</v>
      </c>
      <c r="H10" s="19" t="s">
        <v>320</v>
      </c>
      <c r="I10" s="19" t="s">
        <v>320</v>
      </c>
      <c r="J10" s="19" t="s">
        <v>320</v>
      </c>
      <c r="K10" s="15" t="s">
        <v>61</v>
      </c>
      <c r="L10" s="15" t="s">
        <v>113</v>
      </c>
      <c r="M10" s="15" t="s">
        <v>111</v>
      </c>
      <c r="N10" s="24" t="str">
        <f t="shared" si="0"/>
        <v>不完整</v>
      </c>
    </row>
    <row r="11" spans="1:14">
      <c r="A11" s="15" t="s">
        <v>142</v>
      </c>
      <c r="B11" s="23" t="s">
        <v>145</v>
      </c>
      <c r="C11" s="15" t="s">
        <v>109</v>
      </c>
      <c r="D11" s="15" t="s">
        <v>152</v>
      </c>
      <c r="E11" s="19" t="s">
        <v>265</v>
      </c>
      <c r="F11" s="19" t="s">
        <v>151</v>
      </c>
      <c r="G11" s="19" t="s">
        <v>320</v>
      </c>
      <c r="H11" s="19" t="s">
        <v>320</v>
      </c>
      <c r="I11" s="19" t="s">
        <v>320</v>
      </c>
      <c r="J11" s="19" t="s">
        <v>320</v>
      </c>
      <c r="K11" s="15" t="s">
        <v>67</v>
      </c>
      <c r="L11" s="15" t="s">
        <v>150</v>
      </c>
      <c r="M11" s="15" t="s">
        <v>148</v>
      </c>
      <c r="N11" s="24" t="str">
        <f t="shared" si="0"/>
        <v>不完整</v>
      </c>
    </row>
    <row r="12" spans="1:14">
      <c r="A12" s="15" t="s">
        <v>153</v>
      </c>
      <c r="B12" s="23" t="s">
        <v>155</v>
      </c>
      <c r="C12" s="15" t="s">
        <v>156</v>
      </c>
      <c r="D12" s="15" t="s">
        <v>115</v>
      </c>
      <c r="E12" s="19" t="s">
        <v>265</v>
      </c>
      <c r="F12" s="19" t="s">
        <v>151</v>
      </c>
      <c r="G12" s="19" t="s">
        <v>320</v>
      </c>
      <c r="H12" s="19" t="s">
        <v>320</v>
      </c>
      <c r="I12" s="19" t="s">
        <v>320</v>
      </c>
      <c r="J12" s="19" t="s">
        <v>320</v>
      </c>
      <c r="K12" s="15" t="s">
        <v>61</v>
      </c>
      <c r="L12" s="15" t="s">
        <v>113</v>
      </c>
      <c r="M12" s="15" t="s">
        <v>111</v>
      </c>
      <c r="N12" s="24" t="str">
        <f t="shared" si="0"/>
        <v>按需</v>
      </c>
    </row>
    <row r="13" spans="1:14">
      <c r="A13" s="15" t="s">
        <v>158</v>
      </c>
      <c r="B13" s="23" t="s">
        <v>161</v>
      </c>
      <c r="C13" s="15" t="s">
        <v>109</v>
      </c>
      <c r="D13" s="15" t="s">
        <v>115</v>
      </c>
      <c r="E13" s="19" t="s">
        <v>265</v>
      </c>
      <c r="F13" s="19" t="s">
        <v>163</v>
      </c>
      <c r="G13" s="19" t="s">
        <v>320</v>
      </c>
      <c r="H13" s="19" t="s">
        <v>320</v>
      </c>
      <c r="I13" s="19" t="s">
        <v>320</v>
      </c>
      <c r="J13" s="19" t="s">
        <v>320</v>
      </c>
      <c r="K13" s="15" t="s">
        <v>61</v>
      </c>
      <c r="L13" s="15" t="s">
        <v>113</v>
      </c>
      <c r="M13" s="15" t="s">
        <v>111</v>
      </c>
      <c r="N13" s="24" t="str">
        <f t="shared" si="0"/>
        <v>不完整</v>
      </c>
    </row>
    <row r="14" spans="1:14">
      <c r="A14" s="15" t="s">
        <v>164</v>
      </c>
      <c r="B14" s="23" t="s">
        <v>166</v>
      </c>
      <c r="C14" s="15" t="s">
        <v>109</v>
      </c>
      <c r="D14" s="15" t="s">
        <v>115</v>
      </c>
      <c r="E14" s="19" t="s">
        <v>270</v>
      </c>
      <c r="F14" s="19" t="s">
        <v>163</v>
      </c>
      <c r="G14" s="19" t="s">
        <v>320</v>
      </c>
      <c r="H14" s="19" t="s">
        <v>320</v>
      </c>
      <c r="I14" s="19" t="s">
        <v>320</v>
      </c>
      <c r="J14" s="19" t="s">
        <v>320</v>
      </c>
      <c r="K14" s="15" t="s">
        <v>61</v>
      </c>
      <c r="L14" s="15" t="s">
        <v>113</v>
      </c>
      <c r="M14" s="15" t="s">
        <v>111</v>
      </c>
      <c r="N14" s="24" t="str">
        <f t="shared" si="0"/>
        <v>不完整</v>
      </c>
    </row>
    <row r="15" spans="1:14">
      <c r="A15" s="15" t="s">
        <v>168</v>
      </c>
      <c r="B15" s="23" t="s">
        <v>170</v>
      </c>
      <c r="C15" s="15" t="s">
        <v>109</v>
      </c>
      <c r="D15" s="15" t="s">
        <v>115</v>
      </c>
      <c r="E15" s="19" t="s">
        <v>270</v>
      </c>
      <c r="F15" s="19" t="s">
        <v>172</v>
      </c>
      <c r="G15" s="19" t="s">
        <v>320</v>
      </c>
      <c r="H15" s="19" t="s">
        <v>320</v>
      </c>
      <c r="I15" s="19" t="s">
        <v>320</v>
      </c>
      <c r="J15" s="19" t="s">
        <v>320</v>
      </c>
      <c r="K15" s="15" t="s">
        <v>61</v>
      </c>
      <c r="L15" s="15" t="s">
        <v>113</v>
      </c>
      <c r="M15" s="15" t="s">
        <v>111</v>
      </c>
      <c r="N15" s="24" t="str">
        <f t="shared" si="0"/>
        <v>不完整</v>
      </c>
    </row>
    <row r="16" spans="1:14">
      <c r="A16" s="15" t="s">
        <v>173</v>
      </c>
      <c r="B16" s="23" t="s">
        <v>175</v>
      </c>
      <c r="C16" s="15" t="s">
        <v>156</v>
      </c>
      <c r="D16" s="15" t="s">
        <v>115</v>
      </c>
      <c r="E16" s="19" t="s">
        <v>270</v>
      </c>
      <c r="F16" s="19" t="s">
        <v>172</v>
      </c>
      <c r="G16" s="19" t="s">
        <v>320</v>
      </c>
      <c r="H16" s="19" t="s">
        <v>320</v>
      </c>
      <c r="I16" s="19" t="s">
        <v>320</v>
      </c>
      <c r="J16" s="19" t="s">
        <v>320</v>
      </c>
      <c r="K16" s="15" t="s">
        <v>61</v>
      </c>
      <c r="L16" s="15" t="s">
        <v>113</v>
      </c>
      <c r="M16" s="15" t="s">
        <v>111</v>
      </c>
      <c r="N16" s="24" t="str">
        <f t="shared" si="0"/>
        <v>按需</v>
      </c>
    </row>
    <row r="17" spans="1:14">
      <c r="A17" s="15" t="s">
        <v>177</v>
      </c>
      <c r="B17" s="23" t="s">
        <v>180</v>
      </c>
      <c r="C17" s="15" t="s">
        <v>109</v>
      </c>
      <c r="D17" s="15" t="s">
        <v>115</v>
      </c>
      <c r="E17" s="19" t="s">
        <v>274</v>
      </c>
      <c r="F17" s="19" t="s">
        <v>184</v>
      </c>
      <c r="G17" s="19" t="s">
        <v>320</v>
      </c>
      <c r="H17" s="19" t="s">
        <v>320</v>
      </c>
      <c r="I17" s="19" t="s">
        <v>320</v>
      </c>
      <c r="J17" s="19" t="s">
        <v>320</v>
      </c>
      <c r="K17" s="15" t="s">
        <v>71</v>
      </c>
      <c r="L17" s="15" t="s">
        <v>113</v>
      </c>
      <c r="M17" s="15" t="s">
        <v>111</v>
      </c>
      <c r="N17" s="24" t="str">
        <f t="shared" si="0"/>
        <v>不完整</v>
      </c>
    </row>
    <row r="18" spans="1:14">
      <c r="A18" s="15" t="s">
        <v>185</v>
      </c>
      <c r="B18" s="23" t="s">
        <v>187</v>
      </c>
      <c r="C18" s="15" t="s">
        <v>109</v>
      </c>
      <c r="D18" s="15" t="s">
        <v>115</v>
      </c>
      <c r="E18" s="19" t="s">
        <v>274</v>
      </c>
      <c r="F18" s="19" t="s">
        <v>184</v>
      </c>
      <c r="G18" s="19" t="s">
        <v>320</v>
      </c>
      <c r="H18" s="19" t="s">
        <v>320</v>
      </c>
      <c r="I18" s="19" t="s">
        <v>320</v>
      </c>
      <c r="J18" s="19" t="s">
        <v>320</v>
      </c>
      <c r="K18" s="15" t="s">
        <v>61</v>
      </c>
      <c r="L18" s="15" t="s">
        <v>113</v>
      </c>
      <c r="M18" s="15" t="s">
        <v>111</v>
      </c>
      <c r="N18" s="24" t="str">
        <f t="shared" si="0"/>
        <v>不完整</v>
      </c>
    </row>
    <row r="19" spans="1:14">
      <c r="A19" s="15" t="s">
        <v>189</v>
      </c>
      <c r="B19" s="23" t="s">
        <v>192</v>
      </c>
      <c r="C19" s="15" t="s">
        <v>156</v>
      </c>
      <c r="D19" s="15" t="s">
        <v>115</v>
      </c>
      <c r="E19" s="19" t="s">
        <v>274</v>
      </c>
      <c r="F19" s="19" t="s">
        <v>194</v>
      </c>
      <c r="G19" s="19" t="s">
        <v>320</v>
      </c>
      <c r="H19" s="19" t="s">
        <v>320</v>
      </c>
      <c r="I19" s="19" t="s">
        <v>320</v>
      </c>
      <c r="J19" s="19" t="s">
        <v>320</v>
      </c>
      <c r="K19" s="15" t="s">
        <v>61</v>
      </c>
      <c r="L19" s="15" t="s">
        <v>113</v>
      </c>
      <c r="M19" s="15" t="s">
        <v>111</v>
      </c>
      <c r="N19" s="24" t="str">
        <f t="shared" si="0"/>
        <v>按需</v>
      </c>
    </row>
    <row r="20" spans="1:14">
      <c r="A20" s="15" t="s">
        <v>195</v>
      </c>
      <c r="B20" s="23" t="s">
        <v>198</v>
      </c>
      <c r="C20" s="15" t="s">
        <v>109</v>
      </c>
      <c r="D20" s="15" t="s">
        <v>152</v>
      </c>
      <c r="E20" s="19" t="s">
        <v>279</v>
      </c>
      <c r="F20" s="19" t="s">
        <v>200</v>
      </c>
      <c r="G20" s="19" t="s">
        <v>320</v>
      </c>
      <c r="H20" s="19" t="s">
        <v>320</v>
      </c>
      <c r="I20" s="19" t="s">
        <v>320</v>
      </c>
      <c r="J20" s="19" t="s">
        <v>320</v>
      </c>
      <c r="K20" s="15" t="s">
        <v>61</v>
      </c>
      <c r="L20" s="15" t="s">
        <v>150</v>
      </c>
      <c r="M20" s="15" t="s">
        <v>148</v>
      </c>
      <c r="N20" s="24" t="str">
        <f t="shared" si="0"/>
        <v>不完整</v>
      </c>
    </row>
    <row r="21" spans="1:14">
      <c r="A21" s="15" t="s">
        <v>201</v>
      </c>
      <c r="B21" s="23" t="s">
        <v>204</v>
      </c>
      <c r="C21" s="15" t="s">
        <v>156</v>
      </c>
      <c r="D21" s="15" t="s">
        <v>115</v>
      </c>
      <c r="E21" s="19" t="s">
        <v>279</v>
      </c>
      <c r="F21" s="19" t="s">
        <v>206</v>
      </c>
      <c r="G21" s="19" t="s">
        <v>320</v>
      </c>
      <c r="H21" s="19" t="s">
        <v>320</v>
      </c>
      <c r="I21" s="19" t="s">
        <v>320</v>
      </c>
      <c r="J21" s="19" t="s">
        <v>320</v>
      </c>
      <c r="K21" s="15" t="s">
        <v>61</v>
      </c>
      <c r="L21" s="15" t="s">
        <v>113</v>
      </c>
      <c r="M21" s="15" t="s">
        <v>111</v>
      </c>
      <c r="N21" s="24" t="str">
        <f t="shared" si="0"/>
        <v>按需</v>
      </c>
    </row>
    <row r="22" spans="1:14">
      <c r="A22" s="15" t="s">
        <v>207</v>
      </c>
      <c r="B22" s="23" t="s">
        <v>209</v>
      </c>
      <c r="C22" s="15" t="s">
        <v>156</v>
      </c>
      <c r="D22" s="15" t="s">
        <v>152</v>
      </c>
      <c r="E22" s="19" t="s">
        <v>279</v>
      </c>
      <c r="F22" s="19" t="s">
        <v>206</v>
      </c>
      <c r="G22" s="19" t="s">
        <v>320</v>
      </c>
      <c r="H22" s="19" t="s">
        <v>320</v>
      </c>
      <c r="I22" s="19" t="s">
        <v>320</v>
      </c>
      <c r="J22" s="19" t="s">
        <v>320</v>
      </c>
      <c r="K22" s="15" t="s">
        <v>61</v>
      </c>
      <c r="L22" s="15" t="s">
        <v>150</v>
      </c>
      <c r="M22" s="15" t="s">
        <v>148</v>
      </c>
      <c r="N22" s="24" t="str">
        <f t="shared" si="0"/>
        <v>按需</v>
      </c>
    </row>
    <row r="23" spans="1:14">
      <c r="A23" s="15" t="s">
        <v>212</v>
      </c>
      <c r="B23" s="23" t="s">
        <v>215</v>
      </c>
      <c r="C23" s="15" t="s">
        <v>109</v>
      </c>
      <c r="D23" s="15" t="s">
        <v>115</v>
      </c>
      <c r="E23" s="19" t="s">
        <v>283</v>
      </c>
      <c r="F23" s="19" t="s">
        <v>220</v>
      </c>
      <c r="G23" s="19" t="s">
        <v>320</v>
      </c>
      <c r="H23" s="19" t="s">
        <v>320</v>
      </c>
      <c r="I23" s="19" t="s">
        <v>320</v>
      </c>
      <c r="J23" s="19" t="s">
        <v>320</v>
      </c>
      <c r="K23" s="15" t="s">
        <v>67</v>
      </c>
      <c r="L23" s="15" t="s">
        <v>219</v>
      </c>
      <c r="M23" s="15" t="s">
        <v>111</v>
      </c>
      <c r="N23" s="24" t="str">
        <f t="shared" si="0"/>
        <v>不完整</v>
      </c>
    </row>
    <row r="24" spans="1:14">
      <c r="A24" s="15" t="s">
        <v>221</v>
      </c>
      <c r="B24" s="23" t="s">
        <v>223</v>
      </c>
      <c r="C24" s="15" t="s">
        <v>109</v>
      </c>
      <c r="D24" s="15" t="s">
        <v>115</v>
      </c>
      <c r="E24" s="19" t="s">
        <v>283</v>
      </c>
      <c r="F24" s="19" t="s">
        <v>220</v>
      </c>
      <c r="G24" s="19" t="s">
        <v>320</v>
      </c>
      <c r="H24" s="19" t="s">
        <v>320</v>
      </c>
      <c r="I24" s="19" t="s">
        <v>320</v>
      </c>
      <c r="J24" s="19" t="s">
        <v>320</v>
      </c>
      <c r="K24" s="15" t="s">
        <v>67</v>
      </c>
      <c r="L24" s="15" t="s">
        <v>219</v>
      </c>
      <c r="M24" s="15" t="s">
        <v>111</v>
      </c>
      <c r="N24" s="24" t="str">
        <f t="shared" si="0"/>
        <v>不完整</v>
      </c>
    </row>
    <row r="25" spans="1:14">
      <c r="A25" s="15" t="s">
        <v>225</v>
      </c>
      <c r="B25" s="23" t="s">
        <v>321</v>
      </c>
      <c r="C25" s="15" t="s">
        <v>109</v>
      </c>
      <c r="D25" s="15" t="s">
        <v>115</v>
      </c>
      <c r="E25" s="19" t="s">
        <v>283</v>
      </c>
      <c r="F25" s="19" t="s">
        <v>231</v>
      </c>
      <c r="G25" s="19" t="s">
        <v>320</v>
      </c>
      <c r="H25" s="19" t="s">
        <v>320</v>
      </c>
      <c r="I25" s="19" t="s">
        <v>320</v>
      </c>
      <c r="J25" s="19" t="s">
        <v>320</v>
      </c>
      <c r="K25" s="15" t="s">
        <v>67</v>
      </c>
      <c r="L25" s="15" t="s">
        <v>150</v>
      </c>
      <c r="M25" s="15" t="s">
        <v>111</v>
      </c>
      <c r="N25" s="24" t="str">
        <f t="shared" si="0"/>
        <v>不完整</v>
      </c>
    </row>
    <row r="26" spans="1:14">
      <c r="A26" s="15" t="s">
        <v>232</v>
      </c>
      <c r="B26" s="23" t="s">
        <v>322</v>
      </c>
      <c r="C26" s="15" t="s">
        <v>109</v>
      </c>
      <c r="D26" s="15" t="s">
        <v>115</v>
      </c>
      <c r="E26" s="19" t="s">
        <v>288</v>
      </c>
      <c r="F26" s="19" t="s">
        <v>231</v>
      </c>
      <c r="G26" s="19" t="s">
        <v>320</v>
      </c>
      <c r="H26" s="19" t="s">
        <v>320</v>
      </c>
      <c r="I26" s="19" t="s">
        <v>320</v>
      </c>
      <c r="J26" s="19" t="s">
        <v>320</v>
      </c>
      <c r="K26" s="15" t="s">
        <v>67</v>
      </c>
      <c r="L26" s="15" t="s">
        <v>150</v>
      </c>
      <c r="M26" s="15" t="s">
        <v>111</v>
      </c>
      <c r="N26" s="24" t="str">
        <f t="shared" si="0"/>
        <v>不完整</v>
      </c>
    </row>
    <row r="27" spans="1:14">
      <c r="A27" s="15" t="s">
        <v>236</v>
      </c>
      <c r="B27" s="23" t="s">
        <v>239</v>
      </c>
      <c r="C27" s="15" t="s">
        <v>109</v>
      </c>
      <c r="D27" s="15" t="s">
        <v>240</v>
      </c>
      <c r="E27" s="19" t="s">
        <v>288</v>
      </c>
      <c r="F27" s="19" t="s">
        <v>242</v>
      </c>
      <c r="G27" s="19" t="s">
        <v>320</v>
      </c>
      <c r="H27" s="19" t="s">
        <v>320</v>
      </c>
      <c r="I27" s="19" t="s">
        <v>320</v>
      </c>
      <c r="J27" s="19" t="s">
        <v>320</v>
      </c>
      <c r="K27" s="15" t="s">
        <v>67</v>
      </c>
      <c r="L27" s="15" t="s">
        <v>219</v>
      </c>
      <c r="M27" s="15" t="s">
        <v>240</v>
      </c>
      <c r="N27" s="24" t="str">
        <f t="shared" si="0"/>
        <v>不完整</v>
      </c>
    </row>
    <row r="28" spans="1:14">
      <c r="A28" s="15" t="s">
        <v>243</v>
      </c>
      <c r="B28" s="23" t="s">
        <v>245</v>
      </c>
      <c r="C28" s="15" t="s">
        <v>109</v>
      </c>
      <c r="D28" s="15" t="s">
        <v>240</v>
      </c>
      <c r="E28" s="19" t="s">
        <v>288</v>
      </c>
      <c r="F28" s="19" t="s">
        <v>242</v>
      </c>
      <c r="G28" s="19" t="s">
        <v>320</v>
      </c>
      <c r="H28" s="19" t="s">
        <v>320</v>
      </c>
      <c r="I28" s="19" t="s">
        <v>320</v>
      </c>
      <c r="J28" s="19" t="s">
        <v>320</v>
      </c>
      <c r="K28" s="15" t="s">
        <v>67</v>
      </c>
      <c r="L28" s="15" t="s">
        <v>219</v>
      </c>
      <c r="M28" s="15" t="s">
        <v>240</v>
      </c>
      <c r="N28" s="24" t="str">
        <f t="shared" si="0"/>
        <v>不完整</v>
      </c>
    </row>
  </sheetData>
  <conditionalFormatting sqref="N5:N104">
    <cfRule type="containsText" dxfId="0" priority="1" operator="between" text="不完整">
      <formula>NOT(ISERROR(SEARCH("不完整",N5)))</formula>
    </cfRule>
    <cfRule type="containsText" dxfId="1" priority="2" operator="between" text="完整">
      <formula>NOT(ISERROR(SEARCH("完整",N5)))</formula>
    </cfRule>
  </conditionalFormatting>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9"/>
  <sheetViews>
    <sheetView showGridLines="0" workbookViewId="0">
      <pane xSplit="3" ySplit="4" topLeftCell="D26" activePane="bottomRight" state="frozen"/>
      <selection/>
      <selection pane="topRight"/>
      <selection pane="bottomLeft"/>
      <selection pane="bottomRight" activeCell="A1" sqref="A1"/>
    </sheetView>
  </sheetViews>
  <sheetFormatPr defaultColWidth="9" defaultRowHeight="16.8"/>
  <cols>
    <col min="1" max="1" width="15" style="1" customWidth="1"/>
    <col min="2" max="2" width="10" style="1" customWidth="1"/>
    <col min="3" max="3" width="22" style="1" customWidth="1"/>
    <col min="4" max="4" width="40" style="1" customWidth="1"/>
    <col min="5" max="5" width="34" style="1" customWidth="1"/>
    <col min="6" max="6" width="16" style="1" customWidth="1"/>
    <col min="7" max="7" width="24" style="1" customWidth="1"/>
    <col min="8" max="8" width="14" style="1" customWidth="1"/>
    <col min="9" max="9" width="32" style="1" customWidth="1"/>
  </cols>
  <sheetData>
    <row r="1" ht="25" customHeight="1" spans="1:9">
      <c r="A1" s="17" t="s">
        <v>323</v>
      </c>
      <c r="B1" s="17"/>
      <c r="C1" s="17"/>
      <c r="D1" s="17"/>
      <c r="E1" s="17"/>
      <c r="F1" s="17"/>
      <c r="G1" s="17"/>
      <c r="H1" s="17"/>
      <c r="I1" s="17"/>
    </row>
    <row r="2" spans="1:9">
      <c r="A2" s="18" t="s">
        <v>324</v>
      </c>
    </row>
    <row r="4" ht="32" customHeight="1" spans="1:9">
      <c r="A4" s="14" t="s">
        <v>313</v>
      </c>
      <c r="B4" s="14" t="s">
        <v>325</v>
      </c>
      <c r="C4" s="14" t="s">
        <v>326</v>
      </c>
      <c r="D4" s="14" t="s">
        <v>327</v>
      </c>
      <c r="E4" s="14" t="s">
        <v>328</v>
      </c>
      <c r="F4" s="14" t="s">
        <v>253</v>
      </c>
      <c r="G4" s="14" t="s">
        <v>329</v>
      </c>
      <c r="H4" s="14" t="s">
        <v>318</v>
      </c>
      <c r="I4" s="14" t="s">
        <v>330</v>
      </c>
    </row>
    <row r="5" spans="1:9">
      <c r="A5" s="15" t="s">
        <v>114</v>
      </c>
      <c r="B5" s="15" t="s">
        <v>331</v>
      </c>
      <c r="C5" s="15" t="s">
        <v>332</v>
      </c>
      <c r="D5" s="23" t="s">
        <v>333</v>
      </c>
      <c r="E5" s="23" t="s">
        <v>334</v>
      </c>
      <c r="F5" s="15" t="s">
        <v>61</v>
      </c>
      <c r="G5" s="15" t="s">
        <v>104</v>
      </c>
      <c r="H5" s="15" t="s">
        <v>335</v>
      </c>
      <c r="I5" s="23" t="s">
        <v>336</v>
      </c>
    </row>
    <row r="6" spans="1:9">
      <c r="A6" s="15" t="s">
        <v>120</v>
      </c>
      <c r="B6" s="15" t="s">
        <v>337</v>
      </c>
      <c r="C6" s="15" t="s">
        <v>117</v>
      </c>
      <c r="D6" s="23" t="s">
        <v>338</v>
      </c>
      <c r="E6" s="23" t="s">
        <v>339</v>
      </c>
      <c r="F6" s="15" t="s">
        <v>61</v>
      </c>
      <c r="G6" s="15" t="s">
        <v>116</v>
      </c>
      <c r="H6" s="15" t="s">
        <v>335</v>
      </c>
      <c r="I6" s="23" t="s">
        <v>340</v>
      </c>
    </row>
    <row r="7" spans="1:9">
      <c r="A7" s="15" t="s">
        <v>126</v>
      </c>
      <c r="B7" s="15" t="s">
        <v>341</v>
      </c>
      <c r="C7" s="15" t="s">
        <v>342</v>
      </c>
      <c r="D7" s="23" t="s">
        <v>343</v>
      </c>
      <c r="E7" s="23" t="s">
        <v>344</v>
      </c>
      <c r="F7" s="15" t="s">
        <v>345</v>
      </c>
      <c r="G7" s="15" t="s">
        <v>346</v>
      </c>
      <c r="H7" s="15" t="s">
        <v>335</v>
      </c>
      <c r="I7" s="23" t="s">
        <v>347</v>
      </c>
    </row>
    <row r="8" spans="1:9">
      <c r="A8" s="15" t="s">
        <v>136</v>
      </c>
      <c r="B8" s="15" t="s">
        <v>348</v>
      </c>
      <c r="C8" s="15" t="s">
        <v>349</v>
      </c>
      <c r="D8" s="23" t="s">
        <v>350</v>
      </c>
      <c r="E8" s="23" t="s">
        <v>351</v>
      </c>
      <c r="F8" s="15" t="s">
        <v>345</v>
      </c>
      <c r="G8" s="15" t="s">
        <v>131</v>
      </c>
      <c r="H8" s="15" t="s">
        <v>335</v>
      </c>
      <c r="I8" s="23" t="s">
        <v>352</v>
      </c>
    </row>
    <row r="9" spans="1:9">
      <c r="A9" s="15" t="s">
        <v>141</v>
      </c>
      <c r="B9" s="15" t="s">
        <v>353</v>
      </c>
      <c r="C9" s="15" t="s">
        <v>138</v>
      </c>
      <c r="D9" s="23" t="s">
        <v>354</v>
      </c>
      <c r="E9" s="23" t="s">
        <v>355</v>
      </c>
      <c r="F9" s="15" t="s">
        <v>345</v>
      </c>
      <c r="G9" s="15" t="s">
        <v>137</v>
      </c>
      <c r="H9" s="15" t="s">
        <v>335</v>
      </c>
      <c r="I9" s="23" t="s">
        <v>356</v>
      </c>
    </row>
    <row r="10" spans="1:9">
      <c r="A10" s="15" t="s">
        <v>151</v>
      </c>
      <c r="B10" s="15" t="s">
        <v>357</v>
      </c>
      <c r="C10" s="15" t="s">
        <v>143</v>
      </c>
      <c r="D10" s="23" t="s">
        <v>358</v>
      </c>
      <c r="E10" s="23" t="s">
        <v>359</v>
      </c>
      <c r="F10" s="15" t="s">
        <v>67</v>
      </c>
      <c r="G10" s="15" t="s">
        <v>360</v>
      </c>
      <c r="H10" s="15" t="s">
        <v>150</v>
      </c>
      <c r="I10" s="23" t="s">
        <v>361</v>
      </c>
    </row>
    <row r="11" spans="1:9">
      <c r="A11" s="15" t="s">
        <v>163</v>
      </c>
      <c r="B11" s="15" t="s">
        <v>362</v>
      </c>
      <c r="C11" s="15" t="s">
        <v>363</v>
      </c>
      <c r="D11" s="23" t="s">
        <v>364</v>
      </c>
      <c r="E11" s="23" t="s">
        <v>365</v>
      </c>
      <c r="F11" s="15" t="s">
        <v>61</v>
      </c>
      <c r="G11" s="15" t="s">
        <v>366</v>
      </c>
      <c r="H11" s="15" t="s">
        <v>335</v>
      </c>
      <c r="I11" s="23" t="s">
        <v>367</v>
      </c>
    </row>
    <row r="12" spans="1:9">
      <c r="A12" s="15" t="s">
        <v>172</v>
      </c>
      <c r="B12" s="15" t="s">
        <v>368</v>
      </c>
      <c r="C12" s="15" t="s">
        <v>369</v>
      </c>
      <c r="D12" s="23" t="s">
        <v>370</v>
      </c>
      <c r="E12" s="23" t="s">
        <v>371</v>
      </c>
      <c r="F12" s="15" t="s">
        <v>61</v>
      </c>
      <c r="G12" s="15" t="s">
        <v>372</v>
      </c>
      <c r="H12" s="15" t="s">
        <v>150</v>
      </c>
      <c r="I12" s="23" t="s">
        <v>373</v>
      </c>
    </row>
    <row r="13" spans="1:9">
      <c r="A13" s="15" t="s">
        <v>184</v>
      </c>
      <c r="B13" s="15" t="s">
        <v>374</v>
      </c>
      <c r="C13" s="15" t="s">
        <v>178</v>
      </c>
      <c r="D13" s="23" t="s">
        <v>375</v>
      </c>
      <c r="E13" s="23" t="s">
        <v>376</v>
      </c>
      <c r="F13" s="15" t="s">
        <v>71</v>
      </c>
      <c r="G13" s="15" t="s">
        <v>377</v>
      </c>
      <c r="H13" s="15" t="s">
        <v>335</v>
      </c>
      <c r="I13" s="23" t="s">
        <v>378</v>
      </c>
    </row>
    <row r="14" spans="1:9">
      <c r="A14" s="15" t="s">
        <v>194</v>
      </c>
      <c r="B14" s="15" t="s">
        <v>379</v>
      </c>
      <c r="C14" s="15" t="s">
        <v>380</v>
      </c>
      <c r="D14" s="23" t="s">
        <v>381</v>
      </c>
      <c r="E14" s="23" t="s">
        <v>382</v>
      </c>
      <c r="F14" s="15" t="s">
        <v>61</v>
      </c>
      <c r="G14" s="15" t="s">
        <v>189</v>
      </c>
      <c r="H14" s="15" t="s">
        <v>335</v>
      </c>
      <c r="I14" s="23" t="s">
        <v>383</v>
      </c>
    </row>
    <row r="15" spans="1:9">
      <c r="A15" s="15" t="s">
        <v>200</v>
      </c>
      <c r="B15" s="15" t="s">
        <v>384</v>
      </c>
      <c r="C15" s="15" t="s">
        <v>197</v>
      </c>
      <c r="D15" s="23" t="s">
        <v>385</v>
      </c>
      <c r="E15" s="23" t="s">
        <v>386</v>
      </c>
      <c r="F15" s="15" t="s">
        <v>345</v>
      </c>
      <c r="G15" s="15" t="s">
        <v>195</v>
      </c>
      <c r="H15" s="15" t="s">
        <v>150</v>
      </c>
      <c r="I15" s="23" t="s">
        <v>387</v>
      </c>
    </row>
    <row r="16" spans="1:9">
      <c r="A16" s="15" t="s">
        <v>206</v>
      </c>
      <c r="B16" s="15" t="s">
        <v>388</v>
      </c>
      <c r="C16" s="15" t="s">
        <v>389</v>
      </c>
      <c r="D16" s="23" t="s">
        <v>390</v>
      </c>
      <c r="E16" s="23" t="s">
        <v>391</v>
      </c>
      <c r="F16" s="15" t="s">
        <v>61</v>
      </c>
      <c r="G16" s="15" t="s">
        <v>392</v>
      </c>
      <c r="H16" s="15" t="s">
        <v>335</v>
      </c>
      <c r="I16" s="23" t="s">
        <v>393</v>
      </c>
    </row>
    <row r="17" spans="1:9">
      <c r="A17" s="15" t="s">
        <v>220</v>
      </c>
      <c r="B17" s="15" t="s">
        <v>394</v>
      </c>
      <c r="C17" s="15" t="s">
        <v>395</v>
      </c>
      <c r="D17" s="23" t="s">
        <v>396</v>
      </c>
      <c r="E17" s="23" t="s">
        <v>397</v>
      </c>
      <c r="F17" s="15" t="s">
        <v>67</v>
      </c>
      <c r="G17" s="15" t="s">
        <v>398</v>
      </c>
      <c r="H17" s="15" t="s">
        <v>219</v>
      </c>
      <c r="I17" s="23" t="s">
        <v>399</v>
      </c>
    </row>
    <row r="18" spans="1:9">
      <c r="A18" s="15" t="s">
        <v>231</v>
      </c>
      <c r="B18" s="15" t="s">
        <v>400</v>
      </c>
      <c r="C18" s="15" t="s">
        <v>401</v>
      </c>
      <c r="D18" s="23" t="s">
        <v>402</v>
      </c>
      <c r="E18" s="23" t="s">
        <v>403</v>
      </c>
      <c r="F18" s="15" t="s">
        <v>67</v>
      </c>
      <c r="G18" s="15" t="s">
        <v>404</v>
      </c>
      <c r="H18" s="15" t="s">
        <v>150</v>
      </c>
      <c r="I18" s="23" t="s">
        <v>405</v>
      </c>
    </row>
    <row r="19" spans="1:9">
      <c r="A19" s="15" t="s">
        <v>242</v>
      </c>
      <c r="B19" s="15" t="s">
        <v>406</v>
      </c>
      <c r="C19" s="15" t="s">
        <v>407</v>
      </c>
      <c r="D19" s="23" t="s">
        <v>408</v>
      </c>
      <c r="E19" s="23" t="s">
        <v>409</v>
      </c>
      <c r="F19" s="15" t="s">
        <v>67</v>
      </c>
      <c r="G19" s="15" t="s">
        <v>410</v>
      </c>
      <c r="H19" s="15" t="s">
        <v>411</v>
      </c>
      <c r="I19" s="23" t="s">
        <v>412</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4"/>
  <sheetViews>
    <sheetView showGridLines="0" workbookViewId="0">
      <pane xSplit="2" ySplit="4" topLeftCell="C5" activePane="bottomRight" state="frozen"/>
      <selection/>
      <selection pane="topRight"/>
      <selection pane="bottomLeft"/>
      <selection pane="bottomRight" activeCell="A1" sqref="A1"/>
    </sheetView>
  </sheetViews>
  <sheetFormatPr defaultColWidth="9" defaultRowHeight="16.8"/>
  <cols>
    <col min="1" max="2" width="13" style="1" customWidth="1"/>
    <col min="3" max="5" width="16" style="1" customWidth="1"/>
    <col min="6" max="11" width="22" style="1" customWidth="1"/>
    <col min="12" max="16" width="16" style="1" customWidth="1"/>
  </cols>
  <sheetData>
    <row r="1" ht="25" customHeight="1" spans="1:16">
      <c r="A1" s="17" t="s">
        <v>32</v>
      </c>
      <c r="B1" s="17"/>
      <c r="C1" s="17"/>
      <c r="D1" s="17"/>
      <c r="E1" s="17"/>
      <c r="F1" s="17"/>
      <c r="G1" s="17"/>
      <c r="H1" s="17"/>
      <c r="I1" s="17"/>
      <c r="J1" s="17"/>
      <c r="K1" s="17"/>
      <c r="L1" s="17"/>
      <c r="M1" s="17"/>
      <c r="N1" s="17"/>
      <c r="O1" s="17"/>
      <c r="P1" s="17"/>
    </row>
    <row r="2" spans="1:16">
      <c r="A2" s="18" t="s">
        <v>413</v>
      </c>
    </row>
    <row r="4" ht="32" customHeight="1" spans="1:16">
      <c r="A4" s="14" t="s">
        <v>414</v>
      </c>
      <c r="B4" s="14" t="s">
        <v>415</v>
      </c>
      <c r="C4" s="14" t="s">
        <v>416</v>
      </c>
      <c r="D4" s="14" t="s">
        <v>417</v>
      </c>
      <c r="E4" s="14" t="s">
        <v>418</v>
      </c>
      <c r="F4" s="14" t="s">
        <v>419</v>
      </c>
      <c r="G4" s="14" t="s">
        <v>420</v>
      </c>
      <c r="H4" s="14" t="s">
        <v>421</v>
      </c>
      <c r="I4" s="14" t="s">
        <v>422</v>
      </c>
      <c r="J4" s="14" t="s">
        <v>423</v>
      </c>
      <c r="K4" s="14" t="s">
        <v>424</v>
      </c>
      <c r="L4" s="14" t="s">
        <v>425</v>
      </c>
      <c r="M4" s="14" t="s">
        <v>426</v>
      </c>
      <c r="N4" s="14" t="s">
        <v>427</v>
      </c>
      <c r="O4" s="14" t="s">
        <v>428</v>
      </c>
      <c r="P4" s="14" t="s">
        <v>429</v>
      </c>
    </row>
    <row r="5" spans="1:16">
      <c r="A5" s="19"/>
      <c r="B5" s="20"/>
      <c r="C5" s="19"/>
      <c r="D5" s="19"/>
      <c r="E5" s="19"/>
      <c r="F5" s="21"/>
      <c r="G5" s="21"/>
      <c r="H5" s="21"/>
      <c r="I5" s="22"/>
      <c r="J5" s="22"/>
      <c r="K5" s="21"/>
      <c r="L5" s="19"/>
      <c r="M5" s="19"/>
      <c r="N5" s="19"/>
      <c r="O5" s="20"/>
      <c r="P5" s="19"/>
    </row>
    <row r="6" spans="1:16">
      <c r="A6" s="19"/>
      <c r="B6" s="20"/>
      <c r="C6" s="19"/>
      <c r="D6" s="19"/>
      <c r="E6" s="19"/>
      <c r="F6" s="21"/>
      <c r="G6" s="21"/>
      <c r="H6" s="21"/>
      <c r="I6" s="22"/>
      <c r="J6" s="22"/>
      <c r="K6" s="21"/>
      <c r="L6" s="19"/>
      <c r="M6" s="19"/>
      <c r="N6" s="19"/>
      <c r="O6" s="20"/>
      <c r="P6" s="19"/>
    </row>
    <row r="7" spans="1:16">
      <c r="A7" s="19"/>
      <c r="B7" s="20"/>
      <c r="C7" s="19"/>
      <c r="D7" s="19"/>
      <c r="E7" s="19"/>
      <c r="F7" s="21"/>
      <c r="G7" s="21"/>
      <c r="H7" s="21"/>
      <c r="I7" s="22"/>
      <c r="J7" s="22"/>
      <c r="K7" s="21"/>
      <c r="L7" s="19"/>
      <c r="M7" s="19"/>
      <c r="N7" s="19"/>
      <c r="O7" s="20"/>
      <c r="P7" s="19"/>
    </row>
    <row r="8" spans="1:16">
      <c r="A8" s="19"/>
      <c r="B8" s="20"/>
      <c r="C8" s="19"/>
      <c r="D8" s="19"/>
      <c r="E8" s="19"/>
      <c r="F8" s="21"/>
      <c r="G8" s="21"/>
      <c r="H8" s="21"/>
      <c r="I8" s="22"/>
      <c r="J8" s="22"/>
      <c r="K8" s="21"/>
      <c r="L8" s="19"/>
      <c r="M8" s="19"/>
      <c r="N8" s="19"/>
      <c r="O8" s="20"/>
      <c r="P8" s="19"/>
    </row>
    <row r="9" spans="1:16">
      <c r="A9" s="19"/>
      <c r="B9" s="20"/>
      <c r="C9" s="19"/>
      <c r="D9" s="19"/>
      <c r="E9" s="19"/>
      <c r="F9" s="21"/>
      <c r="G9" s="21"/>
      <c r="H9" s="21"/>
      <c r="I9" s="22"/>
      <c r="J9" s="22"/>
      <c r="K9" s="21"/>
      <c r="L9" s="19"/>
      <c r="M9" s="19"/>
      <c r="N9" s="19"/>
      <c r="O9" s="20"/>
      <c r="P9" s="19"/>
    </row>
    <row r="10" spans="1:16">
      <c r="A10" s="19"/>
      <c r="B10" s="20"/>
      <c r="C10" s="19"/>
      <c r="D10" s="19"/>
      <c r="E10" s="19"/>
      <c r="F10" s="21"/>
      <c r="G10" s="21"/>
      <c r="H10" s="21"/>
      <c r="I10" s="22"/>
      <c r="J10" s="22"/>
      <c r="K10" s="21"/>
      <c r="L10" s="19"/>
      <c r="M10" s="19"/>
      <c r="N10" s="19"/>
      <c r="O10" s="20"/>
      <c r="P10" s="19"/>
    </row>
    <row r="11" spans="1:16">
      <c r="A11" s="19"/>
      <c r="B11" s="20"/>
      <c r="C11" s="19"/>
      <c r="D11" s="19"/>
      <c r="E11" s="19"/>
      <c r="F11" s="21"/>
      <c r="G11" s="21"/>
      <c r="H11" s="21"/>
      <c r="I11" s="22"/>
      <c r="J11" s="22"/>
      <c r="K11" s="21"/>
      <c r="L11" s="19"/>
      <c r="M11" s="19"/>
      <c r="N11" s="19"/>
      <c r="O11" s="20"/>
      <c r="P11" s="19"/>
    </row>
    <row r="12" spans="1:16">
      <c r="A12" s="19"/>
      <c r="B12" s="20"/>
      <c r="C12" s="19"/>
      <c r="D12" s="19"/>
      <c r="E12" s="19"/>
      <c r="F12" s="21"/>
      <c r="G12" s="21"/>
      <c r="H12" s="21"/>
      <c r="I12" s="22"/>
      <c r="J12" s="22"/>
      <c r="K12" s="21"/>
      <c r="L12" s="19"/>
      <c r="M12" s="19"/>
      <c r="N12" s="19"/>
      <c r="O12" s="20"/>
      <c r="P12" s="19"/>
    </row>
    <row r="13" spans="1:16">
      <c r="A13" s="19"/>
      <c r="B13" s="20"/>
      <c r="C13" s="19"/>
      <c r="D13" s="19"/>
      <c r="E13" s="19"/>
      <c r="F13" s="21"/>
      <c r="G13" s="21"/>
      <c r="H13" s="21"/>
      <c r="I13" s="22"/>
      <c r="J13" s="22"/>
      <c r="K13" s="21"/>
      <c r="L13" s="19"/>
      <c r="M13" s="19"/>
      <c r="N13" s="19"/>
      <c r="O13" s="20"/>
      <c r="P13" s="19"/>
    </row>
    <row r="14" spans="1:16">
      <c r="A14" s="19"/>
      <c r="B14" s="20"/>
      <c r="C14" s="19"/>
      <c r="D14" s="19"/>
      <c r="E14" s="19"/>
      <c r="F14" s="21"/>
      <c r="G14" s="21"/>
      <c r="H14" s="21"/>
      <c r="I14" s="22"/>
      <c r="J14" s="22"/>
      <c r="K14" s="21"/>
      <c r="L14" s="19"/>
      <c r="M14" s="19"/>
      <c r="N14" s="19"/>
      <c r="O14" s="20"/>
      <c r="P14" s="19"/>
    </row>
    <row r="15" spans="1:16">
      <c r="A15" s="19"/>
      <c r="B15" s="20"/>
      <c r="C15" s="19"/>
      <c r="D15" s="19"/>
      <c r="E15" s="19"/>
      <c r="F15" s="21"/>
      <c r="G15" s="21"/>
      <c r="H15" s="21"/>
      <c r="I15" s="22"/>
      <c r="J15" s="22"/>
      <c r="K15" s="21"/>
      <c r="L15" s="19"/>
      <c r="M15" s="19"/>
      <c r="N15" s="19"/>
      <c r="O15" s="20"/>
      <c r="P15" s="19"/>
    </row>
    <row r="16" spans="1:16">
      <c r="A16" s="19"/>
      <c r="B16" s="20"/>
      <c r="C16" s="19"/>
      <c r="D16" s="19"/>
      <c r="E16" s="19"/>
      <c r="F16" s="21"/>
      <c r="G16" s="21"/>
      <c r="H16" s="21"/>
      <c r="I16" s="22"/>
      <c r="J16" s="22"/>
      <c r="K16" s="21"/>
      <c r="L16" s="19"/>
      <c r="M16" s="19"/>
      <c r="N16" s="19"/>
      <c r="O16" s="20"/>
      <c r="P16" s="19"/>
    </row>
    <row r="17" spans="1:16">
      <c r="A17" s="19"/>
      <c r="B17" s="20"/>
      <c r="C17" s="19"/>
      <c r="D17" s="19"/>
      <c r="E17" s="19"/>
      <c r="F17" s="21"/>
      <c r="G17" s="21"/>
      <c r="H17" s="21"/>
      <c r="I17" s="22"/>
      <c r="J17" s="22"/>
      <c r="K17" s="21"/>
      <c r="L17" s="19"/>
      <c r="M17" s="19"/>
      <c r="N17" s="19"/>
      <c r="O17" s="20"/>
      <c r="P17" s="19"/>
    </row>
    <row r="18" spans="1:16">
      <c r="A18" s="19"/>
      <c r="B18" s="20"/>
      <c r="C18" s="19"/>
      <c r="D18" s="19"/>
      <c r="E18" s="19"/>
      <c r="F18" s="21"/>
      <c r="G18" s="21"/>
      <c r="H18" s="21"/>
      <c r="I18" s="22"/>
      <c r="J18" s="22"/>
      <c r="K18" s="21"/>
      <c r="L18" s="19"/>
      <c r="M18" s="19"/>
      <c r="N18" s="19"/>
      <c r="O18" s="20"/>
      <c r="P18" s="19"/>
    </row>
    <row r="19" spans="1:16">
      <c r="A19" s="19"/>
      <c r="B19" s="20"/>
      <c r="C19" s="19"/>
      <c r="D19" s="19"/>
      <c r="E19" s="19"/>
      <c r="F19" s="21"/>
      <c r="G19" s="21"/>
      <c r="H19" s="21"/>
      <c r="I19" s="22"/>
      <c r="J19" s="22"/>
      <c r="K19" s="21"/>
      <c r="L19" s="19"/>
      <c r="M19" s="19"/>
      <c r="N19" s="19"/>
      <c r="O19" s="20"/>
      <c r="P19" s="19"/>
    </row>
    <row r="20" spans="1:16">
      <c r="A20" s="19"/>
      <c r="B20" s="20"/>
      <c r="C20" s="19"/>
      <c r="D20" s="19"/>
      <c r="E20" s="19"/>
      <c r="F20" s="21"/>
      <c r="G20" s="21"/>
      <c r="H20" s="21"/>
      <c r="I20" s="22"/>
      <c r="J20" s="22"/>
      <c r="K20" s="21"/>
      <c r="L20" s="19"/>
      <c r="M20" s="19"/>
      <c r="N20" s="19"/>
      <c r="O20" s="20"/>
      <c r="P20" s="19"/>
    </row>
    <row r="21" spans="1:16">
      <c r="A21" s="19"/>
      <c r="B21" s="20"/>
      <c r="C21" s="19"/>
      <c r="D21" s="19"/>
      <c r="E21" s="19"/>
      <c r="F21" s="21"/>
      <c r="G21" s="21"/>
      <c r="H21" s="21"/>
      <c r="I21" s="22"/>
      <c r="J21" s="22"/>
      <c r="K21" s="21"/>
      <c r="L21" s="19"/>
      <c r="M21" s="19"/>
      <c r="N21" s="19"/>
      <c r="O21" s="20"/>
      <c r="P21" s="19"/>
    </row>
    <row r="22" spans="1:16">
      <c r="A22" s="19"/>
      <c r="B22" s="20"/>
      <c r="C22" s="19"/>
      <c r="D22" s="19"/>
      <c r="E22" s="19"/>
      <c r="F22" s="21"/>
      <c r="G22" s="21"/>
      <c r="H22" s="21"/>
      <c r="I22" s="22"/>
      <c r="J22" s="22"/>
      <c r="K22" s="21"/>
      <c r="L22" s="19"/>
      <c r="M22" s="19"/>
      <c r="N22" s="19"/>
      <c r="O22" s="20"/>
      <c r="P22" s="19"/>
    </row>
    <row r="23" spans="1:16">
      <c r="A23" s="19"/>
      <c r="B23" s="20"/>
      <c r="C23" s="19"/>
      <c r="D23" s="19"/>
      <c r="E23" s="19"/>
      <c r="F23" s="21"/>
      <c r="G23" s="21"/>
      <c r="H23" s="21"/>
      <c r="I23" s="22"/>
      <c r="J23" s="22"/>
      <c r="K23" s="21"/>
      <c r="L23" s="19"/>
      <c r="M23" s="19"/>
      <c r="N23" s="19"/>
      <c r="O23" s="20"/>
      <c r="P23" s="19"/>
    </row>
    <row r="24" spans="1:16">
      <c r="A24" s="19"/>
      <c r="B24" s="20"/>
      <c r="C24" s="19"/>
      <c r="D24" s="19"/>
      <c r="E24" s="19"/>
      <c r="F24" s="21"/>
      <c r="G24" s="21"/>
      <c r="H24" s="21"/>
      <c r="I24" s="22"/>
      <c r="J24" s="22"/>
      <c r="K24" s="21"/>
      <c r="L24" s="19"/>
      <c r="M24" s="19"/>
      <c r="N24" s="19"/>
      <c r="O24" s="20"/>
      <c r="P24" s="19"/>
    </row>
  </sheetData>
  <dataValidations count="2">
    <dataValidation type="list" sqref="M5:M24">
      <formula1>"待评审,批准,有条件批准,拒绝,暂缓"</formula1>
    </dataValidation>
    <dataValidation type="list" sqref="P5:P24">
      <formula1>"不适用,待更新,已更新"</formula1>
    </dataValidation>
  </dataValidation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3"/>
  <sheetViews>
    <sheetView showGridLines="0" workbookViewId="0">
      <selection activeCell="A1" sqref="A1"/>
    </sheetView>
  </sheetViews>
  <sheetFormatPr defaultColWidth="9" defaultRowHeight="16.8" outlineLevelCol="1"/>
  <cols>
    <col min="1" max="1" width="22" style="1" customWidth="1"/>
    <col min="2" max="2" width="64" style="1" customWidth="1"/>
  </cols>
  <sheetData>
    <row r="1" ht="32" customHeight="1" spans="1:2">
      <c r="A1" s="14" t="s">
        <v>430</v>
      </c>
      <c r="B1" s="14" t="s">
        <v>431</v>
      </c>
    </row>
    <row r="2" spans="1:2">
      <c r="A2" s="15" t="s">
        <v>432</v>
      </c>
      <c r="B2" s="15" t="s">
        <v>433</v>
      </c>
    </row>
    <row r="3" spans="1:2">
      <c r="A3" s="15" t="s">
        <v>434</v>
      </c>
      <c r="B3" s="15" t="s">
        <v>3</v>
      </c>
    </row>
    <row r="4" spans="1:2">
      <c r="A4" s="15" t="s">
        <v>435</v>
      </c>
      <c r="B4" s="15" t="s">
        <v>436</v>
      </c>
    </row>
    <row r="5" spans="1:2">
      <c r="A5" s="15" t="s">
        <v>437</v>
      </c>
      <c r="B5" s="16">
        <v>46282</v>
      </c>
    </row>
    <row r="6" spans="1:2">
      <c r="A6" s="15" t="s">
        <v>438</v>
      </c>
      <c r="B6" s="15" t="s">
        <v>439</v>
      </c>
    </row>
    <row r="7" spans="1:2">
      <c r="A7" s="15" t="s">
        <v>45</v>
      </c>
      <c r="B7" s="15">
        <f>范围总览!A5</f>
        <v>24</v>
      </c>
    </row>
    <row r="8" spans="1:2">
      <c r="A8" s="15" t="s">
        <v>440</v>
      </c>
      <c r="B8" s="15">
        <f>范围总览!C5</f>
        <v>19</v>
      </c>
    </row>
    <row r="9" spans="1:2">
      <c r="A9" s="15" t="s">
        <v>441</v>
      </c>
      <c r="B9" s="15">
        <f>范围总览!G5</f>
        <v>12</v>
      </c>
    </row>
    <row r="10" spans="1:2">
      <c r="A10" s="15" t="s">
        <v>442</v>
      </c>
      <c r="B10" s="15">
        <f>COUNTIF(WBS字典!$A$5:$A$100,"SCP-WP-*")</f>
        <v>15</v>
      </c>
    </row>
    <row r="11" spans="1:2">
      <c r="A11" s="15" t="s">
        <v>443</v>
      </c>
      <c r="B11" s="15" t="s">
        <v>113</v>
      </c>
    </row>
    <row r="12" spans="1:2">
      <c r="A12" s="15" t="s">
        <v>444</v>
      </c>
      <c r="B12" s="15" t="s">
        <v>445</v>
      </c>
    </row>
    <row r="13" spans="1:2">
      <c r="A13" s="15" t="s">
        <v>446</v>
      </c>
      <c r="B13" s="15" t="s">
        <v>447</v>
      </c>
    </row>
  </sheetData>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35"/>
  <sheetViews>
    <sheetView showGridLines="0" workbookViewId="0">
      <pane ySplit="4" topLeftCell="A5" activePane="bottomLeft" state="frozen"/>
      <selection/>
      <selection pane="bottomLeft" activeCell="A1" sqref="A1:K1"/>
    </sheetView>
  </sheetViews>
  <sheetFormatPr defaultColWidth="9" defaultRowHeight="16.8"/>
  <cols>
    <col min="1" max="1" width="12" style="1" customWidth="1"/>
    <col min="2" max="2" width="20" style="1" customWidth="1"/>
    <col min="3" max="3" width="34" style="1" customWidth="1"/>
    <col min="4" max="4" width="58" style="1" customWidth="1"/>
    <col min="5" max="5" width="24" style="1" customWidth="1"/>
    <col min="6" max="6" width="14" style="1" customWidth="1"/>
    <col min="7" max="7" width="10" style="1" customWidth="1"/>
    <col min="8" max="8" width="16" style="1" customWidth="1"/>
    <col min="9" max="10" width="14" style="1" customWidth="1"/>
    <col min="11" max="11" width="24" style="1" customWidth="1"/>
  </cols>
  <sheetData>
    <row r="1" ht="28" customHeight="1" spans="1:11">
      <c r="A1" s="8" t="s">
        <v>448</v>
      </c>
      <c r="B1" s="9"/>
      <c r="C1" s="9"/>
      <c r="D1" s="9"/>
      <c r="E1" s="9"/>
      <c r="F1" s="9"/>
      <c r="G1" s="9"/>
      <c r="H1" s="9"/>
      <c r="I1" s="9"/>
      <c r="J1" s="9"/>
      <c r="K1" s="10"/>
    </row>
    <row r="2" ht="34" customHeight="1" spans="1:11">
      <c r="A2" s="11" t="s">
        <v>449</v>
      </c>
      <c r="B2" s="9"/>
      <c r="C2" s="9"/>
      <c r="D2" s="9"/>
      <c r="E2" s="9"/>
      <c r="F2" s="9"/>
      <c r="G2" s="9"/>
      <c r="H2" s="9"/>
      <c r="I2" s="9"/>
      <c r="J2" s="9"/>
      <c r="K2" s="10"/>
    </row>
    <row r="3" spans="1:11">
      <c r="A3" s="12"/>
      <c r="B3" s="12"/>
      <c r="C3" s="12"/>
      <c r="D3" s="12"/>
      <c r="E3" s="12"/>
      <c r="F3" s="12"/>
      <c r="G3" s="12"/>
      <c r="H3" s="12"/>
      <c r="I3" s="12"/>
      <c r="J3" s="12"/>
      <c r="K3" s="12"/>
    </row>
    <row r="4" spans="1:11">
      <c r="A4" s="4" t="s">
        <v>450</v>
      </c>
      <c r="B4" s="4" t="s">
        <v>451</v>
      </c>
      <c r="C4" s="4" t="s">
        <v>452</v>
      </c>
      <c r="D4" s="4" t="s">
        <v>453</v>
      </c>
      <c r="E4" s="4" t="s">
        <v>454</v>
      </c>
      <c r="F4" s="4" t="s">
        <v>103</v>
      </c>
      <c r="G4" s="4" t="s">
        <v>97</v>
      </c>
      <c r="H4" s="4" t="s">
        <v>455</v>
      </c>
      <c r="I4" s="4" t="s">
        <v>456</v>
      </c>
      <c r="J4" s="4" t="s">
        <v>457</v>
      </c>
      <c r="K4" s="4" t="s">
        <v>458</v>
      </c>
    </row>
    <row r="5" ht="34" customHeight="1" spans="1:11">
      <c r="A5" s="5" t="s">
        <v>459</v>
      </c>
      <c r="B5" s="5" t="s">
        <v>460</v>
      </c>
      <c r="C5" s="5" t="s">
        <v>461</v>
      </c>
      <c r="D5" s="5" t="s">
        <v>462</v>
      </c>
      <c r="E5" s="5" t="s">
        <v>463</v>
      </c>
      <c r="F5" s="6" t="s">
        <v>464</v>
      </c>
      <c r="G5" s="13" t="s">
        <v>109</v>
      </c>
      <c r="H5" s="6" t="s">
        <v>67</v>
      </c>
      <c r="I5" s="6" t="s">
        <v>465</v>
      </c>
      <c r="J5" s="6" t="s">
        <v>466</v>
      </c>
      <c r="K5" s="5" t="s">
        <v>467</v>
      </c>
    </row>
    <row r="6" ht="34" customHeight="1" spans="1:11">
      <c r="A6" s="5" t="s">
        <v>468</v>
      </c>
      <c r="B6" s="5" t="s">
        <v>460</v>
      </c>
      <c r="C6" s="5" t="s">
        <v>469</v>
      </c>
      <c r="D6" s="5" t="s">
        <v>470</v>
      </c>
      <c r="E6" s="5" t="s">
        <v>471</v>
      </c>
      <c r="F6" s="6" t="s">
        <v>464</v>
      </c>
      <c r="G6" s="13" t="s">
        <v>109</v>
      </c>
      <c r="H6" s="6" t="s">
        <v>67</v>
      </c>
      <c r="I6" s="6" t="s">
        <v>465</v>
      </c>
      <c r="J6" s="6" t="s">
        <v>466</v>
      </c>
      <c r="K6" s="5" t="s">
        <v>467</v>
      </c>
    </row>
    <row r="7" ht="34" customHeight="1" spans="1:11">
      <c r="A7" s="5" t="s">
        <v>472</v>
      </c>
      <c r="B7" s="5" t="s">
        <v>460</v>
      </c>
      <c r="C7" s="5" t="s">
        <v>473</v>
      </c>
      <c r="D7" s="5" t="s">
        <v>474</v>
      </c>
      <c r="E7" s="5" t="s">
        <v>471</v>
      </c>
      <c r="F7" s="6" t="s">
        <v>464</v>
      </c>
      <c r="G7" s="13" t="s">
        <v>109</v>
      </c>
      <c r="H7" s="6" t="s">
        <v>67</v>
      </c>
      <c r="I7" s="6" t="s">
        <v>465</v>
      </c>
      <c r="J7" s="6" t="s">
        <v>466</v>
      </c>
      <c r="K7" s="5" t="s">
        <v>467</v>
      </c>
    </row>
    <row r="8" ht="34" customHeight="1" spans="1:11">
      <c r="A8" s="5" t="s">
        <v>475</v>
      </c>
      <c r="B8" s="5" t="s">
        <v>460</v>
      </c>
      <c r="C8" s="5" t="s">
        <v>476</v>
      </c>
      <c r="D8" s="5" t="s">
        <v>477</v>
      </c>
      <c r="E8" s="5" t="s">
        <v>463</v>
      </c>
      <c r="F8" s="6" t="s">
        <v>464</v>
      </c>
      <c r="G8" s="13" t="s">
        <v>109</v>
      </c>
      <c r="H8" s="6" t="s">
        <v>67</v>
      </c>
      <c r="I8" s="6" t="s">
        <v>465</v>
      </c>
      <c r="J8" s="6" t="s">
        <v>466</v>
      </c>
      <c r="K8" s="5" t="s">
        <v>467</v>
      </c>
    </row>
    <row r="9" ht="34" customHeight="1" spans="1:11">
      <c r="A9" s="5" t="s">
        <v>478</v>
      </c>
      <c r="B9" s="5" t="s">
        <v>460</v>
      </c>
      <c r="C9" s="5" t="s">
        <v>479</v>
      </c>
      <c r="D9" s="5" t="s">
        <v>480</v>
      </c>
      <c r="E9" s="5" t="s">
        <v>471</v>
      </c>
      <c r="F9" s="6" t="s">
        <v>464</v>
      </c>
      <c r="G9" s="13" t="s">
        <v>109</v>
      </c>
      <c r="H9" s="6" t="s">
        <v>67</v>
      </c>
      <c r="I9" s="6" t="s">
        <v>465</v>
      </c>
      <c r="J9" s="6" t="s">
        <v>466</v>
      </c>
      <c r="K9" s="5" t="s">
        <v>467</v>
      </c>
    </row>
    <row r="10" ht="34" customHeight="1" spans="1:11">
      <c r="A10" s="5" t="s">
        <v>481</v>
      </c>
      <c r="B10" s="5" t="s">
        <v>460</v>
      </c>
      <c r="C10" s="5" t="s">
        <v>482</v>
      </c>
      <c r="D10" s="5" t="s">
        <v>483</v>
      </c>
      <c r="E10" s="5" t="s">
        <v>471</v>
      </c>
      <c r="F10" s="6" t="s">
        <v>464</v>
      </c>
      <c r="G10" s="13" t="s">
        <v>109</v>
      </c>
      <c r="H10" s="6" t="s">
        <v>67</v>
      </c>
      <c r="I10" s="6" t="s">
        <v>465</v>
      </c>
      <c r="J10" s="6" t="s">
        <v>466</v>
      </c>
      <c r="K10" s="5" t="s">
        <v>467</v>
      </c>
    </row>
    <row r="11" ht="34" customHeight="1" spans="1:11">
      <c r="A11" s="5" t="s">
        <v>484</v>
      </c>
      <c r="B11" s="5" t="s">
        <v>460</v>
      </c>
      <c r="C11" s="5" t="s">
        <v>485</v>
      </c>
      <c r="D11" s="5" t="s">
        <v>486</v>
      </c>
      <c r="E11" s="5" t="s">
        <v>463</v>
      </c>
      <c r="F11" s="6" t="s">
        <v>464</v>
      </c>
      <c r="G11" s="13" t="s">
        <v>109</v>
      </c>
      <c r="H11" s="6" t="s">
        <v>67</v>
      </c>
      <c r="I11" s="6" t="s">
        <v>465</v>
      </c>
      <c r="J11" s="6" t="s">
        <v>466</v>
      </c>
      <c r="K11" s="5" t="s">
        <v>467</v>
      </c>
    </row>
    <row r="12" ht="34" customHeight="1" spans="1:11">
      <c r="A12" s="5" t="s">
        <v>487</v>
      </c>
      <c r="B12" s="5" t="s">
        <v>460</v>
      </c>
      <c r="C12" s="5" t="s">
        <v>488</v>
      </c>
      <c r="D12" s="5" t="s">
        <v>489</v>
      </c>
      <c r="E12" s="5" t="s">
        <v>463</v>
      </c>
      <c r="F12" s="6" t="s">
        <v>464</v>
      </c>
      <c r="G12" s="13" t="s">
        <v>109</v>
      </c>
      <c r="H12" s="6" t="s">
        <v>67</v>
      </c>
      <c r="I12" s="6" t="s">
        <v>465</v>
      </c>
      <c r="J12" s="6" t="s">
        <v>466</v>
      </c>
      <c r="K12" s="5" t="s">
        <v>467</v>
      </c>
    </row>
    <row r="13" ht="34" customHeight="1" spans="1:11">
      <c r="A13" s="5" t="s">
        <v>490</v>
      </c>
      <c r="B13" s="5" t="s">
        <v>460</v>
      </c>
      <c r="C13" s="5" t="s">
        <v>491</v>
      </c>
      <c r="D13" s="5" t="s">
        <v>492</v>
      </c>
      <c r="E13" s="5" t="s">
        <v>463</v>
      </c>
      <c r="F13" s="6" t="s">
        <v>464</v>
      </c>
      <c r="G13" s="13" t="s">
        <v>109</v>
      </c>
      <c r="H13" s="6" t="s">
        <v>67</v>
      </c>
      <c r="I13" s="6" t="s">
        <v>465</v>
      </c>
      <c r="J13" s="6" t="s">
        <v>466</v>
      </c>
      <c r="K13" s="5" t="s">
        <v>467</v>
      </c>
    </row>
    <row r="14" ht="34" customHeight="1" spans="1:11">
      <c r="A14" s="5" t="s">
        <v>493</v>
      </c>
      <c r="B14" s="5" t="s">
        <v>460</v>
      </c>
      <c r="C14" s="5" t="s">
        <v>494</v>
      </c>
      <c r="D14" s="5" t="s">
        <v>495</v>
      </c>
      <c r="E14" s="5" t="s">
        <v>463</v>
      </c>
      <c r="F14" s="6" t="s">
        <v>464</v>
      </c>
      <c r="G14" s="13" t="s">
        <v>109</v>
      </c>
      <c r="H14" s="6" t="s">
        <v>67</v>
      </c>
      <c r="I14" s="6" t="s">
        <v>465</v>
      </c>
      <c r="J14" s="6" t="s">
        <v>466</v>
      </c>
      <c r="K14" s="5" t="s">
        <v>467</v>
      </c>
    </row>
    <row r="15" ht="34" customHeight="1" spans="1:11">
      <c r="A15" s="5" t="s">
        <v>496</v>
      </c>
      <c r="B15" s="5" t="s">
        <v>460</v>
      </c>
      <c r="C15" s="5" t="s">
        <v>497</v>
      </c>
      <c r="D15" s="5" t="s">
        <v>498</v>
      </c>
      <c r="E15" s="5" t="s">
        <v>463</v>
      </c>
      <c r="F15" s="6" t="s">
        <v>464</v>
      </c>
      <c r="G15" s="13" t="s">
        <v>109</v>
      </c>
      <c r="H15" s="6" t="s">
        <v>67</v>
      </c>
      <c r="I15" s="6" t="s">
        <v>465</v>
      </c>
      <c r="J15" s="6" t="s">
        <v>466</v>
      </c>
      <c r="K15" s="5" t="s">
        <v>467</v>
      </c>
    </row>
    <row r="16" ht="34" customHeight="1" spans="1:11">
      <c r="A16" s="5" t="s">
        <v>499</v>
      </c>
      <c r="B16" s="5" t="s">
        <v>460</v>
      </c>
      <c r="C16" s="5" t="s">
        <v>500</v>
      </c>
      <c r="D16" s="5" t="s">
        <v>501</v>
      </c>
      <c r="E16" s="5" t="s">
        <v>471</v>
      </c>
      <c r="F16" s="6" t="s">
        <v>464</v>
      </c>
      <c r="G16" s="13" t="s">
        <v>109</v>
      </c>
      <c r="H16" s="6" t="s">
        <v>67</v>
      </c>
      <c r="I16" s="6" t="s">
        <v>465</v>
      </c>
      <c r="J16" s="6" t="s">
        <v>466</v>
      </c>
      <c r="K16" s="5" t="s">
        <v>467</v>
      </c>
    </row>
    <row r="17" ht="34" customHeight="1" spans="1:11">
      <c r="A17" s="5" t="s">
        <v>502</v>
      </c>
      <c r="B17" s="5" t="s">
        <v>460</v>
      </c>
      <c r="C17" s="5" t="s">
        <v>503</v>
      </c>
      <c r="D17" s="5" t="s">
        <v>504</v>
      </c>
      <c r="E17" s="5" t="s">
        <v>463</v>
      </c>
      <c r="F17" s="6" t="s">
        <v>464</v>
      </c>
      <c r="G17" s="13" t="s">
        <v>109</v>
      </c>
      <c r="H17" s="6" t="s">
        <v>67</v>
      </c>
      <c r="I17" s="6" t="s">
        <v>465</v>
      </c>
      <c r="J17" s="6" t="s">
        <v>466</v>
      </c>
      <c r="K17" s="5" t="s">
        <v>467</v>
      </c>
    </row>
    <row r="18" ht="34" customHeight="1" spans="1:11">
      <c r="A18" s="5" t="s">
        <v>505</v>
      </c>
      <c r="B18" s="5" t="s">
        <v>460</v>
      </c>
      <c r="C18" s="5" t="s">
        <v>506</v>
      </c>
      <c r="D18" s="5" t="s">
        <v>507</v>
      </c>
      <c r="E18" s="5" t="s">
        <v>471</v>
      </c>
      <c r="F18" s="6" t="s">
        <v>464</v>
      </c>
      <c r="G18" s="13" t="s">
        <v>109</v>
      </c>
      <c r="H18" s="6" t="s">
        <v>67</v>
      </c>
      <c r="I18" s="6" t="s">
        <v>465</v>
      </c>
      <c r="J18" s="6" t="s">
        <v>466</v>
      </c>
      <c r="K18" s="5" t="s">
        <v>467</v>
      </c>
    </row>
    <row r="19" ht="34" customHeight="1" spans="1:11">
      <c r="A19" s="5" t="s">
        <v>508</v>
      </c>
      <c r="B19" s="5" t="s">
        <v>460</v>
      </c>
      <c r="C19" s="5" t="s">
        <v>509</v>
      </c>
      <c r="D19" s="5" t="s">
        <v>510</v>
      </c>
      <c r="E19" s="5" t="s">
        <v>471</v>
      </c>
      <c r="F19" s="6" t="s">
        <v>511</v>
      </c>
      <c r="G19" s="13" t="s">
        <v>512</v>
      </c>
      <c r="H19" s="6" t="s">
        <v>67</v>
      </c>
      <c r="I19" s="6" t="s">
        <v>513</v>
      </c>
      <c r="J19" s="6" t="s">
        <v>466</v>
      </c>
      <c r="K19" s="5" t="s">
        <v>514</v>
      </c>
    </row>
    <row r="20" ht="34" customHeight="1" spans="1:11">
      <c r="A20" s="5" t="s">
        <v>515</v>
      </c>
      <c r="B20" s="5" t="s">
        <v>460</v>
      </c>
      <c r="C20" s="5" t="s">
        <v>516</v>
      </c>
      <c r="D20" s="5" t="s">
        <v>517</v>
      </c>
      <c r="E20" s="5" t="s">
        <v>471</v>
      </c>
      <c r="F20" s="6" t="s">
        <v>464</v>
      </c>
      <c r="G20" s="13" t="s">
        <v>109</v>
      </c>
      <c r="H20" s="6" t="s">
        <v>67</v>
      </c>
      <c r="I20" s="6" t="s">
        <v>465</v>
      </c>
      <c r="J20" s="6" t="s">
        <v>466</v>
      </c>
      <c r="K20" s="5" t="s">
        <v>467</v>
      </c>
    </row>
    <row r="21" ht="34" customHeight="1" spans="1:11">
      <c r="A21" s="5" t="s">
        <v>518</v>
      </c>
      <c r="B21" s="5" t="s">
        <v>460</v>
      </c>
      <c r="C21" s="5" t="s">
        <v>519</v>
      </c>
      <c r="D21" s="5" t="s">
        <v>520</v>
      </c>
      <c r="E21" s="5" t="s">
        <v>463</v>
      </c>
      <c r="F21" s="6" t="s">
        <v>521</v>
      </c>
      <c r="G21" s="13" t="s">
        <v>156</v>
      </c>
      <c r="H21" s="6" t="s">
        <v>67</v>
      </c>
      <c r="I21" s="6" t="s">
        <v>513</v>
      </c>
      <c r="J21" s="6" t="s">
        <v>466</v>
      </c>
      <c r="K21" s="5" t="s">
        <v>522</v>
      </c>
    </row>
    <row r="22" ht="34" customHeight="1" spans="1:11">
      <c r="A22" s="5" t="s">
        <v>523</v>
      </c>
      <c r="B22" s="5" t="s">
        <v>460</v>
      </c>
      <c r="C22" s="5" t="s">
        <v>524</v>
      </c>
      <c r="D22" s="5" t="s">
        <v>525</v>
      </c>
      <c r="E22" s="5" t="s">
        <v>463</v>
      </c>
      <c r="F22" s="6" t="s">
        <v>464</v>
      </c>
      <c r="G22" s="13" t="s">
        <v>109</v>
      </c>
      <c r="H22" s="6" t="s">
        <v>67</v>
      </c>
      <c r="I22" s="6" t="s">
        <v>465</v>
      </c>
      <c r="J22" s="6" t="s">
        <v>466</v>
      </c>
      <c r="K22" s="5" t="s">
        <v>467</v>
      </c>
    </row>
    <row r="23" ht="34" customHeight="1" spans="1:11">
      <c r="A23" s="5" t="s">
        <v>526</v>
      </c>
      <c r="B23" s="5" t="s">
        <v>460</v>
      </c>
      <c r="C23" s="5" t="s">
        <v>527</v>
      </c>
      <c r="D23" s="5" t="s">
        <v>528</v>
      </c>
      <c r="E23" s="5" t="s">
        <v>463</v>
      </c>
      <c r="F23" s="6" t="s">
        <v>521</v>
      </c>
      <c r="G23" s="13" t="s">
        <v>156</v>
      </c>
      <c r="H23" s="6" t="s">
        <v>67</v>
      </c>
      <c r="I23" s="6" t="s">
        <v>513</v>
      </c>
      <c r="J23" s="6" t="s">
        <v>466</v>
      </c>
      <c r="K23" s="5" t="s">
        <v>522</v>
      </c>
    </row>
    <row r="24" ht="34" customHeight="1" spans="1:11">
      <c r="A24" s="5" t="s">
        <v>529</v>
      </c>
      <c r="B24" s="5" t="s">
        <v>460</v>
      </c>
      <c r="C24" s="5" t="s">
        <v>530</v>
      </c>
      <c r="D24" s="5" t="s">
        <v>531</v>
      </c>
      <c r="E24" s="5" t="s">
        <v>463</v>
      </c>
      <c r="F24" s="6" t="s">
        <v>464</v>
      </c>
      <c r="G24" s="13" t="s">
        <v>109</v>
      </c>
      <c r="H24" s="6" t="s">
        <v>67</v>
      </c>
      <c r="I24" s="6" t="s">
        <v>465</v>
      </c>
      <c r="J24" s="6" t="s">
        <v>466</v>
      </c>
      <c r="K24" s="5" t="s">
        <v>467</v>
      </c>
    </row>
    <row r="25" ht="34" customHeight="1" spans="1:11">
      <c r="A25" s="5" t="s">
        <v>532</v>
      </c>
      <c r="B25" s="5" t="s">
        <v>460</v>
      </c>
      <c r="C25" s="5" t="s">
        <v>533</v>
      </c>
      <c r="D25" s="5" t="s">
        <v>534</v>
      </c>
      <c r="E25" s="5" t="s">
        <v>471</v>
      </c>
      <c r="F25" s="6" t="s">
        <v>464</v>
      </c>
      <c r="G25" s="13" t="s">
        <v>109</v>
      </c>
      <c r="H25" s="6" t="s">
        <v>67</v>
      </c>
      <c r="I25" s="6" t="s">
        <v>465</v>
      </c>
      <c r="J25" s="6" t="s">
        <v>466</v>
      </c>
      <c r="K25" s="5" t="s">
        <v>467</v>
      </c>
    </row>
    <row r="26" ht="34" customHeight="1" spans="1:11">
      <c r="A26" s="5" t="s">
        <v>535</v>
      </c>
      <c r="B26" s="5" t="s">
        <v>460</v>
      </c>
      <c r="C26" s="5" t="s">
        <v>536</v>
      </c>
      <c r="D26" s="5" t="s">
        <v>537</v>
      </c>
      <c r="E26" s="5" t="s">
        <v>471</v>
      </c>
      <c r="F26" s="6" t="s">
        <v>464</v>
      </c>
      <c r="G26" s="13" t="s">
        <v>109</v>
      </c>
      <c r="H26" s="6" t="s">
        <v>67</v>
      </c>
      <c r="I26" s="6" t="s">
        <v>465</v>
      </c>
      <c r="J26" s="6" t="s">
        <v>466</v>
      </c>
      <c r="K26" s="5" t="s">
        <v>467</v>
      </c>
    </row>
    <row r="27" ht="34" customHeight="1" spans="1:11">
      <c r="A27" s="5" t="s">
        <v>538</v>
      </c>
      <c r="B27" s="5" t="s">
        <v>460</v>
      </c>
      <c r="C27" s="5" t="s">
        <v>539</v>
      </c>
      <c r="D27" s="5" t="s">
        <v>540</v>
      </c>
      <c r="E27" s="5" t="s">
        <v>463</v>
      </c>
      <c r="F27" s="6" t="s">
        <v>464</v>
      </c>
      <c r="G27" s="13" t="s">
        <v>109</v>
      </c>
      <c r="H27" s="6" t="s">
        <v>67</v>
      </c>
      <c r="I27" s="6" t="s">
        <v>465</v>
      </c>
      <c r="J27" s="6" t="s">
        <v>466</v>
      </c>
      <c r="K27" s="5" t="s">
        <v>467</v>
      </c>
    </row>
    <row r="28" ht="34" customHeight="1" spans="1:11">
      <c r="A28" s="5" t="s">
        <v>541</v>
      </c>
      <c r="B28" s="5" t="s">
        <v>460</v>
      </c>
      <c r="C28" s="5" t="s">
        <v>542</v>
      </c>
      <c r="D28" s="5" t="s">
        <v>543</v>
      </c>
      <c r="E28" s="5" t="s">
        <v>471</v>
      </c>
      <c r="F28" s="6" t="s">
        <v>464</v>
      </c>
      <c r="G28" s="13" t="s">
        <v>109</v>
      </c>
      <c r="H28" s="6" t="s">
        <v>67</v>
      </c>
      <c r="I28" s="6" t="s">
        <v>465</v>
      </c>
      <c r="J28" s="6" t="s">
        <v>466</v>
      </c>
      <c r="K28" s="5" t="s">
        <v>467</v>
      </c>
    </row>
    <row r="29" ht="34" customHeight="1" spans="1:11">
      <c r="A29" s="5" t="s">
        <v>544</v>
      </c>
      <c r="B29" s="5" t="s">
        <v>460</v>
      </c>
      <c r="C29" s="5" t="s">
        <v>545</v>
      </c>
      <c r="D29" s="5" t="s">
        <v>546</v>
      </c>
      <c r="E29" s="5" t="s">
        <v>463</v>
      </c>
      <c r="F29" s="6" t="s">
        <v>521</v>
      </c>
      <c r="G29" s="13" t="s">
        <v>156</v>
      </c>
      <c r="H29" s="6" t="s">
        <v>67</v>
      </c>
      <c r="I29" s="6" t="s">
        <v>513</v>
      </c>
      <c r="J29" s="6" t="s">
        <v>466</v>
      </c>
      <c r="K29" s="5" t="s">
        <v>522</v>
      </c>
    </row>
    <row r="30" ht="34" customHeight="1" spans="1:11">
      <c r="A30" s="5" t="s">
        <v>547</v>
      </c>
      <c r="B30" s="5" t="s">
        <v>460</v>
      </c>
      <c r="C30" s="5" t="s">
        <v>548</v>
      </c>
      <c r="D30" s="5" t="s">
        <v>549</v>
      </c>
      <c r="E30" s="5" t="s">
        <v>111</v>
      </c>
      <c r="F30" s="6" t="s">
        <v>521</v>
      </c>
      <c r="G30" s="13" t="s">
        <v>156</v>
      </c>
      <c r="H30" s="6" t="s">
        <v>67</v>
      </c>
      <c r="I30" s="6" t="s">
        <v>513</v>
      </c>
      <c r="J30" s="6" t="s">
        <v>466</v>
      </c>
      <c r="K30" s="5" t="s">
        <v>522</v>
      </c>
    </row>
    <row r="31" ht="34" customHeight="1" spans="1:11">
      <c r="A31" s="5" t="s">
        <v>550</v>
      </c>
      <c r="B31" s="5" t="s">
        <v>460</v>
      </c>
      <c r="C31" s="5" t="s">
        <v>551</v>
      </c>
      <c r="D31" s="5" t="s">
        <v>552</v>
      </c>
      <c r="E31" s="5" t="s">
        <v>471</v>
      </c>
      <c r="F31" s="6" t="s">
        <v>464</v>
      </c>
      <c r="G31" s="13" t="s">
        <v>109</v>
      </c>
      <c r="H31" s="6" t="s">
        <v>67</v>
      </c>
      <c r="I31" s="6" t="s">
        <v>465</v>
      </c>
      <c r="J31" s="6" t="s">
        <v>466</v>
      </c>
      <c r="K31" s="5" t="s">
        <v>467</v>
      </c>
    </row>
    <row r="32" ht="34" customHeight="1" spans="1:11">
      <c r="A32" s="5" t="s">
        <v>553</v>
      </c>
      <c r="B32" s="5" t="s">
        <v>460</v>
      </c>
      <c r="C32" s="5" t="s">
        <v>554</v>
      </c>
      <c r="D32" s="5" t="s">
        <v>555</v>
      </c>
      <c r="E32" s="5" t="s">
        <v>463</v>
      </c>
      <c r="F32" s="6" t="s">
        <v>464</v>
      </c>
      <c r="G32" s="13" t="s">
        <v>109</v>
      </c>
      <c r="H32" s="6" t="s">
        <v>67</v>
      </c>
      <c r="I32" s="6" t="s">
        <v>465</v>
      </c>
      <c r="J32" s="6" t="s">
        <v>466</v>
      </c>
      <c r="K32" s="5" t="s">
        <v>467</v>
      </c>
    </row>
    <row r="33" ht="34" customHeight="1" spans="1:11">
      <c r="A33" s="5" t="s">
        <v>556</v>
      </c>
      <c r="B33" s="5" t="s">
        <v>460</v>
      </c>
      <c r="C33" s="5" t="s">
        <v>557</v>
      </c>
      <c r="D33" s="5" t="s">
        <v>558</v>
      </c>
      <c r="E33" s="5" t="s">
        <v>463</v>
      </c>
      <c r="F33" s="6" t="s">
        <v>521</v>
      </c>
      <c r="G33" s="13" t="s">
        <v>156</v>
      </c>
      <c r="H33" s="6" t="s">
        <v>67</v>
      </c>
      <c r="I33" s="6" t="s">
        <v>513</v>
      </c>
      <c r="J33" s="6" t="s">
        <v>466</v>
      </c>
      <c r="K33" s="5" t="s">
        <v>522</v>
      </c>
    </row>
    <row r="34" ht="34" customHeight="1" spans="1:11">
      <c r="A34" s="5" t="s">
        <v>559</v>
      </c>
      <c r="B34" s="5" t="s">
        <v>460</v>
      </c>
      <c r="C34" s="5" t="s">
        <v>560</v>
      </c>
      <c r="D34" s="5" t="s">
        <v>561</v>
      </c>
      <c r="E34" s="5" t="s">
        <v>463</v>
      </c>
      <c r="F34" s="6" t="s">
        <v>521</v>
      </c>
      <c r="G34" s="13" t="s">
        <v>156</v>
      </c>
      <c r="H34" s="6" t="s">
        <v>67</v>
      </c>
      <c r="I34" s="6" t="s">
        <v>513</v>
      </c>
      <c r="J34" s="6" t="s">
        <v>466</v>
      </c>
      <c r="K34" s="5" t="s">
        <v>522</v>
      </c>
    </row>
    <row r="35" ht="34" customHeight="1" spans="1:11">
      <c r="A35" s="5" t="s">
        <v>562</v>
      </c>
      <c r="B35" s="5" t="s">
        <v>460</v>
      </c>
      <c r="C35" s="5" t="s">
        <v>563</v>
      </c>
      <c r="D35" s="5" t="s">
        <v>564</v>
      </c>
      <c r="E35" s="5" t="s">
        <v>463</v>
      </c>
      <c r="F35" s="6" t="s">
        <v>521</v>
      </c>
      <c r="G35" s="13" t="s">
        <v>156</v>
      </c>
      <c r="H35" s="6" t="s">
        <v>67</v>
      </c>
      <c r="I35" s="6" t="s">
        <v>513</v>
      </c>
      <c r="J35" s="6" t="s">
        <v>466</v>
      </c>
      <c r="K35" s="5" t="s">
        <v>522</v>
      </c>
    </row>
    <row r="36" ht="34" customHeight="1" spans="1:11">
      <c r="A36" s="5" t="s">
        <v>565</v>
      </c>
      <c r="B36" s="5" t="s">
        <v>460</v>
      </c>
      <c r="C36" s="5" t="s">
        <v>566</v>
      </c>
      <c r="D36" s="5" t="s">
        <v>558</v>
      </c>
      <c r="E36" s="5" t="s">
        <v>463</v>
      </c>
      <c r="F36" s="6" t="s">
        <v>521</v>
      </c>
      <c r="G36" s="13" t="s">
        <v>156</v>
      </c>
      <c r="H36" s="6" t="s">
        <v>67</v>
      </c>
      <c r="I36" s="6" t="s">
        <v>513</v>
      </c>
      <c r="J36" s="6" t="s">
        <v>466</v>
      </c>
      <c r="K36" s="5" t="s">
        <v>522</v>
      </c>
    </row>
    <row r="37" ht="34" customHeight="1" spans="1:11">
      <c r="A37" s="5" t="s">
        <v>567</v>
      </c>
      <c r="B37" s="5" t="s">
        <v>460</v>
      </c>
      <c r="C37" s="5" t="s">
        <v>568</v>
      </c>
      <c r="D37" s="5" t="s">
        <v>569</v>
      </c>
      <c r="E37" s="5" t="s">
        <v>463</v>
      </c>
      <c r="F37" s="6" t="s">
        <v>511</v>
      </c>
      <c r="G37" s="13" t="s">
        <v>512</v>
      </c>
      <c r="H37" s="6" t="s">
        <v>67</v>
      </c>
      <c r="I37" s="6" t="s">
        <v>513</v>
      </c>
      <c r="J37" s="6" t="s">
        <v>466</v>
      </c>
      <c r="K37" s="5" t="s">
        <v>570</v>
      </c>
    </row>
    <row r="38" ht="34" customHeight="1" spans="1:11">
      <c r="A38" s="5" t="s">
        <v>571</v>
      </c>
      <c r="B38" s="5" t="s">
        <v>460</v>
      </c>
      <c r="C38" s="5" t="s">
        <v>572</v>
      </c>
      <c r="D38" s="5" t="s">
        <v>573</v>
      </c>
      <c r="E38" s="5" t="s">
        <v>463</v>
      </c>
      <c r="F38" s="6" t="s">
        <v>511</v>
      </c>
      <c r="G38" s="13" t="s">
        <v>512</v>
      </c>
      <c r="H38" s="6" t="s">
        <v>67</v>
      </c>
      <c r="I38" s="6" t="s">
        <v>513</v>
      </c>
      <c r="J38" s="6" t="s">
        <v>466</v>
      </c>
      <c r="K38" s="5" t="s">
        <v>570</v>
      </c>
    </row>
    <row r="39" ht="34" customHeight="1" spans="1:11">
      <c r="A39" s="5" t="s">
        <v>574</v>
      </c>
      <c r="B39" s="5" t="s">
        <v>460</v>
      </c>
      <c r="C39" s="5" t="s">
        <v>575</v>
      </c>
      <c r="D39" s="5" t="s">
        <v>576</v>
      </c>
      <c r="E39" s="5" t="s">
        <v>463</v>
      </c>
      <c r="F39" s="6" t="s">
        <v>511</v>
      </c>
      <c r="G39" s="13" t="s">
        <v>512</v>
      </c>
      <c r="H39" s="6" t="s">
        <v>67</v>
      </c>
      <c r="I39" s="6" t="s">
        <v>513</v>
      </c>
      <c r="J39" s="6" t="s">
        <v>466</v>
      </c>
      <c r="K39" s="5" t="s">
        <v>570</v>
      </c>
    </row>
    <row r="40" ht="34" customHeight="1" spans="1:11">
      <c r="A40" s="5" t="s">
        <v>577</v>
      </c>
      <c r="B40" s="5" t="s">
        <v>460</v>
      </c>
      <c r="C40" s="5" t="s">
        <v>578</v>
      </c>
      <c r="D40" s="5" t="s">
        <v>579</v>
      </c>
      <c r="E40" s="5" t="s">
        <v>471</v>
      </c>
      <c r="F40" s="6" t="s">
        <v>521</v>
      </c>
      <c r="G40" s="13" t="s">
        <v>156</v>
      </c>
      <c r="H40" s="6" t="s">
        <v>67</v>
      </c>
      <c r="I40" s="6" t="s">
        <v>513</v>
      </c>
      <c r="J40" s="6" t="s">
        <v>466</v>
      </c>
      <c r="K40" s="5" t="s">
        <v>522</v>
      </c>
    </row>
    <row r="41" ht="34" customHeight="1" spans="1:11">
      <c r="A41" s="5" t="s">
        <v>580</v>
      </c>
      <c r="B41" s="5" t="s">
        <v>581</v>
      </c>
      <c r="C41" s="5" t="s">
        <v>582</v>
      </c>
      <c r="D41" s="5" t="s">
        <v>583</v>
      </c>
      <c r="E41" s="5" t="s">
        <v>584</v>
      </c>
      <c r="F41" s="6" t="s">
        <v>464</v>
      </c>
      <c r="G41" s="13" t="s">
        <v>109</v>
      </c>
      <c r="H41" s="6" t="s">
        <v>67</v>
      </c>
      <c r="I41" s="6" t="s">
        <v>465</v>
      </c>
      <c r="J41" s="6" t="s">
        <v>466</v>
      </c>
      <c r="K41" s="5" t="s">
        <v>585</v>
      </c>
    </row>
    <row r="42" ht="34" customHeight="1" spans="1:11">
      <c r="A42" s="5" t="s">
        <v>586</v>
      </c>
      <c r="B42" s="5" t="s">
        <v>581</v>
      </c>
      <c r="C42" s="5" t="s">
        <v>587</v>
      </c>
      <c r="D42" s="5" t="s">
        <v>588</v>
      </c>
      <c r="E42" s="5" t="s">
        <v>584</v>
      </c>
      <c r="F42" s="6" t="s">
        <v>464</v>
      </c>
      <c r="G42" s="13" t="s">
        <v>109</v>
      </c>
      <c r="H42" s="6" t="s">
        <v>67</v>
      </c>
      <c r="I42" s="6" t="s">
        <v>465</v>
      </c>
      <c r="J42" s="6" t="s">
        <v>466</v>
      </c>
      <c r="K42" s="5" t="s">
        <v>585</v>
      </c>
    </row>
    <row r="43" ht="34" customHeight="1" spans="1:11">
      <c r="A43" s="5" t="s">
        <v>589</v>
      </c>
      <c r="B43" s="5" t="s">
        <v>581</v>
      </c>
      <c r="C43" s="5" t="s">
        <v>590</v>
      </c>
      <c r="D43" s="5" t="s">
        <v>591</v>
      </c>
      <c r="E43" s="5" t="s">
        <v>584</v>
      </c>
      <c r="F43" s="6" t="s">
        <v>464</v>
      </c>
      <c r="G43" s="13" t="s">
        <v>109</v>
      </c>
      <c r="H43" s="6" t="s">
        <v>67</v>
      </c>
      <c r="I43" s="6" t="s">
        <v>465</v>
      </c>
      <c r="J43" s="6" t="s">
        <v>466</v>
      </c>
      <c r="K43" s="5" t="s">
        <v>585</v>
      </c>
    </row>
    <row r="44" ht="34" customHeight="1" spans="1:11">
      <c r="A44" s="5" t="s">
        <v>592</v>
      </c>
      <c r="B44" s="5" t="s">
        <v>581</v>
      </c>
      <c r="C44" s="5" t="s">
        <v>593</v>
      </c>
      <c r="D44" s="5" t="s">
        <v>594</v>
      </c>
      <c r="E44" s="5" t="s">
        <v>595</v>
      </c>
      <c r="F44" s="6" t="s">
        <v>464</v>
      </c>
      <c r="G44" s="13" t="s">
        <v>109</v>
      </c>
      <c r="H44" s="6" t="s">
        <v>67</v>
      </c>
      <c r="I44" s="6" t="s">
        <v>465</v>
      </c>
      <c r="J44" s="6" t="s">
        <v>466</v>
      </c>
      <c r="K44" s="5" t="s">
        <v>585</v>
      </c>
    </row>
    <row r="45" ht="34" customHeight="1" spans="1:11">
      <c r="A45" s="5" t="s">
        <v>596</v>
      </c>
      <c r="B45" s="5" t="s">
        <v>581</v>
      </c>
      <c r="C45" s="5" t="s">
        <v>597</v>
      </c>
      <c r="D45" s="5" t="s">
        <v>598</v>
      </c>
      <c r="E45" s="5" t="s">
        <v>595</v>
      </c>
      <c r="F45" s="6" t="s">
        <v>521</v>
      </c>
      <c r="G45" s="13" t="s">
        <v>156</v>
      </c>
      <c r="H45" s="6" t="s">
        <v>67</v>
      </c>
      <c r="I45" s="6" t="s">
        <v>513</v>
      </c>
      <c r="J45" s="6" t="s">
        <v>466</v>
      </c>
      <c r="K45" s="5" t="s">
        <v>599</v>
      </c>
    </row>
    <row r="46" ht="34" customHeight="1" spans="1:11">
      <c r="A46" s="5" t="s">
        <v>600</v>
      </c>
      <c r="B46" s="5" t="s">
        <v>581</v>
      </c>
      <c r="C46" s="5" t="s">
        <v>601</v>
      </c>
      <c r="D46" s="5" t="s">
        <v>602</v>
      </c>
      <c r="E46" s="5" t="s">
        <v>595</v>
      </c>
      <c r="F46" s="6" t="s">
        <v>464</v>
      </c>
      <c r="G46" s="13" t="s">
        <v>109</v>
      </c>
      <c r="H46" s="6" t="s">
        <v>67</v>
      </c>
      <c r="I46" s="6" t="s">
        <v>465</v>
      </c>
      <c r="J46" s="6" t="s">
        <v>466</v>
      </c>
      <c r="K46" s="5" t="s">
        <v>585</v>
      </c>
    </row>
    <row r="47" ht="34" customHeight="1" spans="1:11">
      <c r="A47" s="5" t="s">
        <v>603</v>
      </c>
      <c r="B47" s="5" t="s">
        <v>581</v>
      </c>
      <c r="C47" s="5" t="s">
        <v>604</v>
      </c>
      <c r="D47" s="5" t="s">
        <v>605</v>
      </c>
      <c r="E47" s="5" t="s">
        <v>595</v>
      </c>
      <c r="F47" s="6" t="s">
        <v>521</v>
      </c>
      <c r="G47" s="13" t="s">
        <v>156</v>
      </c>
      <c r="H47" s="6" t="s">
        <v>67</v>
      </c>
      <c r="I47" s="6" t="s">
        <v>513</v>
      </c>
      <c r="J47" s="6" t="s">
        <v>466</v>
      </c>
      <c r="K47" s="5" t="s">
        <v>599</v>
      </c>
    </row>
    <row r="48" ht="34" customHeight="1" spans="1:11">
      <c r="A48" s="5" t="s">
        <v>606</v>
      </c>
      <c r="B48" s="5" t="s">
        <v>581</v>
      </c>
      <c r="C48" s="5" t="s">
        <v>607</v>
      </c>
      <c r="D48" s="5" t="s">
        <v>608</v>
      </c>
      <c r="E48" s="5" t="s">
        <v>595</v>
      </c>
      <c r="F48" s="6" t="s">
        <v>464</v>
      </c>
      <c r="G48" s="13" t="s">
        <v>109</v>
      </c>
      <c r="H48" s="6" t="s">
        <v>67</v>
      </c>
      <c r="I48" s="6" t="s">
        <v>465</v>
      </c>
      <c r="J48" s="6" t="s">
        <v>466</v>
      </c>
      <c r="K48" s="5" t="s">
        <v>585</v>
      </c>
    </row>
    <row r="49" ht="34" customHeight="1" spans="1:11">
      <c r="A49" s="5" t="s">
        <v>609</v>
      </c>
      <c r="B49" s="5" t="s">
        <v>581</v>
      </c>
      <c r="C49" s="5" t="s">
        <v>610</v>
      </c>
      <c r="D49" s="5" t="s">
        <v>611</v>
      </c>
      <c r="E49" s="5" t="s">
        <v>612</v>
      </c>
      <c r="F49" s="6" t="s">
        <v>521</v>
      </c>
      <c r="G49" s="13" t="s">
        <v>156</v>
      </c>
      <c r="H49" s="6" t="s">
        <v>67</v>
      </c>
      <c r="I49" s="6" t="s">
        <v>513</v>
      </c>
      <c r="J49" s="6" t="s">
        <v>466</v>
      </c>
      <c r="K49" s="5" t="s">
        <v>613</v>
      </c>
    </row>
    <row r="50" ht="34" customHeight="1" spans="1:11">
      <c r="A50" s="5" t="s">
        <v>614</v>
      </c>
      <c r="B50" s="5" t="s">
        <v>581</v>
      </c>
      <c r="C50" s="5" t="s">
        <v>615</v>
      </c>
      <c r="D50" s="5" t="s">
        <v>616</v>
      </c>
      <c r="E50" s="5" t="s">
        <v>584</v>
      </c>
      <c r="F50" s="6" t="s">
        <v>464</v>
      </c>
      <c r="G50" s="13" t="s">
        <v>109</v>
      </c>
      <c r="H50" s="6" t="s">
        <v>67</v>
      </c>
      <c r="I50" s="6" t="s">
        <v>465</v>
      </c>
      <c r="J50" s="6" t="s">
        <v>466</v>
      </c>
      <c r="K50" s="5" t="s">
        <v>585</v>
      </c>
    </row>
    <row r="51" ht="34" customHeight="1" spans="1:11">
      <c r="A51" s="5" t="s">
        <v>617</v>
      </c>
      <c r="B51" s="5" t="s">
        <v>581</v>
      </c>
      <c r="C51" s="5" t="s">
        <v>618</v>
      </c>
      <c r="D51" s="5" t="s">
        <v>619</v>
      </c>
      <c r="E51" s="5" t="s">
        <v>584</v>
      </c>
      <c r="F51" s="6" t="s">
        <v>464</v>
      </c>
      <c r="G51" s="13" t="s">
        <v>109</v>
      </c>
      <c r="H51" s="6" t="s">
        <v>67</v>
      </c>
      <c r="I51" s="6" t="s">
        <v>465</v>
      </c>
      <c r="J51" s="6" t="s">
        <v>466</v>
      </c>
      <c r="K51" s="5" t="s">
        <v>585</v>
      </c>
    </row>
    <row r="52" ht="34" customHeight="1" spans="1:11">
      <c r="A52" s="5" t="s">
        <v>620</v>
      </c>
      <c r="B52" s="5" t="s">
        <v>581</v>
      </c>
      <c r="C52" s="5" t="s">
        <v>621</v>
      </c>
      <c r="D52" s="5" t="s">
        <v>622</v>
      </c>
      <c r="E52" s="5" t="s">
        <v>584</v>
      </c>
      <c r="F52" s="6" t="s">
        <v>464</v>
      </c>
      <c r="G52" s="13" t="s">
        <v>109</v>
      </c>
      <c r="H52" s="6" t="s">
        <v>67</v>
      </c>
      <c r="I52" s="6" t="s">
        <v>465</v>
      </c>
      <c r="J52" s="6" t="s">
        <v>466</v>
      </c>
      <c r="K52" s="5" t="s">
        <v>585</v>
      </c>
    </row>
    <row r="53" ht="34" customHeight="1" spans="1:11">
      <c r="A53" s="5" t="s">
        <v>623</v>
      </c>
      <c r="B53" s="5" t="s">
        <v>581</v>
      </c>
      <c r="C53" s="5" t="s">
        <v>624</v>
      </c>
      <c r="D53" s="5" t="s">
        <v>625</v>
      </c>
      <c r="E53" s="5" t="s">
        <v>584</v>
      </c>
      <c r="F53" s="6" t="s">
        <v>464</v>
      </c>
      <c r="G53" s="13" t="s">
        <v>109</v>
      </c>
      <c r="H53" s="6" t="s">
        <v>67</v>
      </c>
      <c r="I53" s="6" t="s">
        <v>465</v>
      </c>
      <c r="J53" s="6" t="s">
        <v>466</v>
      </c>
      <c r="K53" s="5" t="s">
        <v>585</v>
      </c>
    </row>
    <row r="54" ht="34" customHeight="1" spans="1:11">
      <c r="A54" s="5" t="s">
        <v>626</v>
      </c>
      <c r="B54" s="5" t="s">
        <v>581</v>
      </c>
      <c r="C54" s="5" t="s">
        <v>627</v>
      </c>
      <c r="D54" s="5" t="s">
        <v>628</v>
      </c>
      <c r="E54" s="5" t="s">
        <v>595</v>
      </c>
      <c r="F54" s="6" t="s">
        <v>464</v>
      </c>
      <c r="G54" s="13" t="s">
        <v>109</v>
      </c>
      <c r="H54" s="6" t="s">
        <v>67</v>
      </c>
      <c r="I54" s="6" t="s">
        <v>465</v>
      </c>
      <c r="J54" s="6" t="s">
        <v>466</v>
      </c>
      <c r="K54" s="5" t="s">
        <v>585</v>
      </c>
    </row>
    <row r="55" ht="34" customHeight="1" spans="1:11">
      <c r="A55" s="5" t="s">
        <v>629</v>
      </c>
      <c r="B55" s="5" t="s">
        <v>581</v>
      </c>
      <c r="C55" s="5" t="s">
        <v>630</v>
      </c>
      <c r="D55" s="5" t="s">
        <v>631</v>
      </c>
      <c r="E55" s="5" t="s">
        <v>595</v>
      </c>
      <c r="F55" s="6" t="s">
        <v>521</v>
      </c>
      <c r="G55" s="13" t="s">
        <v>156</v>
      </c>
      <c r="H55" s="6" t="s">
        <v>67</v>
      </c>
      <c r="I55" s="6" t="s">
        <v>513</v>
      </c>
      <c r="J55" s="6" t="s">
        <v>466</v>
      </c>
      <c r="K55" s="5" t="s">
        <v>599</v>
      </c>
    </row>
    <row r="56" ht="34" customHeight="1" spans="1:11">
      <c r="A56" s="5" t="s">
        <v>632</v>
      </c>
      <c r="B56" s="5" t="s">
        <v>581</v>
      </c>
      <c r="C56" s="5" t="s">
        <v>633</v>
      </c>
      <c r="D56" s="5" t="s">
        <v>634</v>
      </c>
      <c r="E56" s="5" t="s">
        <v>595</v>
      </c>
      <c r="F56" s="6" t="s">
        <v>464</v>
      </c>
      <c r="G56" s="13" t="s">
        <v>109</v>
      </c>
      <c r="H56" s="6" t="s">
        <v>67</v>
      </c>
      <c r="I56" s="6" t="s">
        <v>465</v>
      </c>
      <c r="J56" s="6" t="s">
        <v>466</v>
      </c>
      <c r="K56" s="5" t="s">
        <v>585</v>
      </c>
    </row>
    <row r="57" ht="34" customHeight="1" spans="1:11">
      <c r="A57" s="5" t="s">
        <v>635</v>
      </c>
      <c r="B57" s="5" t="s">
        <v>581</v>
      </c>
      <c r="C57" s="5" t="s">
        <v>636</v>
      </c>
      <c r="D57" s="5" t="s">
        <v>637</v>
      </c>
      <c r="E57" s="5" t="s">
        <v>595</v>
      </c>
      <c r="F57" s="6" t="s">
        <v>464</v>
      </c>
      <c r="G57" s="13" t="s">
        <v>109</v>
      </c>
      <c r="H57" s="6" t="s">
        <v>67</v>
      </c>
      <c r="I57" s="6" t="s">
        <v>465</v>
      </c>
      <c r="J57" s="6" t="s">
        <v>466</v>
      </c>
      <c r="K57" s="5" t="s">
        <v>585</v>
      </c>
    </row>
    <row r="58" ht="34" customHeight="1" spans="1:11">
      <c r="A58" s="5" t="s">
        <v>638</v>
      </c>
      <c r="B58" s="5" t="s">
        <v>639</v>
      </c>
      <c r="C58" s="5" t="s">
        <v>461</v>
      </c>
      <c r="D58" s="5" t="s">
        <v>462</v>
      </c>
      <c r="E58" s="5" t="s">
        <v>640</v>
      </c>
      <c r="F58" s="6" t="s">
        <v>464</v>
      </c>
      <c r="G58" s="13" t="s">
        <v>109</v>
      </c>
      <c r="H58" s="6" t="s">
        <v>67</v>
      </c>
      <c r="I58" s="6" t="s">
        <v>465</v>
      </c>
      <c r="J58" s="6" t="s">
        <v>466</v>
      </c>
      <c r="K58" s="5" t="s">
        <v>467</v>
      </c>
    </row>
    <row r="59" ht="34" customHeight="1" spans="1:11">
      <c r="A59" s="5" t="s">
        <v>641</v>
      </c>
      <c r="B59" s="5" t="s">
        <v>639</v>
      </c>
      <c r="C59" s="5" t="s">
        <v>469</v>
      </c>
      <c r="D59" s="5" t="s">
        <v>470</v>
      </c>
      <c r="E59" s="5" t="s">
        <v>642</v>
      </c>
      <c r="F59" s="6" t="s">
        <v>464</v>
      </c>
      <c r="G59" s="13" t="s">
        <v>109</v>
      </c>
      <c r="H59" s="6" t="s">
        <v>67</v>
      </c>
      <c r="I59" s="6" t="s">
        <v>465</v>
      </c>
      <c r="J59" s="6" t="s">
        <v>466</v>
      </c>
      <c r="K59" s="5" t="s">
        <v>467</v>
      </c>
    </row>
    <row r="60" ht="34" customHeight="1" spans="1:11">
      <c r="A60" s="5" t="s">
        <v>643</v>
      </c>
      <c r="B60" s="5" t="s">
        <v>639</v>
      </c>
      <c r="C60" s="5" t="s">
        <v>473</v>
      </c>
      <c r="D60" s="5" t="s">
        <v>474</v>
      </c>
      <c r="E60" s="5" t="s">
        <v>642</v>
      </c>
      <c r="F60" s="6" t="s">
        <v>464</v>
      </c>
      <c r="G60" s="13" t="s">
        <v>109</v>
      </c>
      <c r="H60" s="6" t="s">
        <v>67</v>
      </c>
      <c r="I60" s="6" t="s">
        <v>465</v>
      </c>
      <c r="J60" s="6" t="s">
        <v>466</v>
      </c>
      <c r="K60" s="5" t="s">
        <v>467</v>
      </c>
    </row>
    <row r="61" ht="34" customHeight="1" spans="1:11">
      <c r="A61" s="5" t="s">
        <v>644</v>
      </c>
      <c r="B61" s="5" t="s">
        <v>639</v>
      </c>
      <c r="C61" s="5" t="s">
        <v>476</v>
      </c>
      <c r="D61" s="5" t="s">
        <v>477</v>
      </c>
      <c r="E61" s="5" t="s">
        <v>640</v>
      </c>
      <c r="F61" s="6" t="s">
        <v>464</v>
      </c>
      <c r="G61" s="13" t="s">
        <v>109</v>
      </c>
      <c r="H61" s="6" t="s">
        <v>67</v>
      </c>
      <c r="I61" s="6" t="s">
        <v>465</v>
      </c>
      <c r="J61" s="6" t="s">
        <v>466</v>
      </c>
      <c r="K61" s="5" t="s">
        <v>467</v>
      </c>
    </row>
    <row r="62" ht="34" customHeight="1" spans="1:11">
      <c r="A62" s="5" t="s">
        <v>645</v>
      </c>
      <c r="B62" s="5" t="s">
        <v>639</v>
      </c>
      <c r="C62" s="5" t="s">
        <v>479</v>
      </c>
      <c r="D62" s="5" t="s">
        <v>480</v>
      </c>
      <c r="E62" s="5" t="s">
        <v>642</v>
      </c>
      <c r="F62" s="6" t="s">
        <v>464</v>
      </c>
      <c r="G62" s="13" t="s">
        <v>109</v>
      </c>
      <c r="H62" s="6" t="s">
        <v>67</v>
      </c>
      <c r="I62" s="6" t="s">
        <v>465</v>
      </c>
      <c r="J62" s="6" t="s">
        <v>466</v>
      </c>
      <c r="K62" s="5" t="s">
        <v>467</v>
      </c>
    </row>
    <row r="63" ht="34" customHeight="1" spans="1:11">
      <c r="A63" s="5" t="s">
        <v>646</v>
      </c>
      <c r="B63" s="5" t="s">
        <v>639</v>
      </c>
      <c r="C63" s="5" t="s">
        <v>482</v>
      </c>
      <c r="D63" s="5" t="s">
        <v>483</v>
      </c>
      <c r="E63" s="5" t="s">
        <v>642</v>
      </c>
      <c r="F63" s="6" t="s">
        <v>464</v>
      </c>
      <c r="G63" s="13" t="s">
        <v>109</v>
      </c>
      <c r="H63" s="6" t="s">
        <v>67</v>
      </c>
      <c r="I63" s="6" t="s">
        <v>465</v>
      </c>
      <c r="J63" s="6" t="s">
        <v>466</v>
      </c>
      <c r="K63" s="5" t="s">
        <v>467</v>
      </c>
    </row>
    <row r="64" ht="34" customHeight="1" spans="1:11">
      <c r="A64" s="5" t="s">
        <v>647</v>
      </c>
      <c r="B64" s="5" t="s">
        <v>639</v>
      </c>
      <c r="C64" s="5" t="s">
        <v>485</v>
      </c>
      <c r="D64" s="5" t="s">
        <v>486</v>
      </c>
      <c r="E64" s="5" t="s">
        <v>640</v>
      </c>
      <c r="F64" s="6" t="s">
        <v>464</v>
      </c>
      <c r="G64" s="13" t="s">
        <v>109</v>
      </c>
      <c r="H64" s="6" t="s">
        <v>67</v>
      </c>
      <c r="I64" s="6" t="s">
        <v>465</v>
      </c>
      <c r="J64" s="6" t="s">
        <v>466</v>
      </c>
      <c r="K64" s="5" t="s">
        <v>467</v>
      </c>
    </row>
    <row r="65" ht="34" customHeight="1" spans="1:11">
      <c r="A65" s="5" t="s">
        <v>648</v>
      </c>
      <c r="B65" s="5" t="s">
        <v>639</v>
      </c>
      <c r="C65" s="5" t="s">
        <v>488</v>
      </c>
      <c r="D65" s="5" t="s">
        <v>489</v>
      </c>
      <c r="E65" s="5" t="s">
        <v>640</v>
      </c>
      <c r="F65" s="6" t="s">
        <v>464</v>
      </c>
      <c r="G65" s="13" t="s">
        <v>109</v>
      </c>
      <c r="H65" s="6" t="s">
        <v>67</v>
      </c>
      <c r="I65" s="6" t="s">
        <v>465</v>
      </c>
      <c r="J65" s="6" t="s">
        <v>466</v>
      </c>
      <c r="K65" s="5" t="s">
        <v>467</v>
      </c>
    </row>
    <row r="66" ht="34" customHeight="1" spans="1:11">
      <c r="A66" s="5" t="s">
        <v>649</v>
      </c>
      <c r="B66" s="5" t="s">
        <v>639</v>
      </c>
      <c r="C66" s="5" t="s">
        <v>491</v>
      </c>
      <c r="D66" s="5" t="s">
        <v>492</v>
      </c>
      <c r="E66" s="5" t="s">
        <v>640</v>
      </c>
      <c r="F66" s="6" t="s">
        <v>464</v>
      </c>
      <c r="G66" s="13" t="s">
        <v>109</v>
      </c>
      <c r="H66" s="6" t="s">
        <v>67</v>
      </c>
      <c r="I66" s="6" t="s">
        <v>465</v>
      </c>
      <c r="J66" s="6" t="s">
        <v>466</v>
      </c>
      <c r="K66" s="5" t="s">
        <v>467</v>
      </c>
    </row>
    <row r="67" ht="34" customHeight="1" spans="1:11">
      <c r="A67" s="5" t="s">
        <v>650</v>
      </c>
      <c r="B67" s="5" t="s">
        <v>639</v>
      </c>
      <c r="C67" s="5" t="s">
        <v>494</v>
      </c>
      <c r="D67" s="5" t="s">
        <v>651</v>
      </c>
      <c r="E67" s="5" t="s">
        <v>640</v>
      </c>
      <c r="F67" s="6" t="s">
        <v>464</v>
      </c>
      <c r="G67" s="13" t="s">
        <v>109</v>
      </c>
      <c r="H67" s="6" t="s">
        <v>67</v>
      </c>
      <c r="I67" s="6" t="s">
        <v>465</v>
      </c>
      <c r="J67" s="6" t="s">
        <v>466</v>
      </c>
      <c r="K67" s="5" t="s">
        <v>467</v>
      </c>
    </row>
    <row r="68" ht="34" customHeight="1" spans="1:11">
      <c r="A68" s="5" t="s">
        <v>652</v>
      </c>
      <c r="B68" s="5" t="s">
        <v>639</v>
      </c>
      <c r="C68" s="5" t="s">
        <v>497</v>
      </c>
      <c r="D68" s="5" t="s">
        <v>498</v>
      </c>
      <c r="E68" s="5" t="s">
        <v>640</v>
      </c>
      <c r="F68" s="6" t="s">
        <v>464</v>
      </c>
      <c r="G68" s="13" t="s">
        <v>109</v>
      </c>
      <c r="H68" s="6" t="s">
        <v>67</v>
      </c>
      <c r="I68" s="6" t="s">
        <v>465</v>
      </c>
      <c r="J68" s="6" t="s">
        <v>466</v>
      </c>
      <c r="K68" s="5" t="s">
        <v>467</v>
      </c>
    </row>
    <row r="69" ht="34" customHeight="1" spans="1:11">
      <c r="A69" s="5" t="s">
        <v>653</v>
      </c>
      <c r="B69" s="5" t="s">
        <v>639</v>
      </c>
      <c r="C69" s="5" t="s">
        <v>500</v>
      </c>
      <c r="D69" s="5" t="s">
        <v>501</v>
      </c>
      <c r="E69" s="5" t="s">
        <v>642</v>
      </c>
      <c r="F69" s="6" t="s">
        <v>464</v>
      </c>
      <c r="G69" s="13" t="s">
        <v>109</v>
      </c>
      <c r="H69" s="6" t="s">
        <v>67</v>
      </c>
      <c r="I69" s="6" t="s">
        <v>465</v>
      </c>
      <c r="J69" s="6" t="s">
        <v>466</v>
      </c>
      <c r="K69" s="5" t="s">
        <v>467</v>
      </c>
    </row>
    <row r="70" ht="34" customHeight="1" spans="1:11">
      <c r="A70" s="5" t="s">
        <v>654</v>
      </c>
      <c r="B70" s="5" t="s">
        <v>639</v>
      </c>
      <c r="C70" s="5" t="s">
        <v>503</v>
      </c>
      <c r="D70" s="5" t="s">
        <v>504</v>
      </c>
      <c r="E70" s="5" t="s">
        <v>640</v>
      </c>
      <c r="F70" s="6" t="s">
        <v>464</v>
      </c>
      <c r="G70" s="13" t="s">
        <v>109</v>
      </c>
      <c r="H70" s="6" t="s">
        <v>67</v>
      </c>
      <c r="I70" s="6" t="s">
        <v>465</v>
      </c>
      <c r="J70" s="6" t="s">
        <v>466</v>
      </c>
      <c r="K70" s="5" t="s">
        <v>467</v>
      </c>
    </row>
    <row r="71" ht="34" customHeight="1" spans="1:11">
      <c r="A71" s="5" t="s">
        <v>655</v>
      </c>
      <c r="B71" s="5" t="s">
        <v>639</v>
      </c>
      <c r="C71" s="5" t="s">
        <v>506</v>
      </c>
      <c r="D71" s="5" t="s">
        <v>656</v>
      </c>
      <c r="E71" s="5" t="s">
        <v>642</v>
      </c>
      <c r="F71" s="6" t="s">
        <v>464</v>
      </c>
      <c r="G71" s="13" t="s">
        <v>109</v>
      </c>
      <c r="H71" s="6" t="s">
        <v>67</v>
      </c>
      <c r="I71" s="6" t="s">
        <v>465</v>
      </c>
      <c r="J71" s="6" t="s">
        <v>466</v>
      </c>
      <c r="K71" s="5" t="s">
        <v>467</v>
      </c>
    </row>
    <row r="72" ht="34" customHeight="1" spans="1:11">
      <c r="A72" s="5" t="s">
        <v>657</v>
      </c>
      <c r="B72" s="5" t="s">
        <v>639</v>
      </c>
      <c r="C72" s="5" t="s">
        <v>509</v>
      </c>
      <c r="D72" s="5" t="s">
        <v>510</v>
      </c>
      <c r="E72" s="5" t="s">
        <v>642</v>
      </c>
      <c r="F72" s="6" t="s">
        <v>511</v>
      </c>
      <c r="G72" s="13" t="s">
        <v>512</v>
      </c>
      <c r="H72" s="6" t="s">
        <v>67</v>
      </c>
      <c r="I72" s="6" t="s">
        <v>513</v>
      </c>
      <c r="J72" s="6" t="s">
        <v>466</v>
      </c>
      <c r="K72" s="5" t="s">
        <v>514</v>
      </c>
    </row>
    <row r="73" ht="34" customHeight="1" spans="1:11">
      <c r="A73" s="5" t="s">
        <v>658</v>
      </c>
      <c r="B73" s="5" t="s">
        <v>639</v>
      </c>
      <c r="C73" s="5" t="s">
        <v>516</v>
      </c>
      <c r="D73" s="5" t="s">
        <v>517</v>
      </c>
      <c r="E73" s="5" t="s">
        <v>642</v>
      </c>
      <c r="F73" s="6" t="s">
        <v>464</v>
      </c>
      <c r="G73" s="13" t="s">
        <v>109</v>
      </c>
      <c r="H73" s="6" t="s">
        <v>67</v>
      </c>
      <c r="I73" s="6" t="s">
        <v>465</v>
      </c>
      <c r="J73" s="6" t="s">
        <v>466</v>
      </c>
      <c r="K73" s="5" t="s">
        <v>467</v>
      </c>
    </row>
    <row r="74" ht="34" customHeight="1" spans="1:11">
      <c r="A74" s="5" t="s">
        <v>659</v>
      </c>
      <c r="B74" s="5" t="s">
        <v>639</v>
      </c>
      <c r="C74" s="5" t="s">
        <v>519</v>
      </c>
      <c r="D74" s="5" t="s">
        <v>520</v>
      </c>
      <c r="E74" s="5" t="s">
        <v>640</v>
      </c>
      <c r="F74" s="6" t="s">
        <v>521</v>
      </c>
      <c r="G74" s="13" t="s">
        <v>156</v>
      </c>
      <c r="H74" s="6" t="s">
        <v>67</v>
      </c>
      <c r="I74" s="6" t="s">
        <v>513</v>
      </c>
      <c r="J74" s="6" t="s">
        <v>466</v>
      </c>
      <c r="K74" s="5" t="s">
        <v>522</v>
      </c>
    </row>
    <row r="75" ht="34" customHeight="1" spans="1:11">
      <c r="A75" s="5" t="s">
        <v>660</v>
      </c>
      <c r="B75" s="5" t="s">
        <v>639</v>
      </c>
      <c r="C75" s="5" t="s">
        <v>524</v>
      </c>
      <c r="D75" s="5" t="s">
        <v>525</v>
      </c>
      <c r="E75" s="5" t="s">
        <v>640</v>
      </c>
      <c r="F75" s="6" t="s">
        <v>464</v>
      </c>
      <c r="G75" s="13" t="s">
        <v>109</v>
      </c>
      <c r="H75" s="6" t="s">
        <v>67</v>
      </c>
      <c r="I75" s="6" t="s">
        <v>465</v>
      </c>
      <c r="J75" s="6" t="s">
        <v>466</v>
      </c>
      <c r="K75" s="5" t="s">
        <v>467</v>
      </c>
    </row>
    <row r="76" ht="34" customHeight="1" spans="1:11">
      <c r="A76" s="5" t="s">
        <v>661</v>
      </c>
      <c r="B76" s="5" t="s">
        <v>639</v>
      </c>
      <c r="C76" s="5" t="s">
        <v>527</v>
      </c>
      <c r="D76" s="5" t="s">
        <v>662</v>
      </c>
      <c r="E76" s="5" t="s">
        <v>640</v>
      </c>
      <c r="F76" s="6" t="s">
        <v>521</v>
      </c>
      <c r="G76" s="13" t="s">
        <v>156</v>
      </c>
      <c r="H76" s="6" t="s">
        <v>67</v>
      </c>
      <c r="I76" s="6" t="s">
        <v>513</v>
      </c>
      <c r="J76" s="6" t="s">
        <v>466</v>
      </c>
      <c r="K76" s="5" t="s">
        <v>522</v>
      </c>
    </row>
    <row r="77" ht="34" customHeight="1" spans="1:11">
      <c r="A77" s="5" t="s">
        <v>663</v>
      </c>
      <c r="B77" s="5" t="s">
        <v>639</v>
      </c>
      <c r="C77" s="5" t="s">
        <v>530</v>
      </c>
      <c r="D77" s="5" t="s">
        <v>664</v>
      </c>
      <c r="E77" s="5" t="s">
        <v>640</v>
      </c>
      <c r="F77" s="6" t="s">
        <v>464</v>
      </c>
      <c r="G77" s="13" t="s">
        <v>109</v>
      </c>
      <c r="H77" s="6" t="s">
        <v>67</v>
      </c>
      <c r="I77" s="6" t="s">
        <v>465</v>
      </c>
      <c r="J77" s="6" t="s">
        <v>466</v>
      </c>
      <c r="K77" s="5" t="s">
        <v>467</v>
      </c>
    </row>
    <row r="78" ht="34" customHeight="1" spans="1:11">
      <c r="A78" s="5" t="s">
        <v>665</v>
      </c>
      <c r="B78" s="5" t="s">
        <v>639</v>
      </c>
      <c r="C78" s="5" t="s">
        <v>533</v>
      </c>
      <c r="D78" s="5" t="s">
        <v>534</v>
      </c>
      <c r="E78" s="5" t="s">
        <v>642</v>
      </c>
      <c r="F78" s="6" t="s">
        <v>464</v>
      </c>
      <c r="G78" s="13" t="s">
        <v>109</v>
      </c>
      <c r="H78" s="6" t="s">
        <v>67</v>
      </c>
      <c r="I78" s="6" t="s">
        <v>465</v>
      </c>
      <c r="J78" s="6" t="s">
        <v>466</v>
      </c>
      <c r="K78" s="5" t="s">
        <v>467</v>
      </c>
    </row>
    <row r="79" ht="34" customHeight="1" spans="1:11">
      <c r="A79" s="5" t="s">
        <v>666</v>
      </c>
      <c r="B79" s="5" t="s">
        <v>639</v>
      </c>
      <c r="C79" s="5" t="s">
        <v>536</v>
      </c>
      <c r="D79" s="5" t="s">
        <v>537</v>
      </c>
      <c r="E79" s="5" t="s">
        <v>642</v>
      </c>
      <c r="F79" s="6" t="s">
        <v>464</v>
      </c>
      <c r="G79" s="13" t="s">
        <v>109</v>
      </c>
      <c r="H79" s="6" t="s">
        <v>67</v>
      </c>
      <c r="I79" s="6" t="s">
        <v>465</v>
      </c>
      <c r="J79" s="6" t="s">
        <v>466</v>
      </c>
      <c r="K79" s="5" t="s">
        <v>467</v>
      </c>
    </row>
    <row r="80" ht="34" customHeight="1" spans="1:11">
      <c r="A80" s="5" t="s">
        <v>667</v>
      </c>
      <c r="B80" s="5" t="s">
        <v>639</v>
      </c>
      <c r="C80" s="5" t="s">
        <v>539</v>
      </c>
      <c r="D80" s="5" t="s">
        <v>540</v>
      </c>
      <c r="E80" s="5" t="s">
        <v>640</v>
      </c>
      <c r="F80" s="6" t="s">
        <v>464</v>
      </c>
      <c r="G80" s="13" t="s">
        <v>109</v>
      </c>
      <c r="H80" s="6" t="s">
        <v>67</v>
      </c>
      <c r="I80" s="6" t="s">
        <v>465</v>
      </c>
      <c r="J80" s="6" t="s">
        <v>466</v>
      </c>
      <c r="K80" s="5" t="s">
        <v>467</v>
      </c>
    </row>
    <row r="81" ht="34" customHeight="1" spans="1:11">
      <c r="A81" s="5" t="s">
        <v>668</v>
      </c>
      <c r="B81" s="5" t="s">
        <v>639</v>
      </c>
      <c r="C81" s="5" t="s">
        <v>542</v>
      </c>
      <c r="D81" s="5" t="s">
        <v>543</v>
      </c>
      <c r="E81" s="5" t="s">
        <v>642</v>
      </c>
      <c r="F81" s="6" t="s">
        <v>464</v>
      </c>
      <c r="G81" s="13" t="s">
        <v>109</v>
      </c>
      <c r="H81" s="6" t="s">
        <v>67</v>
      </c>
      <c r="I81" s="6" t="s">
        <v>465</v>
      </c>
      <c r="J81" s="6" t="s">
        <v>466</v>
      </c>
      <c r="K81" s="5" t="s">
        <v>467</v>
      </c>
    </row>
    <row r="82" ht="34" customHeight="1" spans="1:11">
      <c r="A82" s="5" t="s">
        <v>669</v>
      </c>
      <c r="B82" s="5" t="s">
        <v>639</v>
      </c>
      <c r="C82" s="5" t="s">
        <v>545</v>
      </c>
      <c r="D82" s="5" t="s">
        <v>546</v>
      </c>
      <c r="E82" s="5" t="s">
        <v>640</v>
      </c>
      <c r="F82" s="6" t="s">
        <v>521</v>
      </c>
      <c r="G82" s="13" t="s">
        <v>156</v>
      </c>
      <c r="H82" s="6" t="s">
        <v>67</v>
      </c>
      <c r="I82" s="6" t="s">
        <v>513</v>
      </c>
      <c r="J82" s="6" t="s">
        <v>466</v>
      </c>
      <c r="K82" s="5" t="s">
        <v>522</v>
      </c>
    </row>
    <row r="83" ht="34" customHeight="1" spans="1:11">
      <c r="A83" s="5" t="s">
        <v>670</v>
      </c>
      <c r="B83" s="5" t="s">
        <v>639</v>
      </c>
      <c r="C83" s="5" t="s">
        <v>548</v>
      </c>
      <c r="D83" s="5" t="s">
        <v>549</v>
      </c>
      <c r="E83" s="5" t="s">
        <v>111</v>
      </c>
      <c r="F83" s="6" t="s">
        <v>521</v>
      </c>
      <c r="G83" s="13" t="s">
        <v>156</v>
      </c>
      <c r="H83" s="6" t="s">
        <v>67</v>
      </c>
      <c r="I83" s="6" t="s">
        <v>513</v>
      </c>
      <c r="J83" s="6" t="s">
        <v>466</v>
      </c>
      <c r="K83" s="5" t="s">
        <v>522</v>
      </c>
    </row>
    <row r="84" ht="34" customHeight="1" spans="1:11">
      <c r="A84" s="5" t="s">
        <v>671</v>
      </c>
      <c r="B84" s="5" t="s">
        <v>639</v>
      </c>
      <c r="C84" s="5" t="s">
        <v>551</v>
      </c>
      <c r="D84" s="5" t="s">
        <v>552</v>
      </c>
      <c r="E84" s="5" t="s">
        <v>642</v>
      </c>
      <c r="F84" s="6" t="s">
        <v>464</v>
      </c>
      <c r="G84" s="13" t="s">
        <v>109</v>
      </c>
      <c r="H84" s="6" t="s">
        <v>67</v>
      </c>
      <c r="I84" s="6" t="s">
        <v>465</v>
      </c>
      <c r="J84" s="6" t="s">
        <v>466</v>
      </c>
      <c r="K84" s="5" t="s">
        <v>467</v>
      </c>
    </row>
    <row r="85" ht="34" customHeight="1" spans="1:11">
      <c r="A85" s="5" t="s">
        <v>672</v>
      </c>
      <c r="B85" s="5" t="s">
        <v>639</v>
      </c>
      <c r="C85" s="5" t="s">
        <v>554</v>
      </c>
      <c r="D85" s="5" t="s">
        <v>673</v>
      </c>
      <c r="E85" s="5" t="s">
        <v>640</v>
      </c>
      <c r="F85" s="6" t="s">
        <v>464</v>
      </c>
      <c r="G85" s="13" t="s">
        <v>109</v>
      </c>
      <c r="H85" s="6" t="s">
        <v>67</v>
      </c>
      <c r="I85" s="6" t="s">
        <v>465</v>
      </c>
      <c r="J85" s="6" t="s">
        <v>466</v>
      </c>
      <c r="K85" s="5" t="s">
        <v>467</v>
      </c>
    </row>
    <row r="86" ht="34" customHeight="1" spans="1:11">
      <c r="A86" s="5" t="s">
        <v>674</v>
      </c>
      <c r="B86" s="5" t="s">
        <v>639</v>
      </c>
      <c r="C86" s="5" t="s">
        <v>557</v>
      </c>
      <c r="D86" s="5" t="s">
        <v>558</v>
      </c>
      <c r="E86" s="5" t="s">
        <v>640</v>
      </c>
      <c r="F86" s="6" t="s">
        <v>521</v>
      </c>
      <c r="G86" s="13" t="s">
        <v>156</v>
      </c>
      <c r="H86" s="6" t="s">
        <v>67</v>
      </c>
      <c r="I86" s="6" t="s">
        <v>513</v>
      </c>
      <c r="J86" s="6" t="s">
        <v>466</v>
      </c>
      <c r="K86" s="5" t="s">
        <v>522</v>
      </c>
    </row>
    <row r="87" ht="34" customHeight="1" spans="1:11">
      <c r="A87" s="5" t="s">
        <v>675</v>
      </c>
      <c r="B87" s="5" t="s">
        <v>639</v>
      </c>
      <c r="C87" s="5" t="s">
        <v>560</v>
      </c>
      <c r="D87" s="5" t="s">
        <v>676</v>
      </c>
      <c r="E87" s="5" t="s">
        <v>640</v>
      </c>
      <c r="F87" s="6" t="s">
        <v>521</v>
      </c>
      <c r="G87" s="13" t="s">
        <v>156</v>
      </c>
      <c r="H87" s="6" t="s">
        <v>67</v>
      </c>
      <c r="I87" s="6" t="s">
        <v>513</v>
      </c>
      <c r="J87" s="6" t="s">
        <v>466</v>
      </c>
      <c r="K87" s="5" t="s">
        <v>522</v>
      </c>
    </row>
    <row r="88" ht="34" customHeight="1" spans="1:11">
      <c r="A88" s="5" t="s">
        <v>677</v>
      </c>
      <c r="B88" s="5" t="s">
        <v>639</v>
      </c>
      <c r="C88" s="5" t="s">
        <v>563</v>
      </c>
      <c r="D88" s="5" t="s">
        <v>678</v>
      </c>
      <c r="E88" s="5" t="s">
        <v>640</v>
      </c>
      <c r="F88" s="6" t="s">
        <v>521</v>
      </c>
      <c r="G88" s="13" t="s">
        <v>156</v>
      </c>
      <c r="H88" s="6" t="s">
        <v>67</v>
      </c>
      <c r="I88" s="6" t="s">
        <v>513</v>
      </c>
      <c r="J88" s="6" t="s">
        <v>466</v>
      </c>
      <c r="K88" s="5" t="s">
        <v>522</v>
      </c>
    </row>
    <row r="89" ht="34" customHeight="1" spans="1:11">
      <c r="A89" s="5" t="s">
        <v>679</v>
      </c>
      <c r="B89" s="5" t="s">
        <v>639</v>
      </c>
      <c r="C89" s="5" t="s">
        <v>566</v>
      </c>
      <c r="D89" s="5" t="s">
        <v>558</v>
      </c>
      <c r="E89" s="5" t="s">
        <v>640</v>
      </c>
      <c r="F89" s="6" t="s">
        <v>521</v>
      </c>
      <c r="G89" s="13" t="s">
        <v>156</v>
      </c>
      <c r="H89" s="6" t="s">
        <v>67</v>
      </c>
      <c r="I89" s="6" t="s">
        <v>513</v>
      </c>
      <c r="J89" s="6" t="s">
        <v>466</v>
      </c>
      <c r="K89" s="5" t="s">
        <v>522</v>
      </c>
    </row>
    <row r="90" ht="34" customHeight="1" spans="1:11">
      <c r="A90" s="5" t="s">
        <v>680</v>
      </c>
      <c r="B90" s="5" t="s">
        <v>639</v>
      </c>
      <c r="C90" s="5" t="s">
        <v>568</v>
      </c>
      <c r="D90" s="5" t="s">
        <v>681</v>
      </c>
      <c r="E90" s="5" t="s">
        <v>640</v>
      </c>
      <c r="F90" s="6" t="s">
        <v>511</v>
      </c>
      <c r="G90" s="13" t="s">
        <v>512</v>
      </c>
      <c r="H90" s="6" t="s">
        <v>67</v>
      </c>
      <c r="I90" s="6" t="s">
        <v>513</v>
      </c>
      <c r="J90" s="6" t="s">
        <v>466</v>
      </c>
      <c r="K90" s="5" t="s">
        <v>570</v>
      </c>
    </row>
    <row r="91" ht="34" customHeight="1" spans="1:11">
      <c r="A91" s="5" t="s">
        <v>682</v>
      </c>
      <c r="B91" s="5" t="s">
        <v>639</v>
      </c>
      <c r="C91" s="5" t="s">
        <v>572</v>
      </c>
      <c r="D91" s="5" t="s">
        <v>683</v>
      </c>
      <c r="E91" s="5" t="s">
        <v>640</v>
      </c>
      <c r="F91" s="6" t="s">
        <v>511</v>
      </c>
      <c r="G91" s="13" t="s">
        <v>512</v>
      </c>
      <c r="H91" s="6" t="s">
        <v>67</v>
      </c>
      <c r="I91" s="6" t="s">
        <v>513</v>
      </c>
      <c r="J91" s="6" t="s">
        <v>466</v>
      </c>
      <c r="K91" s="5" t="s">
        <v>570</v>
      </c>
    </row>
    <row r="92" ht="34" customHeight="1" spans="1:11">
      <c r="A92" s="5" t="s">
        <v>684</v>
      </c>
      <c r="B92" s="5" t="s">
        <v>639</v>
      </c>
      <c r="C92" s="5" t="s">
        <v>575</v>
      </c>
      <c r="D92" s="5" t="s">
        <v>685</v>
      </c>
      <c r="E92" s="5" t="s">
        <v>640</v>
      </c>
      <c r="F92" s="6" t="s">
        <v>511</v>
      </c>
      <c r="G92" s="13" t="s">
        <v>512</v>
      </c>
      <c r="H92" s="6" t="s">
        <v>67</v>
      </c>
      <c r="I92" s="6" t="s">
        <v>513</v>
      </c>
      <c r="J92" s="6" t="s">
        <v>466</v>
      </c>
      <c r="K92" s="5" t="s">
        <v>570</v>
      </c>
    </row>
    <row r="93" ht="34" customHeight="1" spans="1:11">
      <c r="A93" s="5" t="s">
        <v>686</v>
      </c>
      <c r="B93" s="5" t="s">
        <v>639</v>
      </c>
      <c r="C93" s="5" t="s">
        <v>578</v>
      </c>
      <c r="D93" s="5" t="s">
        <v>579</v>
      </c>
      <c r="E93" s="5" t="s">
        <v>642</v>
      </c>
      <c r="F93" s="6" t="s">
        <v>521</v>
      </c>
      <c r="G93" s="13" t="s">
        <v>156</v>
      </c>
      <c r="H93" s="6" t="s">
        <v>67</v>
      </c>
      <c r="I93" s="6" t="s">
        <v>513</v>
      </c>
      <c r="J93" s="6" t="s">
        <v>466</v>
      </c>
      <c r="K93" s="5" t="s">
        <v>522</v>
      </c>
    </row>
    <row r="94" ht="34" customHeight="1" spans="1:11">
      <c r="A94" s="5" t="s">
        <v>687</v>
      </c>
      <c r="B94" s="5" t="s">
        <v>688</v>
      </c>
      <c r="C94" s="5" t="s">
        <v>689</v>
      </c>
      <c r="D94" s="5" t="s">
        <v>690</v>
      </c>
      <c r="E94" s="5" t="s">
        <v>691</v>
      </c>
      <c r="F94" s="6" t="s">
        <v>464</v>
      </c>
      <c r="G94" s="13" t="s">
        <v>109</v>
      </c>
      <c r="H94" s="6" t="s">
        <v>67</v>
      </c>
      <c r="I94" s="6" t="s">
        <v>465</v>
      </c>
      <c r="J94" s="6" t="s">
        <v>466</v>
      </c>
      <c r="K94" s="5" t="s">
        <v>692</v>
      </c>
    </row>
    <row r="95" ht="34" customHeight="1" spans="1:11">
      <c r="A95" s="5" t="s">
        <v>693</v>
      </c>
      <c r="B95" s="5" t="s">
        <v>688</v>
      </c>
      <c r="C95" s="5" t="s">
        <v>694</v>
      </c>
      <c r="D95" s="5" t="s">
        <v>695</v>
      </c>
      <c r="E95" s="5" t="s">
        <v>691</v>
      </c>
      <c r="F95" s="6" t="s">
        <v>464</v>
      </c>
      <c r="G95" s="13" t="s">
        <v>109</v>
      </c>
      <c r="H95" s="6" t="s">
        <v>67</v>
      </c>
      <c r="I95" s="6" t="s">
        <v>465</v>
      </c>
      <c r="J95" s="6" t="s">
        <v>466</v>
      </c>
      <c r="K95" s="5" t="s">
        <v>692</v>
      </c>
    </row>
    <row r="96" ht="34" customHeight="1" spans="1:11">
      <c r="A96" s="5" t="s">
        <v>696</v>
      </c>
      <c r="B96" s="5" t="s">
        <v>688</v>
      </c>
      <c r="C96" s="5" t="s">
        <v>697</v>
      </c>
      <c r="D96" s="5" t="s">
        <v>698</v>
      </c>
      <c r="E96" s="5" t="s">
        <v>691</v>
      </c>
      <c r="F96" s="6" t="s">
        <v>511</v>
      </c>
      <c r="G96" s="13" t="s">
        <v>512</v>
      </c>
      <c r="H96" s="6" t="s">
        <v>67</v>
      </c>
      <c r="I96" s="6" t="s">
        <v>513</v>
      </c>
      <c r="J96" s="6" t="s">
        <v>466</v>
      </c>
      <c r="K96" s="5" t="s">
        <v>570</v>
      </c>
    </row>
    <row r="97" ht="34" customHeight="1" spans="1:11">
      <c r="A97" s="5" t="s">
        <v>699</v>
      </c>
      <c r="B97" s="5" t="s">
        <v>688</v>
      </c>
      <c r="C97" s="5" t="s">
        <v>700</v>
      </c>
      <c r="D97" s="5" t="s">
        <v>701</v>
      </c>
      <c r="E97" s="5" t="s">
        <v>691</v>
      </c>
      <c r="F97" s="6" t="s">
        <v>464</v>
      </c>
      <c r="G97" s="13" t="s">
        <v>109</v>
      </c>
      <c r="H97" s="6" t="s">
        <v>67</v>
      </c>
      <c r="I97" s="6" t="s">
        <v>465</v>
      </c>
      <c r="J97" s="6" t="s">
        <v>466</v>
      </c>
      <c r="K97" s="5" t="s">
        <v>692</v>
      </c>
    </row>
    <row r="98" ht="34" customHeight="1" spans="1:11">
      <c r="A98" s="5" t="s">
        <v>702</v>
      </c>
      <c r="B98" s="5" t="s">
        <v>688</v>
      </c>
      <c r="C98" s="5" t="s">
        <v>703</v>
      </c>
      <c r="D98" s="5" t="s">
        <v>704</v>
      </c>
      <c r="E98" s="5" t="s">
        <v>691</v>
      </c>
      <c r="F98" s="6" t="s">
        <v>464</v>
      </c>
      <c r="G98" s="13" t="s">
        <v>109</v>
      </c>
      <c r="H98" s="6" t="s">
        <v>67</v>
      </c>
      <c r="I98" s="6" t="s">
        <v>465</v>
      </c>
      <c r="J98" s="6" t="s">
        <v>466</v>
      </c>
      <c r="K98" s="5" t="s">
        <v>692</v>
      </c>
    </row>
    <row r="99" ht="34" customHeight="1" spans="1:11">
      <c r="A99" s="5" t="s">
        <v>705</v>
      </c>
      <c r="B99" s="5" t="s">
        <v>688</v>
      </c>
      <c r="C99" s="5" t="s">
        <v>706</v>
      </c>
      <c r="D99" s="5" t="s">
        <v>706</v>
      </c>
      <c r="E99" s="5" t="s">
        <v>691</v>
      </c>
      <c r="F99" s="6" t="s">
        <v>464</v>
      </c>
      <c r="G99" s="13" t="s">
        <v>109</v>
      </c>
      <c r="H99" s="6" t="s">
        <v>67</v>
      </c>
      <c r="I99" s="6" t="s">
        <v>465</v>
      </c>
      <c r="J99" s="6" t="s">
        <v>466</v>
      </c>
      <c r="K99" s="5" t="s">
        <v>692</v>
      </c>
    </row>
    <row r="100" ht="34" customHeight="1" spans="1:11">
      <c r="A100" s="5" t="s">
        <v>707</v>
      </c>
      <c r="B100" s="5" t="s">
        <v>688</v>
      </c>
      <c r="C100" s="5" t="s">
        <v>708</v>
      </c>
      <c r="D100" s="5" t="s">
        <v>709</v>
      </c>
      <c r="E100" s="5" t="s">
        <v>710</v>
      </c>
      <c r="F100" s="6" t="s">
        <v>464</v>
      </c>
      <c r="G100" s="13" t="s">
        <v>109</v>
      </c>
      <c r="H100" s="6" t="s">
        <v>67</v>
      </c>
      <c r="I100" s="6" t="s">
        <v>465</v>
      </c>
      <c r="J100" s="6" t="s">
        <v>466</v>
      </c>
      <c r="K100" s="5" t="s">
        <v>692</v>
      </c>
    </row>
    <row r="101" ht="34" customHeight="1" spans="1:11">
      <c r="A101" s="5" t="s">
        <v>711</v>
      </c>
      <c r="B101" s="5" t="s">
        <v>688</v>
      </c>
      <c r="C101" s="5" t="s">
        <v>712</v>
      </c>
      <c r="D101" s="5" t="s">
        <v>713</v>
      </c>
      <c r="E101" s="5" t="s">
        <v>710</v>
      </c>
      <c r="F101" s="6" t="s">
        <v>464</v>
      </c>
      <c r="G101" s="13" t="s">
        <v>109</v>
      </c>
      <c r="H101" s="6" t="s">
        <v>67</v>
      </c>
      <c r="I101" s="6" t="s">
        <v>465</v>
      </c>
      <c r="J101" s="6" t="s">
        <v>466</v>
      </c>
      <c r="K101" s="5" t="s">
        <v>692</v>
      </c>
    </row>
    <row r="102" ht="34" customHeight="1" spans="1:11">
      <c r="A102" s="5" t="s">
        <v>714</v>
      </c>
      <c r="B102" s="5" t="s">
        <v>688</v>
      </c>
      <c r="C102" s="5" t="s">
        <v>715</v>
      </c>
      <c r="D102" s="5" t="s">
        <v>716</v>
      </c>
      <c r="E102" s="5" t="s">
        <v>710</v>
      </c>
      <c r="F102" s="6" t="s">
        <v>464</v>
      </c>
      <c r="G102" s="13" t="s">
        <v>109</v>
      </c>
      <c r="H102" s="6" t="s">
        <v>67</v>
      </c>
      <c r="I102" s="6" t="s">
        <v>465</v>
      </c>
      <c r="J102" s="6" t="s">
        <v>466</v>
      </c>
      <c r="K102" s="5" t="s">
        <v>692</v>
      </c>
    </row>
    <row r="103" ht="34" customHeight="1" spans="1:11">
      <c r="A103" s="5" t="s">
        <v>717</v>
      </c>
      <c r="B103" s="5" t="s">
        <v>688</v>
      </c>
      <c r="C103" s="5" t="s">
        <v>718</v>
      </c>
      <c r="D103" s="5" t="s">
        <v>719</v>
      </c>
      <c r="E103" s="5" t="s">
        <v>710</v>
      </c>
      <c r="F103" s="6" t="s">
        <v>464</v>
      </c>
      <c r="G103" s="13" t="s">
        <v>109</v>
      </c>
      <c r="H103" s="6" t="s">
        <v>67</v>
      </c>
      <c r="I103" s="6" t="s">
        <v>465</v>
      </c>
      <c r="J103" s="6" t="s">
        <v>466</v>
      </c>
      <c r="K103" s="5" t="s">
        <v>692</v>
      </c>
    </row>
    <row r="104" ht="34" customHeight="1" spans="1:11">
      <c r="A104" s="5" t="s">
        <v>720</v>
      </c>
      <c r="B104" s="5" t="s">
        <v>721</v>
      </c>
      <c r="C104" s="5" t="s">
        <v>722</v>
      </c>
      <c r="D104" s="5" t="s">
        <v>723</v>
      </c>
      <c r="E104" s="5" t="s">
        <v>724</v>
      </c>
      <c r="F104" s="6" t="s">
        <v>464</v>
      </c>
      <c r="G104" s="13" t="s">
        <v>109</v>
      </c>
      <c r="H104" s="6" t="s">
        <v>67</v>
      </c>
      <c r="I104" s="6" t="s">
        <v>465</v>
      </c>
      <c r="J104" s="6" t="s">
        <v>466</v>
      </c>
      <c r="K104" s="5" t="s">
        <v>725</v>
      </c>
    </row>
    <row r="105" ht="34" customHeight="1" spans="1:11">
      <c r="A105" s="5" t="s">
        <v>726</v>
      </c>
      <c r="B105" s="5" t="s">
        <v>721</v>
      </c>
      <c r="C105" s="5" t="s">
        <v>190</v>
      </c>
      <c r="D105" s="5" t="s">
        <v>727</v>
      </c>
      <c r="E105" s="5" t="s">
        <v>724</v>
      </c>
      <c r="F105" s="6" t="s">
        <v>464</v>
      </c>
      <c r="G105" s="13" t="s">
        <v>109</v>
      </c>
      <c r="H105" s="6" t="s">
        <v>67</v>
      </c>
      <c r="I105" s="6" t="s">
        <v>465</v>
      </c>
      <c r="J105" s="6" t="s">
        <v>466</v>
      </c>
      <c r="K105" s="5" t="s">
        <v>725</v>
      </c>
    </row>
    <row r="106" ht="34" customHeight="1" spans="1:11">
      <c r="A106" s="5" t="s">
        <v>728</v>
      </c>
      <c r="B106" s="5" t="s">
        <v>721</v>
      </c>
      <c r="C106" s="5" t="s">
        <v>712</v>
      </c>
      <c r="D106" s="5" t="s">
        <v>713</v>
      </c>
      <c r="E106" s="5" t="s">
        <v>724</v>
      </c>
      <c r="F106" s="6" t="s">
        <v>464</v>
      </c>
      <c r="G106" s="13" t="s">
        <v>109</v>
      </c>
      <c r="H106" s="6" t="s">
        <v>67</v>
      </c>
      <c r="I106" s="6" t="s">
        <v>465</v>
      </c>
      <c r="J106" s="6" t="s">
        <v>466</v>
      </c>
      <c r="K106" s="5" t="s">
        <v>725</v>
      </c>
    </row>
    <row r="107" ht="34" customHeight="1" spans="1:11">
      <c r="A107" s="5" t="s">
        <v>729</v>
      </c>
      <c r="B107" s="5" t="s">
        <v>721</v>
      </c>
      <c r="C107" s="5" t="s">
        <v>715</v>
      </c>
      <c r="D107" s="5" t="s">
        <v>730</v>
      </c>
      <c r="E107" s="5" t="s">
        <v>724</v>
      </c>
      <c r="F107" s="6" t="s">
        <v>464</v>
      </c>
      <c r="G107" s="13" t="s">
        <v>109</v>
      </c>
      <c r="H107" s="6" t="s">
        <v>67</v>
      </c>
      <c r="I107" s="6" t="s">
        <v>465</v>
      </c>
      <c r="J107" s="6" t="s">
        <v>466</v>
      </c>
      <c r="K107" s="5" t="s">
        <v>725</v>
      </c>
    </row>
    <row r="108" ht="34" customHeight="1" spans="1:11">
      <c r="A108" s="5" t="s">
        <v>731</v>
      </c>
      <c r="B108" s="5" t="s">
        <v>721</v>
      </c>
      <c r="C108" s="5" t="s">
        <v>718</v>
      </c>
      <c r="D108" s="5" t="s">
        <v>732</v>
      </c>
      <c r="E108" s="5" t="s">
        <v>724</v>
      </c>
      <c r="F108" s="6" t="s">
        <v>464</v>
      </c>
      <c r="G108" s="13" t="s">
        <v>109</v>
      </c>
      <c r="H108" s="6" t="s">
        <v>67</v>
      </c>
      <c r="I108" s="6" t="s">
        <v>465</v>
      </c>
      <c r="J108" s="6" t="s">
        <v>466</v>
      </c>
      <c r="K108" s="5" t="s">
        <v>725</v>
      </c>
    </row>
    <row r="109" ht="34" customHeight="1" spans="1:11">
      <c r="A109" s="5" t="s">
        <v>733</v>
      </c>
      <c r="B109" s="5" t="s">
        <v>721</v>
      </c>
      <c r="C109" s="5" t="s">
        <v>734</v>
      </c>
      <c r="D109" s="5" t="s">
        <v>735</v>
      </c>
      <c r="E109" s="5" t="s">
        <v>724</v>
      </c>
      <c r="F109" s="6" t="s">
        <v>464</v>
      </c>
      <c r="G109" s="13" t="s">
        <v>109</v>
      </c>
      <c r="H109" s="6" t="s">
        <v>67</v>
      </c>
      <c r="I109" s="6" t="s">
        <v>465</v>
      </c>
      <c r="J109" s="6" t="s">
        <v>466</v>
      </c>
      <c r="K109" s="5" t="s">
        <v>725</v>
      </c>
    </row>
    <row r="110" ht="34" customHeight="1" spans="1:11">
      <c r="A110" s="5" t="s">
        <v>736</v>
      </c>
      <c r="B110" s="5" t="s">
        <v>721</v>
      </c>
      <c r="C110" s="5" t="s">
        <v>737</v>
      </c>
      <c r="D110" s="5" t="s">
        <v>738</v>
      </c>
      <c r="E110" s="5" t="s">
        <v>724</v>
      </c>
      <c r="F110" s="6" t="s">
        <v>464</v>
      </c>
      <c r="G110" s="13" t="s">
        <v>109</v>
      </c>
      <c r="H110" s="6" t="s">
        <v>67</v>
      </c>
      <c r="I110" s="6" t="s">
        <v>465</v>
      </c>
      <c r="J110" s="6" t="s">
        <v>466</v>
      </c>
      <c r="K110" s="5" t="s">
        <v>725</v>
      </c>
    </row>
    <row r="111" ht="34" customHeight="1" spans="1:11">
      <c r="A111" s="5" t="s">
        <v>739</v>
      </c>
      <c r="B111" s="5" t="s">
        <v>740</v>
      </c>
      <c r="C111" s="5" t="s">
        <v>741</v>
      </c>
      <c r="D111" s="5" t="s">
        <v>742</v>
      </c>
      <c r="E111" s="5" t="s">
        <v>743</v>
      </c>
      <c r="F111" s="6" t="s">
        <v>464</v>
      </c>
      <c r="G111" s="13" t="s">
        <v>109</v>
      </c>
      <c r="H111" s="6" t="s">
        <v>67</v>
      </c>
      <c r="I111" s="6" t="s">
        <v>465</v>
      </c>
      <c r="J111" s="6" t="s">
        <v>466</v>
      </c>
      <c r="K111" s="5" t="s">
        <v>744</v>
      </c>
    </row>
    <row r="112" ht="34" customHeight="1" spans="1:11">
      <c r="A112" s="5" t="s">
        <v>745</v>
      </c>
      <c r="B112" s="5" t="s">
        <v>746</v>
      </c>
      <c r="C112" s="5" t="s">
        <v>747</v>
      </c>
      <c r="D112" s="5" t="s">
        <v>748</v>
      </c>
      <c r="E112" s="5" t="s">
        <v>749</v>
      </c>
      <c r="F112" s="6" t="s">
        <v>464</v>
      </c>
      <c r="G112" s="13" t="s">
        <v>109</v>
      </c>
      <c r="H112" s="6" t="s">
        <v>67</v>
      </c>
      <c r="I112" s="6" t="s">
        <v>465</v>
      </c>
      <c r="J112" s="6" t="s">
        <v>466</v>
      </c>
      <c r="K112" s="5" t="s">
        <v>750</v>
      </c>
    </row>
    <row r="113" ht="34" customHeight="1" spans="1:11">
      <c r="A113" s="5" t="s">
        <v>751</v>
      </c>
      <c r="B113" s="5" t="s">
        <v>746</v>
      </c>
      <c r="C113" s="5" t="s">
        <v>752</v>
      </c>
      <c r="D113" s="5" t="s">
        <v>753</v>
      </c>
      <c r="E113" s="5" t="s">
        <v>754</v>
      </c>
      <c r="F113" s="6" t="s">
        <v>464</v>
      </c>
      <c r="G113" s="13" t="s">
        <v>109</v>
      </c>
      <c r="H113" s="6" t="s">
        <v>67</v>
      </c>
      <c r="I113" s="6" t="s">
        <v>465</v>
      </c>
      <c r="J113" s="6" t="s">
        <v>466</v>
      </c>
      <c r="K113" s="5" t="s">
        <v>750</v>
      </c>
    </row>
    <row r="114" ht="34" customHeight="1" spans="1:11">
      <c r="A114" s="5" t="s">
        <v>755</v>
      </c>
      <c r="B114" s="5" t="s">
        <v>746</v>
      </c>
      <c r="C114" s="5" t="s">
        <v>756</v>
      </c>
      <c r="D114" s="5" t="s">
        <v>756</v>
      </c>
      <c r="E114" s="5" t="s">
        <v>754</v>
      </c>
      <c r="F114" s="6" t="s">
        <v>521</v>
      </c>
      <c r="G114" s="13" t="s">
        <v>156</v>
      </c>
      <c r="H114" s="6" t="s">
        <v>67</v>
      </c>
      <c r="I114" s="6" t="s">
        <v>513</v>
      </c>
      <c r="J114" s="6" t="s">
        <v>466</v>
      </c>
      <c r="K114" s="5" t="s">
        <v>757</v>
      </c>
    </row>
    <row r="115" ht="34" customHeight="1" spans="1:11">
      <c r="A115" s="5" t="s">
        <v>758</v>
      </c>
      <c r="B115" s="5" t="s">
        <v>746</v>
      </c>
      <c r="C115" s="5" t="s">
        <v>759</v>
      </c>
      <c r="D115" s="5" t="s">
        <v>759</v>
      </c>
      <c r="E115" s="5" t="s">
        <v>754</v>
      </c>
      <c r="F115" s="6" t="s">
        <v>511</v>
      </c>
      <c r="G115" s="13" t="s">
        <v>512</v>
      </c>
      <c r="H115" s="6" t="s">
        <v>67</v>
      </c>
      <c r="I115" s="6" t="s">
        <v>513</v>
      </c>
      <c r="J115" s="6" t="s">
        <v>466</v>
      </c>
      <c r="K115" s="5" t="s">
        <v>760</v>
      </c>
    </row>
    <row r="116" ht="34" customHeight="1" spans="1:11">
      <c r="A116" s="5" t="s">
        <v>761</v>
      </c>
      <c r="B116" s="5" t="s">
        <v>762</v>
      </c>
      <c r="C116" s="5" t="s">
        <v>763</v>
      </c>
      <c r="D116" s="5" t="s">
        <v>764</v>
      </c>
      <c r="E116" s="5" t="s">
        <v>765</v>
      </c>
      <c r="F116" s="6" t="s">
        <v>464</v>
      </c>
      <c r="G116" s="13" t="s">
        <v>109</v>
      </c>
      <c r="H116" s="6" t="s">
        <v>67</v>
      </c>
      <c r="I116" s="6" t="s">
        <v>465</v>
      </c>
      <c r="J116" s="6" t="s">
        <v>466</v>
      </c>
      <c r="K116" s="5" t="s">
        <v>766</v>
      </c>
    </row>
    <row r="117" ht="34" customHeight="1" spans="1:11">
      <c r="A117" s="5" t="s">
        <v>767</v>
      </c>
      <c r="B117" s="5" t="s">
        <v>762</v>
      </c>
      <c r="C117" s="5" t="s">
        <v>768</v>
      </c>
      <c r="D117" s="5" t="s">
        <v>769</v>
      </c>
      <c r="E117" s="5" t="s">
        <v>765</v>
      </c>
      <c r="F117" s="6" t="s">
        <v>464</v>
      </c>
      <c r="G117" s="13" t="s">
        <v>109</v>
      </c>
      <c r="H117" s="6" t="s">
        <v>67</v>
      </c>
      <c r="I117" s="6" t="s">
        <v>465</v>
      </c>
      <c r="J117" s="6" t="s">
        <v>466</v>
      </c>
      <c r="K117" s="5" t="s">
        <v>766</v>
      </c>
    </row>
    <row r="118" ht="34" customHeight="1" spans="1:11">
      <c r="A118" s="5" t="s">
        <v>770</v>
      </c>
      <c r="B118" s="5" t="s">
        <v>762</v>
      </c>
      <c r="C118" s="5" t="s">
        <v>771</v>
      </c>
      <c r="D118" s="5" t="s">
        <v>772</v>
      </c>
      <c r="E118" s="5" t="s">
        <v>765</v>
      </c>
      <c r="F118" s="6" t="s">
        <v>464</v>
      </c>
      <c r="G118" s="13" t="s">
        <v>109</v>
      </c>
      <c r="H118" s="6" t="s">
        <v>67</v>
      </c>
      <c r="I118" s="6" t="s">
        <v>465</v>
      </c>
      <c r="J118" s="6" t="s">
        <v>466</v>
      </c>
      <c r="K118" s="5" t="s">
        <v>766</v>
      </c>
    </row>
    <row r="119" ht="34" customHeight="1" spans="1:11">
      <c r="A119" s="5" t="s">
        <v>773</v>
      </c>
      <c r="B119" s="5" t="s">
        <v>762</v>
      </c>
      <c r="C119" s="5" t="s">
        <v>774</v>
      </c>
      <c r="D119" s="5" t="s">
        <v>775</v>
      </c>
      <c r="E119" s="5" t="s">
        <v>765</v>
      </c>
      <c r="F119" s="6" t="s">
        <v>464</v>
      </c>
      <c r="G119" s="13" t="s">
        <v>109</v>
      </c>
      <c r="H119" s="6" t="s">
        <v>67</v>
      </c>
      <c r="I119" s="6" t="s">
        <v>465</v>
      </c>
      <c r="J119" s="6" t="s">
        <v>466</v>
      </c>
      <c r="K119" s="5" t="s">
        <v>766</v>
      </c>
    </row>
    <row r="120" ht="34" customHeight="1" spans="1:11">
      <c r="A120" s="5" t="s">
        <v>776</v>
      </c>
      <c r="B120" s="5" t="s">
        <v>762</v>
      </c>
      <c r="C120" s="5" t="s">
        <v>777</v>
      </c>
      <c r="D120" s="5" t="s">
        <v>778</v>
      </c>
      <c r="E120" s="5" t="s">
        <v>765</v>
      </c>
      <c r="F120" s="6" t="s">
        <v>464</v>
      </c>
      <c r="G120" s="13" t="s">
        <v>109</v>
      </c>
      <c r="H120" s="6" t="s">
        <v>67</v>
      </c>
      <c r="I120" s="6" t="s">
        <v>465</v>
      </c>
      <c r="J120" s="6" t="s">
        <v>466</v>
      </c>
      <c r="K120" s="5" t="s">
        <v>766</v>
      </c>
    </row>
    <row r="121" ht="34" customHeight="1" spans="1:11">
      <c r="A121" s="5" t="s">
        <v>779</v>
      </c>
      <c r="B121" s="5" t="s">
        <v>762</v>
      </c>
      <c r="C121" s="5" t="s">
        <v>780</v>
      </c>
      <c r="D121" s="5" t="s">
        <v>781</v>
      </c>
      <c r="E121" s="5" t="s">
        <v>765</v>
      </c>
      <c r="F121" s="6" t="s">
        <v>464</v>
      </c>
      <c r="G121" s="13" t="s">
        <v>109</v>
      </c>
      <c r="H121" s="6" t="s">
        <v>67</v>
      </c>
      <c r="I121" s="6" t="s">
        <v>465</v>
      </c>
      <c r="J121" s="6" t="s">
        <v>466</v>
      </c>
      <c r="K121" s="5" t="s">
        <v>766</v>
      </c>
    </row>
    <row r="122" ht="34" customHeight="1" spans="1:11">
      <c r="A122" s="5" t="s">
        <v>782</v>
      </c>
      <c r="B122" s="5" t="s">
        <v>762</v>
      </c>
      <c r="C122" s="5" t="s">
        <v>783</v>
      </c>
      <c r="D122" s="5" t="s">
        <v>784</v>
      </c>
      <c r="E122" s="5" t="s">
        <v>765</v>
      </c>
      <c r="F122" s="6" t="s">
        <v>464</v>
      </c>
      <c r="G122" s="13" t="s">
        <v>109</v>
      </c>
      <c r="H122" s="6" t="s">
        <v>67</v>
      </c>
      <c r="I122" s="6" t="s">
        <v>465</v>
      </c>
      <c r="J122" s="6" t="s">
        <v>466</v>
      </c>
      <c r="K122" s="5" t="s">
        <v>766</v>
      </c>
    </row>
    <row r="123" ht="34" customHeight="1" spans="1:11">
      <c r="A123" s="5" t="s">
        <v>785</v>
      </c>
      <c r="B123" s="5" t="s">
        <v>762</v>
      </c>
      <c r="C123" s="5" t="s">
        <v>786</v>
      </c>
      <c r="D123" s="5" t="s">
        <v>787</v>
      </c>
      <c r="E123" s="5" t="s">
        <v>765</v>
      </c>
      <c r="F123" s="6" t="s">
        <v>464</v>
      </c>
      <c r="G123" s="13" t="s">
        <v>109</v>
      </c>
      <c r="H123" s="6" t="s">
        <v>67</v>
      </c>
      <c r="I123" s="6" t="s">
        <v>465</v>
      </c>
      <c r="J123" s="6" t="s">
        <v>466</v>
      </c>
      <c r="K123" s="5" t="s">
        <v>766</v>
      </c>
    </row>
    <row r="124" ht="34" customHeight="1" spans="1:11">
      <c r="A124" s="5" t="s">
        <v>788</v>
      </c>
      <c r="B124" s="5" t="s">
        <v>762</v>
      </c>
      <c r="C124" s="5" t="s">
        <v>789</v>
      </c>
      <c r="D124" s="5" t="s">
        <v>790</v>
      </c>
      <c r="E124" s="5" t="s">
        <v>765</v>
      </c>
      <c r="F124" s="6" t="s">
        <v>464</v>
      </c>
      <c r="G124" s="13" t="s">
        <v>109</v>
      </c>
      <c r="H124" s="6" t="s">
        <v>67</v>
      </c>
      <c r="I124" s="6" t="s">
        <v>465</v>
      </c>
      <c r="J124" s="6" t="s">
        <v>466</v>
      </c>
      <c r="K124" s="5" t="s">
        <v>766</v>
      </c>
    </row>
    <row r="125" ht="34" customHeight="1" spans="1:11">
      <c r="A125" s="5" t="s">
        <v>791</v>
      </c>
      <c r="B125" s="5" t="s">
        <v>762</v>
      </c>
      <c r="C125" s="5" t="s">
        <v>792</v>
      </c>
      <c r="D125" s="5" t="s">
        <v>793</v>
      </c>
      <c r="E125" s="5" t="s">
        <v>765</v>
      </c>
      <c r="F125" s="6" t="s">
        <v>521</v>
      </c>
      <c r="G125" s="13" t="s">
        <v>156</v>
      </c>
      <c r="H125" s="6" t="s">
        <v>67</v>
      </c>
      <c r="I125" s="6" t="s">
        <v>513</v>
      </c>
      <c r="J125" s="6" t="s">
        <v>466</v>
      </c>
      <c r="K125" s="5" t="s">
        <v>794</v>
      </c>
    </row>
    <row r="126" ht="34" customHeight="1" spans="1:11">
      <c r="A126" s="5" t="s">
        <v>795</v>
      </c>
      <c r="B126" s="5" t="s">
        <v>762</v>
      </c>
      <c r="C126" s="5" t="s">
        <v>796</v>
      </c>
      <c r="D126" s="5" t="s">
        <v>797</v>
      </c>
      <c r="E126" s="5" t="s">
        <v>111</v>
      </c>
      <c r="F126" s="6" t="s">
        <v>521</v>
      </c>
      <c r="G126" s="13" t="s">
        <v>156</v>
      </c>
      <c r="H126" s="6" t="s">
        <v>67</v>
      </c>
      <c r="I126" s="6" t="s">
        <v>513</v>
      </c>
      <c r="J126" s="6" t="s">
        <v>466</v>
      </c>
      <c r="K126" s="5" t="s">
        <v>798</v>
      </c>
    </row>
    <row r="127" ht="34" customHeight="1" spans="1:11">
      <c r="A127" s="5" t="s">
        <v>799</v>
      </c>
      <c r="B127" s="5" t="s">
        <v>762</v>
      </c>
      <c r="C127" s="5" t="s">
        <v>800</v>
      </c>
      <c r="D127" s="5" t="s">
        <v>801</v>
      </c>
      <c r="E127" s="5" t="s">
        <v>765</v>
      </c>
      <c r="F127" s="6" t="s">
        <v>464</v>
      </c>
      <c r="G127" s="13" t="s">
        <v>109</v>
      </c>
      <c r="H127" s="6" t="s">
        <v>67</v>
      </c>
      <c r="I127" s="6" t="s">
        <v>465</v>
      </c>
      <c r="J127" s="6" t="s">
        <v>466</v>
      </c>
      <c r="K127" s="5" t="s">
        <v>766</v>
      </c>
    </row>
    <row r="128" ht="34" customHeight="1" spans="1:11">
      <c r="A128" s="5" t="s">
        <v>802</v>
      </c>
      <c r="B128" s="5" t="s">
        <v>762</v>
      </c>
      <c r="C128" s="5" t="s">
        <v>803</v>
      </c>
      <c r="D128" s="5" t="s">
        <v>804</v>
      </c>
      <c r="E128" s="5" t="s">
        <v>765</v>
      </c>
      <c r="F128" s="6" t="s">
        <v>464</v>
      </c>
      <c r="G128" s="13" t="s">
        <v>109</v>
      </c>
      <c r="H128" s="6" t="s">
        <v>67</v>
      </c>
      <c r="I128" s="6" t="s">
        <v>465</v>
      </c>
      <c r="J128" s="6" t="s">
        <v>466</v>
      </c>
      <c r="K128" s="5" t="s">
        <v>766</v>
      </c>
    </row>
    <row r="129" ht="34" customHeight="1" spans="1:11">
      <c r="A129" s="5" t="s">
        <v>805</v>
      </c>
      <c r="B129" s="5" t="s">
        <v>762</v>
      </c>
      <c r="C129" s="5" t="s">
        <v>806</v>
      </c>
      <c r="D129" s="5" t="s">
        <v>807</v>
      </c>
      <c r="E129" s="5" t="s">
        <v>765</v>
      </c>
      <c r="F129" s="6" t="s">
        <v>464</v>
      </c>
      <c r="G129" s="13" t="s">
        <v>109</v>
      </c>
      <c r="H129" s="6" t="s">
        <v>67</v>
      </c>
      <c r="I129" s="6" t="s">
        <v>465</v>
      </c>
      <c r="J129" s="6" t="s">
        <v>466</v>
      </c>
      <c r="K129" s="5" t="s">
        <v>766</v>
      </c>
    </row>
    <row r="130" ht="34" customHeight="1" spans="1:11">
      <c r="A130" s="5" t="s">
        <v>808</v>
      </c>
      <c r="B130" s="5" t="s">
        <v>762</v>
      </c>
      <c r="C130" s="5" t="s">
        <v>809</v>
      </c>
      <c r="D130" s="5" t="s">
        <v>810</v>
      </c>
      <c r="E130" s="5" t="s">
        <v>765</v>
      </c>
      <c r="F130" s="6" t="s">
        <v>464</v>
      </c>
      <c r="G130" s="13" t="s">
        <v>109</v>
      </c>
      <c r="H130" s="6" t="s">
        <v>67</v>
      </c>
      <c r="I130" s="6" t="s">
        <v>465</v>
      </c>
      <c r="J130" s="6" t="s">
        <v>466</v>
      </c>
      <c r="K130" s="5" t="s">
        <v>766</v>
      </c>
    </row>
    <row r="131" ht="34" customHeight="1" spans="1:11">
      <c r="A131" s="5" t="s">
        <v>811</v>
      </c>
      <c r="B131" s="5" t="s">
        <v>762</v>
      </c>
      <c r="C131" s="5" t="s">
        <v>812</v>
      </c>
      <c r="D131" s="5" t="s">
        <v>813</v>
      </c>
      <c r="E131" s="5" t="s">
        <v>765</v>
      </c>
      <c r="F131" s="6" t="s">
        <v>464</v>
      </c>
      <c r="G131" s="13" t="s">
        <v>109</v>
      </c>
      <c r="H131" s="6" t="s">
        <v>67</v>
      </c>
      <c r="I131" s="6" t="s">
        <v>465</v>
      </c>
      <c r="J131" s="6" t="s">
        <v>466</v>
      </c>
      <c r="K131" s="5" t="s">
        <v>766</v>
      </c>
    </row>
    <row r="132" ht="34" customHeight="1" spans="1:11">
      <c r="A132" s="5" t="s">
        <v>814</v>
      </c>
      <c r="B132" s="5" t="s">
        <v>762</v>
      </c>
      <c r="C132" s="5" t="s">
        <v>815</v>
      </c>
      <c r="D132" s="5" t="s">
        <v>816</v>
      </c>
      <c r="E132" s="5" t="s">
        <v>765</v>
      </c>
      <c r="F132" s="6" t="s">
        <v>521</v>
      </c>
      <c r="G132" s="13" t="s">
        <v>156</v>
      </c>
      <c r="H132" s="6" t="s">
        <v>67</v>
      </c>
      <c r="I132" s="6" t="s">
        <v>513</v>
      </c>
      <c r="J132" s="6" t="s">
        <v>466</v>
      </c>
      <c r="K132" s="5" t="s">
        <v>794</v>
      </c>
    </row>
    <row r="133" ht="34" customHeight="1" spans="1:11">
      <c r="A133" s="5" t="s">
        <v>817</v>
      </c>
      <c r="B133" s="5" t="s">
        <v>762</v>
      </c>
      <c r="C133" s="5" t="s">
        <v>818</v>
      </c>
      <c r="D133" s="5" t="s">
        <v>819</v>
      </c>
      <c r="E133" s="5" t="s">
        <v>765</v>
      </c>
      <c r="F133" s="6" t="s">
        <v>464</v>
      </c>
      <c r="G133" s="13" t="s">
        <v>109</v>
      </c>
      <c r="H133" s="6" t="s">
        <v>67</v>
      </c>
      <c r="I133" s="6" t="s">
        <v>465</v>
      </c>
      <c r="J133" s="6" t="s">
        <v>466</v>
      </c>
      <c r="K133" s="5" t="s">
        <v>766</v>
      </c>
    </row>
    <row r="134" ht="34" customHeight="1" spans="1:11">
      <c r="A134" s="5" t="s">
        <v>820</v>
      </c>
      <c r="B134" s="5" t="s">
        <v>762</v>
      </c>
      <c r="C134" s="5" t="s">
        <v>821</v>
      </c>
      <c r="D134" s="5" t="s">
        <v>822</v>
      </c>
      <c r="E134" s="5" t="s">
        <v>765</v>
      </c>
      <c r="F134" s="6" t="s">
        <v>521</v>
      </c>
      <c r="G134" s="13" t="s">
        <v>156</v>
      </c>
      <c r="H134" s="6" t="s">
        <v>67</v>
      </c>
      <c r="I134" s="6" t="s">
        <v>513</v>
      </c>
      <c r="J134" s="6" t="s">
        <v>466</v>
      </c>
      <c r="K134" s="5" t="s">
        <v>794</v>
      </c>
    </row>
    <row r="135" ht="34" customHeight="1" spans="1:11">
      <c r="A135" s="5" t="s">
        <v>823</v>
      </c>
      <c r="B135" s="5" t="s">
        <v>762</v>
      </c>
      <c r="C135" s="5" t="s">
        <v>824</v>
      </c>
      <c r="D135" s="5" t="s">
        <v>825</v>
      </c>
      <c r="E135" s="5" t="s">
        <v>765</v>
      </c>
      <c r="F135" s="6" t="s">
        <v>464</v>
      </c>
      <c r="G135" s="13" t="s">
        <v>109</v>
      </c>
      <c r="H135" s="6" t="s">
        <v>67</v>
      </c>
      <c r="I135" s="6" t="s">
        <v>465</v>
      </c>
      <c r="J135" s="6" t="s">
        <v>466</v>
      </c>
      <c r="K135" s="5" t="s">
        <v>766</v>
      </c>
    </row>
  </sheetData>
  <mergeCells count="2">
    <mergeCell ref="A1:K1"/>
    <mergeCell ref="A2:K2"/>
  </mergeCells>
  <conditionalFormatting sqref="G5:G135">
    <cfRule type="expression" dxfId="2" priority="1">
      <formula>G5="P0"</formula>
    </cfRule>
    <cfRule type="expression" dxfId="3" priority="2">
      <formula>G5="P1"</formula>
    </cfRule>
    <cfRule type="expression" dxfId="4" priority="3">
      <formula>G5="P2"</formula>
    </cfRule>
  </conditionalFormatting>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41"/>
  <sheetViews>
    <sheetView showGridLines="0" tabSelected="1" workbookViewId="0">
      <pane xSplit="2" ySplit="4" topLeftCell="L5" activePane="bottomRight" state="frozen"/>
      <selection/>
      <selection pane="topRight"/>
      <selection pane="bottomLeft"/>
      <selection pane="bottomRight" activeCell="J5" sqref="J5"/>
    </sheetView>
  </sheetViews>
  <sheetFormatPr defaultColWidth="9" defaultRowHeight="16.8"/>
  <cols>
    <col min="1" max="1" width="12" style="1" customWidth="1"/>
    <col min="2" max="2" width="25" style="1" customWidth="1"/>
    <col min="3" max="3" width="18" style="1" customWidth="1"/>
    <col min="4" max="4" width="10" style="1" customWidth="1"/>
    <col min="5" max="7" width="8" style="1" customWidth="1"/>
    <col min="8" max="8" width="16" style="1" customWidth="1"/>
    <col min="9" max="9" width="18" style="1" customWidth="1"/>
    <col min="10" max="11" width="20" style="1" customWidth="1"/>
    <col min="12" max="12" width="15" style="1" customWidth="1"/>
    <col min="13" max="13" width="14" style="1" customWidth="1"/>
    <col min="14" max="14" width="18" style="1" customWidth="1"/>
    <col min="15" max="15" width="34" style="1" customWidth="1"/>
    <col min="16" max="16" width="42" style="1" customWidth="1"/>
  </cols>
  <sheetData>
    <row r="1" ht="28" customHeight="1" spans="1:16">
      <c r="A1" s="2" t="s">
        <v>826</v>
      </c>
    </row>
    <row r="2" ht="28" customHeight="1" spans="1:16">
      <c r="A2" s="3" t="s">
        <v>827</v>
      </c>
    </row>
    <row r="4" spans="1:16">
      <c r="A4" s="4" t="s">
        <v>828</v>
      </c>
      <c r="B4" s="4" t="s">
        <v>451</v>
      </c>
      <c r="C4" s="4" t="s">
        <v>829</v>
      </c>
      <c r="D4" s="4" t="s">
        <v>830</v>
      </c>
      <c r="E4" s="4" t="s">
        <v>109</v>
      </c>
      <c r="F4" s="4" t="s">
        <v>156</v>
      </c>
      <c r="G4" s="4" t="s">
        <v>512</v>
      </c>
      <c r="H4" s="4" t="s">
        <v>831</v>
      </c>
      <c r="I4" s="4" t="s">
        <v>832</v>
      </c>
      <c r="J4" s="4" t="s">
        <v>833</v>
      </c>
      <c r="K4" s="4" t="s">
        <v>834</v>
      </c>
      <c r="L4" s="4" t="s">
        <v>835</v>
      </c>
      <c r="M4" s="4" t="s">
        <v>836</v>
      </c>
      <c r="N4" s="4" t="s">
        <v>837</v>
      </c>
      <c r="O4" s="4" t="s">
        <v>838</v>
      </c>
      <c r="P4" s="4" t="s">
        <v>839</v>
      </c>
    </row>
    <row r="5" ht="36" customHeight="1" spans="1:16">
      <c r="A5" s="5" t="s">
        <v>840</v>
      </c>
      <c r="B5" s="5" t="s">
        <v>460</v>
      </c>
      <c r="C5" s="5" t="s">
        <v>841</v>
      </c>
      <c r="D5" s="5">
        <v>36</v>
      </c>
      <c r="E5" s="5">
        <v>23</v>
      </c>
      <c r="F5" s="5">
        <v>9</v>
      </c>
      <c r="G5" s="5">
        <v>4</v>
      </c>
      <c r="H5" s="5" t="s">
        <v>842</v>
      </c>
      <c r="I5" s="5" t="s">
        <v>67</v>
      </c>
      <c r="J5" s="6" t="s">
        <v>843</v>
      </c>
      <c r="K5" s="6" t="s">
        <v>844</v>
      </c>
      <c r="L5" s="7">
        <v>46304</v>
      </c>
      <c r="M5" s="6" t="s">
        <v>845</v>
      </c>
      <c r="N5" s="6"/>
      <c r="O5" s="6" t="s">
        <v>846</v>
      </c>
      <c r="P5" s="5" t="s">
        <v>847</v>
      </c>
    </row>
    <row r="6" ht="36" customHeight="1" spans="1:16">
      <c r="A6" s="5" t="s">
        <v>848</v>
      </c>
      <c r="B6" s="5" t="s">
        <v>639</v>
      </c>
      <c r="C6" s="5" t="s">
        <v>841</v>
      </c>
      <c r="D6" s="5">
        <v>36</v>
      </c>
      <c r="E6" s="5">
        <v>23</v>
      </c>
      <c r="F6" s="5">
        <v>9</v>
      </c>
      <c r="G6" s="5">
        <v>4</v>
      </c>
      <c r="H6" s="5" t="s">
        <v>842</v>
      </c>
      <c r="I6" s="5" t="s">
        <v>67</v>
      </c>
      <c r="J6" s="6" t="s">
        <v>843</v>
      </c>
      <c r="K6" s="6" t="s">
        <v>844</v>
      </c>
      <c r="L6" s="7">
        <v>46304</v>
      </c>
      <c r="M6" s="6" t="s">
        <v>845</v>
      </c>
      <c r="N6" s="6"/>
      <c r="O6" s="6" t="s">
        <v>846</v>
      </c>
      <c r="P6" s="5" t="s">
        <v>847</v>
      </c>
    </row>
    <row r="7" ht="36" customHeight="1" spans="1:16">
      <c r="A7" s="5" t="s">
        <v>849</v>
      </c>
      <c r="B7" s="5" t="s">
        <v>581</v>
      </c>
      <c r="C7" s="5" t="s">
        <v>841</v>
      </c>
      <c r="D7" s="5">
        <v>17</v>
      </c>
      <c r="E7" s="5">
        <v>13</v>
      </c>
      <c r="F7" s="5">
        <v>4</v>
      </c>
      <c r="G7" s="5">
        <v>0</v>
      </c>
      <c r="H7" s="5" t="s">
        <v>842</v>
      </c>
      <c r="I7" s="5" t="s">
        <v>67</v>
      </c>
      <c r="J7" s="6" t="s">
        <v>843</v>
      </c>
      <c r="K7" s="6" t="s">
        <v>850</v>
      </c>
      <c r="L7" s="7">
        <v>46304</v>
      </c>
      <c r="M7" s="6" t="s">
        <v>845</v>
      </c>
      <c r="N7" s="6"/>
      <c r="O7" s="6" t="s">
        <v>846</v>
      </c>
      <c r="P7" s="5" t="s">
        <v>847</v>
      </c>
    </row>
    <row r="8" ht="36" customHeight="1" spans="1:16">
      <c r="A8" s="5" t="s">
        <v>851</v>
      </c>
      <c r="B8" s="5" t="s">
        <v>852</v>
      </c>
      <c r="C8" s="5" t="s">
        <v>853</v>
      </c>
      <c r="D8" s="5">
        <v>0</v>
      </c>
      <c r="E8" s="5">
        <v>0</v>
      </c>
      <c r="F8" s="5">
        <v>0</v>
      </c>
      <c r="G8" s="5">
        <v>0</v>
      </c>
      <c r="H8" s="5" t="s">
        <v>845</v>
      </c>
      <c r="I8" s="5" t="s">
        <v>67</v>
      </c>
      <c r="J8" s="6" t="s">
        <v>843</v>
      </c>
      <c r="K8" s="6" t="s">
        <v>844</v>
      </c>
      <c r="L8" s="7">
        <v>46311</v>
      </c>
      <c r="M8" s="6" t="s">
        <v>845</v>
      </c>
      <c r="N8" s="6"/>
      <c r="O8" s="6" t="s">
        <v>854</v>
      </c>
      <c r="P8" s="5" t="s">
        <v>847</v>
      </c>
    </row>
    <row r="9" ht="36" customHeight="1" spans="1:16">
      <c r="A9" s="5" t="s">
        <v>855</v>
      </c>
      <c r="B9" s="5" t="s">
        <v>721</v>
      </c>
      <c r="C9" s="5" t="s">
        <v>841</v>
      </c>
      <c r="D9" s="5">
        <v>7</v>
      </c>
      <c r="E9" s="5">
        <v>7</v>
      </c>
      <c r="F9" s="5">
        <v>0</v>
      </c>
      <c r="G9" s="5">
        <v>0</v>
      </c>
      <c r="H9" s="5" t="s">
        <v>842</v>
      </c>
      <c r="I9" s="5" t="s">
        <v>67</v>
      </c>
      <c r="J9" s="6" t="s">
        <v>843</v>
      </c>
      <c r="K9" s="6" t="s">
        <v>856</v>
      </c>
      <c r="L9" s="7">
        <v>46304</v>
      </c>
      <c r="M9" s="6" t="s">
        <v>845</v>
      </c>
      <c r="N9" s="6"/>
      <c r="O9" s="6" t="s">
        <v>846</v>
      </c>
      <c r="P9" s="5" t="s">
        <v>847</v>
      </c>
    </row>
    <row r="10" ht="36" customHeight="1" spans="1:16">
      <c r="A10" s="5" t="s">
        <v>857</v>
      </c>
      <c r="B10" s="5" t="s">
        <v>688</v>
      </c>
      <c r="C10" s="5" t="s">
        <v>841</v>
      </c>
      <c r="D10" s="5">
        <v>10</v>
      </c>
      <c r="E10" s="5">
        <v>9</v>
      </c>
      <c r="F10" s="5">
        <v>0</v>
      </c>
      <c r="G10" s="5">
        <v>1</v>
      </c>
      <c r="H10" s="5" t="s">
        <v>842</v>
      </c>
      <c r="I10" s="5" t="s">
        <v>67</v>
      </c>
      <c r="J10" s="6" t="s">
        <v>843</v>
      </c>
      <c r="K10" s="6" t="s">
        <v>844</v>
      </c>
      <c r="L10" s="7">
        <v>46304</v>
      </c>
      <c r="M10" s="6" t="s">
        <v>845</v>
      </c>
      <c r="N10" s="6"/>
      <c r="O10" s="6" t="s">
        <v>846</v>
      </c>
      <c r="P10" s="5" t="s">
        <v>847</v>
      </c>
    </row>
    <row r="11" ht="36" customHeight="1" spans="1:16">
      <c r="A11" s="5" t="s">
        <v>858</v>
      </c>
      <c r="B11" s="5" t="s">
        <v>859</v>
      </c>
      <c r="C11" s="5" t="s">
        <v>853</v>
      </c>
      <c r="D11" s="5">
        <v>0</v>
      </c>
      <c r="E11" s="5">
        <v>0</v>
      </c>
      <c r="F11" s="5">
        <v>0</v>
      </c>
      <c r="G11" s="5">
        <v>0</v>
      </c>
      <c r="H11" s="5" t="s">
        <v>845</v>
      </c>
      <c r="I11" s="5" t="s">
        <v>67</v>
      </c>
      <c r="J11" s="6" t="s">
        <v>843</v>
      </c>
      <c r="K11" s="6" t="s">
        <v>860</v>
      </c>
      <c r="L11" s="7">
        <v>46311</v>
      </c>
      <c r="M11" s="6" t="s">
        <v>845</v>
      </c>
      <c r="N11" s="6"/>
      <c r="O11" s="6" t="s">
        <v>854</v>
      </c>
      <c r="P11" s="5" t="s">
        <v>847</v>
      </c>
    </row>
    <row r="12" ht="36" customHeight="1" spans="1:16">
      <c r="A12" s="5" t="s">
        <v>861</v>
      </c>
      <c r="B12" s="5" t="s">
        <v>740</v>
      </c>
      <c r="C12" s="5" t="s">
        <v>841</v>
      </c>
      <c r="D12" s="5">
        <v>1</v>
      </c>
      <c r="E12" s="5">
        <v>1</v>
      </c>
      <c r="F12" s="5">
        <v>0</v>
      </c>
      <c r="G12" s="5">
        <v>0</v>
      </c>
      <c r="H12" s="5" t="s">
        <v>842</v>
      </c>
      <c r="I12" s="5" t="s">
        <v>67</v>
      </c>
      <c r="J12" s="6" t="s">
        <v>843</v>
      </c>
      <c r="K12" s="6" t="s">
        <v>862</v>
      </c>
      <c r="L12" s="7">
        <v>46304</v>
      </c>
      <c r="M12" s="6" t="s">
        <v>845</v>
      </c>
      <c r="N12" s="6"/>
      <c r="O12" s="6" t="s">
        <v>846</v>
      </c>
      <c r="P12" s="5" t="s">
        <v>847</v>
      </c>
    </row>
    <row r="13" ht="36" customHeight="1" spans="1:16">
      <c r="A13" s="5" t="s">
        <v>863</v>
      </c>
      <c r="B13" s="5" t="s">
        <v>746</v>
      </c>
      <c r="C13" s="5" t="s">
        <v>841</v>
      </c>
      <c r="D13" s="5">
        <v>4</v>
      </c>
      <c r="E13" s="5">
        <v>2</v>
      </c>
      <c r="F13" s="5">
        <v>1</v>
      </c>
      <c r="G13" s="5">
        <v>1</v>
      </c>
      <c r="H13" s="5" t="s">
        <v>842</v>
      </c>
      <c r="I13" s="5" t="s">
        <v>67</v>
      </c>
      <c r="J13" s="6" t="s">
        <v>843</v>
      </c>
      <c r="K13" s="6" t="s">
        <v>864</v>
      </c>
      <c r="L13" s="7">
        <v>46304</v>
      </c>
      <c r="M13" s="6" t="s">
        <v>845</v>
      </c>
      <c r="N13" s="6"/>
      <c r="O13" s="6" t="s">
        <v>846</v>
      </c>
      <c r="P13" s="5" t="s">
        <v>847</v>
      </c>
    </row>
    <row r="14" ht="36" customHeight="1" spans="1:16">
      <c r="A14" s="5" t="s">
        <v>865</v>
      </c>
      <c r="B14" s="5" t="s">
        <v>866</v>
      </c>
      <c r="C14" s="5" t="s">
        <v>853</v>
      </c>
      <c r="D14" s="5">
        <v>0</v>
      </c>
      <c r="E14" s="5">
        <v>0</v>
      </c>
      <c r="F14" s="5">
        <v>0</v>
      </c>
      <c r="G14" s="5">
        <v>0</v>
      </c>
      <c r="H14" s="5" t="s">
        <v>845</v>
      </c>
      <c r="I14" s="5" t="s">
        <v>67</v>
      </c>
      <c r="J14" s="6" t="s">
        <v>843</v>
      </c>
      <c r="K14" s="6" t="s">
        <v>864</v>
      </c>
      <c r="L14" s="7">
        <v>46311</v>
      </c>
      <c r="M14" s="6" t="s">
        <v>845</v>
      </c>
      <c r="N14" s="6"/>
      <c r="O14" s="6" t="s">
        <v>854</v>
      </c>
      <c r="P14" s="5" t="s">
        <v>847</v>
      </c>
    </row>
    <row r="15" ht="36" customHeight="1" spans="1:16">
      <c r="A15" s="5" t="s">
        <v>867</v>
      </c>
      <c r="B15" s="5" t="s">
        <v>868</v>
      </c>
      <c r="C15" s="5" t="s">
        <v>853</v>
      </c>
      <c r="D15" s="5">
        <v>0</v>
      </c>
      <c r="E15" s="5">
        <v>0</v>
      </c>
      <c r="F15" s="5">
        <v>0</v>
      </c>
      <c r="G15" s="5">
        <v>0</v>
      </c>
      <c r="H15" s="5" t="s">
        <v>845</v>
      </c>
      <c r="I15" s="5" t="s">
        <v>67</v>
      </c>
      <c r="J15" s="6" t="s">
        <v>843</v>
      </c>
      <c r="K15" s="6" t="s">
        <v>860</v>
      </c>
      <c r="L15" s="7">
        <v>46311</v>
      </c>
      <c r="M15" s="6" t="s">
        <v>845</v>
      </c>
      <c r="N15" s="6"/>
      <c r="O15" s="6" t="s">
        <v>854</v>
      </c>
      <c r="P15" s="5" t="s">
        <v>847</v>
      </c>
    </row>
    <row r="16" ht="36" customHeight="1" spans="1:16">
      <c r="A16" s="5" t="s">
        <v>869</v>
      </c>
      <c r="B16" s="5" t="s">
        <v>870</v>
      </c>
      <c r="C16" s="5" t="s">
        <v>853</v>
      </c>
      <c r="D16" s="5">
        <v>0</v>
      </c>
      <c r="E16" s="5">
        <v>0</v>
      </c>
      <c r="F16" s="5">
        <v>0</v>
      </c>
      <c r="G16" s="5">
        <v>0</v>
      </c>
      <c r="H16" s="5" t="s">
        <v>845</v>
      </c>
      <c r="I16" s="5" t="s">
        <v>67</v>
      </c>
      <c r="J16" s="6" t="s">
        <v>843</v>
      </c>
      <c r="K16" s="6" t="s">
        <v>844</v>
      </c>
      <c r="L16" s="7">
        <v>46311</v>
      </c>
      <c r="M16" s="6" t="s">
        <v>845</v>
      </c>
      <c r="N16" s="6"/>
      <c r="O16" s="6" t="s">
        <v>854</v>
      </c>
      <c r="P16" s="5" t="s">
        <v>847</v>
      </c>
    </row>
    <row r="17" ht="36" customHeight="1" spans="1:16">
      <c r="A17" s="5" t="s">
        <v>871</v>
      </c>
      <c r="B17" s="5" t="s">
        <v>872</v>
      </c>
      <c r="C17" s="5" t="s">
        <v>853</v>
      </c>
      <c r="D17" s="5">
        <v>0</v>
      </c>
      <c r="E17" s="5">
        <v>0</v>
      </c>
      <c r="F17" s="5">
        <v>0</v>
      </c>
      <c r="G17" s="5">
        <v>0</v>
      </c>
      <c r="H17" s="5" t="s">
        <v>845</v>
      </c>
      <c r="I17" s="5" t="s">
        <v>67</v>
      </c>
      <c r="J17" s="6" t="s">
        <v>843</v>
      </c>
      <c r="K17" s="6" t="s">
        <v>862</v>
      </c>
      <c r="L17" s="7">
        <v>46311</v>
      </c>
      <c r="M17" s="6" t="s">
        <v>845</v>
      </c>
      <c r="N17" s="6"/>
      <c r="O17" s="6" t="s">
        <v>854</v>
      </c>
      <c r="P17" s="5" t="s">
        <v>847</v>
      </c>
    </row>
    <row r="18" ht="36" customHeight="1" spans="1:16">
      <c r="A18" s="5" t="s">
        <v>873</v>
      </c>
      <c r="B18" s="5" t="s">
        <v>762</v>
      </c>
      <c r="C18" s="5" t="s">
        <v>841</v>
      </c>
      <c r="D18" s="5">
        <v>20</v>
      </c>
      <c r="E18" s="5">
        <v>16</v>
      </c>
      <c r="F18" s="5">
        <v>4</v>
      </c>
      <c r="G18" s="5">
        <v>0</v>
      </c>
      <c r="H18" s="5" t="s">
        <v>842</v>
      </c>
      <c r="I18" s="5" t="s">
        <v>67</v>
      </c>
      <c r="J18" s="6" t="s">
        <v>843</v>
      </c>
      <c r="K18" s="6" t="s">
        <v>862</v>
      </c>
      <c r="L18" s="7">
        <v>46304</v>
      </c>
      <c r="M18" s="6" t="s">
        <v>845</v>
      </c>
      <c r="N18" s="6"/>
      <c r="O18" s="6" t="s">
        <v>846</v>
      </c>
      <c r="P18" s="5" t="s">
        <v>847</v>
      </c>
    </row>
    <row r="19" ht="36" customHeight="1" spans="1:16">
      <c r="A19" s="5" t="s">
        <v>874</v>
      </c>
      <c r="B19" s="5" t="s">
        <v>875</v>
      </c>
      <c r="C19" s="5" t="s">
        <v>853</v>
      </c>
      <c r="D19" s="5">
        <v>0</v>
      </c>
      <c r="E19" s="5">
        <v>0</v>
      </c>
      <c r="F19" s="5">
        <v>0</v>
      </c>
      <c r="G19" s="5">
        <v>0</v>
      </c>
      <c r="H19" s="5" t="s">
        <v>845</v>
      </c>
      <c r="I19" s="5" t="s">
        <v>67</v>
      </c>
      <c r="J19" s="6" t="s">
        <v>843</v>
      </c>
      <c r="K19" s="6" t="s">
        <v>844</v>
      </c>
      <c r="L19" s="7">
        <v>46311</v>
      </c>
      <c r="M19" s="6" t="s">
        <v>845</v>
      </c>
      <c r="N19" s="6"/>
      <c r="O19" s="6" t="s">
        <v>854</v>
      </c>
      <c r="P19" s="5" t="s">
        <v>847</v>
      </c>
    </row>
    <row r="20" ht="36" customHeight="1" spans="1:16">
      <c r="A20" s="5" t="s">
        <v>876</v>
      </c>
      <c r="B20" s="5" t="s">
        <v>877</v>
      </c>
      <c r="C20" s="5" t="s">
        <v>853</v>
      </c>
      <c r="D20" s="5">
        <v>0</v>
      </c>
      <c r="E20" s="5">
        <v>0</v>
      </c>
      <c r="F20" s="5">
        <v>0</v>
      </c>
      <c r="G20" s="5">
        <v>0</v>
      </c>
      <c r="H20" s="5" t="s">
        <v>845</v>
      </c>
      <c r="I20" s="5" t="s">
        <v>67</v>
      </c>
      <c r="J20" s="6" t="s">
        <v>843</v>
      </c>
      <c r="K20" s="6" t="s">
        <v>860</v>
      </c>
      <c r="L20" s="7">
        <v>46311</v>
      </c>
      <c r="M20" s="6" t="s">
        <v>845</v>
      </c>
      <c r="N20" s="6"/>
      <c r="O20" s="6" t="s">
        <v>854</v>
      </c>
      <c r="P20" s="5" t="s">
        <v>847</v>
      </c>
    </row>
    <row r="21" ht="36" customHeight="1" spans="1:16">
      <c r="A21" s="5" t="s">
        <v>878</v>
      </c>
      <c r="B21" s="5" t="s">
        <v>879</v>
      </c>
      <c r="C21" s="5" t="s">
        <v>853</v>
      </c>
      <c r="D21" s="5">
        <v>0</v>
      </c>
      <c r="E21" s="5">
        <v>0</v>
      </c>
      <c r="F21" s="5">
        <v>0</v>
      </c>
      <c r="G21" s="5">
        <v>0</v>
      </c>
      <c r="H21" s="5" t="s">
        <v>845</v>
      </c>
      <c r="I21" s="5" t="s">
        <v>67</v>
      </c>
      <c r="J21" s="6" t="s">
        <v>843</v>
      </c>
      <c r="K21" s="6" t="s">
        <v>860</v>
      </c>
      <c r="L21" s="7">
        <v>46311</v>
      </c>
      <c r="M21" s="6" t="s">
        <v>845</v>
      </c>
      <c r="N21" s="6"/>
      <c r="O21" s="6" t="s">
        <v>854</v>
      </c>
      <c r="P21" s="5" t="s">
        <v>847</v>
      </c>
    </row>
    <row r="22" ht="36" customHeight="1" spans="1:16">
      <c r="A22" s="5" t="s">
        <v>880</v>
      </c>
      <c r="B22" s="5" t="s">
        <v>881</v>
      </c>
      <c r="C22" s="5" t="s">
        <v>853</v>
      </c>
      <c r="D22" s="5">
        <v>0</v>
      </c>
      <c r="E22" s="5">
        <v>0</v>
      </c>
      <c r="F22" s="5">
        <v>0</v>
      </c>
      <c r="G22" s="5">
        <v>0</v>
      </c>
      <c r="H22" s="5" t="s">
        <v>845</v>
      </c>
      <c r="I22" s="5" t="s">
        <v>67</v>
      </c>
      <c r="J22" s="6" t="s">
        <v>843</v>
      </c>
      <c r="K22" s="6" t="s">
        <v>860</v>
      </c>
      <c r="L22" s="7">
        <v>46311</v>
      </c>
      <c r="M22" s="6" t="s">
        <v>845</v>
      </c>
      <c r="N22" s="6"/>
      <c r="O22" s="6" t="s">
        <v>854</v>
      </c>
      <c r="P22" s="5" t="s">
        <v>847</v>
      </c>
    </row>
    <row r="23" ht="36" customHeight="1" spans="1:16">
      <c r="A23" s="5" t="s">
        <v>882</v>
      </c>
      <c r="B23" s="5" t="s">
        <v>883</v>
      </c>
      <c r="C23" s="5" t="s">
        <v>853</v>
      </c>
      <c r="D23" s="5">
        <v>0</v>
      </c>
      <c r="E23" s="5">
        <v>0</v>
      </c>
      <c r="F23" s="5">
        <v>0</v>
      </c>
      <c r="G23" s="5">
        <v>0</v>
      </c>
      <c r="H23" s="5" t="s">
        <v>845</v>
      </c>
      <c r="I23" s="5" t="s">
        <v>67</v>
      </c>
      <c r="J23" s="6" t="s">
        <v>843</v>
      </c>
      <c r="K23" s="6" t="s">
        <v>860</v>
      </c>
      <c r="L23" s="7">
        <v>46311</v>
      </c>
      <c r="M23" s="6" t="s">
        <v>845</v>
      </c>
      <c r="N23" s="6"/>
      <c r="O23" s="6" t="s">
        <v>854</v>
      </c>
      <c r="P23" s="5" t="s">
        <v>847</v>
      </c>
    </row>
    <row r="24" ht="36" customHeight="1" spans="1:16">
      <c r="A24" s="5" t="s">
        <v>884</v>
      </c>
      <c r="B24" s="5" t="s">
        <v>885</v>
      </c>
      <c r="C24" s="5" t="s">
        <v>853</v>
      </c>
      <c r="D24" s="5">
        <v>0</v>
      </c>
      <c r="E24" s="5">
        <v>0</v>
      </c>
      <c r="F24" s="5">
        <v>0</v>
      </c>
      <c r="G24" s="5">
        <v>0</v>
      </c>
      <c r="H24" s="5" t="s">
        <v>845</v>
      </c>
      <c r="I24" s="5" t="s">
        <v>67</v>
      </c>
      <c r="J24" s="6" t="s">
        <v>843</v>
      </c>
      <c r="K24" s="6" t="s">
        <v>862</v>
      </c>
      <c r="L24" s="7">
        <v>46311</v>
      </c>
      <c r="M24" s="6" t="s">
        <v>845</v>
      </c>
      <c r="N24" s="6"/>
      <c r="O24" s="6" t="s">
        <v>854</v>
      </c>
      <c r="P24" s="5" t="s">
        <v>847</v>
      </c>
    </row>
    <row r="25" ht="36" customHeight="1" spans="1:16">
      <c r="A25" s="5" t="s">
        <v>886</v>
      </c>
      <c r="B25" s="5" t="s">
        <v>887</v>
      </c>
      <c r="C25" s="5" t="s">
        <v>853</v>
      </c>
      <c r="D25" s="5">
        <v>0</v>
      </c>
      <c r="E25" s="5">
        <v>0</v>
      </c>
      <c r="F25" s="5">
        <v>0</v>
      </c>
      <c r="G25" s="5">
        <v>0</v>
      </c>
      <c r="H25" s="5" t="s">
        <v>845</v>
      </c>
      <c r="I25" s="5" t="s">
        <v>67</v>
      </c>
      <c r="J25" s="6" t="s">
        <v>843</v>
      </c>
      <c r="K25" s="6" t="s">
        <v>860</v>
      </c>
      <c r="L25" s="7">
        <v>46311</v>
      </c>
      <c r="M25" s="6" t="s">
        <v>845</v>
      </c>
      <c r="N25" s="6"/>
      <c r="O25" s="6" t="s">
        <v>854</v>
      </c>
      <c r="P25" s="5" t="s">
        <v>847</v>
      </c>
    </row>
    <row r="26" ht="36" customHeight="1" spans="1:16">
      <c r="A26" s="5" t="s">
        <v>888</v>
      </c>
      <c r="B26" s="5" t="s">
        <v>889</v>
      </c>
      <c r="C26" s="5" t="s">
        <v>853</v>
      </c>
      <c r="D26" s="5">
        <v>0</v>
      </c>
      <c r="E26" s="5">
        <v>0</v>
      </c>
      <c r="F26" s="5">
        <v>0</v>
      </c>
      <c r="G26" s="5">
        <v>0</v>
      </c>
      <c r="H26" s="5" t="s">
        <v>845</v>
      </c>
      <c r="I26" s="5" t="s">
        <v>67</v>
      </c>
      <c r="J26" s="6" t="s">
        <v>843</v>
      </c>
      <c r="K26" s="6" t="s">
        <v>860</v>
      </c>
      <c r="L26" s="7">
        <v>46311</v>
      </c>
      <c r="M26" s="6" t="s">
        <v>845</v>
      </c>
      <c r="N26" s="6"/>
      <c r="O26" s="6" t="s">
        <v>854</v>
      </c>
      <c r="P26" s="5" t="s">
        <v>847</v>
      </c>
    </row>
    <row r="27" ht="36" customHeight="1" spans="1:16">
      <c r="A27" s="5" t="s">
        <v>890</v>
      </c>
      <c r="B27" s="5" t="s">
        <v>891</v>
      </c>
      <c r="C27" s="5" t="s">
        <v>853</v>
      </c>
      <c r="D27" s="5">
        <v>0</v>
      </c>
      <c r="E27" s="5">
        <v>0</v>
      </c>
      <c r="F27" s="5">
        <v>0</v>
      </c>
      <c r="G27" s="5">
        <v>0</v>
      </c>
      <c r="H27" s="5" t="s">
        <v>845</v>
      </c>
      <c r="I27" s="5" t="s">
        <v>67</v>
      </c>
      <c r="J27" s="6" t="s">
        <v>843</v>
      </c>
      <c r="K27" s="6" t="s">
        <v>860</v>
      </c>
      <c r="L27" s="7">
        <v>46311</v>
      </c>
      <c r="M27" s="6" t="s">
        <v>845</v>
      </c>
      <c r="N27" s="6"/>
      <c r="O27" s="6" t="s">
        <v>854</v>
      </c>
      <c r="P27" s="5" t="s">
        <v>847</v>
      </c>
    </row>
    <row r="28" ht="36" customHeight="1" spans="1:16">
      <c r="A28" s="5" t="s">
        <v>892</v>
      </c>
      <c r="B28" s="5" t="s">
        <v>893</v>
      </c>
      <c r="C28" s="5" t="s">
        <v>853</v>
      </c>
      <c r="D28" s="5">
        <v>0</v>
      </c>
      <c r="E28" s="5">
        <v>0</v>
      </c>
      <c r="F28" s="5">
        <v>0</v>
      </c>
      <c r="G28" s="5">
        <v>0</v>
      </c>
      <c r="H28" s="5" t="s">
        <v>845</v>
      </c>
      <c r="I28" s="5" t="s">
        <v>67</v>
      </c>
      <c r="J28" s="6" t="s">
        <v>843</v>
      </c>
      <c r="K28" s="6" t="s">
        <v>844</v>
      </c>
      <c r="L28" s="7">
        <v>46311</v>
      </c>
      <c r="M28" s="6" t="s">
        <v>845</v>
      </c>
      <c r="N28" s="6"/>
      <c r="O28" s="6" t="s">
        <v>854</v>
      </c>
      <c r="P28" s="5" t="s">
        <v>847</v>
      </c>
    </row>
    <row r="29" ht="36" customHeight="1" spans="1:16">
      <c r="A29" s="5" t="s">
        <v>894</v>
      </c>
      <c r="B29" s="5" t="s">
        <v>895</v>
      </c>
      <c r="C29" s="5" t="s">
        <v>853</v>
      </c>
      <c r="D29" s="5">
        <v>0</v>
      </c>
      <c r="E29" s="5">
        <v>0</v>
      </c>
      <c r="F29" s="5">
        <v>0</v>
      </c>
      <c r="G29" s="5">
        <v>0</v>
      </c>
      <c r="H29" s="5" t="s">
        <v>845</v>
      </c>
      <c r="I29" s="5" t="s">
        <v>67</v>
      </c>
      <c r="J29" s="6" t="s">
        <v>843</v>
      </c>
      <c r="K29" s="6" t="s">
        <v>864</v>
      </c>
      <c r="L29" s="7">
        <v>46311</v>
      </c>
      <c r="M29" s="6" t="s">
        <v>845</v>
      </c>
      <c r="N29" s="6"/>
      <c r="O29" s="6" t="s">
        <v>854</v>
      </c>
      <c r="P29" s="5" t="s">
        <v>847</v>
      </c>
    </row>
    <row r="30" ht="36" customHeight="1" spans="1:16">
      <c r="A30" s="5" t="s">
        <v>896</v>
      </c>
      <c r="B30" s="5" t="s">
        <v>897</v>
      </c>
      <c r="C30" s="5" t="s">
        <v>853</v>
      </c>
      <c r="D30" s="5">
        <v>0</v>
      </c>
      <c r="E30" s="5">
        <v>0</v>
      </c>
      <c r="F30" s="5">
        <v>0</v>
      </c>
      <c r="G30" s="5">
        <v>0</v>
      </c>
      <c r="H30" s="5" t="s">
        <v>845</v>
      </c>
      <c r="I30" s="5" t="s">
        <v>67</v>
      </c>
      <c r="J30" s="6" t="s">
        <v>843</v>
      </c>
      <c r="K30" s="6" t="s">
        <v>864</v>
      </c>
      <c r="L30" s="7">
        <v>46311</v>
      </c>
      <c r="M30" s="6" t="s">
        <v>845</v>
      </c>
      <c r="N30" s="6"/>
      <c r="O30" s="6" t="s">
        <v>854</v>
      </c>
      <c r="P30" s="5" t="s">
        <v>847</v>
      </c>
    </row>
    <row r="31" ht="36" customHeight="1" spans="1:16">
      <c r="A31" s="5" t="s">
        <v>898</v>
      </c>
      <c r="B31" s="5" t="s">
        <v>899</v>
      </c>
      <c r="C31" s="5" t="s">
        <v>853</v>
      </c>
      <c r="D31" s="5">
        <v>0</v>
      </c>
      <c r="E31" s="5">
        <v>0</v>
      </c>
      <c r="F31" s="5">
        <v>0</v>
      </c>
      <c r="G31" s="5">
        <v>0</v>
      </c>
      <c r="H31" s="5" t="s">
        <v>845</v>
      </c>
      <c r="I31" s="5" t="s">
        <v>67</v>
      </c>
      <c r="J31" s="6" t="s">
        <v>843</v>
      </c>
      <c r="K31" s="6" t="s">
        <v>864</v>
      </c>
      <c r="L31" s="7">
        <v>46311</v>
      </c>
      <c r="M31" s="6" t="s">
        <v>845</v>
      </c>
      <c r="N31" s="6"/>
      <c r="O31" s="6" t="s">
        <v>854</v>
      </c>
      <c r="P31" s="5" t="s">
        <v>847</v>
      </c>
    </row>
    <row r="32" ht="36" customHeight="1" spans="1:16">
      <c r="A32" s="5" t="s">
        <v>900</v>
      </c>
      <c r="B32" s="5" t="s">
        <v>901</v>
      </c>
      <c r="C32" s="5" t="s">
        <v>853</v>
      </c>
      <c r="D32" s="5">
        <v>0</v>
      </c>
      <c r="E32" s="5">
        <v>0</v>
      </c>
      <c r="F32" s="5">
        <v>0</v>
      </c>
      <c r="G32" s="5">
        <v>0</v>
      </c>
      <c r="H32" s="5" t="s">
        <v>845</v>
      </c>
      <c r="I32" s="5" t="s">
        <v>67</v>
      </c>
      <c r="J32" s="6" t="s">
        <v>843</v>
      </c>
      <c r="K32" s="6" t="s">
        <v>864</v>
      </c>
      <c r="L32" s="7">
        <v>46311</v>
      </c>
      <c r="M32" s="6" t="s">
        <v>845</v>
      </c>
      <c r="N32" s="6"/>
      <c r="O32" s="6" t="s">
        <v>854</v>
      </c>
      <c r="P32" s="5" t="s">
        <v>847</v>
      </c>
    </row>
    <row r="33" ht="36" customHeight="1" spans="1:16">
      <c r="A33" s="5" t="s">
        <v>902</v>
      </c>
      <c r="B33" s="5" t="s">
        <v>903</v>
      </c>
      <c r="C33" s="5" t="s">
        <v>853</v>
      </c>
      <c r="D33" s="5">
        <v>0</v>
      </c>
      <c r="E33" s="5">
        <v>0</v>
      </c>
      <c r="F33" s="5">
        <v>0</v>
      </c>
      <c r="G33" s="5">
        <v>0</v>
      </c>
      <c r="H33" s="5" t="s">
        <v>845</v>
      </c>
      <c r="I33" s="5" t="s">
        <v>67</v>
      </c>
      <c r="J33" s="6" t="s">
        <v>843</v>
      </c>
      <c r="K33" s="6" t="s">
        <v>864</v>
      </c>
      <c r="L33" s="7">
        <v>46311</v>
      </c>
      <c r="M33" s="6" t="s">
        <v>845</v>
      </c>
      <c r="N33" s="6"/>
      <c r="O33" s="6" t="s">
        <v>854</v>
      </c>
      <c r="P33" s="5" t="s">
        <v>847</v>
      </c>
    </row>
    <row r="34" ht="36" customHeight="1" spans="1:16">
      <c r="A34" s="5" t="s">
        <v>904</v>
      </c>
      <c r="B34" s="5" t="s">
        <v>905</v>
      </c>
      <c r="C34" s="5" t="s">
        <v>853</v>
      </c>
      <c r="D34" s="5">
        <v>0</v>
      </c>
      <c r="E34" s="5">
        <v>0</v>
      </c>
      <c r="F34" s="5">
        <v>0</v>
      </c>
      <c r="G34" s="5">
        <v>0</v>
      </c>
      <c r="H34" s="5" t="s">
        <v>845</v>
      </c>
      <c r="I34" s="5" t="s">
        <v>67</v>
      </c>
      <c r="J34" s="6" t="s">
        <v>843</v>
      </c>
      <c r="K34" s="6" t="s">
        <v>860</v>
      </c>
      <c r="L34" s="7">
        <v>46311</v>
      </c>
      <c r="M34" s="6" t="s">
        <v>845</v>
      </c>
      <c r="N34" s="6"/>
      <c r="O34" s="6" t="s">
        <v>854</v>
      </c>
      <c r="P34" s="5" t="s">
        <v>847</v>
      </c>
    </row>
    <row r="35" ht="36" customHeight="1" spans="1:16">
      <c r="A35" s="5" t="s">
        <v>906</v>
      </c>
      <c r="B35" s="5" t="s">
        <v>907</v>
      </c>
      <c r="C35" s="5" t="s">
        <v>853</v>
      </c>
      <c r="D35" s="5">
        <v>0</v>
      </c>
      <c r="E35" s="5">
        <v>0</v>
      </c>
      <c r="F35" s="5">
        <v>0</v>
      </c>
      <c r="G35" s="5">
        <v>0</v>
      </c>
      <c r="H35" s="5" t="s">
        <v>845</v>
      </c>
      <c r="I35" s="5" t="s">
        <v>67</v>
      </c>
      <c r="J35" s="6" t="s">
        <v>843</v>
      </c>
      <c r="K35" s="6" t="s">
        <v>864</v>
      </c>
      <c r="L35" s="7">
        <v>46311</v>
      </c>
      <c r="M35" s="6" t="s">
        <v>845</v>
      </c>
      <c r="N35" s="6"/>
      <c r="O35" s="6" t="s">
        <v>854</v>
      </c>
      <c r="P35" s="5" t="s">
        <v>847</v>
      </c>
    </row>
    <row r="36" ht="36" customHeight="1" spans="1:16">
      <c r="A36" s="5" t="s">
        <v>908</v>
      </c>
      <c r="B36" s="5" t="s">
        <v>909</v>
      </c>
      <c r="C36" s="5" t="s">
        <v>853</v>
      </c>
      <c r="D36" s="5">
        <v>0</v>
      </c>
      <c r="E36" s="5">
        <v>0</v>
      </c>
      <c r="F36" s="5">
        <v>0</v>
      </c>
      <c r="G36" s="5">
        <v>0</v>
      </c>
      <c r="H36" s="5" t="s">
        <v>845</v>
      </c>
      <c r="I36" s="5" t="s">
        <v>67</v>
      </c>
      <c r="J36" s="6" t="s">
        <v>843</v>
      </c>
      <c r="K36" s="6" t="s">
        <v>864</v>
      </c>
      <c r="L36" s="7">
        <v>46311</v>
      </c>
      <c r="M36" s="6" t="s">
        <v>845</v>
      </c>
      <c r="N36" s="6"/>
      <c r="O36" s="6" t="s">
        <v>854</v>
      </c>
      <c r="P36" s="5" t="s">
        <v>847</v>
      </c>
    </row>
    <row r="37" ht="36" customHeight="1" spans="1:16">
      <c r="A37" s="5" t="s">
        <v>910</v>
      </c>
      <c r="B37" s="5" t="s">
        <v>911</v>
      </c>
      <c r="C37" s="5" t="s">
        <v>853</v>
      </c>
      <c r="D37" s="5">
        <v>0</v>
      </c>
      <c r="E37" s="5">
        <v>0</v>
      </c>
      <c r="F37" s="5">
        <v>0</v>
      </c>
      <c r="G37" s="5">
        <v>0</v>
      </c>
      <c r="H37" s="5" t="s">
        <v>845</v>
      </c>
      <c r="I37" s="5" t="s">
        <v>67</v>
      </c>
      <c r="J37" s="6" t="s">
        <v>843</v>
      </c>
      <c r="K37" s="6" t="s">
        <v>862</v>
      </c>
      <c r="L37" s="7">
        <v>46311</v>
      </c>
      <c r="M37" s="6" t="s">
        <v>845</v>
      </c>
      <c r="N37" s="6"/>
      <c r="O37" s="6" t="s">
        <v>854</v>
      </c>
      <c r="P37" s="5" t="s">
        <v>847</v>
      </c>
    </row>
    <row r="38" ht="36" customHeight="1" spans="1:16">
      <c r="A38" s="5" t="s">
        <v>912</v>
      </c>
      <c r="B38" s="5" t="s">
        <v>913</v>
      </c>
      <c r="C38" s="5" t="s">
        <v>853</v>
      </c>
      <c r="D38" s="5">
        <v>0</v>
      </c>
      <c r="E38" s="5">
        <v>0</v>
      </c>
      <c r="F38" s="5">
        <v>0</v>
      </c>
      <c r="G38" s="5">
        <v>0</v>
      </c>
      <c r="H38" s="5" t="s">
        <v>845</v>
      </c>
      <c r="I38" s="5" t="s">
        <v>67</v>
      </c>
      <c r="J38" s="6" t="s">
        <v>843</v>
      </c>
      <c r="K38" s="6" t="s">
        <v>860</v>
      </c>
      <c r="L38" s="7">
        <v>46311</v>
      </c>
      <c r="M38" s="6" t="s">
        <v>845</v>
      </c>
      <c r="N38" s="6"/>
      <c r="O38" s="6" t="s">
        <v>854</v>
      </c>
      <c r="P38" s="5" t="s">
        <v>847</v>
      </c>
    </row>
    <row r="39" ht="36" customHeight="1" spans="1:16">
      <c r="A39" s="5" t="s">
        <v>914</v>
      </c>
      <c r="B39" s="5" t="s">
        <v>915</v>
      </c>
      <c r="C39" s="5" t="s">
        <v>853</v>
      </c>
      <c r="D39" s="5">
        <v>0</v>
      </c>
      <c r="E39" s="5">
        <v>0</v>
      </c>
      <c r="F39" s="5">
        <v>0</v>
      </c>
      <c r="G39" s="5">
        <v>0</v>
      </c>
      <c r="H39" s="5" t="s">
        <v>845</v>
      </c>
      <c r="I39" s="5" t="s">
        <v>67</v>
      </c>
      <c r="J39" s="6" t="s">
        <v>843</v>
      </c>
      <c r="K39" s="6" t="s">
        <v>860</v>
      </c>
      <c r="L39" s="7">
        <v>46311</v>
      </c>
      <c r="M39" s="6" t="s">
        <v>845</v>
      </c>
      <c r="N39" s="6"/>
      <c r="O39" s="6" t="s">
        <v>854</v>
      </c>
      <c r="P39" s="5" t="s">
        <v>847</v>
      </c>
    </row>
    <row r="40" ht="36" customHeight="1" spans="1:16">
      <c r="A40" s="5" t="s">
        <v>916</v>
      </c>
      <c r="B40" s="5" t="s">
        <v>917</v>
      </c>
      <c r="C40" s="5" t="s">
        <v>853</v>
      </c>
      <c r="D40" s="5">
        <v>0</v>
      </c>
      <c r="E40" s="5">
        <v>0</v>
      </c>
      <c r="F40" s="5">
        <v>0</v>
      </c>
      <c r="G40" s="5">
        <v>0</v>
      </c>
      <c r="H40" s="5" t="s">
        <v>845</v>
      </c>
      <c r="I40" s="5" t="s">
        <v>67</v>
      </c>
      <c r="J40" s="6" t="s">
        <v>843</v>
      </c>
      <c r="K40" s="6" t="s">
        <v>864</v>
      </c>
      <c r="L40" s="7">
        <v>46311</v>
      </c>
      <c r="M40" s="6" t="s">
        <v>845</v>
      </c>
      <c r="N40" s="6"/>
      <c r="O40" s="6" t="s">
        <v>854</v>
      </c>
      <c r="P40" s="5" t="s">
        <v>847</v>
      </c>
    </row>
    <row r="41" ht="36" customHeight="1" spans="1:16">
      <c r="A41" s="5" t="s">
        <v>918</v>
      </c>
      <c r="B41" s="5" t="s">
        <v>919</v>
      </c>
      <c r="C41" s="5" t="s">
        <v>853</v>
      </c>
      <c r="D41" s="5">
        <v>0</v>
      </c>
      <c r="E41" s="5">
        <v>0</v>
      </c>
      <c r="F41" s="5">
        <v>0</v>
      </c>
      <c r="G41" s="5">
        <v>0</v>
      </c>
      <c r="H41" s="5" t="s">
        <v>845</v>
      </c>
      <c r="I41" s="5" t="s">
        <v>67</v>
      </c>
      <c r="J41" s="6" t="s">
        <v>843</v>
      </c>
      <c r="K41" s="6" t="s">
        <v>860</v>
      </c>
      <c r="L41" s="7">
        <v>46311</v>
      </c>
      <c r="M41" s="6" t="s">
        <v>845</v>
      </c>
      <c r="N41" s="6"/>
      <c r="O41" s="6" t="s">
        <v>854</v>
      </c>
      <c r="P41" s="5" t="s">
        <v>847</v>
      </c>
    </row>
  </sheetData>
  <mergeCells count="2">
    <mergeCell ref="A1:P1"/>
    <mergeCell ref="A2:P2"/>
  </mergeCells>
  <conditionalFormatting sqref="C5:C41">
    <cfRule type="expression" dxfId="5" priority="1">
      <formula>C5="接口明细待补充"</formula>
    </cfRule>
  </conditionalFormatting>
  <conditionalFormatting sqref="M5:M41">
    <cfRule type="expression" dxfId="6" priority="2">
      <formula>M5="已批准"</formula>
    </cfRule>
  </conditionalFormatting>
  <dataValidations count="2">
    <dataValidation type="list" sqref="M5:M41">
      <formula1>"待评审,评审中,已批准,有条件批准,退回补充"</formula1>
    </dataValidation>
    <dataValidation type="list" sqref="N5:N41">
      <formula1>"纳入一期,纳入后续批次,暂不建设,待补充后决策"</formula1>
    </dataValidation>
  </dataValidations>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98"/>
  <sheetViews>
    <sheetView showGridLines="0" workbookViewId="0">
      <pane xSplit="4" ySplit="4" topLeftCell="E20" activePane="bottomRight" state="frozen"/>
      <selection/>
      <selection pane="topRight"/>
      <selection pane="bottomLeft"/>
      <selection pane="bottomRight" activeCell="A1" sqref="A1:V1"/>
    </sheetView>
  </sheetViews>
  <sheetFormatPr defaultColWidth="9" defaultRowHeight="16.8"/>
  <cols>
    <col min="1" max="2" width="12" style="1" customWidth="1"/>
    <col min="3" max="3" width="20" style="1" customWidth="1"/>
    <col min="4" max="4" width="38" style="1" customWidth="1"/>
    <col min="5" max="5" width="55" style="1" customWidth="1"/>
    <col min="6" max="6" width="9" style="1" customWidth="1"/>
    <col min="7" max="7" width="24" style="1" customWidth="1"/>
    <col min="8" max="9" width="18" style="1" customWidth="1"/>
    <col min="10" max="11" width="15" style="1" customWidth="1"/>
    <col min="12" max="12" width="28" style="1" customWidth="1"/>
    <col min="13" max="13" width="16" style="1" customWidth="1"/>
    <col min="14" max="15" width="18" style="1" customWidth="1"/>
    <col min="16" max="17" width="24" style="1" customWidth="1"/>
    <col min="18" max="18" width="18" style="1" customWidth="1"/>
    <col min="19" max="19" width="16" style="1" customWidth="1"/>
    <col min="20" max="20" width="15" style="1" customWidth="1"/>
    <col min="21" max="21" width="14" style="1" customWidth="1"/>
    <col min="22" max="22" width="34" style="1" customWidth="1"/>
  </cols>
  <sheetData>
    <row r="1" ht="28" customHeight="1" spans="1:22">
      <c r="A1" s="2" t="s">
        <v>920</v>
      </c>
    </row>
    <row r="2" ht="30" customHeight="1" spans="1:22">
      <c r="A2" s="3" t="s">
        <v>921</v>
      </c>
    </row>
    <row r="4" spans="1:22">
      <c r="A4" s="4" t="s">
        <v>922</v>
      </c>
      <c r="B4" s="4" t="s">
        <v>450</v>
      </c>
      <c r="C4" s="4" t="s">
        <v>451</v>
      </c>
      <c r="D4" s="4" t="s">
        <v>452</v>
      </c>
      <c r="E4" s="4" t="s">
        <v>923</v>
      </c>
      <c r="F4" s="4" t="s">
        <v>97</v>
      </c>
      <c r="G4" s="4" t="s">
        <v>454</v>
      </c>
      <c r="H4" s="4" t="s">
        <v>924</v>
      </c>
      <c r="I4" s="4" t="s">
        <v>925</v>
      </c>
      <c r="J4" s="4" t="s">
        <v>926</v>
      </c>
      <c r="K4" s="4" t="s">
        <v>927</v>
      </c>
      <c r="L4" s="4" t="s">
        <v>928</v>
      </c>
      <c r="M4" s="4" t="s">
        <v>929</v>
      </c>
      <c r="N4" s="4" t="s">
        <v>930</v>
      </c>
      <c r="O4" s="4" t="s">
        <v>931</v>
      </c>
      <c r="P4" s="4" t="s">
        <v>932</v>
      </c>
      <c r="Q4" s="4" t="s">
        <v>933</v>
      </c>
      <c r="R4" s="4" t="s">
        <v>934</v>
      </c>
      <c r="S4" s="4" t="s">
        <v>455</v>
      </c>
      <c r="T4" s="4" t="s">
        <v>935</v>
      </c>
      <c r="U4" s="4" t="s">
        <v>456</v>
      </c>
      <c r="V4" s="4" t="s">
        <v>458</v>
      </c>
    </row>
    <row r="5" ht="42" customHeight="1" spans="1:22">
      <c r="A5" s="5" t="s">
        <v>936</v>
      </c>
      <c r="B5" s="5" t="s">
        <v>459</v>
      </c>
      <c r="C5" s="5" t="s">
        <v>460</v>
      </c>
      <c r="D5" s="5" t="s">
        <v>461</v>
      </c>
      <c r="E5" s="5" t="s">
        <v>462</v>
      </c>
      <c r="F5" s="5" t="s">
        <v>109</v>
      </c>
      <c r="G5" s="5" t="s">
        <v>463</v>
      </c>
      <c r="H5" s="5" t="s">
        <v>937</v>
      </c>
      <c r="I5" s="5" t="s">
        <v>460</v>
      </c>
      <c r="J5" s="6" t="s">
        <v>111</v>
      </c>
      <c r="K5" s="6" t="s">
        <v>938</v>
      </c>
      <c r="L5" s="6" t="s">
        <v>939</v>
      </c>
      <c r="M5" s="6" t="s">
        <v>111</v>
      </c>
      <c r="N5" s="6" t="s">
        <v>111</v>
      </c>
      <c r="O5" s="6" t="s">
        <v>111</v>
      </c>
      <c r="P5" s="6" t="s">
        <v>111</v>
      </c>
      <c r="Q5" s="6" t="s">
        <v>111</v>
      </c>
      <c r="R5" s="5" t="s">
        <v>940</v>
      </c>
      <c r="S5" s="6" t="s">
        <v>67</v>
      </c>
      <c r="T5" s="7">
        <v>46367</v>
      </c>
      <c r="U5" s="6" t="s">
        <v>513</v>
      </c>
      <c r="V5" s="5" t="s">
        <v>941</v>
      </c>
    </row>
    <row r="6" ht="42" customHeight="1" spans="1:22">
      <c r="A6" s="5" t="s">
        <v>942</v>
      </c>
      <c r="B6" s="5" t="s">
        <v>468</v>
      </c>
      <c r="C6" s="5" t="s">
        <v>460</v>
      </c>
      <c r="D6" s="5" t="s">
        <v>469</v>
      </c>
      <c r="E6" s="5" t="s">
        <v>470</v>
      </c>
      <c r="F6" s="5" t="s">
        <v>109</v>
      </c>
      <c r="G6" s="5" t="s">
        <v>471</v>
      </c>
      <c r="H6" s="5" t="s">
        <v>460</v>
      </c>
      <c r="I6" s="5" t="s">
        <v>937</v>
      </c>
      <c r="J6" s="6" t="s">
        <v>111</v>
      </c>
      <c r="K6" s="6" t="s">
        <v>938</v>
      </c>
      <c r="L6" s="6" t="s">
        <v>939</v>
      </c>
      <c r="M6" s="6" t="s">
        <v>111</v>
      </c>
      <c r="N6" s="6" t="s">
        <v>111</v>
      </c>
      <c r="O6" s="6" t="s">
        <v>111</v>
      </c>
      <c r="P6" s="6" t="s">
        <v>111</v>
      </c>
      <c r="Q6" s="6" t="s">
        <v>111</v>
      </c>
      <c r="R6" s="5" t="s">
        <v>940</v>
      </c>
      <c r="S6" s="6" t="s">
        <v>67</v>
      </c>
      <c r="T6" s="7">
        <v>46367</v>
      </c>
      <c r="U6" s="6" t="s">
        <v>513</v>
      </c>
      <c r="V6" s="5" t="s">
        <v>941</v>
      </c>
    </row>
    <row r="7" ht="42" customHeight="1" spans="1:22">
      <c r="A7" s="5" t="s">
        <v>943</v>
      </c>
      <c r="B7" s="5" t="s">
        <v>472</v>
      </c>
      <c r="C7" s="5" t="s">
        <v>460</v>
      </c>
      <c r="D7" s="5" t="s">
        <v>473</v>
      </c>
      <c r="E7" s="5" t="s">
        <v>474</v>
      </c>
      <c r="F7" s="5" t="s">
        <v>109</v>
      </c>
      <c r="G7" s="5" t="s">
        <v>471</v>
      </c>
      <c r="H7" s="5" t="s">
        <v>460</v>
      </c>
      <c r="I7" s="5" t="s">
        <v>937</v>
      </c>
      <c r="J7" s="6" t="s">
        <v>111</v>
      </c>
      <c r="K7" s="6" t="s">
        <v>938</v>
      </c>
      <c r="L7" s="6" t="s">
        <v>939</v>
      </c>
      <c r="M7" s="6" t="s">
        <v>111</v>
      </c>
      <c r="N7" s="6" t="s">
        <v>111</v>
      </c>
      <c r="O7" s="6" t="s">
        <v>111</v>
      </c>
      <c r="P7" s="6" t="s">
        <v>111</v>
      </c>
      <c r="Q7" s="6" t="s">
        <v>111</v>
      </c>
      <c r="R7" s="5" t="s">
        <v>940</v>
      </c>
      <c r="S7" s="6" t="s">
        <v>67</v>
      </c>
      <c r="T7" s="7">
        <v>46367</v>
      </c>
      <c r="U7" s="6" t="s">
        <v>513</v>
      </c>
      <c r="V7" s="5" t="s">
        <v>941</v>
      </c>
    </row>
    <row r="8" ht="42" customHeight="1" spans="1:22">
      <c r="A8" s="5" t="s">
        <v>944</v>
      </c>
      <c r="B8" s="5" t="s">
        <v>475</v>
      </c>
      <c r="C8" s="5" t="s">
        <v>460</v>
      </c>
      <c r="D8" s="5" t="s">
        <v>476</v>
      </c>
      <c r="E8" s="5" t="s">
        <v>477</v>
      </c>
      <c r="F8" s="5" t="s">
        <v>109</v>
      </c>
      <c r="G8" s="5" t="s">
        <v>463</v>
      </c>
      <c r="H8" s="5" t="s">
        <v>937</v>
      </c>
      <c r="I8" s="5" t="s">
        <v>460</v>
      </c>
      <c r="J8" s="6" t="s">
        <v>111</v>
      </c>
      <c r="K8" s="6" t="s">
        <v>938</v>
      </c>
      <c r="L8" s="6" t="s">
        <v>939</v>
      </c>
      <c r="M8" s="6" t="s">
        <v>111</v>
      </c>
      <c r="N8" s="6" t="s">
        <v>111</v>
      </c>
      <c r="O8" s="6" t="s">
        <v>111</v>
      </c>
      <c r="P8" s="6" t="s">
        <v>111</v>
      </c>
      <c r="Q8" s="6" t="s">
        <v>111</v>
      </c>
      <c r="R8" s="5" t="s">
        <v>940</v>
      </c>
      <c r="S8" s="6" t="s">
        <v>67</v>
      </c>
      <c r="T8" s="7">
        <v>46367</v>
      </c>
      <c r="U8" s="6" t="s">
        <v>513</v>
      </c>
      <c r="V8" s="5" t="s">
        <v>941</v>
      </c>
    </row>
    <row r="9" ht="42" customHeight="1" spans="1:22">
      <c r="A9" s="5" t="s">
        <v>945</v>
      </c>
      <c r="B9" s="5" t="s">
        <v>478</v>
      </c>
      <c r="C9" s="5" t="s">
        <v>460</v>
      </c>
      <c r="D9" s="5" t="s">
        <v>479</v>
      </c>
      <c r="E9" s="5" t="s">
        <v>480</v>
      </c>
      <c r="F9" s="5" t="s">
        <v>109</v>
      </c>
      <c r="G9" s="5" t="s">
        <v>471</v>
      </c>
      <c r="H9" s="5" t="s">
        <v>460</v>
      </c>
      <c r="I9" s="5" t="s">
        <v>937</v>
      </c>
      <c r="J9" s="6" t="s">
        <v>111</v>
      </c>
      <c r="K9" s="6" t="s">
        <v>938</v>
      </c>
      <c r="L9" s="6" t="s">
        <v>939</v>
      </c>
      <c r="M9" s="6" t="s">
        <v>111</v>
      </c>
      <c r="N9" s="6" t="s">
        <v>111</v>
      </c>
      <c r="O9" s="6" t="s">
        <v>111</v>
      </c>
      <c r="P9" s="6" t="s">
        <v>111</v>
      </c>
      <c r="Q9" s="6" t="s">
        <v>111</v>
      </c>
      <c r="R9" s="5" t="s">
        <v>940</v>
      </c>
      <c r="S9" s="6" t="s">
        <v>67</v>
      </c>
      <c r="T9" s="7">
        <v>46367</v>
      </c>
      <c r="U9" s="6" t="s">
        <v>513</v>
      </c>
      <c r="V9" s="5" t="s">
        <v>941</v>
      </c>
    </row>
    <row r="10" ht="42" customHeight="1" spans="1:22">
      <c r="A10" s="5" t="s">
        <v>946</v>
      </c>
      <c r="B10" s="5" t="s">
        <v>481</v>
      </c>
      <c r="C10" s="5" t="s">
        <v>460</v>
      </c>
      <c r="D10" s="5" t="s">
        <v>482</v>
      </c>
      <c r="E10" s="5" t="s">
        <v>483</v>
      </c>
      <c r="F10" s="5" t="s">
        <v>109</v>
      </c>
      <c r="G10" s="5" t="s">
        <v>471</v>
      </c>
      <c r="H10" s="5" t="s">
        <v>460</v>
      </c>
      <c r="I10" s="5" t="s">
        <v>937</v>
      </c>
      <c r="J10" s="6" t="s">
        <v>947</v>
      </c>
      <c r="K10" s="6" t="s">
        <v>938</v>
      </c>
      <c r="L10" s="6" t="s">
        <v>939</v>
      </c>
      <c r="M10" s="6" t="s">
        <v>111</v>
      </c>
      <c r="N10" s="6" t="s">
        <v>111</v>
      </c>
      <c r="O10" s="6" t="s">
        <v>111</v>
      </c>
      <c r="P10" s="6" t="s">
        <v>111</v>
      </c>
      <c r="Q10" s="6" t="s">
        <v>111</v>
      </c>
      <c r="R10" s="5" t="s">
        <v>940</v>
      </c>
      <c r="S10" s="6" t="s">
        <v>67</v>
      </c>
      <c r="T10" s="7">
        <v>46367</v>
      </c>
      <c r="U10" s="6" t="s">
        <v>513</v>
      </c>
      <c r="V10" s="5" t="s">
        <v>941</v>
      </c>
    </row>
    <row r="11" ht="42" customHeight="1" spans="1:22">
      <c r="A11" s="5" t="s">
        <v>948</v>
      </c>
      <c r="B11" s="5" t="s">
        <v>484</v>
      </c>
      <c r="C11" s="5" t="s">
        <v>460</v>
      </c>
      <c r="D11" s="5" t="s">
        <v>485</v>
      </c>
      <c r="E11" s="5" t="s">
        <v>486</v>
      </c>
      <c r="F11" s="5" t="s">
        <v>109</v>
      </c>
      <c r="G11" s="5" t="s">
        <v>463</v>
      </c>
      <c r="H11" s="5" t="s">
        <v>937</v>
      </c>
      <c r="I11" s="5" t="s">
        <v>460</v>
      </c>
      <c r="J11" s="6" t="s">
        <v>111</v>
      </c>
      <c r="K11" s="6" t="s">
        <v>938</v>
      </c>
      <c r="L11" s="6" t="s">
        <v>939</v>
      </c>
      <c r="M11" s="6" t="s">
        <v>111</v>
      </c>
      <c r="N11" s="6" t="s">
        <v>111</v>
      </c>
      <c r="O11" s="6" t="s">
        <v>111</v>
      </c>
      <c r="P11" s="6" t="s">
        <v>111</v>
      </c>
      <c r="Q11" s="6" t="s">
        <v>111</v>
      </c>
      <c r="R11" s="5" t="s">
        <v>940</v>
      </c>
      <c r="S11" s="6" t="s">
        <v>67</v>
      </c>
      <c r="T11" s="7">
        <v>46367</v>
      </c>
      <c r="U11" s="6" t="s">
        <v>513</v>
      </c>
      <c r="V11" s="5" t="s">
        <v>941</v>
      </c>
    </row>
    <row r="12" ht="42" customHeight="1" spans="1:22">
      <c r="A12" s="5" t="s">
        <v>949</v>
      </c>
      <c r="B12" s="5" t="s">
        <v>487</v>
      </c>
      <c r="C12" s="5" t="s">
        <v>460</v>
      </c>
      <c r="D12" s="5" t="s">
        <v>488</v>
      </c>
      <c r="E12" s="5" t="s">
        <v>489</v>
      </c>
      <c r="F12" s="5" t="s">
        <v>109</v>
      </c>
      <c r="G12" s="5" t="s">
        <v>463</v>
      </c>
      <c r="H12" s="5" t="s">
        <v>937</v>
      </c>
      <c r="I12" s="5" t="s">
        <v>460</v>
      </c>
      <c r="J12" s="6" t="s">
        <v>111</v>
      </c>
      <c r="K12" s="6" t="s">
        <v>938</v>
      </c>
      <c r="L12" s="6" t="s">
        <v>939</v>
      </c>
      <c r="M12" s="6" t="s">
        <v>111</v>
      </c>
      <c r="N12" s="6" t="s">
        <v>111</v>
      </c>
      <c r="O12" s="6" t="s">
        <v>111</v>
      </c>
      <c r="P12" s="6" t="s">
        <v>111</v>
      </c>
      <c r="Q12" s="6" t="s">
        <v>111</v>
      </c>
      <c r="R12" s="5" t="s">
        <v>940</v>
      </c>
      <c r="S12" s="6" t="s">
        <v>67</v>
      </c>
      <c r="T12" s="7">
        <v>46367</v>
      </c>
      <c r="U12" s="6" t="s">
        <v>513</v>
      </c>
      <c r="V12" s="5" t="s">
        <v>941</v>
      </c>
    </row>
    <row r="13" ht="42" customHeight="1" spans="1:22">
      <c r="A13" s="5" t="s">
        <v>950</v>
      </c>
      <c r="B13" s="5" t="s">
        <v>490</v>
      </c>
      <c r="C13" s="5" t="s">
        <v>460</v>
      </c>
      <c r="D13" s="5" t="s">
        <v>491</v>
      </c>
      <c r="E13" s="5" t="s">
        <v>492</v>
      </c>
      <c r="F13" s="5" t="s">
        <v>109</v>
      </c>
      <c r="G13" s="5" t="s">
        <v>463</v>
      </c>
      <c r="H13" s="5" t="s">
        <v>937</v>
      </c>
      <c r="I13" s="5" t="s">
        <v>460</v>
      </c>
      <c r="J13" s="6" t="s">
        <v>947</v>
      </c>
      <c r="K13" s="6" t="s">
        <v>938</v>
      </c>
      <c r="L13" s="6" t="s">
        <v>939</v>
      </c>
      <c r="M13" s="6" t="s">
        <v>111</v>
      </c>
      <c r="N13" s="6" t="s">
        <v>111</v>
      </c>
      <c r="O13" s="6" t="s">
        <v>111</v>
      </c>
      <c r="P13" s="6" t="s">
        <v>111</v>
      </c>
      <c r="Q13" s="6" t="s">
        <v>111</v>
      </c>
      <c r="R13" s="5" t="s">
        <v>940</v>
      </c>
      <c r="S13" s="6" t="s">
        <v>67</v>
      </c>
      <c r="T13" s="7">
        <v>46367</v>
      </c>
      <c r="U13" s="6" t="s">
        <v>513</v>
      </c>
      <c r="V13" s="5" t="s">
        <v>941</v>
      </c>
    </row>
    <row r="14" ht="42" customHeight="1" spans="1:22">
      <c r="A14" s="5" t="s">
        <v>951</v>
      </c>
      <c r="B14" s="5" t="s">
        <v>493</v>
      </c>
      <c r="C14" s="5" t="s">
        <v>460</v>
      </c>
      <c r="D14" s="5" t="s">
        <v>494</v>
      </c>
      <c r="E14" s="5" t="s">
        <v>495</v>
      </c>
      <c r="F14" s="5" t="s">
        <v>109</v>
      </c>
      <c r="G14" s="5" t="s">
        <v>463</v>
      </c>
      <c r="H14" s="5" t="s">
        <v>937</v>
      </c>
      <c r="I14" s="5" t="s">
        <v>460</v>
      </c>
      <c r="J14" s="6" t="s">
        <v>111</v>
      </c>
      <c r="K14" s="6" t="s">
        <v>938</v>
      </c>
      <c r="L14" s="6" t="s">
        <v>939</v>
      </c>
      <c r="M14" s="6" t="s">
        <v>111</v>
      </c>
      <c r="N14" s="6" t="s">
        <v>111</v>
      </c>
      <c r="O14" s="6" t="s">
        <v>111</v>
      </c>
      <c r="P14" s="6" t="s">
        <v>111</v>
      </c>
      <c r="Q14" s="6" t="s">
        <v>111</v>
      </c>
      <c r="R14" s="5" t="s">
        <v>940</v>
      </c>
      <c r="S14" s="6" t="s">
        <v>67</v>
      </c>
      <c r="T14" s="7">
        <v>46367</v>
      </c>
      <c r="U14" s="6" t="s">
        <v>513</v>
      </c>
      <c r="V14" s="5" t="s">
        <v>941</v>
      </c>
    </row>
    <row r="15" ht="42" customHeight="1" spans="1:22">
      <c r="A15" s="5" t="s">
        <v>952</v>
      </c>
      <c r="B15" s="5" t="s">
        <v>496</v>
      </c>
      <c r="C15" s="5" t="s">
        <v>460</v>
      </c>
      <c r="D15" s="5" t="s">
        <v>497</v>
      </c>
      <c r="E15" s="5" t="s">
        <v>498</v>
      </c>
      <c r="F15" s="5" t="s">
        <v>109</v>
      </c>
      <c r="G15" s="5" t="s">
        <v>463</v>
      </c>
      <c r="H15" s="5" t="s">
        <v>937</v>
      </c>
      <c r="I15" s="5" t="s">
        <v>460</v>
      </c>
      <c r="J15" s="6" t="s">
        <v>111</v>
      </c>
      <c r="K15" s="6" t="s">
        <v>938</v>
      </c>
      <c r="L15" s="6" t="s">
        <v>939</v>
      </c>
      <c r="M15" s="6" t="s">
        <v>111</v>
      </c>
      <c r="N15" s="6" t="s">
        <v>111</v>
      </c>
      <c r="O15" s="6" t="s">
        <v>111</v>
      </c>
      <c r="P15" s="6" t="s">
        <v>111</v>
      </c>
      <c r="Q15" s="6" t="s">
        <v>111</v>
      </c>
      <c r="R15" s="5" t="s">
        <v>940</v>
      </c>
      <c r="S15" s="6" t="s">
        <v>67</v>
      </c>
      <c r="T15" s="7">
        <v>46367</v>
      </c>
      <c r="U15" s="6" t="s">
        <v>513</v>
      </c>
      <c r="V15" s="5" t="s">
        <v>941</v>
      </c>
    </row>
    <row r="16" ht="42" customHeight="1" spans="1:22">
      <c r="A16" s="5" t="s">
        <v>953</v>
      </c>
      <c r="B16" s="5" t="s">
        <v>499</v>
      </c>
      <c r="C16" s="5" t="s">
        <v>460</v>
      </c>
      <c r="D16" s="5" t="s">
        <v>500</v>
      </c>
      <c r="E16" s="5" t="s">
        <v>501</v>
      </c>
      <c r="F16" s="5" t="s">
        <v>109</v>
      </c>
      <c r="G16" s="5" t="s">
        <v>471</v>
      </c>
      <c r="H16" s="5" t="s">
        <v>460</v>
      </c>
      <c r="I16" s="5" t="s">
        <v>937</v>
      </c>
      <c r="J16" s="6" t="s">
        <v>947</v>
      </c>
      <c r="K16" s="6" t="s">
        <v>938</v>
      </c>
      <c r="L16" s="6" t="s">
        <v>939</v>
      </c>
      <c r="M16" s="6" t="s">
        <v>111</v>
      </c>
      <c r="N16" s="6" t="s">
        <v>111</v>
      </c>
      <c r="O16" s="6" t="s">
        <v>111</v>
      </c>
      <c r="P16" s="6" t="s">
        <v>111</v>
      </c>
      <c r="Q16" s="6" t="s">
        <v>111</v>
      </c>
      <c r="R16" s="5" t="s">
        <v>940</v>
      </c>
      <c r="S16" s="6" t="s">
        <v>67</v>
      </c>
      <c r="T16" s="7">
        <v>46367</v>
      </c>
      <c r="U16" s="6" t="s">
        <v>513</v>
      </c>
      <c r="V16" s="5" t="s">
        <v>941</v>
      </c>
    </row>
    <row r="17" ht="42" customHeight="1" spans="1:22">
      <c r="A17" s="5" t="s">
        <v>954</v>
      </c>
      <c r="B17" s="5" t="s">
        <v>502</v>
      </c>
      <c r="C17" s="5" t="s">
        <v>460</v>
      </c>
      <c r="D17" s="5" t="s">
        <v>503</v>
      </c>
      <c r="E17" s="5" t="s">
        <v>504</v>
      </c>
      <c r="F17" s="5" t="s">
        <v>109</v>
      </c>
      <c r="G17" s="5" t="s">
        <v>463</v>
      </c>
      <c r="H17" s="5" t="s">
        <v>937</v>
      </c>
      <c r="I17" s="5" t="s">
        <v>460</v>
      </c>
      <c r="J17" s="6" t="s">
        <v>111</v>
      </c>
      <c r="K17" s="6" t="s">
        <v>938</v>
      </c>
      <c r="L17" s="6" t="s">
        <v>939</v>
      </c>
      <c r="M17" s="6" t="s">
        <v>111</v>
      </c>
      <c r="N17" s="6" t="s">
        <v>111</v>
      </c>
      <c r="O17" s="6" t="s">
        <v>111</v>
      </c>
      <c r="P17" s="6" t="s">
        <v>111</v>
      </c>
      <c r="Q17" s="6" t="s">
        <v>111</v>
      </c>
      <c r="R17" s="5" t="s">
        <v>940</v>
      </c>
      <c r="S17" s="6" t="s">
        <v>67</v>
      </c>
      <c r="T17" s="7">
        <v>46367</v>
      </c>
      <c r="U17" s="6" t="s">
        <v>513</v>
      </c>
      <c r="V17" s="5" t="s">
        <v>941</v>
      </c>
    </row>
    <row r="18" ht="42" customHeight="1" spans="1:22">
      <c r="A18" s="5" t="s">
        <v>955</v>
      </c>
      <c r="B18" s="5" t="s">
        <v>505</v>
      </c>
      <c r="C18" s="5" t="s">
        <v>460</v>
      </c>
      <c r="D18" s="5" t="s">
        <v>506</v>
      </c>
      <c r="E18" s="5" t="s">
        <v>507</v>
      </c>
      <c r="F18" s="5" t="s">
        <v>109</v>
      </c>
      <c r="G18" s="5" t="s">
        <v>471</v>
      </c>
      <c r="H18" s="5" t="s">
        <v>460</v>
      </c>
      <c r="I18" s="5" t="s">
        <v>937</v>
      </c>
      <c r="J18" s="6" t="s">
        <v>111</v>
      </c>
      <c r="K18" s="6" t="s">
        <v>938</v>
      </c>
      <c r="L18" s="6" t="s">
        <v>939</v>
      </c>
      <c r="M18" s="6" t="s">
        <v>111</v>
      </c>
      <c r="N18" s="6" t="s">
        <v>111</v>
      </c>
      <c r="O18" s="6" t="s">
        <v>111</v>
      </c>
      <c r="P18" s="6" t="s">
        <v>111</v>
      </c>
      <c r="Q18" s="6" t="s">
        <v>111</v>
      </c>
      <c r="R18" s="5" t="s">
        <v>940</v>
      </c>
      <c r="S18" s="6" t="s">
        <v>67</v>
      </c>
      <c r="T18" s="7">
        <v>46367</v>
      </c>
      <c r="U18" s="6" t="s">
        <v>513</v>
      </c>
      <c r="V18" s="5" t="s">
        <v>941</v>
      </c>
    </row>
    <row r="19" ht="42" customHeight="1" spans="1:22">
      <c r="A19" s="5" t="s">
        <v>956</v>
      </c>
      <c r="B19" s="5" t="s">
        <v>515</v>
      </c>
      <c r="C19" s="5" t="s">
        <v>460</v>
      </c>
      <c r="D19" s="5" t="s">
        <v>516</v>
      </c>
      <c r="E19" s="5" t="s">
        <v>517</v>
      </c>
      <c r="F19" s="5" t="s">
        <v>109</v>
      </c>
      <c r="G19" s="5" t="s">
        <v>471</v>
      </c>
      <c r="H19" s="5" t="s">
        <v>460</v>
      </c>
      <c r="I19" s="5" t="s">
        <v>937</v>
      </c>
      <c r="J19" s="6" t="s">
        <v>111</v>
      </c>
      <c r="K19" s="6" t="s">
        <v>938</v>
      </c>
      <c r="L19" s="6" t="s">
        <v>939</v>
      </c>
      <c r="M19" s="6" t="s">
        <v>111</v>
      </c>
      <c r="N19" s="6" t="s">
        <v>111</v>
      </c>
      <c r="O19" s="6" t="s">
        <v>111</v>
      </c>
      <c r="P19" s="6" t="s">
        <v>111</v>
      </c>
      <c r="Q19" s="6" t="s">
        <v>111</v>
      </c>
      <c r="R19" s="5" t="s">
        <v>940</v>
      </c>
      <c r="S19" s="6" t="s">
        <v>67</v>
      </c>
      <c r="T19" s="7">
        <v>46367</v>
      </c>
      <c r="U19" s="6" t="s">
        <v>513</v>
      </c>
      <c r="V19" s="5" t="s">
        <v>941</v>
      </c>
    </row>
    <row r="20" ht="42" customHeight="1" spans="1:22">
      <c r="A20" s="5" t="s">
        <v>957</v>
      </c>
      <c r="B20" s="5" t="s">
        <v>523</v>
      </c>
      <c r="C20" s="5" t="s">
        <v>460</v>
      </c>
      <c r="D20" s="5" t="s">
        <v>524</v>
      </c>
      <c r="E20" s="5" t="s">
        <v>525</v>
      </c>
      <c r="F20" s="5" t="s">
        <v>109</v>
      </c>
      <c r="G20" s="5" t="s">
        <v>463</v>
      </c>
      <c r="H20" s="5" t="s">
        <v>937</v>
      </c>
      <c r="I20" s="5" t="s">
        <v>460</v>
      </c>
      <c r="J20" s="6" t="s">
        <v>111</v>
      </c>
      <c r="K20" s="6" t="s">
        <v>938</v>
      </c>
      <c r="L20" s="6" t="s">
        <v>939</v>
      </c>
      <c r="M20" s="6" t="s">
        <v>111</v>
      </c>
      <c r="N20" s="6" t="s">
        <v>111</v>
      </c>
      <c r="O20" s="6" t="s">
        <v>111</v>
      </c>
      <c r="P20" s="6" t="s">
        <v>111</v>
      </c>
      <c r="Q20" s="6" t="s">
        <v>111</v>
      </c>
      <c r="R20" s="5" t="s">
        <v>940</v>
      </c>
      <c r="S20" s="6" t="s">
        <v>67</v>
      </c>
      <c r="T20" s="7">
        <v>46367</v>
      </c>
      <c r="U20" s="6" t="s">
        <v>513</v>
      </c>
      <c r="V20" s="5" t="s">
        <v>941</v>
      </c>
    </row>
    <row r="21" ht="42" customHeight="1" spans="1:22">
      <c r="A21" s="5" t="s">
        <v>958</v>
      </c>
      <c r="B21" s="5" t="s">
        <v>529</v>
      </c>
      <c r="C21" s="5" t="s">
        <v>460</v>
      </c>
      <c r="D21" s="5" t="s">
        <v>530</v>
      </c>
      <c r="E21" s="5" t="s">
        <v>531</v>
      </c>
      <c r="F21" s="5" t="s">
        <v>109</v>
      </c>
      <c r="G21" s="5" t="s">
        <v>463</v>
      </c>
      <c r="H21" s="5" t="s">
        <v>937</v>
      </c>
      <c r="I21" s="5" t="s">
        <v>460</v>
      </c>
      <c r="J21" s="6" t="s">
        <v>111</v>
      </c>
      <c r="K21" s="6" t="s">
        <v>938</v>
      </c>
      <c r="L21" s="6" t="s">
        <v>939</v>
      </c>
      <c r="M21" s="6" t="s">
        <v>111</v>
      </c>
      <c r="N21" s="6" t="s">
        <v>111</v>
      </c>
      <c r="O21" s="6" t="s">
        <v>111</v>
      </c>
      <c r="P21" s="6" t="s">
        <v>111</v>
      </c>
      <c r="Q21" s="6" t="s">
        <v>111</v>
      </c>
      <c r="R21" s="5" t="s">
        <v>940</v>
      </c>
      <c r="S21" s="6" t="s">
        <v>67</v>
      </c>
      <c r="T21" s="7">
        <v>46367</v>
      </c>
      <c r="U21" s="6" t="s">
        <v>513</v>
      </c>
      <c r="V21" s="5" t="s">
        <v>941</v>
      </c>
    </row>
    <row r="22" ht="42" customHeight="1" spans="1:22">
      <c r="A22" s="5" t="s">
        <v>959</v>
      </c>
      <c r="B22" s="5" t="s">
        <v>532</v>
      </c>
      <c r="C22" s="5" t="s">
        <v>460</v>
      </c>
      <c r="D22" s="5" t="s">
        <v>533</v>
      </c>
      <c r="E22" s="5" t="s">
        <v>534</v>
      </c>
      <c r="F22" s="5" t="s">
        <v>109</v>
      </c>
      <c r="G22" s="5" t="s">
        <v>471</v>
      </c>
      <c r="H22" s="5" t="s">
        <v>460</v>
      </c>
      <c r="I22" s="5" t="s">
        <v>937</v>
      </c>
      <c r="J22" s="6" t="s">
        <v>111</v>
      </c>
      <c r="K22" s="6" t="s">
        <v>938</v>
      </c>
      <c r="L22" s="6" t="s">
        <v>939</v>
      </c>
      <c r="M22" s="6" t="s">
        <v>111</v>
      </c>
      <c r="N22" s="6" t="s">
        <v>111</v>
      </c>
      <c r="O22" s="6" t="s">
        <v>111</v>
      </c>
      <c r="P22" s="6" t="s">
        <v>111</v>
      </c>
      <c r="Q22" s="6" t="s">
        <v>111</v>
      </c>
      <c r="R22" s="5" t="s">
        <v>940</v>
      </c>
      <c r="S22" s="6" t="s">
        <v>67</v>
      </c>
      <c r="T22" s="7">
        <v>46367</v>
      </c>
      <c r="U22" s="6" t="s">
        <v>513</v>
      </c>
      <c r="V22" s="5" t="s">
        <v>941</v>
      </c>
    </row>
    <row r="23" ht="42" customHeight="1" spans="1:22">
      <c r="A23" s="5" t="s">
        <v>960</v>
      </c>
      <c r="B23" s="5" t="s">
        <v>535</v>
      </c>
      <c r="C23" s="5" t="s">
        <v>460</v>
      </c>
      <c r="D23" s="5" t="s">
        <v>536</v>
      </c>
      <c r="E23" s="5" t="s">
        <v>537</v>
      </c>
      <c r="F23" s="5" t="s">
        <v>109</v>
      </c>
      <c r="G23" s="5" t="s">
        <v>471</v>
      </c>
      <c r="H23" s="5" t="s">
        <v>460</v>
      </c>
      <c r="I23" s="5" t="s">
        <v>937</v>
      </c>
      <c r="J23" s="6" t="s">
        <v>111</v>
      </c>
      <c r="K23" s="6" t="s">
        <v>938</v>
      </c>
      <c r="L23" s="6" t="s">
        <v>939</v>
      </c>
      <c r="M23" s="6" t="s">
        <v>111</v>
      </c>
      <c r="N23" s="6" t="s">
        <v>111</v>
      </c>
      <c r="O23" s="6" t="s">
        <v>111</v>
      </c>
      <c r="P23" s="6" t="s">
        <v>111</v>
      </c>
      <c r="Q23" s="6" t="s">
        <v>111</v>
      </c>
      <c r="R23" s="5" t="s">
        <v>940</v>
      </c>
      <c r="S23" s="6" t="s">
        <v>67</v>
      </c>
      <c r="T23" s="7">
        <v>46367</v>
      </c>
      <c r="U23" s="6" t="s">
        <v>513</v>
      </c>
      <c r="V23" s="5" t="s">
        <v>941</v>
      </c>
    </row>
    <row r="24" ht="42" customHeight="1" spans="1:22">
      <c r="A24" s="5" t="s">
        <v>961</v>
      </c>
      <c r="B24" s="5" t="s">
        <v>538</v>
      </c>
      <c r="C24" s="5" t="s">
        <v>460</v>
      </c>
      <c r="D24" s="5" t="s">
        <v>539</v>
      </c>
      <c r="E24" s="5" t="s">
        <v>540</v>
      </c>
      <c r="F24" s="5" t="s">
        <v>109</v>
      </c>
      <c r="G24" s="5" t="s">
        <v>463</v>
      </c>
      <c r="H24" s="5" t="s">
        <v>937</v>
      </c>
      <c r="I24" s="5" t="s">
        <v>460</v>
      </c>
      <c r="J24" s="6" t="s">
        <v>111</v>
      </c>
      <c r="K24" s="6" t="s">
        <v>938</v>
      </c>
      <c r="L24" s="6" t="s">
        <v>939</v>
      </c>
      <c r="M24" s="6" t="s">
        <v>111</v>
      </c>
      <c r="N24" s="6" t="s">
        <v>111</v>
      </c>
      <c r="O24" s="6" t="s">
        <v>111</v>
      </c>
      <c r="P24" s="6" t="s">
        <v>111</v>
      </c>
      <c r="Q24" s="6" t="s">
        <v>111</v>
      </c>
      <c r="R24" s="5" t="s">
        <v>940</v>
      </c>
      <c r="S24" s="6" t="s">
        <v>67</v>
      </c>
      <c r="T24" s="7">
        <v>46367</v>
      </c>
      <c r="U24" s="6" t="s">
        <v>513</v>
      </c>
      <c r="V24" s="5" t="s">
        <v>941</v>
      </c>
    </row>
    <row r="25" ht="42" customHeight="1" spans="1:22">
      <c r="A25" s="5" t="s">
        <v>962</v>
      </c>
      <c r="B25" s="5" t="s">
        <v>541</v>
      </c>
      <c r="C25" s="5" t="s">
        <v>460</v>
      </c>
      <c r="D25" s="5" t="s">
        <v>542</v>
      </c>
      <c r="E25" s="5" t="s">
        <v>543</v>
      </c>
      <c r="F25" s="5" t="s">
        <v>109</v>
      </c>
      <c r="G25" s="5" t="s">
        <v>471</v>
      </c>
      <c r="H25" s="5" t="s">
        <v>460</v>
      </c>
      <c r="I25" s="5" t="s">
        <v>937</v>
      </c>
      <c r="J25" s="6" t="s">
        <v>111</v>
      </c>
      <c r="K25" s="6" t="s">
        <v>938</v>
      </c>
      <c r="L25" s="6" t="s">
        <v>939</v>
      </c>
      <c r="M25" s="6" t="s">
        <v>111</v>
      </c>
      <c r="N25" s="6" t="s">
        <v>111</v>
      </c>
      <c r="O25" s="6" t="s">
        <v>111</v>
      </c>
      <c r="P25" s="6" t="s">
        <v>111</v>
      </c>
      <c r="Q25" s="6" t="s">
        <v>111</v>
      </c>
      <c r="R25" s="5" t="s">
        <v>940</v>
      </c>
      <c r="S25" s="6" t="s">
        <v>67</v>
      </c>
      <c r="T25" s="7">
        <v>46367</v>
      </c>
      <c r="U25" s="6" t="s">
        <v>513</v>
      </c>
      <c r="V25" s="5" t="s">
        <v>941</v>
      </c>
    </row>
    <row r="26" ht="42" customHeight="1" spans="1:22">
      <c r="A26" s="5" t="s">
        <v>963</v>
      </c>
      <c r="B26" s="5" t="s">
        <v>550</v>
      </c>
      <c r="C26" s="5" t="s">
        <v>460</v>
      </c>
      <c r="D26" s="5" t="s">
        <v>551</v>
      </c>
      <c r="E26" s="5" t="s">
        <v>552</v>
      </c>
      <c r="F26" s="5" t="s">
        <v>109</v>
      </c>
      <c r="G26" s="5" t="s">
        <v>471</v>
      </c>
      <c r="H26" s="5" t="s">
        <v>460</v>
      </c>
      <c r="I26" s="5" t="s">
        <v>937</v>
      </c>
      <c r="J26" s="6" t="s">
        <v>111</v>
      </c>
      <c r="K26" s="6" t="s">
        <v>938</v>
      </c>
      <c r="L26" s="6" t="s">
        <v>939</v>
      </c>
      <c r="M26" s="6" t="s">
        <v>111</v>
      </c>
      <c r="N26" s="6" t="s">
        <v>111</v>
      </c>
      <c r="O26" s="6" t="s">
        <v>111</v>
      </c>
      <c r="P26" s="6" t="s">
        <v>111</v>
      </c>
      <c r="Q26" s="6" t="s">
        <v>111</v>
      </c>
      <c r="R26" s="5" t="s">
        <v>940</v>
      </c>
      <c r="S26" s="6" t="s">
        <v>67</v>
      </c>
      <c r="T26" s="7">
        <v>46367</v>
      </c>
      <c r="U26" s="6" t="s">
        <v>513</v>
      </c>
      <c r="V26" s="5" t="s">
        <v>941</v>
      </c>
    </row>
    <row r="27" ht="42" customHeight="1" spans="1:22">
      <c r="A27" s="5" t="s">
        <v>964</v>
      </c>
      <c r="B27" s="5" t="s">
        <v>553</v>
      </c>
      <c r="C27" s="5" t="s">
        <v>460</v>
      </c>
      <c r="D27" s="5" t="s">
        <v>554</v>
      </c>
      <c r="E27" s="5" t="s">
        <v>555</v>
      </c>
      <c r="F27" s="5" t="s">
        <v>109</v>
      </c>
      <c r="G27" s="5" t="s">
        <v>463</v>
      </c>
      <c r="H27" s="5" t="s">
        <v>937</v>
      </c>
      <c r="I27" s="5" t="s">
        <v>460</v>
      </c>
      <c r="J27" s="6" t="s">
        <v>111</v>
      </c>
      <c r="K27" s="6" t="s">
        <v>938</v>
      </c>
      <c r="L27" s="6" t="s">
        <v>939</v>
      </c>
      <c r="M27" s="6" t="s">
        <v>111</v>
      </c>
      <c r="N27" s="6" t="s">
        <v>111</v>
      </c>
      <c r="O27" s="6" t="s">
        <v>111</v>
      </c>
      <c r="P27" s="6" t="s">
        <v>111</v>
      </c>
      <c r="Q27" s="6" t="s">
        <v>111</v>
      </c>
      <c r="R27" s="5" t="s">
        <v>940</v>
      </c>
      <c r="S27" s="6" t="s">
        <v>67</v>
      </c>
      <c r="T27" s="7">
        <v>46367</v>
      </c>
      <c r="U27" s="6" t="s">
        <v>513</v>
      </c>
      <c r="V27" s="5" t="s">
        <v>941</v>
      </c>
    </row>
    <row r="28" ht="42" customHeight="1" spans="1:22">
      <c r="A28" s="5" t="s">
        <v>965</v>
      </c>
      <c r="B28" s="5" t="s">
        <v>580</v>
      </c>
      <c r="C28" s="5" t="s">
        <v>581</v>
      </c>
      <c r="D28" s="5" t="s">
        <v>582</v>
      </c>
      <c r="E28" s="5" t="s">
        <v>583</v>
      </c>
      <c r="F28" s="5" t="s">
        <v>109</v>
      </c>
      <c r="G28" s="5" t="s">
        <v>584</v>
      </c>
      <c r="H28" s="5" t="s">
        <v>581</v>
      </c>
      <c r="I28" s="5" t="s">
        <v>937</v>
      </c>
      <c r="J28" s="6" t="s">
        <v>111</v>
      </c>
      <c r="K28" s="6" t="s">
        <v>938</v>
      </c>
      <c r="L28" s="6" t="s">
        <v>939</v>
      </c>
      <c r="M28" s="6" t="s">
        <v>111</v>
      </c>
      <c r="N28" s="6" t="s">
        <v>111</v>
      </c>
      <c r="O28" s="6" t="s">
        <v>111</v>
      </c>
      <c r="P28" s="6" t="s">
        <v>111</v>
      </c>
      <c r="Q28" s="6" t="s">
        <v>111</v>
      </c>
      <c r="R28" s="5" t="s">
        <v>966</v>
      </c>
      <c r="S28" s="6" t="s">
        <v>67</v>
      </c>
      <c r="T28" s="7">
        <v>46367</v>
      </c>
      <c r="U28" s="6" t="s">
        <v>513</v>
      </c>
      <c r="V28" s="5" t="s">
        <v>941</v>
      </c>
    </row>
    <row r="29" ht="42" customHeight="1" spans="1:22">
      <c r="A29" s="5" t="s">
        <v>967</v>
      </c>
      <c r="B29" s="5" t="s">
        <v>586</v>
      </c>
      <c r="C29" s="5" t="s">
        <v>581</v>
      </c>
      <c r="D29" s="5" t="s">
        <v>587</v>
      </c>
      <c r="E29" s="5" t="s">
        <v>588</v>
      </c>
      <c r="F29" s="5" t="s">
        <v>109</v>
      </c>
      <c r="G29" s="5" t="s">
        <v>584</v>
      </c>
      <c r="H29" s="5" t="s">
        <v>581</v>
      </c>
      <c r="I29" s="5" t="s">
        <v>937</v>
      </c>
      <c r="J29" s="6" t="s">
        <v>111</v>
      </c>
      <c r="K29" s="6" t="s">
        <v>938</v>
      </c>
      <c r="L29" s="6" t="s">
        <v>939</v>
      </c>
      <c r="M29" s="6" t="s">
        <v>111</v>
      </c>
      <c r="N29" s="6" t="s">
        <v>111</v>
      </c>
      <c r="O29" s="6" t="s">
        <v>111</v>
      </c>
      <c r="P29" s="6" t="s">
        <v>111</v>
      </c>
      <c r="Q29" s="6" t="s">
        <v>111</v>
      </c>
      <c r="R29" s="5" t="s">
        <v>966</v>
      </c>
      <c r="S29" s="6" t="s">
        <v>67</v>
      </c>
      <c r="T29" s="7">
        <v>46367</v>
      </c>
      <c r="U29" s="6" t="s">
        <v>513</v>
      </c>
      <c r="V29" s="5" t="s">
        <v>941</v>
      </c>
    </row>
    <row r="30" ht="42" customHeight="1" spans="1:22">
      <c r="A30" s="5" t="s">
        <v>968</v>
      </c>
      <c r="B30" s="5" t="s">
        <v>589</v>
      </c>
      <c r="C30" s="5" t="s">
        <v>581</v>
      </c>
      <c r="D30" s="5" t="s">
        <v>590</v>
      </c>
      <c r="E30" s="5" t="s">
        <v>591</v>
      </c>
      <c r="F30" s="5" t="s">
        <v>109</v>
      </c>
      <c r="G30" s="5" t="s">
        <v>584</v>
      </c>
      <c r="H30" s="5" t="s">
        <v>581</v>
      </c>
      <c r="I30" s="5" t="s">
        <v>937</v>
      </c>
      <c r="J30" s="6" t="s">
        <v>111</v>
      </c>
      <c r="K30" s="6" t="s">
        <v>938</v>
      </c>
      <c r="L30" s="6" t="s">
        <v>939</v>
      </c>
      <c r="M30" s="6" t="s">
        <v>111</v>
      </c>
      <c r="N30" s="6" t="s">
        <v>111</v>
      </c>
      <c r="O30" s="6" t="s">
        <v>111</v>
      </c>
      <c r="P30" s="6" t="s">
        <v>111</v>
      </c>
      <c r="Q30" s="6" t="s">
        <v>111</v>
      </c>
      <c r="R30" s="5" t="s">
        <v>966</v>
      </c>
      <c r="S30" s="6" t="s">
        <v>67</v>
      </c>
      <c r="T30" s="7">
        <v>46367</v>
      </c>
      <c r="U30" s="6" t="s">
        <v>513</v>
      </c>
      <c r="V30" s="5" t="s">
        <v>941</v>
      </c>
    </row>
    <row r="31" ht="42" customHeight="1" spans="1:22">
      <c r="A31" s="5" t="s">
        <v>969</v>
      </c>
      <c r="B31" s="5" t="s">
        <v>592</v>
      </c>
      <c r="C31" s="5" t="s">
        <v>581</v>
      </c>
      <c r="D31" s="5" t="s">
        <v>593</v>
      </c>
      <c r="E31" s="5" t="s">
        <v>594</v>
      </c>
      <c r="F31" s="5" t="s">
        <v>109</v>
      </c>
      <c r="G31" s="5" t="s">
        <v>595</v>
      </c>
      <c r="H31" s="5" t="s">
        <v>937</v>
      </c>
      <c r="I31" s="5" t="s">
        <v>581</v>
      </c>
      <c r="J31" s="6" t="s">
        <v>111</v>
      </c>
      <c r="K31" s="6" t="s">
        <v>938</v>
      </c>
      <c r="L31" s="6" t="s">
        <v>939</v>
      </c>
      <c r="M31" s="6" t="s">
        <v>111</v>
      </c>
      <c r="N31" s="6" t="s">
        <v>111</v>
      </c>
      <c r="O31" s="6" t="s">
        <v>111</v>
      </c>
      <c r="P31" s="6" t="s">
        <v>111</v>
      </c>
      <c r="Q31" s="6" t="s">
        <v>111</v>
      </c>
      <c r="R31" s="5" t="s">
        <v>966</v>
      </c>
      <c r="S31" s="6" t="s">
        <v>67</v>
      </c>
      <c r="T31" s="7">
        <v>46367</v>
      </c>
      <c r="U31" s="6" t="s">
        <v>513</v>
      </c>
      <c r="V31" s="5" t="s">
        <v>941</v>
      </c>
    </row>
    <row r="32" ht="42" customHeight="1" spans="1:22">
      <c r="A32" s="5" t="s">
        <v>970</v>
      </c>
      <c r="B32" s="5" t="s">
        <v>600</v>
      </c>
      <c r="C32" s="5" t="s">
        <v>581</v>
      </c>
      <c r="D32" s="5" t="s">
        <v>601</v>
      </c>
      <c r="E32" s="5" t="s">
        <v>602</v>
      </c>
      <c r="F32" s="5" t="s">
        <v>109</v>
      </c>
      <c r="G32" s="5" t="s">
        <v>595</v>
      </c>
      <c r="H32" s="5" t="s">
        <v>937</v>
      </c>
      <c r="I32" s="5" t="s">
        <v>581</v>
      </c>
      <c r="J32" s="6" t="s">
        <v>111</v>
      </c>
      <c r="K32" s="6" t="s">
        <v>938</v>
      </c>
      <c r="L32" s="6" t="s">
        <v>939</v>
      </c>
      <c r="M32" s="6" t="s">
        <v>111</v>
      </c>
      <c r="N32" s="6" t="s">
        <v>111</v>
      </c>
      <c r="O32" s="6" t="s">
        <v>111</v>
      </c>
      <c r="P32" s="6" t="s">
        <v>111</v>
      </c>
      <c r="Q32" s="6" t="s">
        <v>111</v>
      </c>
      <c r="R32" s="5" t="s">
        <v>966</v>
      </c>
      <c r="S32" s="6" t="s">
        <v>67</v>
      </c>
      <c r="T32" s="7">
        <v>46367</v>
      </c>
      <c r="U32" s="6" t="s">
        <v>513</v>
      </c>
      <c r="V32" s="5" t="s">
        <v>941</v>
      </c>
    </row>
    <row r="33" ht="42" customHeight="1" spans="1:22">
      <c r="A33" s="5" t="s">
        <v>971</v>
      </c>
      <c r="B33" s="5" t="s">
        <v>606</v>
      </c>
      <c r="C33" s="5" t="s">
        <v>581</v>
      </c>
      <c r="D33" s="5" t="s">
        <v>607</v>
      </c>
      <c r="E33" s="5" t="s">
        <v>608</v>
      </c>
      <c r="F33" s="5" t="s">
        <v>109</v>
      </c>
      <c r="G33" s="5" t="s">
        <v>595</v>
      </c>
      <c r="H33" s="5" t="s">
        <v>937</v>
      </c>
      <c r="I33" s="5" t="s">
        <v>581</v>
      </c>
      <c r="J33" s="6" t="s">
        <v>972</v>
      </c>
      <c r="K33" s="6" t="s">
        <v>938</v>
      </c>
      <c r="L33" s="6" t="s">
        <v>939</v>
      </c>
      <c r="M33" s="6" t="s">
        <v>111</v>
      </c>
      <c r="N33" s="6" t="s">
        <v>111</v>
      </c>
      <c r="O33" s="6" t="s">
        <v>111</v>
      </c>
      <c r="P33" s="6" t="s">
        <v>111</v>
      </c>
      <c r="Q33" s="6" t="s">
        <v>111</v>
      </c>
      <c r="R33" s="5" t="s">
        <v>966</v>
      </c>
      <c r="S33" s="6" t="s">
        <v>67</v>
      </c>
      <c r="T33" s="7">
        <v>46367</v>
      </c>
      <c r="U33" s="6" t="s">
        <v>513</v>
      </c>
      <c r="V33" s="5" t="s">
        <v>941</v>
      </c>
    </row>
    <row r="34" ht="42" customHeight="1" spans="1:22">
      <c r="A34" s="5" t="s">
        <v>973</v>
      </c>
      <c r="B34" s="5" t="s">
        <v>614</v>
      </c>
      <c r="C34" s="5" t="s">
        <v>581</v>
      </c>
      <c r="D34" s="5" t="s">
        <v>615</v>
      </c>
      <c r="E34" s="5" t="s">
        <v>616</v>
      </c>
      <c r="F34" s="5" t="s">
        <v>109</v>
      </c>
      <c r="G34" s="5" t="s">
        <v>584</v>
      </c>
      <c r="H34" s="5" t="s">
        <v>581</v>
      </c>
      <c r="I34" s="5" t="s">
        <v>937</v>
      </c>
      <c r="J34" s="6" t="s">
        <v>972</v>
      </c>
      <c r="K34" s="6" t="s">
        <v>938</v>
      </c>
      <c r="L34" s="6" t="s">
        <v>939</v>
      </c>
      <c r="M34" s="6" t="s">
        <v>111</v>
      </c>
      <c r="N34" s="6" t="s">
        <v>111</v>
      </c>
      <c r="O34" s="6" t="s">
        <v>111</v>
      </c>
      <c r="P34" s="6" t="s">
        <v>111</v>
      </c>
      <c r="Q34" s="6" t="s">
        <v>111</v>
      </c>
      <c r="R34" s="5" t="s">
        <v>966</v>
      </c>
      <c r="S34" s="6" t="s">
        <v>67</v>
      </c>
      <c r="T34" s="7">
        <v>46367</v>
      </c>
      <c r="U34" s="6" t="s">
        <v>513</v>
      </c>
      <c r="V34" s="5" t="s">
        <v>941</v>
      </c>
    </row>
    <row r="35" ht="42" customHeight="1" spans="1:22">
      <c r="A35" s="5" t="s">
        <v>974</v>
      </c>
      <c r="B35" s="5" t="s">
        <v>617</v>
      </c>
      <c r="C35" s="5" t="s">
        <v>581</v>
      </c>
      <c r="D35" s="5" t="s">
        <v>618</v>
      </c>
      <c r="E35" s="5" t="s">
        <v>619</v>
      </c>
      <c r="F35" s="5" t="s">
        <v>109</v>
      </c>
      <c r="G35" s="5" t="s">
        <v>584</v>
      </c>
      <c r="H35" s="5" t="s">
        <v>581</v>
      </c>
      <c r="I35" s="5" t="s">
        <v>937</v>
      </c>
      <c r="J35" s="6" t="s">
        <v>972</v>
      </c>
      <c r="K35" s="6" t="s">
        <v>938</v>
      </c>
      <c r="L35" s="6" t="s">
        <v>939</v>
      </c>
      <c r="M35" s="6" t="s">
        <v>111</v>
      </c>
      <c r="N35" s="6" t="s">
        <v>111</v>
      </c>
      <c r="O35" s="6" t="s">
        <v>111</v>
      </c>
      <c r="P35" s="6" t="s">
        <v>111</v>
      </c>
      <c r="Q35" s="6" t="s">
        <v>111</v>
      </c>
      <c r="R35" s="5" t="s">
        <v>966</v>
      </c>
      <c r="S35" s="6" t="s">
        <v>67</v>
      </c>
      <c r="T35" s="7">
        <v>46367</v>
      </c>
      <c r="U35" s="6" t="s">
        <v>513</v>
      </c>
      <c r="V35" s="5" t="s">
        <v>941</v>
      </c>
    </row>
    <row r="36" ht="42" customHeight="1" spans="1:22">
      <c r="A36" s="5" t="s">
        <v>975</v>
      </c>
      <c r="B36" s="5" t="s">
        <v>620</v>
      </c>
      <c r="C36" s="5" t="s">
        <v>581</v>
      </c>
      <c r="D36" s="5" t="s">
        <v>621</v>
      </c>
      <c r="E36" s="5" t="s">
        <v>622</v>
      </c>
      <c r="F36" s="5" t="s">
        <v>109</v>
      </c>
      <c r="G36" s="5" t="s">
        <v>584</v>
      </c>
      <c r="H36" s="5" t="s">
        <v>581</v>
      </c>
      <c r="I36" s="5" t="s">
        <v>937</v>
      </c>
      <c r="J36" s="6" t="s">
        <v>972</v>
      </c>
      <c r="K36" s="6" t="s">
        <v>938</v>
      </c>
      <c r="L36" s="6" t="s">
        <v>939</v>
      </c>
      <c r="M36" s="6" t="s">
        <v>111</v>
      </c>
      <c r="N36" s="6" t="s">
        <v>111</v>
      </c>
      <c r="O36" s="6" t="s">
        <v>111</v>
      </c>
      <c r="P36" s="6" t="s">
        <v>111</v>
      </c>
      <c r="Q36" s="6" t="s">
        <v>111</v>
      </c>
      <c r="R36" s="5" t="s">
        <v>966</v>
      </c>
      <c r="S36" s="6" t="s">
        <v>67</v>
      </c>
      <c r="T36" s="7">
        <v>46367</v>
      </c>
      <c r="U36" s="6" t="s">
        <v>513</v>
      </c>
      <c r="V36" s="5" t="s">
        <v>941</v>
      </c>
    </row>
    <row r="37" ht="42" customHeight="1" spans="1:22">
      <c r="A37" s="5" t="s">
        <v>976</v>
      </c>
      <c r="B37" s="5" t="s">
        <v>623</v>
      </c>
      <c r="C37" s="5" t="s">
        <v>581</v>
      </c>
      <c r="D37" s="5" t="s">
        <v>624</v>
      </c>
      <c r="E37" s="5" t="s">
        <v>625</v>
      </c>
      <c r="F37" s="5" t="s">
        <v>109</v>
      </c>
      <c r="G37" s="5" t="s">
        <v>584</v>
      </c>
      <c r="H37" s="5" t="s">
        <v>581</v>
      </c>
      <c r="I37" s="5" t="s">
        <v>937</v>
      </c>
      <c r="J37" s="6" t="s">
        <v>972</v>
      </c>
      <c r="K37" s="6" t="s">
        <v>938</v>
      </c>
      <c r="L37" s="6" t="s">
        <v>939</v>
      </c>
      <c r="M37" s="6" t="s">
        <v>111</v>
      </c>
      <c r="N37" s="6" t="s">
        <v>111</v>
      </c>
      <c r="O37" s="6" t="s">
        <v>111</v>
      </c>
      <c r="P37" s="6" t="s">
        <v>111</v>
      </c>
      <c r="Q37" s="6" t="s">
        <v>111</v>
      </c>
      <c r="R37" s="5" t="s">
        <v>966</v>
      </c>
      <c r="S37" s="6" t="s">
        <v>67</v>
      </c>
      <c r="T37" s="7">
        <v>46367</v>
      </c>
      <c r="U37" s="6" t="s">
        <v>513</v>
      </c>
      <c r="V37" s="5" t="s">
        <v>941</v>
      </c>
    </row>
    <row r="38" ht="42" customHeight="1" spans="1:22">
      <c r="A38" s="5" t="s">
        <v>977</v>
      </c>
      <c r="B38" s="5" t="s">
        <v>626</v>
      </c>
      <c r="C38" s="5" t="s">
        <v>581</v>
      </c>
      <c r="D38" s="5" t="s">
        <v>627</v>
      </c>
      <c r="E38" s="5" t="s">
        <v>628</v>
      </c>
      <c r="F38" s="5" t="s">
        <v>109</v>
      </c>
      <c r="G38" s="5" t="s">
        <v>595</v>
      </c>
      <c r="H38" s="5" t="s">
        <v>937</v>
      </c>
      <c r="I38" s="5" t="s">
        <v>581</v>
      </c>
      <c r="J38" s="6" t="s">
        <v>111</v>
      </c>
      <c r="K38" s="6" t="s">
        <v>938</v>
      </c>
      <c r="L38" s="6" t="s">
        <v>939</v>
      </c>
      <c r="M38" s="6" t="s">
        <v>111</v>
      </c>
      <c r="N38" s="6" t="s">
        <v>111</v>
      </c>
      <c r="O38" s="6" t="s">
        <v>111</v>
      </c>
      <c r="P38" s="6" t="s">
        <v>111</v>
      </c>
      <c r="Q38" s="6" t="s">
        <v>111</v>
      </c>
      <c r="R38" s="5" t="s">
        <v>966</v>
      </c>
      <c r="S38" s="6" t="s">
        <v>67</v>
      </c>
      <c r="T38" s="7">
        <v>46367</v>
      </c>
      <c r="U38" s="6" t="s">
        <v>513</v>
      </c>
      <c r="V38" s="5" t="s">
        <v>941</v>
      </c>
    </row>
    <row r="39" ht="42" customHeight="1" spans="1:22">
      <c r="A39" s="5" t="s">
        <v>978</v>
      </c>
      <c r="B39" s="5" t="s">
        <v>632</v>
      </c>
      <c r="C39" s="5" t="s">
        <v>581</v>
      </c>
      <c r="D39" s="5" t="s">
        <v>633</v>
      </c>
      <c r="E39" s="5" t="s">
        <v>634</v>
      </c>
      <c r="F39" s="5" t="s">
        <v>109</v>
      </c>
      <c r="G39" s="5" t="s">
        <v>595</v>
      </c>
      <c r="H39" s="5" t="s">
        <v>937</v>
      </c>
      <c r="I39" s="5" t="s">
        <v>581</v>
      </c>
      <c r="J39" s="6" t="s">
        <v>972</v>
      </c>
      <c r="K39" s="6" t="s">
        <v>938</v>
      </c>
      <c r="L39" s="6" t="s">
        <v>939</v>
      </c>
      <c r="M39" s="6" t="s">
        <v>111</v>
      </c>
      <c r="N39" s="6" t="s">
        <v>111</v>
      </c>
      <c r="O39" s="6" t="s">
        <v>111</v>
      </c>
      <c r="P39" s="6" t="s">
        <v>111</v>
      </c>
      <c r="Q39" s="6" t="s">
        <v>111</v>
      </c>
      <c r="R39" s="5" t="s">
        <v>966</v>
      </c>
      <c r="S39" s="6" t="s">
        <v>67</v>
      </c>
      <c r="T39" s="7">
        <v>46367</v>
      </c>
      <c r="U39" s="6" t="s">
        <v>513</v>
      </c>
      <c r="V39" s="5" t="s">
        <v>941</v>
      </c>
    </row>
    <row r="40" ht="42" customHeight="1" spans="1:22">
      <c r="A40" s="5" t="s">
        <v>979</v>
      </c>
      <c r="B40" s="5" t="s">
        <v>635</v>
      </c>
      <c r="C40" s="5" t="s">
        <v>581</v>
      </c>
      <c r="D40" s="5" t="s">
        <v>636</v>
      </c>
      <c r="E40" s="5" t="s">
        <v>637</v>
      </c>
      <c r="F40" s="5" t="s">
        <v>109</v>
      </c>
      <c r="G40" s="5" t="s">
        <v>595</v>
      </c>
      <c r="H40" s="5" t="s">
        <v>937</v>
      </c>
      <c r="I40" s="5" t="s">
        <v>581</v>
      </c>
      <c r="J40" s="6" t="s">
        <v>972</v>
      </c>
      <c r="K40" s="6" t="s">
        <v>938</v>
      </c>
      <c r="L40" s="6" t="s">
        <v>939</v>
      </c>
      <c r="M40" s="6" t="s">
        <v>111</v>
      </c>
      <c r="N40" s="6" t="s">
        <v>111</v>
      </c>
      <c r="O40" s="6" t="s">
        <v>111</v>
      </c>
      <c r="P40" s="6" t="s">
        <v>111</v>
      </c>
      <c r="Q40" s="6" t="s">
        <v>111</v>
      </c>
      <c r="R40" s="5" t="s">
        <v>966</v>
      </c>
      <c r="S40" s="6" t="s">
        <v>67</v>
      </c>
      <c r="T40" s="7">
        <v>46367</v>
      </c>
      <c r="U40" s="6" t="s">
        <v>513</v>
      </c>
      <c r="V40" s="5" t="s">
        <v>941</v>
      </c>
    </row>
    <row r="41" ht="42" customHeight="1" spans="1:22">
      <c r="A41" s="5" t="s">
        <v>980</v>
      </c>
      <c r="B41" s="5" t="s">
        <v>638</v>
      </c>
      <c r="C41" s="5" t="s">
        <v>639</v>
      </c>
      <c r="D41" s="5" t="s">
        <v>461</v>
      </c>
      <c r="E41" s="5" t="s">
        <v>462</v>
      </c>
      <c r="F41" s="5" t="s">
        <v>109</v>
      </c>
      <c r="G41" s="5" t="s">
        <v>640</v>
      </c>
      <c r="H41" s="5" t="s">
        <v>937</v>
      </c>
      <c r="I41" s="5" t="s">
        <v>639</v>
      </c>
      <c r="J41" s="6" t="s">
        <v>111</v>
      </c>
      <c r="K41" s="6" t="s">
        <v>938</v>
      </c>
      <c r="L41" s="6" t="s">
        <v>939</v>
      </c>
      <c r="M41" s="6" t="s">
        <v>111</v>
      </c>
      <c r="N41" s="6" t="s">
        <v>111</v>
      </c>
      <c r="O41" s="6" t="s">
        <v>111</v>
      </c>
      <c r="P41" s="6" t="s">
        <v>111</v>
      </c>
      <c r="Q41" s="6" t="s">
        <v>111</v>
      </c>
      <c r="R41" s="5" t="s">
        <v>940</v>
      </c>
      <c r="S41" s="6" t="s">
        <v>67</v>
      </c>
      <c r="T41" s="7">
        <v>46367</v>
      </c>
      <c r="U41" s="6" t="s">
        <v>513</v>
      </c>
      <c r="V41" s="5" t="s">
        <v>941</v>
      </c>
    </row>
    <row r="42" ht="42" customHeight="1" spans="1:22">
      <c r="A42" s="5" t="s">
        <v>981</v>
      </c>
      <c r="B42" s="5" t="s">
        <v>641</v>
      </c>
      <c r="C42" s="5" t="s">
        <v>639</v>
      </c>
      <c r="D42" s="5" t="s">
        <v>469</v>
      </c>
      <c r="E42" s="5" t="s">
        <v>470</v>
      </c>
      <c r="F42" s="5" t="s">
        <v>109</v>
      </c>
      <c r="G42" s="5" t="s">
        <v>642</v>
      </c>
      <c r="H42" s="5" t="s">
        <v>639</v>
      </c>
      <c r="I42" s="5" t="s">
        <v>937</v>
      </c>
      <c r="J42" s="6" t="s">
        <v>111</v>
      </c>
      <c r="K42" s="6" t="s">
        <v>938</v>
      </c>
      <c r="L42" s="6" t="s">
        <v>939</v>
      </c>
      <c r="M42" s="6" t="s">
        <v>111</v>
      </c>
      <c r="N42" s="6" t="s">
        <v>111</v>
      </c>
      <c r="O42" s="6" t="s">
        <v>111</v>
      </c>
      <c r="P42" s="6" t="s">
        <v>111</v>
      </c>
      <c r="Q42" s="6" t="s">
        <v>111</v>
      </c>
      <c r="R42" s="5" t="s">
        <v>940</v>
      </c>
      <c r="S42" s="6" t="s">
        <v>67</v>
      </c>
      <c r="T42" s="7">
        <v>46367</v>
      </c>
      <c r="U42" s="6" t="s">
        <v>513</v>
      </c>
      <c r="V42" s="5" t="s">
        <v>941</v>
      </c>
    </row>
    <row r="43" ht="42" customHeight="1" spans="1:22">
      <c r="A43" s="5" t="s">
        <v>982</v>
      </c>
      <c r="B43" s="5" t="s">
        <v>643</v>
      </c>
      <c r="C43" s="5" t="s">
        <v>639</v>
      </c>
      <c r="D43" s="5" t="s">
        <v>473</v>
      </c>
      <c r="E43" s="5" t="s">
        <v>474</v>
      </c>
      <c r="F43" s="5" t="s">
        <v>109</v>
      </c>
      <c r="G43" s="5" t="s">
        <v>642</v>
      </c>
      <c r="H43" s="5" t="s">
        <v>639</v>
      </c>
      <c r="I43" s="5" t="s">
        <v>937</v>
      </c>
      <c r="J43" s="6" t="s">
        <v>111</v>
      </c>
      <c r="K43" s="6" t="s">
        <v>938</v>
      </c>
      <c r="L43" s="6" t="s">
        <v>939</v>
      </c>
      <c r="M43" s="6" t="s">
        <v>111</v>
      </c>
      <c r="N43" s="6" t="s">
        <v>111</v>
      </c>
      <c r="O43" s="6" t="s">
        <v>111</v>
      </c>
      <c r="P43" s="6" t="s">
        <v>111</v>
      </c>
      <c r="Q43" s="6" t="s">
        <v>111</v>
      </c>
      <c r="R43" s="5" t="s">
        <v>940</v>
      </c>
      <c r="S43" s="6" t="s">
        <v>67</v>
      </c>
      <c r="T43" s="7">
        <v>46367</v>
      </c>
      <c r="U43" s="6" t="s">
        <v>513</v>
      </c>
      <c r="V43" s="5" t="s">
        <v>941</v>
      </c>
    </row>
    <row r="44" ht="42" customHeight="1" spans="1:22">
      <c r="A44" s="5" t="s">
        <v>983</v>
      </c>
      <c r="B44" s="5" t="s">
        <v>644</v>
      </c>
      <c r="C44" s="5" t="s">
        <v>639</v>
      </c>
      <c r="D44" s="5" t="s">
        <v>476</v>
      </c>
      <c r="E44" s="5" t="s">
        <v>477</v>
      </c>
      <c r="F44" s="5" t="s">
        <v>109</v>
      </c>
      <c r="G44" s="5" t="s">
        <v>640</v>
      </c>
      <c r="H44" s="5" t="s">
        <v>937</v>
      </c>
      <c r="I44" s="5" t="s">
        <v>639</v>
      </c>
      <c r="J44" s="6" t="s">
        <v>111</v>
      </c>
      <c r="K44" s="6" t="s">
        <v>938</v>
      </c>
      <c r="L44" s="6" t="s">
        <v>939</v>
      </c>
      <c r="M44" s="6" t="s">
        <v>111</v>
      </c>
      <c r="N44" s="6" t="s">
        <v>111</v>
      </c>
      <c r="O44" s="6" t="s">
        <v>111</v>
      </c>
      <c r="P44" s="6" t="s">
        <v>111</v>
      </c>
      <c r="Q44" s="6" t="s">
        <v>111</v>
      </c>
      <c r="R44" s="5" t="s">
        <v>940</v>
      </c>
      <c r="S44" s="6" t="s">
        <v>67</v>
      </c>
      <c r="T44" s="7">
        <v>46367</v>
      </c>
      <c r="U44" s="6" t="s">
        <v>513</v>
      </c>
      <c r="V44" s="5" t="s">
        <v>941</v>
      </c>
    </row>
    <row r="45" ht="42" customHeight="1" spans="1:22">
      <c r="A45" s="5" t="s">
        <v>984</v>
      </c>
      <c r="B45" s="5" t="s">
        <v>645</v>
      </c>
      <c r="C45" s="5" t="s">
        <v>639</v>
      </c>
      <c r="D45" s="5" t="s">
        <v>479</v>
      </c>
      <c r="E45" s="5" t="s">
        <v>480</v>
      </c>
      <c r="F45" s="5" t="s">
        <v>109</v>
      </c>
      <c r="G45" s="5" t="s">
        <v>642</v>
      </c>
      <c r="H45" s="5" t="s">
        <v>639</v>
      </c>
      <c r="I45" s="5" t="s">
        <v>937</v>
      </c>
      <c r="J45" s="6" t="s">
        <v>111</v>
      </c>
      <c r="K45" s="6" t="s">
        <v>938</v>
      </c>
      <c r="L45" s="6" t="s">
        <v>939</v>
      </c>
      <c r="M45" s="6" t="s">
        <v>111</v>
      </c>
      <c r="N45" s="6" t="s">
        <v>111</v>
      </c>
      <c r="O45" s="6" t="s">
        <v>111</v>
      </c>
      <c r="P45" s="6" t="s">
        <v>111</v>
      </c>
      <c r="Q45" s="6" t="s">
        <v>111</v>
      </c>
      <c r="R45" s="5" t="s">
        <v>940</v>
      </c>
      <c r="S45" s="6" t="s">
        <v>67</v>
      </c>
      <c r="T45" s="7">
        <v>46367</v>
      </c>
      <c r="U45" s="6" t="s">
        <v>513</v>
      </c>
      <c r="V45" s="5" t="s">
        <v>941</v>
      </c>
    </row>
    <row r="46" ht="42" customHeight="1" spans="1:22">
      <c r="A46" s="5" t="s">
        <v>985</v>
      </c>
      <c r="B46" s="5" t="s">
        <v>646</v>
      </c>
      <c r="C46" s="5" t="s">
        <v>639</v>
      </c>
      <c r="D46" s="5" t="s">
        <v>482</v>
      </c>
      <c r="E46" s="5" t="s">
        <v>483</v>
      </c>
      <c r="F46" s="5" t="s">
        <v>109</v>
      </c>
      <c r="G46" s="5" t="s">
        <v>642</v>
      </c>
      <c r="H46" s="5" t="s">
        <v>639</v>
      </c>
      <c r="I46" s="5" t="s">
        <v>937</v>
      </c>
      <c r="J46" s="6" t="s">
        <v>947</v>
      </c>
      <c r="K46" s="6" t="s">
        <v>938</v>
      </c>
      <c r="L46" s="6" t="s">
        <v>939</v>
      </c>
      <c r="M46" s="6" t="s">
        <v>111</v>
      </c>
      <c r="N46" s="6" t="s">
        <v>111</v>
      </c>
      <c r="O46" s="6" t="s">
        <v>111</v>
      </c>
      <c r="P46" s="6" t="s">
        <v>111</v>
      </c>
      <c r="Q46" s="6" t="s">
        <v>111</v>
      </c>
      <c r="R46" s="5" t="s">
        <v>940</v>
      </c>
      <c r="S46" s="6" t="s">
        <v>67</v>
      </c>
      <c r="T46" s="7">
        <v>46367</v>
      </c>
      <c r="U46" s="6" t="s">
        <v>513</v>
      </c>
      <c r="V46" s="5" t="s">
        <v>941</v>
      </c>
    </row>
    <row r="47" ht="42" customHeight="1" spans="1:22">
      <c r="A47" s="5" t="s">
        <v>986</v>
      </c>
      <c r="B47" s="5" t="s">
        <v>647</v>
      </c>
      <c r="C47" s="5" t="s">
        <v>639</v>
      </c>
      <c r="D47" s="5" t="s">
        <v>485</v>
      </c>
      <c r="E47" s="5" t="s">
        <v>486</v>
      </c>
      <c r="F47" s="5" t="s">
        <v>109</v>
      </c>
      <c r="G47" s="5" t="s">
        <v>640</v>
      </c>
      <c r="H47" s="5" t="s">
        <v>937</v>
      </c>
      <c r="I47" s="5" t="s">
        <v>639</v>
      </c>
      <c r="J47" s="6" t="s">
        <v>111</v>
      </c>
      <c r="K47" s="6" t="s">
        <v>938</v>
      </c>
      <c r="L47" s="6" t="s">
        <v>939</v>
      </c>
      <c r="M47" s="6" t="s">
        <v>111</v>
      </c>
      <c r="N47" s="6" t="s">
        <v>111</v>
      </c>
      <c r="O47" s="6" t="s">
        <v>111</v>
      </c>
      <c r="P47" s="6" t="s">
        <v>111</v>
      </c>
      <c r="Q47" s="6" t="s">
        <v>111</v>
      </c>
      <c r="R47" s="5" t="s">
        <v>940</v>
      </c>
      <c r="S47" s="6" t="s">
        <v>67</v>
      </c>
      <c r="T47" s="7">
        <v>46367</v>
      </c>
      <c r="U47" s="6" t="s">
        <v>513</v>
      </c>
      <c r="V47" s="5" t="s">
        <v>941</v>
      </c>
    </row>
    <row r="48" ht="42" customHeight="1" spans="1:22">
      <c r="A48" s="5" t="s">
        <v>987</v>
      </c>
      <c r="B48" s="5" t="s">
        <v>648</v>
      </c>
      <c r="C48" s="5" t="s">
        <v>639</v>
      </c>
      <c r="D48" s="5" t="s">
        <v>488</v>
      </c>
      <c r="E48" s="5" t="s">
        <v>489</v>
      </c>
      <c r="F48" s="5" t="s">
        <v>109</v>
      </c>
      <c r="G48" s="5" t="s">
        <v>640</v>
      </c>
      <c r="H48" s="5" t="s">
        <v>937</v>
      </c>
      <c r="I48" s="5" t="s">
        <v>639</v>
      </c>
      <c r="J48" s="6" t="s">
        <v>111</v>
      </c>
      <c r="K48" s="6" t="s">
        <v>938</v>
      </c>
      <c r="L48" s="6" t="s">
        <v>939</v>
      </c>
      <c r="M48" s="6" t="s">
        <v>111</v>
      </c>
      <c r="N48" s="6" t="s">
        <v>111</v>
      </c>
      <c r="O48" s="6" t="s">
        <v>111</v>
      </c>
      <c r="P48" s="6" t="s">
        <v>111</v>
      </c>
      <c r="Q48" s="6" t="s">
        <v>111</v>
      </c>
      <c r="R48" s="5" t="s">
        <v>940</v>
      </c>
      <c r="S48" s="6" t="s">
        <v>67</v>
      </c>
      <c r="T48" s="7">
        <v>46367</v>
      </c>
      <c r="U48" s="6" t="s">
        <v>513</v>
      </c>
      <c r="V48" s="5" t="s">
        <v>941</v>
      </c>
    </row>
    <row r="49" ht="42" customHeight="1" spans="1:22">
      <c r="A49" s="5" t="s">
        <v>988</v>
      </c>
      <c r="B49" s="5" t="s">
        <v>649</v>
      </c>
      <c r="C49" s="5" t="s">
        <v>639</v>
      </c>
      <c r="D49" s="5" t="s">
        <v>491</v>
      </c>
      <c r="E49" s="5" t="s">
        <v>492</v>
      </c>
      <c r="F49" s="5" t="s">
        <v>109</v>
      </c>
      <c r="G49" s="5" t="s">
        <v>640</v>
      </c>
      <c r="H49" s="5" t="s">
        <v>937</v>
      </c>
      <c r="I49" s="5" t="s">
        <v>639</v>
      </c>
      <c r="J49" s="6" t="s">
        <v>947</v>
      </c>
      <c r="K49" s="6" t="s">
        <v>938</v>
      </c>
      <c r="L49" s="6" t="s">
        <v>939</v>
      </c>
      <c r="M49" s="6" t="s">
        <v>111</v>
      </c>
      <c r="N49" s="6" t="s">
        <v>111</v>
      </c>
      <c r="O49" s="6" t="s">
        <v>111</v>
      </c>
      <c r="P49" s="6" t="s">
        <v>111</v>
      </c>
      <c r="Q49" s="6" t="s">
        <v>111</v>
      </c>
      <c r="R49" s="5" t="s">
        <v>940</v>
      </c>
      <c r="S49" s="6" t="s">
        <v>67</v>
      </c>
      <c r="T49" s="7">
        <v>46367</v>
      </c>
      <c r="U49" s="6" t="s">
        <v>513</v>
      </c>
      <c r="V49" s="5" t="s">
        <v>941</v>
      </c>
    </row>
    <row r="50" ht="42" customHeight="1" spans="1:22">
      <c r="A50" s="5" t="s">
        <v>989</v>
      </c>
      <c r="B50" s="5" t="s">
        <v>650</v>
      </c>
      <c r="C50" s="5" t="s">
        <v>639</v>
      </c>
      <c r="D50" s="5" t="s">
        <v>494</v>
      </c>
      <c r="E50" s="5" t="s">
        <v>651</v>
      </c>
      <c r="F50" s="5" t="s">
        <v>109</v>
      </c>
      <c r="G50" s="5" t="s">
        <v>640</v>
      </c>
      <c r="H50" s="5" t="s">
        <v>937</v>
      </c>
      <c r="I50" s="5" t="s">
        <v>639</v>
      </c>
      <c r="J50" s="6" t="s">
        <v>111</v>
      </c>
      <c r="K50" s="6" t="s">
        <v>938</v>
      </c>
      <c r="L50" s="6" t="s">
        <v>939</v>
      </c>
      <c r="M50" s="6" t="s">
        <v>111</v>
      </c>
      <c r="N50" s="6" t="s">
        <v>111</v>
      </c>
      <c r="O50" s="6" t="s">
        <v>111</v>
      </c>
      <c r="P50" s="6" t="s">
        <v>111</v>
      </c>
      <c r="Q50" s="6" t="s">
        <v>111</v>
      </c>
      <c r="R50" s="5" t="s">
        <v>940</v>
      </c>
      <c r="S50" s="6" t="s">
        <v>67</v>
      </c>
      <c r="T50" s="7">
        <v>46367</v>
      </c>
      <c r="U50" s="6" t="s">
        <v>513</v>
      </c>
      <c r="V50" s="5" t="s">
        <v>941</v>
      </c>
    </row>
    <row r="51" ht="42" customHeight="1" spans="1:22">
      <c r="A51" s="5" t="s">
        <v>990</v>
      </c>
      <c r="B51" s="5" t="s">
        <v>652</v>
      </c>
      <c r="C51" s="5" t="s">
        <v>639</v>
      </c>
      <c r="D51" s="5" t="s">
        <v>497</v>
      </c>
      <c r="E51" s="5" t="s">
        <v>498</v>
      </c>
      <c r="F51" s="5" t="s">
        <v>109</v>
      </c>
      <c r="G51" s="5" t="s">
        <v>640</v>
      </c>
      <c r="H51" s="5" t="s">
        <v>937</v>
      </c>
      <c r="I51" s="5" t="s">
        <v>639</v>
      </c>
      <c r="J51" s="6" t="s">
        <v>111</v>
      </c>
      <c r="K51" s="6" t="s">
        <v>938</v>
      </c>
      <c r="L51" s="6" t="s">
        <v>939</v>
      </c>
      <c r="M51" s="6" t="s">
        <v>111</v>
      </c>
      <c r="N51" s="6" t="s">
        <v>111</v>
      </c>
      <c r="O51" s="6" t="s">
        <v>111</v>
      </c>
      <c r="P51" s="6" t="s">
        <v>111</v>
      </c>
      <c r="Q51" s="6" t="s">
        <v>111</v>
      </c>
      <c r="R51" s="5" t="s">
        <v>940</v>
      </c>
      <c r="S51" s="6" t="s">
        <v>67</v>
      </c>
      <c r="T51" s="7">
        <v>46367</v>
      </c>
      <c r="U51" s="6" t="s">
        <v>513</v>
      </c>
      <c r="V51" s="5" t="s">
        <v>941</v>
      </c>
    </row>
    <row r="52" ht="42" customHeight="1" spans="1:22">
      <c r="A52" s="5" t="s">
        <v>991</v>
      </c>
      <c r="B52" s="5" t="s">
        <v>653</v>
      </c>
      <c r="C52" s="5" t="s">
        <v>639</v>
      </c>
      <c r="D52" s="5" t="s">
        <v>500</v>
      </c>
      <c r="E52" s="5" t="s">
        <v>501</v>
      </c>
      <c r="F52" s="5" t="s">
        <v>109</v>
      </c>
      <c r="G52" s="5" t="s">
        <v>642</v>
      </c>
      <c r="H52" s="5" t="s">
        <v>639</v>
      </c>
      <c r="I52" s="5" t="s">
        <v>937</v>
      </c>
      <c r="J52" s="6" t="s">
        <v>947</v>
      </c>
      <c r="K52" s="6" t="s">
        <v>938</v>
      </c>
      <c r="L52" s="6" t="s">
        <v>939</v>
      </c>
      <c r="M52" s="6" t="s">
        <v>111</v>
      </c>
      <c r="N52" s="6" t="s">
        <v>111</v>
      </c>
      <c r="O52" s="6" t="s">
        <v>111</v>
      </c>
      <c r="P52" s="6" t="s">
        <v>111</v>
      </c>
      <c r="Q52" s="6" t="s">
        <v>111</v>
      </c>
      <c r="R52" s="5" t="s">
        <v>940</v>
      </c>
      <c r="S52" s="6" t="s">
        <v>67</v>
      </c>
      <c r="T52" s="7">
        <v>46367</v>
      </c>
      <c r="U52" s="6" t="s">
        <v>513</v>
      </c>
      <c r="V52" s="5" t="s">
        <v>941</v>
      </c>
    </row>
    <row r="53" ht="42" customHeight="1" spans="1:22">
      <c r="A53" s="5" t="s">
        <v>992</v>
      </c>
      <c r="B53" s="5" t="s">
        <v>654</v>
      </c>
      <c r="C53" s="5" t="s">
        <v>639</v>
      </c>
      <c r="D53" s="5" t="s">
        <v>503</v>
      </c>
      <c r="E53" s="5" t="s">
        <v>504</v>
      </c>
      <c r="F53" s="5" t="s">
        <v>109</v>
      </c>
      <c r="G53" s="5" t="s">
        <v>640</v>
      </c>
      <c r="H53" s="5" t="s">
        <v>937</v>
      </c>
      <c r="I53" s="5" t="s">
        <v>639</v>
      </c>
      <c r="J53" s="6" t="s">
        <v>111</v>
      </c>
      <c r="K53" s="6" t="s">
        <v>938</v>
      </c>
      <c r="L53" s="6" t="s">
        <v>939</v>
      </c>
      <c r="M53" s="6" t="s">
        <v>111</v>
      </c>
      <c r="N53" s="6" t="s">
        <v>111</v>
      </c>
      <c r="O53" s="6" t="s">
        <v>111</v>
      </c>
      <c r="P53" s="6" t="s">
        <v>111</v>
      </c>
      <c r="Q53" s="6" t="s">
        <v>111</v>
      </c>
      <c r="R53" s="5" t="s">
        <v>940</v>
      </c>
      <c r="S53" s="6" t="s">
        <v>67</v>
      </c>
      <c r="T53" s="7">
        <v>46367</v>
      </c>
      <c r="U53" s="6" t="s">
        <v>513</v>
      </c>
      <c r="V53" s="5" t="s">
        <v>941</v>
      </c>
    </row>
    <row r="54" ht="42" customHeight="1" spans="1:22">
      <c r="A54" s="5" t="s">
        <v>993</v>
      </c>
      <c r="B54" s="5" t="s">
        <v>655</v>
      </c>
      <c r="C54" s="5" t="s">
        <v>639</v>
      </c>
      <c r="D54" s="5" t="s">
        <v>506</v>
      </c>
      <c r="E54" s="5" t="s">
        <v>656</v>
      </c>
      <c r="F54" s="5" t="s">
        <v>109</v>
      </c>
      <c r="G54" s="5" t="s">
        <v>642</v>
      </c>
      <c r="H54" s="5" t="s">
        <v>639</v>
      </c>
      <c r="I54" s="5" t="s">
        <v>937</v>
      </c>
      <c r="J54" s="6" t="s">
        <v>111</v>
      </c>
      <c r="K54" s="6" t="s">
        <v>938</v>
      </c>
      <c r="L54" s="6" t="s">
        <v>939</v>
      </c>
      <c r="M54" s="6" t="s">
        <v>111</v>
      </c>
      <c r="N54" s="6" t="s">
        <v>111</v>
      </c>
      <c r="O54" s="6" t="s">
        <v>111</v>
      </c>
      <c r="P54" s="6" t="s">
        <v>111</v>
      </c>
      <c r="Q54" s="6" t="s">
        <v>111</v>
      </c>
      <c r="R54" s="5" t="s">
        <v>940</v>
      </c>
      <c r="S54" s="6" t="s">
        <v>67</v>
      </c>
      <c r="T54" s="7">
        <v>46367</v>
      </c>
      <c r="U54" s="6" t="s">
        <v>513</v>
      </c>
      <c r="V54" s="5" t="s">
        <v>941</v>
      </c>
    </row>
    <row r="55" ht="42" customHeight="1" spans="1:22">
      <c r="A55" s="5" t="s">
        <v>994</v>
      </c>
      <c r="B55" s="5" t="s">
        <v>658</v>
      </c>
      <c r="C55" s="5" t="s">
        <v>639</v>
      </c>
      <c r="D55" s="5" t="s">
        <v>516</v>
      </c>
      <c r="E55" s="5" t="s">
        <v>517</v>
      </c>
      <c r="F55" s="5" t="s">
        <v>109</v>
      </c>
      <c r="G55" s="5" t="s">
        <v>642</v>
      </c>
      <c r="H55" s="5" t="s">
        <v>639</v>
      </c>
      <c r="I55" s="5" t="s">
        <v>937</v>
      </c>
      <c r="J55" s="6" t="s">
        <v>111</v>
      </c>
      <c r="K55" s="6" t="s">
        <v>938</v>
      </c>
      <c r="L55" s="6" t="s">
        <v>939</v>
      </c>
      <c r="M55" s="6" t="s">
        <v>111</v>
      </c>
      <c r="N55" s="6" t="s">
        <v>111</v>
      </c>
      <c r="O55" s="6" t="s">
        <v>111</v>
      </c>
      <c r="P55" s="6" t="s">
        <v>111</v>
      </c>
      <c r="Q55" s="6" t="s">
        <v>111</v>
      </c>
      <c r="R55" s="5" t="s">
        <v>940</v>
      </c>
      <c r="S55" s="6" t="s">
        <v>67</v>
      </c>
      <c r="T55" s="7">
        <v>46367</v>
      </c>
      <c r="U55" s="6" t="s">
        <v>513</v>
      </c>
      <c r="V55" s="5" t="s">
        <v>941</v>
      </c>
    </row>
    <row r="56" ht="42" customHeight="1" spans="1:22">
      <c r="A56" s="5" t="s">
        <v>995</v>
      </c>
      <c r="B56" s="5" t="s">
        <v>660</v>
      </c>
      <c r="C56" s="5" t="s">
        <v>639</v>
      </c>
      <c r="D56" s="5" t="s">
        <v>524</v>
      </c>
      <c r="E56" s="5" t="s">
        <v>525</v>
      </c>
      <c r="F56" s="5" t="s">
        <v>109</v>
      </c>
      <c r="G56" s="5" t="s">
        <v>640</v>
      </c>
      <c r="H56" s="5" t="s">
        <v>937</v>
      </c>
      <c r="I56" s="5" t="s">
        <v>639</v>
      </c>
      <c r="J56" s="6" t="s">
        <v>111</v>
      </c>
      <c r="K56" s="6" t="s">
        <v>938</v>
      </c>
      <c r="L56" s="6" t="s">
        <v>939</v>
      </c>
      <c r="M56" s="6" t="s">
        <v>111</v>
      </c>
      <c r="N56" s="6" t="s">
        <v>111</v>
      </c>
      <c r="O56" s="6" t="s">
        <v>111</v>
      </c>
      <c r="P56" s="6" t="s">
        <v>111</v>
      </c>
      <c r="Q56" s="6" t="s">
        <v>111</v>
      </c>
      <c r="R56" s="5" t="s">
        <v>940</v>
      </c>
      <c r="S56" s="6" t="s">
        <v>67</v>
      </c>
      <c r="T56" s="7">
        <v>46367</v>
      </c>
      <c r="U56" s="6" t="s">
        <v>513</v>
      </c>
      <c r="V56" s="5" t="s">
        <v>941</v>
      </c>
    </row>
    <row r="57" ht="42" customHeight="1" spans="1:22">
      <c r="A57" s="5" t="s">
        <v>996</v>
      </c>
      <c r="B57" s="5" t="s">
        <v>663</v>
      </c>
      <c r="C57" s="5" t="s">
        <v>639</v>
      </c>
      <c r="D57" s="5" t="s">
        <v>530</v>
      </c>
      <c r="E57" s="5" t="s">
        <v>664</v>
      </c>
      <c r="F57" s="5" t="s">
        <v>109</v>
      </c>
      <c r="G57" s="5" t="s">
        <v>640</v>
      </c>
      <c r="H57" s="5" t="s">
        <v>937</v>
      </c>
      <c r="I57" s="5" t="s">
        <v>639</v>
      </c>
      <c r="J57" s="6" t="s">
        <v>111</v>
      </c>
      <c r="K57" s="6" t="s">
        <v>938</v>
      </c>
      <c r="L57" s="6" t="s">
        <v>939</v>
      </c>
      <c r="M57" s="6" t="s">
        <v>111</v>
      </c>
      <c r="N57" s="6" t="s">
        <v>111</v>
      </c>
      <c r="O57" s="6" t="s">
        <v>111</v>
      </c>
      <c r="P57" s="6" t="s">
        <v>111</v>
      </c>
      <c r="Q57" s="6" t="s">
        <v>111</v>
      </c>
      <c r="R57" s="5" t="s">
        <v>940</v>
      </c>
      <c r="S57" s="6" t="s">
        <v>67</v>
      </c>
      <c r="T57" s="7">
        <v>46367</v>
      </c>
      <c r="U57" s="6" t="s">
        <v>513</v>
      </c>
      <c r="V57" s="5" t="s">
        <v>941</v>
      </c>
    </row>
    <row r="58" ht="42" customHeight="1" spans="1:22">
      <c r="A58" s="5" t="s">
        <v>997</v>
      </c>
      <c r="B58" s="5" t="s">
        <v>665</v>
      </c>
      <c r="C58" s="5" t="s">
        <v>639</v>
      </c>
      <c r="D58" s="5" t="s">
        <v>533</v>
      </c>
      <c r="E58" s="5" t="s">
        <v>534</v>
      </c>
      <c r="F58" s="5" t="s">
        <v>109</v>
      </c>
      <c r="G58" s="5" t="s">
        <v>642</v>
      </c>
      <c r="H58" s="5" t="s">
        <v>639</v>
      </c>
      <c r="I58" s="5" t="s">
        <v>937</v>
      </c>
      <c r="J58" s="6" t="s">
        <v>111</v>
      </c>
      <c r="K58" s="6" t="s">
        <v>938</v>
      </c>
      <c r="L58" s="6" t="s">
        <v>939</v>
      </c>
      <c r="M58" s="6" t="s">
        <v>111</v>
      </c>
      <c r="N58" s="6" t="s">
        <v>111</v>
      </c>
      <c r="O58" s="6" t="s">
        <v>111</v>
      </c>
      <c r="P58" s="6" t="s">
        <v>111</v>
      </c>
      <c r="Q58" s="6" t="s">
        <v>111</v>
      </c>
      <c r="R58" s="5" t="s">
        <v>940</v>
      </c>
      <c r="S58" s="6" t="s">
        <v>67</v>
      </c>
      <c r="T58" s="7">
        <v>46367</v>
      </c>
      <c r="U58" s="6" t="s">
        <v>513</v>
      </c>
      <c r="V58" s="5" t="s">
        <v>941</v>
      </c>
    </row>
    <row r="59" ht="42" customHeight="1" spans="1:22">
      <c r="A59" s="5" t="s">
        <v>998</v>
      </c>
      <c r="B59" s="5" t="s">
        <v>666</v>
      </c>
      <c r="C59" s="5" t="s">
        <v>639</v>
      </c>
      <c r="D59" s="5" t="s">
        <v>536</v>
      </c>
      <c r="E59" s="5" t="s">
        <v>537</v>
      </c>
      <c r="F59" s="5" t="s">
        <v>109</v>
      </c>
      <c r="G59" s="5" t="s">
        <v>642</v>
      </c>
      <c r="H59" s="5" t="s">
        <v>639</v>
      </c>
      <c r="I59" s="5" t="s">
        <v>937</v>
      </c>
      <c r="J59" s="6" t="s">
        <v>111</v>
      </c>
      <c r="K59" s="6" t="s">
        <v>938</v>
      </c>
      <c r="L59" s="6" t="s">
        <v>939</v>
      </c>
      <c r="M59" s="6" t="s">
        <v>111</v>
      </c>
      <c r="N59" s="6" t="s">
        <v>111</v>
      </c>
      <c r="O59" s="6" t="s">
        <v>111</v>
      </c>
      <c r="P59" s="6" t="s">
        <v>111</v>
      </c>
      <c r="Q59" s="6" t="s">
        <v>111</v>
      </c>
      <c r="R59" s="5" t="s">
        <v>940</v>
      </c>
      <c r="S59" s="6" t="s">
        <v>67</v>
      </c>
      <c r="T59" s="7">
        <v>46367</v>
      </c>
      <c r="U59" s="6" t="s">
        <v>513</v>
      </c>
      <c r="V59" s="5" t="s">
        <v>941</v>
      </c>
    </row>
    <row r="60" ht="42" customHeight="1" spans="1:22">
      <c r="A60" s="5" t="s">
        <v>999</v>
      </c>
      <c r="B60" s="5" t="s">
        <v>667</v>
      </c>
      <c r="C60" s="5" t="s">
        <v>639</v>
      </c>
      <c r="D60" s="5" t="s">
        <v>539</v>
      </c>
      <c r="E60" s="5" t="s">
        <v>540</v>
      </c>
      <c r="F60" s="5" t="s">
        <v>109</v>
      </c>
      <c r="G60" s="5" t="s">
        <v>640</v>
      </c>
      <c r="H60" s="5" t="s">
        <v>937</v>
      </c>
      <c r="I60" s="5" t="s">
        <v>639</v>
      </c>
      <c r="J60" s="6" t="s">
        <v>111</v>
      </c>
      <c r="K60" s="6" t="s">
        <v>938</v>
      </c>
      <c r="L60" s="6" t="s">
        <v>939</v>
      </c>
      <c r="M60" s="6" t="s">
        <v>111</v>
      </c>
      <c r="N60" s="6" t="s">
        <v>111</v>
      </c>
      <c r="O60" s="6" t="s">
        <v>111</v>
      </c>
      <c r="P60" s="6" t="s">
        <v>111</v>
      </c>
      <c r="Q60" s="6" t="s">
        <v>111</v>
      </c>
      <c r="R60" s="5" t="s">
        <v>940</v>
      </c>
      <c r="S60" s="6" t="s">
        <v>67</v>
      </c>
      <c r="T60" s="7">
        <v>46367</v>
      </c>
      <c r="U60" s="6" t="s">
        <v>513</v>
      </c>
      <c r="V60" s="5" t="s">
        <v>941</v>
      </c>
    </row>
    <row r="61" ht="42" customHeight="1" spans="1:22">
      <c r="A61" s="5" t="s">
        <v>1000</v>
      </c>
      <c r="B61" s="5" t="s">
        <v>668</v>
      </c>
      <c r="C61" s="5" t="s">
        <v>639</v>
      </c>
      <c r="D61" s="5" t="s">
        <v>542</v>
      </c>
      <c r="E61" s="5" t="s">
        <v>543</v>
      </c>
      <c r="F61" s="5" t="s">
        <v>109</v>
      </c>
      <c r="G61" s="5" t="s">
        <v>642</v>
      </c>
      <c r="H61" s="5" t="s">
        <v>639</v>
      </c>
      <c r="I61" s="5" t="s">
        <v>937</v>
      </c>
      <c r="J61" s="6" t="s">
        <v>111</v>
      </c>
      <c r="K61" s="6" t="s">
        <v>938</v>
      </c>
      <c r="L61" s="6" t="s">
        <v>939</v>
      </c>
      <c r="M61" s="6" t="s">
        <v>111</v>
      </c>
      <c r="N61" s="6" t="s">
        <v>111</v>
      </c>
      <c r="O61" s="6" t="s">
        <v>111</v>
      </c>
      <c r="P61" s="6" t="s">
        <v>111</v>
      </c>
      <c r="Q61" s="6" t="s">
        <v>111</v>
      </c>
      <c r="R61" s="5" t="s">
        <v>940</v>
      </c>
      <c r="S61" s="6" t="s">
        <v>67</v>
      </c>
      <c r="T61" s="7">
        <v>46367</v>
      </c>
      <c r="U61" s="6" t="s">
        <v>513</v>
      </c>
      <c r="V61" s="5" t="s">
        <v>941</v>
      </c>
    </row>
    <row r="62" ht="42" customHeight="1" spans="1:22">
      <c r="A62" s="5" t="s">
        <v>1001</v>
      </c>
      <c r="B62" s="5" t="s">
        <v>671</v>
      </c>
      <c r="C62" s="5" t="s">
        <v>639</v>
      </c>
      <c r="D62" s="5" t="s">
        <v>551</v>
      </c>
      <c r="E62" s="5" t="s">
        <v>552</v>
      </c>
      <c r="F62" s="5" t="s">
        <v>109</v>
      </c>
      <c r="G62" s="5" t="s">
        <v>642</v>
      </c>
      <c r="H62" s="5" t="s">
        <v>639</v>
      </c>
      <c r="I62" s="5" t="s">
        <v>937</v>
      </c>
      <c r="J62" s="6" t="s">
        <v>111</v>
      </c>
      <c r="K62" s="6" t="s">
        <v>938</v>
      </c>
      <c r="L62" s="6" t="s">
        <v>939</v>
      </c>
      <c r="M62" s="6" t="s">
        <v>111</v>
      </c>
      <c r="N62" s="6" t="s">
        <v>111</v>
      </c>
      <c r="O62" s="6" t="s">
        <v>111</v>
      </c>
      <c r="P62" s="6" t="s">
        <v>111</v>
      </c>
      <c r="Q62" s="6" t="s">
        <v>111</v>
      </c>
      <c r="R62" s="5" t="s">
        <v>940</v>
      </c>
      <c r="S62" s="6" t="s">
        <v>67</v>
      </c>
      <c r="T62" s="7">
        <v>46367</v>
      </c>
      <c r="U62" s="6" t="s">
        <v>513</v>
      </c>
      <c r="V62" s="5" t="s">
        <v>941</v>
      </c>
    </row>
    <row r="63" ht="42" customHeight="1" spans="1:22">
      <c r="A63" s="5" t="s">
        <v>1002</v>
      </c>
      <c r="B63" s="5" t="s">
        <v>672</v>
      </c>
      <c r="C63" s="5" t="s">
        <v>639</v>
      </c>
      <c r="D63" s="5" t="s">
        <v>554</v>
      </c>
      <c r="E63" s="5" t="s">
        <v>673</v>
      </c>
      <c r="F63" s="5" t="s">
        <v>109</v>
      </c>
      <c r="G63" s="5" t="s">
        <v>640</v>
      </c>
      <c r="H63" s="5" t="s">
        <v>937</v>
      </c>
      <c r="I63" s="5" t="s">
        <v>639</v>
      </c>
      <c r="J63" s="6" t="s">
        <v>111</v>
      </c>
      <c r="K63" s="6" t="s">
        <v>938</v>
      </c>
      <c r="L63" s="6" t="s">
        <v>939</v>
      </c>
      <c r="M63" s="6" t="s">
        <v>111</v>
      </c>
      <c r="N63" s="6" t="s">
        <v>111</v>
      </c>
      <c r="O63" s="6" t="s">
        <v>111</v>
      </c>
      <c r="P63" s="6" t="s">
        <v>111</v>
      </c>
      <c r="Q63" s="6" t="s">
        <v>111</v>
      </c>
      <c r="R63" s="5" t="s">
        <v>940</v>
      </c>
      <c r="S63" s="6" t="s">
        <v>67</v>
      </c>
      <c r="T63" s="7">
        <v>46367</v>
      </c>
      <c r="U63" s="6" t="s">
        <v>513</v>
      </c>
      <c r="V63" s="5" t="s">
        <v>941</v>
      </c>
    </row>
    <row r="64" ht="42" customHeight="1" spans="1:22">
      <c r="A64" s="5" t="s">
        <v>1003</v>
      </c>
      <c r="B64" s="5" t="s">
        <v>687</v>
      </c>
      <c r="C64" s="5" t="s">
        <v>688</v>
      </c>
      <c r="D64" s="5" t="s">
        <v>689</v>
      </c>
      <c r="E64" s="5" t="s">
        <v>690</v>
      </c>
      <c r="F64" s="5" t="s">
        <v>109</v>
      </c>
      <c r="G64" s="5" t="s">
        <v>691</v>
      </c>
      <c r="H64" s="5" t="s">
        <v>688</v>
      </c>
      <c r="I64" s="5" t="s">
        <v>937</v>
      </c>
      <c r="J64" s="6" t="s">
        <v>111</v>
      </c>
      <c r="K64" s="6" t="s">
        <v>938</v>
      </c>
      <c r="L64" s="6" t="s">
        <v>939</v>
      </c>
      <c r="M64" s="6" t="s">
        <v>111</v>
      </c>
      <c r="N64" s="6" t="s">
        <v>111</v>
      </c>
      <c r="O64" s="6" t="s">
        <v>111</v>
      </c>
      <c r="P64" s="6" t="s">
        <v>111</v>
      </c>
      <c r="Q64" s="6" t="s">
        <v>111</v>
      </c>
      <c r="R64" s="5" t="s">
        <v>940</v>
      </c>
      <c r="S64" s="6" t="s">
        <v>67</v>
      </c>
      <c r="T64" s="7">
        <v>46367</v>
      </c>
      <c r="U64" s="6" t="s">
        <v>513</v>
      </c>
      <c r="V64" s="5" t="s">
        <v>941</v>
      </c>
    </row>
    <row r="65" ht="42" customHeight="1" spans="1:22">
      <c r="A65" s="5" t="s">
        <v>1004</v>
      </c>
      <c r="B65" s="5" t="s">
        <v>693</v>
      </c>
      <c r="C65" s="5" t="s">
        <v>688</v>
      </c>
      <c r="D65" s="5" t="s">
        <v>694</v>
      </c>
      <c r="E65" s="5" t="s">
        <v>695</v>
      </c>
      <c r="F65" s="5" t="s">
        <v>109</v>
      </c>
      <c r="G65" s="5" t="s">
        <v>691</v>
      </c>
      <c r="H65" s="5" t="s">
        <v>688</v>
      </c>
      <c r="I65" s="5" t="s">
        <v>937</v>
      </c>
      <c r="J65" s="6" t="s">
        <v>947</v>
      </c>
      <c r="K65" s="6" t="s">
        <v>938</v>
      </c>
      <c r="L65" s="6" t="s">
        <v>939</v>
      </c>
      <c r="M65" s="6" t="s">
        <v>111</v>
      </c>
      <c r="N65" s="6" t="s">
        <v>111</v>
      </c>
      <c r="O65" s="6" t="s">
        <v>111</v>
      </c>
      <c r="P65" s="6" t="s">
        <v>111</v>
      </c>
      <c r="Q65" s="6" t="s">
        <v>111</v>
      </c>
      <c r="R65" s="5" t="s">
        <v>940</v>
      </c>
      <c r="S65" s="6" t="s">
        <v>67</v>
      </c>
      <c r="T65" s="7">
        <v>46367</v>
      </c>
      <c r="U65" s="6" t="s">
        <v>513</v>
      </c>
      <c r="V65" s="5" t="s">
        <v>941</v>
      </c>
    </row>
    <row r="66" ht="42" customHeight="1" spans="1:22">
      <c r="A66" s="5" t="s">
        <v>1005</v>
      </c>
      <c r="B66" s="5" t="s">
        <v>699</v>
      </c>
      <c r="C66" s="5" t="s">
        <v>688</v>
      </c>
      <c r="D66" s="5" t="s">
        <v>700</v>
      </c>
      <c r="E66" s="5" t="s">
        <v>701</v>
      </c>
      <c r="F66" s="5" t="s">
        <v>109</v>
      </c>
      <c r="G66" s="5" t="s">
        <v>691</v>
      </c>
      <c r="H66" s="5" t="s">
        <v>688</v>
      </c>
      <c r="I66" s="5" t="s">
        <v>937</v>
      </c>
      <c r="J66" s="6" t="s">
        <v>947</v>
      </c>
      <c r="K66" s="6" t="s">
        <v>938</v>
      </c>
      <c r="L66" s="6" t="s">
        <v>939</v>
      </c>
      <c r="M66" s="6" t="s">
        <v>111</v>
      </c>
      <c r="N66" s="6" t="s">
        <v>111</v>
      </c>
      <c r="O66" s="6" t="s">
        <v>111</v>
      </c>
      <c r="P66" s="6" t="s">
        <v>111</v>
      </c>
      <c r="Q66" s="6" t="s">
        <v>111</v>
      </c>
      <c r="R66" s="5" t="s">
        <v>940</v>
      </c>
      <c r="S66" s="6" t="s">
        <v>67</v>
      </c>
      <c r="T66" s="7">
        <v>46367</v>
      </c>
      <c r="U66" s="6" t="s">
        <v>513</v>
      </c>
      <c r="V66" s="5" t="s">
        <v>941</v>
      </c>
    </row>
    <row r="67" ht="42" customHeight="1" spans="1:22">
      <c r="A67" s="5" t="s">
        <v>1006</v>
      </c>
      <c r="B67" s="5" t="s">
        <v>702</v>
      </c>
      <c r="C67" s="5" t="s">
        <v>688</v>
      </c>
      <c r="D67" s="5" t="s">
        <v>703</v>
      </c>
      <c r="E67" s="5" t="s">
        <v>704</v>
      </c>
      <c r="F67" s="5" t="s">
        <v>109</v>
      </c>
      <c r="G67" s="5" t="s">
        <v>691</v>
      </c>
      <c r="H67" s="5" t="s">
        <v>688</v>
      </c>
      <c r="I67" s="5" t="s">
        <v>937</v>
      </c>
      <c r="J67" s="6" t="s">
        <v>111</v>
      </c>
      <c r="K67" s="6" t="s">
        <v>938</v>
      </c>
      <c r="L67" s="6" t="s">
        <v>939</v>
      </c>
      <c r="M67" s="6" t="s">
        <v>111</v>
      </c>
      <c r="N67" s="6" t="s">
        <v>111</v>
      </c>
      <c r="O67" s="6" t="s">
        <v>111</v>
      </c>
      <c r="P67" s="6" t="s">
        <v>111</v>
      </c>
      <c r="Q67" s="6" t="s">
        <v>111</v>
      </c>
      <c r="R67" s="5" t="s">
        <v>940</v>
      </c>
      <c r="S67" s="6" t="s">
        <v>67</v>
      </c>
      <c r="T67" s="7">
        <v>46367</v>
      </c>
      <c r="U67" s="6" t="s">
        <v>513</v>
      </c>
      <c r="V67" s="5" t="s">
        <v>941</v>
      </c>
    </row>
    <row r="68" ht="42" customHeight="1" spans="1:22">
      <c r="A68" s="5" t="s">
        <v>1007</v>
      </c>
      <c r="B68" s="5" t="s">
        <v>705</v>
      </c>
      <c r="C68" s="5" t="s">
        <v>688</v>
      </c>
      <c r="D68" s="5" t="s">
        <v>706</v>
      </c>
      <c r="E68" s="5" t="s">
        <v>706</v>
      </c>
      <c r="F68" s="5" t="s">
        <v>109</v>
      </c>
      <c r="G68" s="5" t="s">
        <v>691</v>
      </c>
      <c r="H68" s="5" t="s">
        <v>688</v>
      </c>
      <c r="I68" s="5" t="s">
        <v>937</v>
      </c>
      <c r="J68" s="6" t="s">
        <v>947</v>
      </c>
      <c r="K68" s="6" t="s">
        <v>938</v>
      </c>
      <c r="L68" s="6" t="s">
        <v>939</v>
      </c>
      <c r="M68" s="6" t="s">
        <v>111</v>
      </c>
      <c r="N68" s="6" t="s">
        <v>111</v>
      </c>
      <c r="O68" s="6" t="s">
        <v>111</v>
      </c>
      <c r="P68" s="6" t="s">
        <v>111</v>
      </c>
      <c r="Q68" s="6" t="s">
        <v>111</v>
      </c>
      <c r="R68" s="5" t="s">
        <v>940</v>
      </c>
      <c r="S68" s="6" t="s">
        <v>67</v>
      </c>
      <c r="T68" s="7">
        <v>46367</v>
      </c>
      <c r="U68" s="6" t="s">
        <v>513</v>
      </c>
      <c r="V68" s="5" t="s">
        <v>941</v>
      </c>
    </row>
    <row r="69" ht="42" customHeight="1" spans="1:22">
      <c r="A69" s="5" t="s">
        <v>1008</v>
      </c>
      <c r="B69" s="5" t="s">
        <v>707</v>
      </c>
      <c r="C69" s="5" t="s">
        <v>688</v>
      </c>
      <c r="D69" s="5" t="s">
        <v>708</v>
      </c>
      <c r="E69" s="5" t="s">
        <v>709</v>
      </c>
      <c r="F69" s="5" t="s">
        <v>109</v>
      </c>
      <c r="G69" s="5" t="s">
        <v>710</v>
      </c>
      <c r="H69" s="5" t="s">
        <v>937</v>
      </c>
      <c r="I69" s="5" t="s">
        <v>688</v>
      </c>
      <c r="J69" s="6" t="s">
        <v>111</v>
      </c>
      <c r="K69" s="6" t="s">
        <v>938</v>
      </c>
      <c r="L69" s="6" t="s">
        <v>939</v>
      </c>
      <c r="M69" s="6" t="s">
        <v>111</v>
      </c>
      <c r="N69" s="6" t="s">
        <v>111</v>
      </c>
      <c r="O69" s="6" t="s">
        <v>111</v>
      </c>
      <c r="P69" s="6" t="s">
        <v>111</v>
      </c>
      <c r="Q69" s="6" t="s">
        <v>111</v>
      </c>
      <c r="R69" s="5" t="s">
        <v>940</v>
      </c>
      <c r="S69" s="6" t="s">
        <v>67</v>
      </c>
      <c r="T69" s="7">
        <v>46367</v>
      </c>
      <c r="U69" s="6" t="s">
        <v>513</v>
      </c>
      <c r="V69" s="5" t="s">
        <v>941</v>
      </c>
    </row>
    <row r="70" ht="42" customHeight="1" spans="1:22">
      <c r="A70" s="5" t="s">
        <v>1009</v>
      </c>
      <c r="B70" s="5" t="s">
        <v>711</v>
      </c>
      <c r="C70" s="5" t="s">
        <v>688</v>
      </c>
      <c r="D70" s="5" t="s">
        <v>712</v>
      </c>
      <c r="E70" s="5" t="s">
        <v>713</v>
      </c>
      <c r="F70" s="5" t="s">
        <v>109</v>
      </c>
      <c r="G70" s="5" t="s">
        <v>710</v>
      </c>
      <c r="H70" s="5" t="s">
        <v>937</v>
      </c>
      <c r="I70" s="5" t="s">
        <v>688</v>
      </c>
      <c r="J70" s="6" t="s">
        <v>111</v>
      </c>
      <c r="K70" s="6" t="s">
        <v>938</v>
      </c>
      <c r="L70" s="6" t="s">
        <v>939</v>
      </c>
      <c r="M70" s="6" t="s">
        <v>111</v>
      </c>
      <c r="N70" s="6" t="s">
        <v>111</v>
      </c>
      <c r="O70" s="6" t="s">
        <v>111</v>
      </c>
      <c r="P70" s="6" t="s">
        <v>111</v>
      </c>
      <c r="Q70" s="6" t="s">
        <v>111</v>
      </c>
      <c r="R70" s="5" t="s">
        <v>940</v>
      </c>
      <c r="S70" s="6" t="s">
        <v>67</v>
      </c>
      <c r="T70" s="7">
        <v>46367</v>
      </c>
      <c r="U70" s="6" t="s">
        <v>513</v>
      </c>
      <c r="V70" s="5" t="s">
        <v>941</v>
      </c>
    </row>
    <row r="71" ht="42" customHeight="1" spans="1:22">
      <c r="A71" s="5" t="s">
        <v>1010</v>
      </c>
      <c r="B71" s="5" t="s">
        <v>714</v>
      </c>
      <c r="C71" s="5" t="s">
        <v>688</v>
      </c>
      <c r="D71" s="5" t="s">
        <v>715</v>
      </c>
      <c r="E71" s="5" t="s">
        <v>716</v>
      </c>
      <c r="F71" s="5" t="s">
        <v>109</v>
      </c>
      <c r="G71" s="5" t="s">
        <v>710</v>
      </c>
      <c r="H71" s="5" t="s">
        <v>937</v>
      </c>
      <c r="I71" s="5" t="s">
        <v>688</v>
      </c>
      <c r="J71" s="6" t="s">
        <v>111</v>
      </c>
      <c r="K71" s="6" t="s">
        <v>938</v>
      </c>
      <c r="L71" s="6" t="s">
        <v>939</v>
      </c>
      <c r="M71" s="6" t="s">
        <v>111</v>
      </c>
      <c r="N71" s="6" t="s">
        <v>111</v>
      </c>
      <c r="O71" s="6" t="s">
        <v>111</v>
      </c>
      <c r="P71" s="6" t="s">
        <v>111</v>
      </c>
      <c r="Q71" s="6" t="s">
        <v>111</v>
      </c>
      <c r="R71" s="5" t="s">
        <v>940</v>
      </c>
      <c r="S71" s="6" t="s">
        <v>67</v>
      </c>
      <c r="T71" s="7">
        <v>46367</v>
      </c>
      <c r="U71" s="6" t="s">
        <v>513</v>
      </c>
      <c r="V71" s="5" t="s">
        <v>941</v>
      </c>
    </row>
    <row r="72" ht="42" customHeight="1" spans="1:22">
      <c r="A72" s="5" t="s">
        <v>1011</v>
      </c>
      <c r="B72" s="5" t="s">
        <v>717</v>
      </c>
      <c r="C72" s="5" t="s">
        <v>688</v>
      </c>
      <c r="D72" s="5" t="s">
        <v>718</v>
      </c>
      <c r="E72" s="5" t="s">
        <v>719</v>
      </c>
      <c r="F72" s="5" t="s">
        <v>109</v>
      </c>
      <c r="G72" s="5" t="s">
        <v>710</v>
      </c>
      <c r="H72" s="5" t="s">
        <v>937</v>
      </c>
      <c r="I72" s="5" t="s">
        <v>688</v>
      </c>
      <c r="J72" s="6" t="s">
        <v>111</v>
      </c>
      <c r="K72" s="6" t="s">
        <v>938</v>
      </c>
      <c r="L72" s="6" t="s">
        <v>939</v>
      </c>
      <c r="M72" s="6" t="s">
        <v>111</v>
      </c>
      <c r="N72" s="6" t="s">
        <v>111</v>
      </c>
      <c r="O72" s="6" t="s">
        <v>111</v>
      </c>
      <c r="P72" s="6" t="s">
        <v>111</v>
      </c>
      <c r="Q72" s="6" t="s">
        <v>111</v>
      </c>
      <c r="R72" s="5" t="s">
        <v>940</v>
      </c>
      <c r="S72" s="6" t="s">
        <v>67</v>
      </c>
      <c r="T72" s="7">
        <v>46367</v>
      </c>
      <c r="U72" s="6" t="s">
        <v>513</v>
      </c>
      <c r="V72" s="5" t="s">
        <v>941</v>
      </c>
    </row>
    <row r="73" ht="42" customHeight="1" spans="1:22">
      <c r="A73" s="5" t="s">
        <v>1012</v>
      </c>
      <c r="B73" s="5" t="s">
        <v>720</v>
      </c>
      <c r="C73" s="5" t="s">
        <v>721</v>
      </c>
      <c r="D73" s="5" t="s">
        <v>722</v>
      </c>
      <c r="E73" s="5" t="s">
        <v>723</v>
      </c>
      <c r="F73" s="5" t="s">
        <v>109</v>
      </c>
      <c r="G73" s="5" t="s">
        <v>724</v>
      </c>
      <c r="H73" s="5" t="s">
        <v>111</v>
      </c>
      <c r="I73" s="5" t="s">
        <v>111</v>
      </c>
      <c r="J73" s="6" t="s">
        <v>111</v>
      </c>
      <c r="K73" s="6" t="s">
        <v>938</v>
      </c>
      <c r="L73" s="6" t="s">
        <v>939</v>
      </c>
      <c r="M73" s="6" t="s">
        <v>111</v>
      </c>
      <c r="N73" s="6" t="s">
        <v>111</v>
      </c>
      <c r="O73" s="6" t="s">
        <v>111</v>
      </c>
      <c r="P73" s="6" t="s">
        <v>111</v>
      </c>
      <c r="Q73" s="6" t="s">
        <v>111</v>
      </c>
      <c r="R73" s="5" t="s">
        <v>1013</v>
      </c>
      <c r="S73" s="6" t="s">
        <v>67</v>
      </c>
      <c r="T73" s="7">
        <v>46374</v>
      </c>
      <c r="U73" s="6" t="s">
        <v>513</v>
      </c>
      <c r="V73" s="5" t="s">
        <v>941</v>
      </c>
    </row>
    <row r="74" ht="42" customHeight="1" spans="1:22">
      <c r="A74" s="5" t="s">
        <v>1014</v>
      </c>
      <c r="B74" s="5" t="s">
        <v>726</v>
      </c>
      <c r="C74" s="5" t="s">
        <v>721</v>
      </c>
      <c r="D74" s="5" t="s">
        <v>190</v>
      </c>
      <c r="E74" s="5" t="s">
        <v>727</v>
      </c>
      <c r="F74" s="5" t="s">
        <v>109</v>
      </c>
      <c r="G74" s="5" t="s">
        <v>724</v>
      </c>
      <c r="H74" s="5" t="s">
        <v>111</v>
      </c>
      <c r="I74" s="5" t="s">
        <v>111</v>
      </c>
      <c r="J74" s="6" t="s">
        <v>111</v>
      </c>
      <c r="K74" s="6" t="s">
        <v>938</v>
      </c>
      <c r="L74" s="6" t="s">
        <v>939</v>
      </c>
      <c r="M74" s="6" t="s">
        <v>111</v>
      </c>
      <c r="N74" s="6" t="s">
        <v>111</v>
      </c>
      <c r="O74" s="6" t="s">
        <v>111</v>
      </c>
      <c r="P74" s="6" t="s">
        <v>111</v>
      </c>
      <c r="Q74" s="6" t="s">
        <v>111</v>
      </c>
      <c r="R74" s="5" t="s">
        <v>1013</v>
      </c>
      <c r="S74" s="6" t="s">
        <v>67</v>
      </c>
      <c r="T74" s="7">
        <v>46374</v>
      </c>
      <c r="U74" s="6" t="s">
        <v>513</v>
      </c>
      <c r="V74" s="5" t="s">
        <v>941</v>
      </c>
    </row>
    <row r="75" ht="42" customHeight="1" spans="1:22">
      <c r="A75" s="5" t="s">
        <v>1015</v>
      </c>
      <c r="B75" s="5" t="s">
        <v>728</v>
      </c>
      <c r="C75" s="5" t="s">
        <v>721</v>
      </c>
      <c r="D75" s="5" t="s">
        <v>712</v>
      </c>
      <c r="E75" s="5" t="s">
        <v>713</v>
      </c>
      <c r="F75" s="5" t="s">
        <v>109</v>
      </c>
      <c r="G75" s="5" t="s">
        <v>724</v>
      </c>
      <c r="H75" s="5" t="s">
        <v>111</v>
      </c>
      <c r="I75" s="5" t="s">
        <v>111</v>
      </c>
      <c r="J75" s="6" t="s">
        <v>111</v>
      </c>
      <c r="K75" s="6" t="s">
        <v>938</v>
      </c>
      <c r="L75" s="6" t="s">
        <v>939</v>
      </c>
      <c r="M75" s="6" t="s">
        <v>111</v>
      </c>
      <c r="N75" s="6" t="s">
        <v>111</v>
      </c>
      <c r="O75" s="6" t="s">
        <v>111</v>
      </c>
      <c r="P75" s="6" t="s">
        <v>111</v>
      </c>
      <c r="Q75" s="6" t="s">
        <v>111</v>
      </c>
      <c r="R75" s="5" t="s">
        <v>1013</v>
      </c>
      <c r="S75" s="6" t="s">
        <v>67</v>
      </c>
      <c r="T75" s="7">
        <v>46374</v>
      </c>
      <c r="U75" s="6" t="s">
        <v>513</v>
      </c>
      <c r="V75" s="5" t="s">
        <v>941</v>
      </c>
    </row>
    <row r="76" ht="42" customHeight="1" spans="1:22">
      <c r="A76" s="5" t="s">
        <v>1016</v>
      </c>
      <c r="B76" s="5" t="s">
        <v>729</v>
      </c>
      <c r="C76" s="5" t="s">
        <v>721</v>
      </c>
      <c r="D76" s="5" t="s">
        <v>715</v>
      </c>
      <c r="E76" s="5" t="s">
        <v>730</v>
      </c>
      <c r="F76" s="5" t="s">
        <v>109</v>
      </c>
      <c r="G76" s="5" t="s">
        <v>724</v>
      </c>
      <c r="H76" s="5" t="s">
        <v>111</v>
      </c>
      <c r="I76" s="5" t="s">
        <v>111</v>
      </c>
      <c r="J76" s="6" t="s">
        <v>111</v>
      </c>
      <c r="K76" s="6" t="s">
        <v>938</v>
      </c>
      <c r="L76" s="6" t="s">
        <v>939</v>
      </c>
      <c r="M76" s="6" t="s">
        <v>111</v>
      </c>
      <c r="N76" s="6" t="s">
        <v>111</v>
      </c>
      <c r="O76" s="6" t="s">
        <v>111</v>
      </c>
      <c r="P76" s="6" t="s">
        <v>111</v>
      </c>
      <c r="Q76" s="6" t="s">
        <v>111</v>
      </c>
      <c r="R76" s="5" t="s">
        <v>1013</v>
      </c>
      <c r="S76" s="6" t="s">
        <v>67</v>
      </c>
      <c r="T76" s="7">
        <v>46374</v>
      </c>
      <c r="U76" s="6" t="s">
        <v>513</v>
      </c>
      <c r="V76" s="5" t="s">
        <v>941</v>
      </c>
    </row>
    <row r="77" ht="42" customHeight="1" spans="1:22">
      <c r="A77" s="5" t="s">
        <v>1017</v>
      </c>
      <c r="B77" s="5" t="s">
        <v>731</v>
      </c>
      <c r="C77" s="5" t="s">
        <v>721</v>
      </c>
      <c r="D77" s="5" t="s">
        <v>718</v>
      </c>
      <c r="E77" s="5" t="s">
        <v>732</v>
      </c>
      <c r="F77" s="5" t="s">
        <v>109</v>
      </c>
      <c r="G77" s="5" t="s">
        <v>724</v>
      </c>
      <c r="H77" s="5" t="s">
        <v>111</v>
      </c>
      <c r="I77" s="5" t="s">
        <v>111</v>
      </c>
      <c r="J77" s="6" t="s">
        <v>111</v>
      </c>
      <c r="K77" s="6" t="s">
        <v>938</v>
      </c>
      <c r="L77" s="6" t="s">
        <v>939</v>
      </c>
      <c r="M77" s="6" t="s">
        <v>111</v>
      </c>
      <c r="N77" s="6" t="s">
        <v>111</v>
      </c>
      <c r="O77" s="6" t="s">
        <v>111</v>
      </c>
      <c r="P77" s="6" t="s">
        <v>111</v>
      </c>
      <c r="Q77" s="6" t="s">
        <v>111</v>
      </c>
      <c r="R77" s="5" t="s">
        <v>1013</v>
      </c>
      <c r="S77" s="6" t="s">
        <v>67</v>
      </c>
      <c r="T77" s="7">
        <v>46374</v>
      </c>
      <c r="U77" s="6" t="s">
        <v>513</v>
      </c>
      <c r="V77" s="5" t="s">
        <v>941</v>
      </c>
    </row>
    <row r="78" ht="42" customHeight="1" spans="1:22">
      <c r="A78" s="5" t="s">
        <v>1018</v>
      </c>
      <c r="B78" s="5" t="s">
        <v>733</v>
      </c>
      <c r="C78" s="5" t="s">
        <v>721</v>
      </c>
      <c r="D78" s="5" t="s">
        <v>734</v>
      </c>
      <c r="E78" s="5" t="s">
        <v>735</v>
      </c>
      <c r="F78" s="5" t="s">
        <v>109</v>
      </c>
      <c r="G78" s="5" t="s">
        <v>724</v>
      </c>
      <c r="H78" s="5" t="s">
        <v>111</v>
      </c>
      <c r="I78" s="5" t="s">
        <v>111</v>
      </c>
      <c r="J78" s="6" t="s">
        <v>111</v>
      </c>
      <c r="K78" s="6" t="s">
        <v>938</v>
      </c>
      <c r="L78" s="6" t="s">
        <v>939</v>
      </c>
      <c r="M78" s="6" t="s">
        <v>111</v>
      </c>
      <c r="N78" s="6" t="s">
        <v>111</v>
      </c>
      <c r="O78" s="6" t="s">
        <v>111</v>
      </c>
      <c r="P78" s="6" t="s">
        <v>111</v>
      </c>
      <c r="Q78" s="6" t="s">
        <v>111</v>
      </c>
      <c r="R78" s="5" t="s">
        <v>1013</v>
      </c>
      <c r="S78" s="6" t="s">
        <v>67</v>
      </c>
      <c r="T78" s="7">
        <v>46374</v>
      </c>
      <c r="U78" s="6" t="s">
        <v>513</v>
      </c>
      <c r="V78" s="5" t="s">
        <v>941</v>
      </c>
    </row>
    <row r="79" ht="42" customHeight="1" spans="1:22">
      <c r="A79" s="5" t="s">
        <v>1019</v>
      </c>
      <c r="B79" s="5" t="s">
        <v>736</v>
      </c>
      <c r="C79" s="5" t="s">
        <v>721</v>
      </c>
      <c r="D79" s="5" t="s">
        <v>737</v>
      </c>
      <c r="E79" s="5" t="s">
        <v>738</v>
      </c>
      <c r="F79" s="5" t="s">
        <v>109</v>
      </c>
      <c r="G79" s="5" t="s">
        <v>724</v>
      </c>
      <c r="H79" s="5" t="s">
        <v>111</v>
      </c>
      <c r="I79" s="5" t="s">
        <v>111</v>
      </c>
      <c r="J79" s="6" t="s">
        <v>111</v>
      </c>
      <c r="K79" s="6" t="s">
        <v>938</v>
      </c>
      <c r="L79" s="6" t="s">
        <v>939</v>
      </c>
      <c r="M79" s="6" t="s">
        <v>111</v>
      </c>
      <c r="N79" s="6" t="s">
        <v>111</v>
      </c>
      <c r="O79" s="6" t="s">
        <v>111</v>
      </c>
      <c r="P79" s="6" t="s">
        <v>111</v>
      </c>
      <c r="Q79" s="6" t="s">
        <v>111</v>
      </c>
      <c r="R79" s="5" t="s">
        <v>1013</v>
      </c>
      <c r="S79" s="6" t="s">
        <v>67</v>
      </c>
      <c r="T79" s="7">
        <v>46374</v>
      </c>
      <c r="U79" s="6" t="s">
        <v>513</v>
      </c>
      <c r="V79" s="5" t="s">
        <v>941</v>
      </c>
    </row>
    <row r="80" ht="42" customHeight="1" spans="1:22">
      <c r="A80" s="5" t="s">
        <v>1020</v>
      </c>
      <c r="B80" s="5" t="s">
        <v>739</v>
      </c>
      <c r="C80" s="5" t="s">
        <v>740</v>
      </c>
      <c r="D80" s="5" t="s">
        <v>741</v>
      </c>
      <c r="E80" s="5" t="s">
        <v>742</v>
      </c>
      <c r="F80" s="5" t="s">
        <v>109</v>
      </c>
      <c r="G80" s="5" t="s">
        <v>743</v>
      </c>
      <c r="H80" s="5" t="s">
        <v>937</v>
      </c>
      <c r="I80" s="5" t="s">
        <v>740</v>
      </c>
      <c r="J80" s="6" t="s">
        <v>947</v>
      </c>
      <c r="K80" s="6" t="s">
        <v>938</v>
      </c>
      <c r="L80" s="6" t="s">
        <v>939</v>
      </c>
      <c r="M80" s="6" t="s">
        <v>111</v>
      </c>
      <c r="N80" s="6" t="s">
        <v>111</v>
      </c>
      <c r="O80" s="6" t="s">
        <v>111</v>
      </c>
      <c r="P80" s="6" t="s">
        <v>111</v>
      </c>
      <c r="Q80" s="6" t="s">
        <v>111</v>
      </c>
      <c r="R80" s="5" t="s">
        <v>1021</v>
      </c>
      <c r="S80" s="6" t="s">
        <v>67</v>
      </c>
      <c r="T80" s="7">
        <v>46353</v>
      </c>
      <c r="U80" s="6" t="s">
        <v>513</v>
      </c>
      <c r="V80" s="5" t="s">
        <v>941</v>
      </c>
    </row>
    <row r="81" ht="42" customHeight="1" spans="1:22">
      <c r="A81" s="5" t="s">
        <v>1022</v>
      </c>
      <c r="B81" s="5" t="s">
        <v>745</v>
      </c>
      <c r="C81" s="5" t="s">
        <v>746</v>
      </c>
      <c r="D81" s="5" t="s">
        <v>747</v>
      </c>
      <c r="E81" s="5" t="s">
        <v>748</v>
      </c>
      <c r="F81" s="5" t="s">
        <v>109</v>
      </c>
      <c r="G81" s="5" t="s">
        <v>749</v>
      </c>
      <c r="H81" s="5" t="s">
        <v>937</v>
      </c>
      <c r="I81" s="5" t="s">
        <v>746</v>
      </c>
      <c r="J81" s="6" t="s">
        <v>111</v>
      </c>
      <c r="K81" s="6" t="s">
        <v>938</v>
      </c>
      <c r="L81" s="6" t="s">
        <v>939</v>
      </c>
      <c r="M81" s="6" t="s">
        <v>111</v>
      </c>
      <c r="N81" s="6" t="s">
        <v>111</v>
      </c>
      <c r="O81" s="6" t="s">
        <v>111</v>
      </c>
      <c r="P81" s="6" t="s">
        <v>111</v>
      </c>
      <c r="Q81" s="6" t="s">
        <v>111</v>
      </c>
      <c r="R81" s="5" t="s">
        <v>966</v>
      </c>
      <c r="S81" s="6" t="s">
        <v>67</v>
      </c>
      <c r="T81" s="7">
        <v>46374</v>
      </c>
      <c r="U81" s="6" t="s">
        <v>513</v>
      </c>
      <c r="V81" s="5" t="s">
        <v>941</v>
      </c>
    </row>
    <row r="82" ht="42" customHeight="1" spans="1:22">
      <c r="A82" s="5" t="s">
        <v>1023</v>
      </c>
      <c r="B82" s="5" t="s">
        <v>751</v>
      </c>
      <c r="C82" s="5" t="s">
        <v>746</v>
      </c>
      <c r="D82" s="5" t="s">
        <v>752</v>
      </c>
      <c r="E82" s="5" t="s">
        <v>753</v>
      </c>
      <c r="F82" s="5" t="s">
        <v>109</v>
      </c>
      <c r="G82" s="5" t="s">
        <v>754</v>
      </c>
      <c r="H82" s="5" t="s">
        <v>937</v>
      </c>
      <c r="I82" s="5" t="s">
        <v>746</v>
      </c>
      <c r="J82" s="6" t="s">
        <v>947</v>
      </c>
      <c r="K82" s="6" t="s">
        <v>938</v>
      </c>
      <c r="L82" s="6" t="s">
        <v>939</v>
      </c>
      <c r="M82" s="6" t="s">
        <v>111</v>
      </c>
      <c r="N82" s="6" t="s">
        <v>111</v>
      </c>
      <c r="O82" s="6" t="s">
        <v>111</v>
      </c>
      <c r="P82" s="6" t="s">
        <v>111</v>
      </c>
      <c r="Q82" s="6" t="s">
        <v>111</v>
      </c>
      <c r="R82" s="5" t="s">
        <v>966</v>
      </c>
      <c r="S82" s="6" t="s">
        <v>67</v>
      </c>
      <c r="T82" s="7">
        <v>46374</v>
      </c>
      <c r="U82" s="6" t="s">
        <v>513</v>
      </c>
      <c r="V82" s="5" t="s">
        <v>941</v>
      </c>
    </row>
    <row r="83" ht="42" customHeight="1" spans="1:22">
      <c r="A83" s="5" t="s">
        <v>1024</v>
      </c>
      <c r="B83" s="5" t="s">
        <v>761</v>
      </c>
      <c r="C83" s="5" t="s">
        <v>762</v>
      </c>
      <c r="D83" s="5" t="s">
        <v>763</v>
      </c>
      <c r="E83" s="5" t="s">
        <v>764</v>
      </c>
      <c r="F83" s="5" t="s">
        <v>109</v>
      </c>
      <c r="G83" s="5" t="s">
        <v>765</v>
      </c>
      <c r="H83" s="5" t="s">
        <v>762</v>
      </c>
      <c r="I83" s="5" t="s">
        <v>937</v>
      </c>
      <c r="J83" s="6" t="s">
        <v>111</v>
      </c>
      <c r="K83" s="6" t="s">
        <v>938</v>
      </c>
      <c r="L83" s="6" t="s">
        <v>939</v>
      </c>
      <c r="M83" s="6" t="s">
        <v>111</v>
      </c>
      <c r="N83" s="6" t="s">
        <v>111</v>
      </c>
      <c r="O83" s="6" t="s">
        <v>111</v>
      </c>
      <c r="P83" s="6" t="s">
        <v>111</v>
      </c>
      <c r="Q83" s="6" t="s">
        <v>111</v>
      </c>
      <c r="R83" s="5" t="s">
        <v>940</v>
      </c>
      <c r="S83" s="6" t="s">
        <v>67</v>
      </c>
      <c r="T83" s="7">
        <v>46353</v>
      </c>
      <c r="U83" s="6" t="s">
        <v>513</v>
      </c>
      <c r="V83" s="5" t="s">
        <v>941</v>
      </c>
    </row>
    <row r="84" ht="42" customHeight="1" spans="1:22">
      <c r="A84" s="5" t="s">
        <v>1025</v>
      </c>
      <c r="B84" s="5" t="s">
        <v>767</v>
      </c>
      <c r="C84" s="5" t="s">
        <v>762</v>
      </c>
      <c r="D84" s="5" t="s">
        <v>768</v>
      </c>
      <c r="E84" s="5" t="s">
        <v>769</v>
      </c>
      <c r="F84" s="5" t="s">
        <v>109</v>
      </c>
      <c r="G84" s="5" t="s">
        <v>765</v>
      </c>
      <c r="H84" s="5" t="s">
        <v>762</v>
      </c>
      <c r="I84" s="5" t="s">
        <v>937</v>
      </c>
      <c r="J84" s="6" t="s">
        <v>111</v>
      </c>
      <c r="K84" s="6" t="s">
        <v>938</v>
      </c>
      <c r="L84" s="6" t="s">
        <v>939</v>
      </c>
      <c r="M84" s="6" t="s">
        <v>111</v>
      </c>
      <c r="N84" s="6" t="s">
        <v>111</v>
      </c>
      <c r="O84" s="6" t="s">
        <v>111</v>
      </c>
      <c r="P84" s="6" t="s">
        <v>111</v>
      </c>
      <c r="Q84" s="6" t="s">
        <v>111</v>
      </c>
      <c r="R84" s="5" t="s">
        <v>940</v>
      </c>
      <c r="S84" s="6" t="s">
        <v>67</v>
      </c>
      <c r="T84" s="7">
        <v>46353</v>
      </c>
      <c r="U84" s="6" t="s">
        <v>513</v>
      </c>
      <c r="V84" s="5" t="s">
        <v>941</v>
      </c>
    </row>
    <row r="85" ht="42" customHeight="1" spans="1:22">
      <c r="A85" s="5" t="s">
        <v>1026</v>
      </c>
      <c r="B85" s="5" t="s">
        <v>770</v>
      </c>
      <c r="C85" s="5" t="s">
        <v>762</v>
      </c>
      <c r="D85" s="5" t="s">
        <v>771</v>
      </c>
      <c r="E85" s="5" t="s">
        <v>772</v>
      </c>
      <c r="F85" s="5" t="s">
        <v>109</v>
      </c>
      <c r="G85" s="5" t="s">
        <v>765</v>
      </c>
      <c r="H85" s="5" t="s">
        <v>762</v>
      </c>
      <c r="I85" s="5" t="s">
        <v>937</v>
      </c>
      <c r="J85" s="6" t="s">
        <v>111</v>
      </c>
      <c r="K85" s="6" t="s">
        <v>938</v>
      </c>
      <c r="L85" s="6" t="s">
        <v>939</v>
      </c>
      <c r="M85" s="6" t="s">
        <v>111</v>
      </c>
      <c r="N85" s="6" t="s">
        <v>111</v>
      </c>
      <c r="O85" s="6" t="s">
        <v>111</v>
      </c>
      <c r="P85" s="6" t="s">
        <v>111</v>
      </c>
      <c r="Q85" s="6" t="s">
        <v>111</v>
      </c>
      <c r="R85" s="5" t="s">
        <v>940</v>
      </c>
      <c r="S85" s="6" t="s">
        <v>67</v>
      </c>
      <c r="T85" s="7">
        <v>46353</v>
      </c>
      <c r="U85" s="6" t="s">
        <v>513</v>
      </c>
      <c r="V85" s="5" t="s">
        <v>941</v>
      </c>
    </row>
    <row r="86" ht="42" customHeight="1" spans="1:22">
      <c r="A86" s="5" t="s">
        <v>1027</v>
      </c>
      <c r="B86" s="5" t="s">
        <v>773</v>
      </c>
      <c r="C86" s="5" t="s">
        <v>762</v>
      </c>
      <c r="D86" s="5" t="s">
        <v>774</v>
      </c>
      <c r="E86" s="5" t="s">
        <v>775</v>
      </c>
      <c r="F86" s="5" t="s">
        <v>109</v>
      </c>
      <c r="G86" s="5" t="s">
        <v>765</v>
      </c>
      <c r="H86" s="5" t="s">
        <v>762</v>
      </c>
      <c r="I86" s="5" t="s">
        <v>937</v>
      </c>
      <c r="J86" s="6" t="s">
        <v>111</v>
      </c>
      <c r="K86" s="6" t="s">
        <v>938</v>
      </c>
      <c r="L86" s="6" t="s">
        <v>939</v>
      </c>
      <c r="M86" s="6" t="s">
        <v>111</v>
      </c>
      <c r="N86" s="6" t="s">
        <v>111</v>
      </c>
      <c r="O86" s="6" t="s">
        <v>111</v>
      </c>
      <c r="P86" s="6" t="s">
        <v>111</v>
      </c>
      <c r="Q86" s="6" t="s">
        <v>111</v>
      </c>
      <c r="R86" s="5" t="s">
        <v>940</v>
      </c>
      <c r="S86" s="6" t="s">
        <v>67</v>
      </c>
      <c r="T86" s="7">
        <v>46353</v>
      </c>
      <c r="U86" s="6" t="s">
        <v>513</v>
      </c>
      <c r="V86" s="5" t="s">
        <v>941</v>
      </c>
    </row>
    <row r="87" ht="42" customHeight="1" spans="1:22">
      <c r="A87" s="5" t="s">
        <v>1028</v>
      </c>
      <c r="B87" s="5" t="s">
        <v>776</v>
      </c>
      <c r="C87" s="5" t="s">
        <v>762</v>
      </c>
      <c r="D87" s="5" t="s">
        <v>777</v>
      </c>
      <c r="E87" s="5" t="s">
        <v>778</v>
      </c>
      <c r="F87" s="5" t="s">
        <v>109</v>
      </c>
      <c r="G87" s="5" t="s">
        <v>765</v>
      </c>
      <c r="H87" s="5" t="s">
        <v>762</v>
      </c>
      <c r="I87" s="5" t="s">
        <v>937</v>
      </c>
      <c r="J87" s="6" t="s">
        <v>111</v>
      </c>
      <c r="K87" s="6" t="s">
        <v>938</v>
      </c>
      <c r="L87" s="6" t="s">
        <v>939</v>
      </c>
      <c r="M87" s="6" t="s">
        <v>111</v>
      </c>
      <c r="N87" s="6" t="s">
        <v>111</v>
      </c>
      <c r="O87" s="6" t="s">
        <v>111</v>
      </c>
      <c r="P87" s="6" t="s">
        <v>111</v>
      </c>
      <c r="Q87" s="6" t="s">
        <v>111</v>
      </c>
      <c r="R87" s="5" t="s">
        <v>940</v>
      </c>
      <c r="S87" s="6" t="s">
        <v>67</v>
      </c>
      <c r="T87" s="7">
        <v>46353</v>
      </c>
      <c r="U87" s="6" t="s">
        <v>513</v>
      </c>
      <c r="V87" s="5" t="s">
        <v>941</v>
      </c>
    </row>
    <row r="88" ht="42" customHeight="1" spans="1:22">
      <c r="A88" s="5" t="s">
        <v>1029</v>
      </c>
      <c r="B88" s="5" t="s">
        <v>779</v>
      </c>
      <c r="C88" s="5" t="s">
        <v>762</v>
      </c>
      <c r="D88" s="5" t="s">
        <v>780</v>
      </c>
      <c r="E88" s="5" t="s">
        <v>781</v>
      </c>
      <c r="F88" s="5" t="s">
        <v>109</v>
      </c>
      <c r="G88" s="5" t="s">
        <v>765</v>
      </c>
      <c r="H88" s="5" t="s">
        <v>762</v>
      </c>
      <c r="I88" s="5" t="s">
        <v>937</v>
      </c>
      <c r="J88" s="6" t="s">
        <v>111</v>
      </c>
      <c r="K88" s="6" t="s">
        <v>938</v>
      </c>
      <c r="L88" s="6" t="s">
        <v>939</v>
      </c>
      <c r="M88" s="6" t="s">
        <v>111</v>
      </c>
      <c r="N88" s="6" t="s">
        <v>111</v>
      </c>
      <c r="O88" s="6" t="s">
        <v>111</v>
      </c>
      <c r="P88" s="6" t="s">
        <v>111</v>
      </c>
      <c r="Q88" s="6" t="s">
        <v>111</v>
      </c>
      <c r="R88" s="5" t="s">
        <v>940</v>
      </c>
      <c r="S88" s="6" t="s">
        <v>67</v>
      </c>
      <c r="T88" s="7">
        <v>46353</v>
      </c>
      <c r="U88" s="6" t="s">
        <v>513</v>
      </c>
      <c r="V88" s="5" t="s">
        <v>941</v>
      </c>
    </row>
    <row r="89" ht="42" customHeight="1" spans="1:22">
      <c r="A89" s="5" t="s">
        <v>1030</v>
      </c>
      <c r="B89" s="5" t="s">
        <v>782</v>
      </c>
      <c r="C89" s="5" t="s">
        <v>762</v>
      </c>
      <c r="D89" s="5" t="s">
        <v>783</v>
      </c>
      <c r="E89" s="5" t="s">
        <v>784</v>
      </c>
      <c r="F89" s="5" t="s">
        <v>109</v>
      </c>
      <c r="G89" s="5" t="s">
        <v>765</v>
      </c>
      <c r="H89" s="5" t="s">
        <v>762</v>
      </c>
      <c r="I89" s="5" t="s">
        <v>937</v>
      </c>
      <c r="J89" s="6" t="s">
        <v>111</v>
      </c>
      <c r="K89" s="6" t="s">
        <v>938</v>
      </c>
      <c r="L89" s="6" t="s">
        <v>939</v>
      </c>
      <c r="M89" s="6" t="s">
        <v>111</v>
      </c>
      <c r="N89" s="6" t="s">
        <v>111</v>
      </c>
      <c r="O89" s="6" t="s">
        <v>111</v>
      </c>
      <c r="P89" s="6" t="s">
        <v>111</v>
      </c>
      <c r="Q89" s="6" t="s">
        <v>111</v>
      </c>
      <c r="R89" s="5" t="s">
        <v>940</v>
      </c>
      <c r="S89" s="6" t="s">
        <v>67</v>
      </c>
      <c r="T89" s="7">
        <v>46353</v>
      </c>
      <c r="U89" s="6" t="s">
        <v>513</v>
      </c>
      <c r="V89" s="5" t="s">
        <v>941</v>
      </c>
    </row>
    <row r="90" ht="42" customHeight="1" spans="1:22">
      <c r="A90" s="5" t="s">
        <v>1031</v>
      </c>
      <c r="B90" s="5" t="s">
        <v>785</v>
      </c>
      <c r="C90" s="5" t="s">
        <v>762</v>
      </c>
      <c r="D90" s="5" t="s">
        <v>786</v>
      </c>
      <c r="E90" s="5" t="s">
        <v>787</v>
      </c>
      <c r="F90" s="5" t="s">
        <v>109</v>
      </c>
      <c r="G90" s="5" t="s">
        <v>765</v>
      </c>
      <c r="H90" s="5" t="s">
        <v>762</v>
      </c>
      <c r="I90" s="5" t="s">
        <v>937</v>
      </c>
      <c r="J90" s="6" t="s">
        <v>111</v>
      </c>
      <c r="K90" s="6" t="s">
        <v>938</v>
      </c>
      <c r="L90" s="6" t="s">
        <v>939</v>
      </c>
      <c r="M90" s="6" t="s">
        <v>111</v>
      </c>
      <c r="N90" s="6" t="s">
        <v>111</v>
      </c>
      <c r="O90" s="6" t="s">
        <v>111</v>
      </c>
      <c r="P90" s="6" t="s">
        <v>111</v>
      </c>
      <c r="Q90" s="6" t="s">
        <v>111</v>
      </c>
      <c r="R90" s="5" t="s">
        <v>940</v>
      </c>
      <c r="S90" s="6" t="s">
        <v>67</v>
      </c>
      <c r="T90" s="7">
        <v>46353</v>
      </c>
      <c r="U90" s="6" t="s">
        <v>513</v>
      </c>
      <c r="V90" s="5" t="s">
        <v>941</v>
      </c>
    </row>
    <row r="91" ht="42" customHeight="1" spans="1:22">
      <c r="A91" s="5" t="s">
        <v>1032</v>
      </c>
      <c r="B91" s="5" t="s">
        <v>788</v>
      </c>
      <c r="C91" s="5" t="s">
        <v>762</v>
      </c>
      <c r="D91" s="5" t="s">
        <v>789</v>
      </c>
      <c r="E91" s="5" t="s">
        <v>790</v>
      </c>
      <c r="F91" s="5" t="s">
        <v>109</v>
      </c>
      <c r="G91" s="5" t="s">
        <v>765</v>
      </c>
      <c r="H91" s="5" t="s">
        <v>762</v>
      </c>
      <c r="I91" s="5" t="s">
        <v>937</v>
      </c>
      <c r="J91" s="6" t="s">
        <v>111</v>
      </c>
      <c r="K91" s="6" t="s">
        <v>938</v>
      </c>
      <c r="L91" s="6" t="s">
        <v>939</v>
      </c>
      <c r="M91" s="6" t="s">
        <v>111</v>
      </c>
      <c r="N91" s="6" t="s">
        <v>111</v>
      </c>
      <c r="O91" s="6" t="s">
        <v>111</v>
      </c>
      <c r="P91" s="6" t="s">
        <v>111</v>
      </c>
      <c r="Q91" s="6" t="s">
        <v>111</v>
      </c>
      <c r="R91" s="5" t="s">
        <v>940</v>
      </c>
      <c r="S91" s="6" t="s">
        <v>67</v>
      </c>
      <c r="T91" s="7">
        <v>46353</v>
      </c>
      <c r="U91" s="6" t="s">
        <v>513</v>
      </c>
      <c r="V91" s="5" t="s">
        <v>941</v>
      </c>
    </row>
    <row r="92" ht="42" customHeight="1" spans="1:22">
      <c r="A92" s="5" t="s">
        <v>1033</v>
      </c>
      <c r="B92" s="5" t="s">
        <v>799</v>
      </c>
      <c r="C92" s="5" t="s">
        <v>762</v>
      </c>
      <c r="D92" s="5" t="s">
        <v>800</v>
      </c>
      <c r="E92" s="5" t="s">
        <v>801</v>
      </c>
      <c r="F92" s="5" t="s">
        <v>109</v>
      </c>
      <c r="G92" s="5" t="s">
        <v>765</v>
      </c>
      <c r="H92" s="5" t="s">
        <v>762</v>
      </c>
      <c r="I92" s="5" t="s">
        <v>937</v>
      </c>
      <c r="J92" s="6" t="s">
        <v>111</v>
      </c>
      <c r="K92" s="6" t="s">
        <v>938</v>
      </c>
      <c r="L92" s="6" t="s">
        <v>939</v>
      </c>
      <c r="M92" s="6" t="s">
        <v>111</v>
      </c>
      <c r="N92" s="6" t="s">
        <v>111</v>
      </c>
      <c r="O92" s="6" t="s">
        <v>111</v>
      </c>
      <c r="P92" s="6" t="s">
        <v>111</v>
      </c>
      <c r="Q92" s="6" t="s">
        <v>111</v>
      </c>
      <c r="R92" s="5" t="s">
        <v>940</v>
      </c>
      <c r="S92" s="6" t="s">
        <v>67</v>
      </c>
      <c r="T92" s="7">
        <v>46353</v>
      </c>
      <c r="U92" s="6" t="s">
        <v>513</v>
      </c>
      <c r="V92" s="5" t="s">
        <v>941</v>
      </c>
    </row>
    <row r="93" ht="42" customHeight="1" spans="1:22">
      <c r="A93" s="5" t="s">
        <v>1034</v>
      </c>
      <c r="B93" s="5" t="s">
        <v>802</v>
      </c>
      <c r="C93" s="5" t="s">
        <v>762</v>
      </c>
      <c r="D93" s="5" t="s">
        <v>803</v>
      </c>
      <c r="E93" s="5" t="s">
        <v>804</v>
      </c>
      <c r="F93" s="5" t="s">
        <v>109</v>
      </c>
      <c r="G93" s="5" t="s">
        <v>765</v>
      </c>
      <c r="H93" s="5" t="s">
        <v>762</v>
      </c>
      <c r="I93" s="5" t="s">
        <v>937</v>
      </c>
      <c r="J93" s="6" t="s">
        <v>111</v>
      </c>
      <c r="K93" s="6" t="s">
        <v>938</v>
      </c>
      <c r="L93" s="6" t="s">
        <v>939</v>
      </c>
      <c r="M93" s="6" t="s">
        <v>111</v>
      </c>
      <c r="N93" s="6" t="s">
        <v>111</v>
      </c>
      <c r="O93" s="6" t="s">
        <v>111</v>
      </c>
      <c r="P93" s="6" t="s">
        <v>111</v>
      </c>
      <c r="Q93" s="6" t="s">
        <v>111</v>
      </c>
      <c r="R93" s="5" t="s">
        <v>940</v>
      </c>
      <c r="S93" s="6" t="s">
        <v>67</v>
      </c>
      <c r="T93" s="7">
        <v>46353</v>
      </c>
      <c r="U93" s="6" t="s">
        <v>513</v>
      </c>
      <c r="V93" s="5" t="s">
        <v>941</v>
      </c>
    </row>
    <row r="94" ht="42" customHeight="1" spans="1:22">
      <c r="A94" s="5" t="s">
        <v>1035</v>
      </c>
      <c r="B94" s="5" t="s">
        <v>805</v>
      </c>
      <c r="C94" s="5" t="s">
        <v>762</v>
      </c>
      <c r="D94" s="5" t="s">
        <v>806</v>
      </c>
      <c r="E94" s="5" t="s">
        <v>807</v>
      </c>
      <c r="F94" s="5" t="s">
        <v>109</v>
      </c>
      <c r="G94" s="5" t="s">
        <v>765</v>
      </c>
      <c r="H94" s="5" t="s">
        <v>762</v>
      </c>
      <c r="I94" s="5" t="s">
        <v>937</v>
      </c>
      <c r="J94" s="6" t="s">
        <v>111</v>
      </c>
      <c r="K94" s="6" t="s">
        <v>938</v>
      </c>
      <c r="L94" s="6" t="s">
        <v>939</v>
      </c>
      <c r="M94" s="6" t="s">
        <v>111</v>
      </c>
      <c r="N94" s="6" t="s">
        <v>111</v>
      </c>
      <c r="O94" s="6" t="s">
        <v>111</v>
      </c>
      <c r="P94" s="6" t="s">
        <v>111</v>
      </c>
      <c r="Q94" s="6" t="s">
        <v>111</v>
      </c>
      <c r="R94" s="5" t="s">
        <v>940</v>
      </c>
      <c r="S94" s="6" t="s">
        <v>67</v>
      </c>
      <c r="T94" s="7">
        <v>46353</v>
      </c>
      <c r="U94" s="6" t="s">
        <v>513</v>
      </c>
      <c r="V94" s="5" t="s">
        <v>941</v>
      </c>
    </row>
    <row r="95" ht="42" customHeight="1" spans="1:22">
      <c r="A95" s="5" t="s">
        <v>1036</v>
      </c>
      <c r="B95" s="5" t="s">
        <v>808</v>
      </c>
      <c r="C95" s="5" t="s">
        <v>762</v>
      </c>
      <c r="D95" s="5" t="s">
        <v>809</v>
      </c>
      <c r="E95" s="5" t="s">
        <v>810</v>
      </c>
      <c r="F95" s="5" t="s">
        <v>109</v>
      </c>
      <c r="G95" s="5" t="s">
        <v>765</v>
      </c>
      <c r="H95" s="5" t="s">
        <v>762</v>
      </c>
      <c r="I95" s="5" t="s">
        <v>937</v>
      </c>
      <c r="J95" s="6" t="s">
        <v>111</v>
      </c>
      <c r="K95" s="6" t="s">
        <v>938</v>
      </c>
      <c r="L95" s="6" t="s">
        <v>939</v>
      </c>
      <c r="M95" s="6" t="s">
        <v>111</v>
      </c>
      <c r="N95" s="6" t="s">
        <v>111</v>
      </c>
      <c r="O95" s="6" t="s">
        <v>111</v>
      </c>
      <c r="P95" s="6" t="s">
        <v>111</v>
      </c>
      <c r="Q95" s="6" t="s">
        <v>111</v>
      </c>
      <c r="R95" s="5" t="s">
        <v>940</v>
      </c>
      <c r="S95" s="6" t="s">
        <v>67</v>
      </c>
      <c r="T95" s="7">
        <v>46353</v>
      </c>
      <c r="U95" s="6" t="s">
        <v>513</v>
      </c>
      <c r="V95" s="5" t="s">
        <v>941</v>
      </c>
    </row>
    <row r="96" ht="42" customHeight="1" spans="1:22">
      <c r="A96" s="5" t="s">
        <v>1037</v>
      </c>
      <c r="B96" s="5" t="s">
        <v>811</v>
      </c>
      <c r="C96" s="5" t="s">
        <v>762</v>
      </c>
      <c r="D96" s="5" t="s">
        <v>812</v>
      </c>
      <c r="E96" s="5" t="s">
        <v>813</v>
      </c>
      <c r="F96" s="5" t="s">
        <v>109</v>
      </c>
      <c r="G96" s="5" t="s">
        <v>765</v>
      </c>
      <c r="H96" s="5" t="s">
        <v>762</v>
      </c>
      <c r="I96" s="5" t="s">
        <v>937</v>
      </c>
      <c r="J96" s="6" t="s">
        <v>111</v>
      </c>
      <c r="K96" s="6" t="s">
        <v>938</v>
      </c>
      <c r="L96" s="6" t="s">
        <v>939</v>
      </c>
      <c r="M96" s="6" t="s">
        <v>111</v>
      </c>
      <c r="N96" s="6" t="s">
        <v>111</v>
      </c>
      <c r="O96" s="6" t="s">
        <v>111</v>
      </c>
      <c r="P96" s="6" t="s">
        <v>111</v>
      </c>
      <c r="Q96" s="6" t="s">
        <v>111</v>
      </c>
      <c r="R96" s="5" t="s">
        <v>940</v>
      </c>
      <c r="S96" s="6" t="s">
        <v>67</v>
      </c>
      <c r="T96" s="7">
        <v>46353</v>
      </c>
      <c r="U96" s="6" t="s">
        <v>513</v>
      </c>
      <c r="V96" s="5" t="s">
        <v>941</v>
      </c>
    </row>
    <row r="97" ht="42" customHeight="1" spans="1:22">
      <c r="A97" s="5" t="s">
        <v>1038</v>
      </c>
      <c r="B97" s="5" t="s">
        <v>817</v>
      </c>
      <c r="C97" s="5" t="s">
        <v>762</v>
      </c>
      <c r="D97" s="5" t="s">
        <v>818</v>
      </c>
      <c r="E97" s="5" t="s">
        <v>819</v>
      </c>
      <c r="F97" s="5" t="s">
        <v>109</v>
      </c>
      <c r="G97" s="5" t="s">
        <v>765</v>
      </c>
      <c r="H97" s="5" t="s">
        <v>762</v>
      </c>
      <c r="I97" s="5" t="s">
        <v>937</v>
      </c>
      <c r="J97" s="6" t="s">
        <v>111</v>
      </c>
      <c r="K97" s="6" t="s">
        <v>938</v>
      </c>
      <c r="L97" s="6" t="s">
        <v>939</v>
      </c>
      <c r="M97" s="6" t="s">
        <v>111</v>
      </c>
      <c r="N97" s="6" t="s">
        <v>111</v>
      </c>
      <c r="O97" s="6" t="s">
        <v>111</v>
      </c>
      <c r="P97" s="6" t="s">
        <v>111</v>
      </c>
      <c r="Q97" s="6" t="s">
        <v>111</v>
      </c>
      <c r="R97" s="5" t="s">
        <v>940</v>
      </c>
      <c r="S97" s="6" t="s">
        <v>67</v>
      </c>
      <c r="T97" s="7">
        <v>46353</v>
      </c>
      <c r="U97" s="6" t="s">
        <v>513</v>
      </c>
      <c r="V97" s="5" t="s">
        <v>941</v>
      </c>
    </row>
    <row r="98" ht="42" customHeight="1" spans="1:22">
      <c r="A98" s="5" t="s">
        <v>1039</v>
      </c>
      <c r="B98" s="5" t="s">
        <v>823</v>
      </c>
      <c r="C98" s="5" t="s">
        <v>762</v>
      </c>
      <c r="D98" s="5" t="s">
        <v>824</v>
      </c>
      <c r="E98" s="5" t="s">
        <v>825</v>
      </c>
      <c r="F98" s="5" t="s">
        <v>109</v>
      </c>
      <c r="G98" s="5" t="s">
        <v>765</v>
      </c>
      <c r="H98" s="5" t="s">
        <v>762</v>
      </c>
      <c r="I98" s="5" t="s">
        <v>937</v>
      </c>
      <c r="J98" s="6" t="s">
        <v>111</v>
      </c>
      <c r="K98" s="6" t="s">
        <v>938</v>
      </c>
      <c r="L98" s="6" t="s">
        <v>939</v>
      </c>
      <c r="M98" s="6" t="s">
        <v>111</v>
      </c>
      <c r="N98" s="6" t="s">
        <v>111</v>
      </c>
      <c r="O98" s="6" t="s">
        <v>111</v>
      </c>
      <c r="P98" s="6" t="s">
        <v>111</v>
      </c>
      <c r="Q98" s="6" t="s">
        <v>111</v>
      </c>
      <c r="R98" s="5" t="s">
        <v>940</v>
      </c>
      <c r="S98" s="6" t="s">
        <v>67</v>
      </c>
      <c r="T98" s="7">
        <v>46353</v>
      </c>
      <c r="U98" s="6" t="s">
        <v>513</v>
      </c>
      <c r="V98" s="5" t="s">
        <v>941</v>
      </c>
    </row>
  </sheetData>
  <mergeCells count="2">
    <mergeCell ref="A1:V1"/>
    <mergeCell ref="A2:V2"/>
  </mergeCells>
  <conditionalFormatting sqref="U5:U98">
    <cfRule type="expression" dxfId="6" priority="1">
      <formula>U5="已批准"</formula>
    </cfRule>
  </conditionalFormatting>
  <dataValidations count="1">
    <dataValidation type="list" sqref="U5:U98">
      <formula1>"待编制,编制中,待评审,已批准,退回修改"</formula1>
    </dataValidation>
  </dataValidation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11</vt:i4>
      </vt:variant>
    </vt:vector>
  </HeadingPairs>
  <TitlesOfParts>
    <vt:vector size="11" baseType="lpstr">
      <vt:lpstr>使用说明</vt:lpstr>
      <vt:lpstr>范围总览</vt:lpstr>
      <vt:lpstr>需求池</vt:lpstr>
      <vt:lpstr>范围基线</vt:lpstr>
      <vt:lpstr>需求追踪矩阵</vt:lpstr>
      <vt:lpstr>WBS字典</vt:lpstr>
      <vt:lpstr>范围变更评审</vt:lpstr>
      <vt:lpstr>_数据接口</vt:lpstr>
      <vt:lpstr>接口清单</vt:lpstr>
      <vt:lpstr>接口评审清单</vt:lpstr>
      <vt:lpstr>P0接口规格台账</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zlyyh</cp:lastModifiedBy>
  <dcterms:created xsi:type="dcterms:W3CDTF">2026-09-23T22:42:00Z</dcterms:created>
  <dcterms:modified xsi:type="dcterms:W3CDTF">2026-09-30T15:52:05Z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fficeCLI.Version">
    <vt:lpwstr>1.0.103</vt:lpwstr>
  </property>
  <property fmtid="{D5CDD505-2E9C-101B-9397-08002B2CF9AE}" pid="3" name="OfficeCLI.LastModified">
    <vt:lpwstr>2026-09-20T07:31:59Z</vt:lpwstr>
  </property>
  <property fmtid="{D5CDD505-2E9C-101B-9397-08002B2CF9AE}" pid="4" name="ICV">
    <vt:lpwstr>BF5C374E7E202E54CC74B36AADC5DDF3_42</vt:lpwstr>
  </property>
  <property fmtid="{D5CDD505-2E9C-101B-9397-08002B2CF9AE}" pid="5" name="KSOProductBuildVer">
    <vt:lpwstr>2052-12.1.25869.25869</vt:lpwstr>
  </property>
  <property fmtid="{D5CDD505-2E9C-101B-9397-08002B2CF9AE}" pid="6" name="CalculationRule">
    <vt:i4>0</vt:i4>
  </property>
</Properties>
</file>
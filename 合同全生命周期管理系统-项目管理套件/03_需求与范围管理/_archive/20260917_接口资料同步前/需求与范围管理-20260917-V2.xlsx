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260" windowHeight="12660" activeTab="2"/>
  </bookViews>
  <sheets>
    <sheet name="范围总览" sheetId="1" r:id="rId1"/>
    <sheet name="需求池" sheetId="2" r:id="rId2"/>
    <sheet name="范围基线" sheetId="3" r:id="rId3"/>
    <sheet name="需求追踪矩阵" sheetId="4" r:id="rId4"/>
    <sheet name="WBS字典" sheetId="5" r:id="rId5"/>
    <sheet name="范围变更评审" sheetId="6" r:id="rId6"/>
    <sheet name="_数据接口" sheetId="7" r:id="rId7"/>
    <sheet name="使用说明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<sst xmlns="http://schemas.openxmlformats.org/spreadsheetml/2006/main" count="1075" uniqueCount="443">
  <si>
    <t>需求与范围管理总览</t>
  </si>
  <si>
    <t>数据日期：2026-09-17。当前内容为需求基线评审前的初始草案，黄色字段需项目团队确认。</t>
  </si>
  <si>
    <t>需求总数</t>
  </si>
  <si>
    <t/>
  </si>
  <si>
    <t>P0需求</t>
  </si>
  <si>
    <t>待确认/待验证</t>
  </si>
  <si>
    <t>范围项</t>
  </si>
  <si>
    <t>包含/条件包含</t>
  </si>
  <si>
    <t>排除项</t>
  </si>
  <si>
    <t>追踪覆盖率</t>
  </si>
  <si>
    <t>需求基线门禁</t>
  </si>
  <si>
    <t>门禁项</t>
  </si>
  <si>
    <t>当前状态</t>
  </si>
  <si>
    <t>责任人</t>
  </si>
  <si>
    <t>最迟日期</t>
  </si>
  <si>
    <t>通过标准</t>
  </si>
  <si>
    <t>证据位置</t>
  </si>
  <si>
    <t>P0/P1/P2分级完成</t>
  </si>
  <si>
    <t>未通过</t>
  </si>
  <si>
    <t>产品经理</t>
  </si>
  <si>
    <t>每项需求完成优先级、范围决策和验收标准</t>
  </si>
  <si>
    <t>需求池</t>
  </si>
  <si>
    <t>业务需求评审完成</t>
  </si>
  <si>
    <t>业务负责人确认核心场景、规则和边界</t>
  </si>
  <si>
    <t>评审纪要</t>
  </si>
  <si>
    <t>技术可行性评审完成</t>
  </si>
  <si>
    <t>技术经理</t>
  </si>
  <si>
    <t>接口、数据、安全、性能和外部依赖可实现</t>
  </si>
  <si>
    <t>技术评审记录</t>
  </si>
  <si>
    <t>需求追踪矩阵完整</t>
  </si>
  <si>
    <t>项目经理</t>
  </si>
  <si>
    <t>P0需求均关联WBS、设计、测试和验收证据</t>
  </si>
  <si>
    <t>需求追踪矩阵</t>
  </si>
  <si>
    <t>范围基线批准</t>
  </si>
  <si>
    <t>项目集经理</t>
  </si>
  <si>
    <t>包含、排除、假设和约束均得到批准</t>
  </si>
  <si>
    <t>范围基线批准记录</t>
  </si>
  <si>
    <t>使用规则</t>
  </si>
  <si>
    <t>1</t>
  </si>
  <si>
    <t>需求先进入需求池，完成来源、优先级、验收标准和范围决策后才能进入基线。</t>
  </si>
  <si>
    <t>2</t>
  </si>
  <si>
    <t>P0需求必须关联WBS、设计/接口、测试用例、UAT场景和验收证据。</t>
  </si>
  <si>
    <t>3</t>
  </si>
  <si>
    <t>范围基线批准后，新增、删除或调整需求必须通过“范围变更评审”。</t>
  </si>
  <si>
    <t>4</t>
  </si>
  <si>
    <t>黄色字段为人工确认项；灰色字段为计算或关联结果；红色表示门禁未通过。</t>
  </si>
  <si>
    <t>5</t>
  </si>
  <si>
    <t>外部产品需求以POC结论为准，未通过验证的能力不得直接承诺进入P0。</t>
  </si>
  <si>
    <t>用于收集、分级和确认需求；“范围决策”为需求基线入口。</t>
  </si>
  <si>
    <t>需求ID</t>
  </si>
  <si>
    <t>业务域</t>
  </si>
  <si>
    <t>功能模块</t>
  </si>
  <si>
    <t>需求描述</t>
  </si>
  <si>
    <t>来源</t>
  </si>
  <si>
    <t>优先级</t>
  </si>
  <si>
    <t>需求类型</t>
  </si>
  <si>
    <t>确认状态</t>
  </si>
  <si>
    <t>验收标准</t>
  </si>
  <si>
    <t>关联里程碑</t>
  </si>
  <si>
    <t>关联工作包</t>
  </si>
  <si>
    <t>范围决策</t>
  </si>
  <si>
    <t>REQ-001</t>
  </si>
  <si>
    <t>合同准备</t>
  </si>
  <si>
    <t>合同模板</t>
  </si>
  <si>
    <t>支持按合同类型维护标准模板和必填条款</t>
  </si>
  <si>
    <t>业务梳理初稿</t>
  </si>
  <si>
    <t>P0</t>
  </si>
  <si>
    <t>业务</t>
  </si>
  <si>
    <t>待确认</t>
  </si>
  <si>
    <t>模板版本可追溯，必填条款缺失时不能提交</t>
  </si>
  <si>
    <t>MS008</t>
  </si>
  <si>
    <t>SCP-WP-001</t>
  </si>
  <si>
    <t>拟纳入</t>
  </si>
  <si>
    <t>REQ-002</t>
  </si>
  <si>
    <t>相对方管理</t>
  </si>
  <si>
    <t>统一维护合同相对方、资质、联系人和风险标识</t>
  </si>
  <si>
    <t>可查询有效资质并提示过期或黑名单状态</t>
  </si>
  <si>
    <t>SCP-WP-002</t>
  </si>
  <si>
    <t>REQ-003</t>
  </si>
  <si>
    <t>合同起草</t>
  </si>
  <si>
    <t>在线起草</t>
  </si>
  <si>
    <t>基于模板生成合同并支持条款编辑、版本比较</t>
  </si>
  <si>
    <t>保留每次版本及差异，可回退到历史版本</t>
  </si>
  <si>
    <t>SCP-WP-003</t>
  </si>
  <si>
    <t>REQ-004</t>
  </si>
  <si>
    <t>附件管理</t>
  </si>
  <si>
    <t>支持附件上传、分类、版本和在线预览</t>
  </si>
  <si>
    <t>附件版本、上传人和时间完整记录</t>
  </si>
  <si>
    <t>REQ-005</t>
  </si>
  <si>
    <t>合同审查</t>
  </si>
  <si>
    <t>规则审查</t>
  </si>
  <si>
    <t>按合同类型执行必备条款和风险条款检查</t>
  </si>
  <si>
    <t>命中规则时给出风险等级、依据和处理建议</t>
  </si>
  <si>
    <t>SCP-WP-004</t>
  </si>
  <si>
    <t>REQ-006</t>
  </si>
  <si>
    <t>会签审批</t>
  </si>
  <si>
    <t>支持业务、法务、财务等多角色并行或串行审批</t>
  </si>
  <si>
    <t>审批路径可配置，意见与操作全程留痕</t>
  </si>
  <si>
    <t>SCP-WP-005</t>
  </si>
  <si>
    <t>REQ-007</t>
  </si>
  <si>
    <t>合同签署</t>
  </si>
  <si>
    <t>电子签署</t>
  </si>
  <si>
    <t>对接CA和电子签章完成签署、验签和时间戳</t>
  </si>
  <si>
    <t>POC范围</t>
  </si>
  <si>
    <t>接口</t>
  </si>
  <si>
    <t>待验证</t>
  </si>
  <si>
    <t>签署结果可验真，失败可重试并记录原因</t>
  </si>
  <si>
    <t>MS012</t>
  </si>
  <si>
    <t>SCP-WP-006</t>
  </si>
  <si>
    <t>POC后确认</t>
  </si>
  <si>
    <t>REQ-008</t>
  </si>
  <si>
    <t>纸质签署</t>
  </si>
  <si>
    <t>支持线下签署登记、扫描件上传和原件位置记录</t>
  </si>
  <si>
    <t>P1</t>
  </si>
  <si>
    <t>纸质签署状态与电子归档一致</t>
  </si>
  <si>
    <t>REQ-009</t>
  </si>
  <si>
    <t>合同履约</t>
  </si>
  <si>
    <t>履约计划</t>
  </si>
  <si>
    <t>按合同约定生成交付、收付款和关键义务计划</t>
  </si>
  <si>
    <t>计划包含责任人、日期、金额和完成证据</t>
  </si>
  <si>
    <t>SCP-WP-007</t>
  </si>
  <si>
    <t>REQ-010</t>
  </si>
  <si>
    <t>履约预警</t>
  </si>
  <si>
    <t>对到期、逾期、金额偏差和证照到期进行预警</t>
  </si>
  <si>
    <t>预警规则可配置并形成闭环记录</t>
  </si>
  <si>
    <t>REQ-011</t>
  </si>
  <si>
    <t>付款申请</t>
  </si>
  <si>
    <t>关联合同、履约节点和发票发起付款申请</t>
  </si>
  <si>
    <t>付款金额不超过合同可支付余额且依据完整</t>
  </si>
  <si>
    <t>SCP-WP-008</t>
  </si>
  <si>
    <t>REQ-012</t>
  </si>
  <si>
    <t>收款跟踪</t>
  </si>
  <si>
    <t>登记应收计划、实收结果及逾期原因</t>
  </si>
  <si>
    <t>应收、实收和差异可按合同追溯</t>
  </si>
  <si>
    <t>REQ-013</t>
  </si>
  <si>
    <t>合同变更</t>
  </si>
  <si>
    <t>变更申请</t>
  </si>
  <si>
    <t>记录变更原因、范围、金额、工期和影响分析</t>
  </si>
  <si>
    <t>PMBOK治理要求</t>
  </si>
  <si>
    <t>治理</t>
  </si>
  <si>
    <t>未经批准的变更不得更新合同基线</t>
  </si>
  <si>
    <t>SCP-WP-009</t>
  </si>
  <si>
    <t>REQ-014</t>
  </si>
  <si>
    <t>补充协议</t>
  </si>
  <si>
    <t>关联原合同管理补充协议及其生效条件</t>
  </si>
  <si>
    <t>补充协议与原合同版本和金额联动</t>
  </si>
  <si>
    <t>REQ-015</t>
  </si>
  <si>
    <t>合同终止</t>
  </si>
  <si>
    <t>终止与解除</t>
  </si>
  <si>
    <t>支持到期、终止、解除及结算材料归集</t>
  </si>
  <si>
    <t>关闭前校验未完成义务、款项和争议</t>
  </si>
  <si>
    <t>SCP-WP-010</t>
  </si>
  <si>
    <t>REQ-016</t>
  </si>
  <si>
    <t>合同归档</t>
  </si>
  <si>
    <t>电子归档</t>
  </si>
  <si>
    <t>合同正文、附件、审批、签署和履约证据统一归档</t>
  </si>
  <si>
    <t>归档包完整、可检索、可授权并支持长期保存</t>
  </si>
  <si>
    <t>SCP-WP-011</t>
  </si>
  <si>
    <t>REQ-017</t>
  </si>
  <si>
    <t>查询分析</t>
  </si>
  <si>
    <t>综合查询</t>
  </si>
  <si>
    <t>按组织、类型、相对方、金额、状态等组合查询</t>
  </si>
  <si>
    <t>常用查询在目标数据量下满足性能标准</t>
  </si>
  <si>
    <t>SCP-WP-012</t>
  </si>
  <si>
    <t>REQ-018</t>
  </si>
  <si>
    <t>经营分析</t>
  </si>
  <si>
    <t>提供合同金额、履约、收付款和风险主题报表</t>
  </si>
  <si>
    <t>报表</t>
  </si>
  <si>
    <t>指标口径可追溯，支持权限过滤和钻取导出</t>
  </si>
  <si>
    <t>REQ-019</t>
  </si>
  <si>
    <t>基础能力</t>
  </si>
  <si>
    <t>组织权限</t>
  </si>
  <si>
    <t>支持角色、组织和数据范围组合授权</t>
  </si>
  <si>
    <t>架构基线</t>
  </si>
  <si>
    <t>安全</t>
  </si>
  <si>
    <t>最小权限、越权拦截和授权变更均可验证</t>
  </si>
  <si>
    <t>MS009</t>
  </si>
  <si>
    <t>SCP-WP-013</t>
  </si>
  <si>
    <t>REQ-020</t>
  </si>
  <si>
    <t>审计追踪</t>
  </si>
  <si>
    <t>记录关键数据新增、修改、删除和审批操作</t>
  </si>
  <si>
    <t>日志防篡改并可按对象、用户和时间检索</t>
  </si>
  <si>
    <t>REQ-021</t>
  </si>
  <si>
    <t>系统集成</t>
  </si>
  <si>
    <t>主数据接口</t>
  </si>
  <si>
    <t>对接组织、人员、供应商和客户主数据</t>
  </si>
  <si>
    <t>增量同步、失败重试和数据对账机制完整</t>
  </si>
  <si>
    <t>SCP-WP-014</t>
  </si>
  <si>
    <t>REQ-022</t>
  </si>
  <si>
    <t>财务接口</t>
  </si>
  <si>
    <t>对接付款、收款、发票和会计凭证信息</t>
  </si>
  <si>
    <t>交易可对账，重复提交可识别并幂等处理</t>
  </si>
  <si>
    <t>REQ-023</t>
  </si>
  <si>
    <t>非功能</t>
  </si>
  <si>
    <t>性能容量</t>
  </si>
  <si>
    <t>核心页面和接口满足响应时间及并发目标</t>
  </si>
  <si>
    <t>待量化</t>
  </si>
  <si>
    <t>基线评审前明确并发、数据量和响应指标</t>
  </si>
  <si>
    <t>SCP-WP-015</t>
  </si>
  <si>
    <t>REQ-024</t>
  </si>
  <si>
    <t>可用性容灾</t>
  </si>
  <si>
    <t>明确可用性、备份、恢复和容灾目标</t>
  </si>
  <si>
    <t>明确SLA、RPO、RTO并完成演练验证</t>
  </si>
  <si>
    <t>范围基线</t>
  </si>
  <si>
    <t>明确项目包含、不包含和条件包含的边界。基线批准后，调整必须走范围变更评审。</t>
  </si>
  <si>
    <t>范围ID</t>
  </si>
  <si>
    <t>范围主题</t>
  </si>
  <si>
    <t>范围说明</t>
  </si>
  <si>
    <t>范围类型</t>
  </si>
  <si>
    <t>边界/前提条件</t>
  </si>
  <si>
    <t>负责人</t>
  </si>
  <si>
    <t>SCP-001</t>
  </si>
  <si>
    <t>合同全生命周期业务</t>
  </si>
  <si>
    <t>合同准备、起草、审查、审批、签署、履约、变更、终止和归档</t>
  </si>
  <si>
    <t>包含</t>
  </si>
  <si>
    <t>P0需求基线批准</t>
  </si>
  <si>
    <t>SCP-002</t>
  </si>
  <si>
    <t>外部产品集成</t>
  </si>
  <si>
    <t>CA、电子文档和BI报表产品能力集成</t>
  </si>
  <si>
    <t>条件包含</t>
  </si>
  <si>
    <t>POC通过并形成选型结论</t>
  </si>
  <si>
    <t>MS017</t>
  </si>
  <si>
    <t>SCP-003</t>
  </si>
  <si>
    <t>内部系统集成</t>
  </si>
  <si>
    <t>统一身份、组织人员、消息及内部主数据接口</t>
  </si>
  <si>
    <t>接口清单和责任边界确认</t>
  </si>
  <si>
    <t>MS011</t>
  </si>
  <si>
    <t>SCP-004</t>
  </si>
  <si>
    <t>外部系统集成</t>
  </si>
  <si>
    <t>ERP、财务、OA、电子签章和外部主数据接口</t>
  </si>
  <si>
    <t>对方接口计划和测试环境落实</t>
  </si>
  <si>
    <t>SCP-005</t>
  </si>
  <si>
    <t>数据迁移</t>
  </si>
  <si>
    <t>存量合同、附件、相对方和履约关键数据迁移</t>
  </si>
  <si>
    <t>范围、质量标准和切换方案确认</t>
  </si>
  <si>
    <t>MS014</t>
  </si>
  <si>
    <t>SCP-006</t>
  </si>
  <si>
    <t>安全与审计</t>
  </si>
  <si>
    <t>身份、权限、数据范围、日志和敏感数据保护</t>
  </si>
  <si>
    <t>安全方案与测试标准批准</t>
  </si>
  <si>
    <t>SCP-007</t>
  </si>
  <si>
    <t>测试与验收</t>
  </si>
  <si>
    <t>单元、集成、系统、性能、安全和UAT</t>
  </si>
  <si>
    <t>测试策略及验收样例批准</t>
  </si>
  <si>
    <t>测试人员</t>
  </si>
  <si>
    <t>SCP-008</t>
  </si>
  <si>
    <t>上线与移交</t>
  </si>
  <si>
    <t>生产部署、数据切换、培训、支持和运维移交</t>
  </si>
  <si>
    <t>上线门禁全部通过</t>
  </si>
  <si>
    <t>MS016</t>
  </si>
  <si>
    <t>SCP-009</t>
  </si>
  <si>
    <t>硬件采购</t>
  </si>
  <si>
    <t>业务终端、网络和基础硬件采购</t>
  </si>
  <si>
    <t>不包含</t>
  </si>
  <si>
    <t>由基础设施专项另行管理</t>
  </si>
  <si>
    <t>MS006</t>
  </si>
  <si>
    <t>已排除</t>
  </si>
  <si>
    <t>SCP-010</t>
  </si>
  <si>
    <t>历史纸质档案数字化</t>
  </si>
  <si>
    <t>全部存量纸质合同扫描和人工著录</t>
  </si>
  <si>
    <t>仅迁移已数字化且质量合格的数据</t>
  </si>
  <si>
    <t>SCP-011</t>
  </si>
  <si>
    <t>第三方产品改造</t>
  </si>
  <si>
    <t>CA、电子文档、BI产品内核定制开发</t>
  </si>
  <si>
    <t>采用标准产品能力与公开接口</t>
  </si>
  <si>
    <t>SCP-012</t>
  </si>
  <si>
    <t>上线后长期运营</t>
  </si>
  <si>
    <t>试运行结束后的常态化运营服务</t>
  </si>
  <si>
    <t>另行签订运维服务与SLA</t>
  </si>
  <si>
    <t>P0需求应形成“需求—范围—工作包—设计—测试—UAT—验收证据”闭环。</t>
  </si>
  <si>
    <t>工作包ID</t>
  </si>
  <si>
    <t>设计/接口文档</t>
  </si>
  <si>
    <t>测试用例ID</t>
  </si>
  <si>
    <t>UAT场景ID</t>
  </si>
  <si>
    <t>验收证据</t>
  </si>
  <si>
    <t>目标里程碑</t>
  </si>
  <si>
    <t>追踪完整性</t>
  </si>
  <si>
    <t>待补充</t>
  </si>
  <si>
    <t>范围WBS字典</t>
  </si>
  <si>
    <t>定义范围工作包、交付物和完成标准；计划日期和资源安排在计划与进度管理模块维护。</t>
  </si>
  <si>
    <t>WBS编码</t>
  </si>
  <si>
    <t>工作包名称</t>
  </si>
  <si>
    <t>工作内容</t>
  </si>
  <si>
    <t>主要交付物</t>
  </si>
  <si>
    <t>关联需求</t>
  </si>
  <si>
    <t>完成标准</t>
  </si>
  <si>
    <t>1.1</t>
  </si>
  <si>
    <t>模板与条款库</t>
  </si>
  <si>
    <t>完成合同类型、模板、条款和必填规则配置</t>
  </si>
  <si>
    <t>需求说明、原型、配置清单</t>
  </si>
  <si>
    <t>MS010</t>
  </si>
  <si>
    <t>验收样例通过</t>
  </si>
  <si>
    <t>1.2</t>
  </si>
  <si>
    <t>建设相对方主档、资质、联系人和风险标识</t>
  </si>
  <si>
    <t>需求说明、数据模型、接口说明</t>
  </si>
  <si>
    <t>主数据验证通过</t>
  </si>
  <si>
    <t>2.1</t>
  </si>
  <si>
    <t>合同起草与附件</t>
  </si>
  <si>
    <t>实现在线起草、版本比较和附件管理</t>
  </si>
  <si>
    <t>可测试功能、单元测试证据</t>
  </si>
  <si>
    <t>高级开发人员</t>
  </si>
  <si>
    <t>REQ-003,REQ-004</t>
  </si>
  <si>
    <t>P0功能及单测通过</t>
  </si>
  <si>
    <t>2.2</t>
  </si>
  <si>
    <t>合同规则审查</t>
  </si>
  <si>
    <t>建设必备条款和风险条款检查能力</t>
  </si>
  <si>
    <t>规则清单、审查报告样例</t>
  </si>
  <si>
    <t>规则命中结果准确</t>
  </si>
  <si>
    <t>2.3</t>
  </si>
  <si>
    <t>实现多角色审批路径、意见和留痕</t>
  </si>
  <si>
    <t>流程配置、审批记录</t>
  </si>
  <si>
    <t>端到端审批通过</t>
  </si>
  <si>
    <t>3.1</t>
  </si>
  <si>
    <t>集成电子签署并支持纸质签署登记</t>
  </si>
  <si>
    <t>接口、签署回执、验签证据</t>
  </si>
  <si>
    <t>REQ-007,REQ-008</t>
  </si>
  <si>
    <t>签署及异常场景通过</t>
  </si>
  <si>
    <t>4.1</t>
  </si>
  <si>
    <t>履约计划与预警</t>
  </si>
  <si>
    <t>实现履约计划、责任分配和预警闭环</t>
  </si>
  <si>
    <t>履约计划、预警记录</t>
  </si>
  <si>
    <t>REQ-009,REQ-010</t>
  </si>
  <si>
    <t>核心履约场景通过</t>
  </si>
  <si>
    <t>4.2</t>
  </si>
  <si>
    <t>收付款管理</t>
  </si>
  <si>
    <t>实现付款申请、收款跟踪和差异核对</t>
  </si>
  <si>
    <t>交易记录、对账报告</t>
  </si>
  <si>
    <t>REQ-011,REQ-012</t>
  </si>
  <si>
    <t>财务对账通过</t>
  </si>
  <si>
    <t>5.1</t>
  </si>
  <si>
    <t>实现变更申请、评审、补充协议和基线更新</t>
  </si>
  <si>
    <t>变更单、批准记录、版本</t>
  </si>
  <si>
    <t>REQ-013,REQ-014</t>
  </si>
  <si>
    <t>未批准变更无法生效</t>
  </si>
  <si>
    <t>5.2</t>
  </si>
  <si>
    <t>终止与关闭</t>
  </si>
  <si>
    <t>实现终止、解除、结算和关闭校验</t>
  </si>
  <si>
    <t>关闭清单、终止记录</t>
  </si>
  <si>
    <t>未结事项得到处置</t>
  </si>
  <si>
    <t>6.1</t>
  </si>
  <si>
    <t>形成完整归档包及检索授权能力</t>
  </si>
  <si>
    <t>归档包、检索验证记录</t>
  </si>
  <si>
    <t>完整性和权限验证通过</t>
  </si>
  <si>
    <t>7.1</t>
  </si>
  <si>
    <t>查询与分析</t>
  </si>
  <si>
    <t>建设综合查询、经营指标和主题报表</t>
  </si>
  <si>
    <t>报表清单、指标口径、验证报告</t>
  </si>
  <si>
    <t>REQ-017,REQ-018</t>
  </si>
  <si>
    <t>口径和权限验证通过</t>
  </si>
  <si>
    <t>8.1</t>
  </si>
  <si>
    <t>权限与审计</t>
  </si>
  <si>
    <t>实现角色、数据范围和审计日志</t>
  </si>
  <si>
    <t>权限矩阵、审计验证报告</t>
  </si>
  <si>
    <t>REQ-019,REQ-020</t>
  </si>
  <si>
    <t>越权与审计测试通过</t>
  </si>
  <si>
    <t>8.2</t>
  </si>
  <si>
    <t>系统接口</t>
  </si>
  <si>
    <t>完成主数据、财务及其他系统接口</t>
  </si>
  <si>
    <t>接口清单、联调与对账报告</t>
  </si>
  <si>
    <t>REQ-021,REQ-022</t>
  </si>
  <si>
    <t>联调、补偿、对账通过</t>
  </si>
  <si>
    <t>8.3</t>
  </si>
  <si>
    <t>非功能能力</t>
  </si>
  <si>
    <t>实现性能、容量、可用性、备份和容灾要求</t>
  </si>
  <si>
    <t>非功能方案、测试与演练报告</t>
  </si>
  <si>
    <t>REQ-023,REQ-024</t>
  </si>
  <si>
    <t>MS013</t>
  </si>
  <si>
    <t>量化指标验证通过</t>
  </si>
  <si>
    <t>范围变更评审</t>
  </si>
  <si>
    <t>需求基线批准后使用。填写变更内容和影响分析，由变更控制委员会决定是否更新基线。</t>
  </si>
  <si>
    <t>变更ID</t>
  </si>
  <si>
    <t>提出日期</t>
  </si>
  <si>
    <t>提出人</t>
  </si>
  <si>
    <t>变更类型</t>
  </si>
  <si>
    <t>关联需求/范围</t>
  </si>
  <si>
    <t>变更说明</t>
  </si>
  <si>
    <t>业务价值</t>
  </si>
  <si>
    <t>范围影响</t>
  </si>
  <si>
    <t>进度影响(天)</t>
  </si>
  <si>
    <t>成本影响(元)</t>
  </si>
  <si>
    <t>质量/风险影响</t>
  </si>
  <si>
    <t>评估负责人</t>
  </si>
  <si>
    <t>决策</t>
  </si>
  <si>
    <t>决策人</t>
  </si>
  <si>
    <t>决策日期</t>
  </si>
  <si>
    <t>基线更新状态</t>
  </si>
  <si>
    <t>字段</t>
  </si>
  <si>
    <t>值</t>
  </si>
  <si>
    <t>Project_ID</t>
  </si>
  <si>
    <t>ECM-2026</t>
  </si>
  <si>
    <t>项目名称</t>
  </si>
  <si>
    <t>能源行业合同全生命周期管理系统</t>
  </si>
  <si>
    <t>模块编码</t>
  </si>
  <si>
    <t>03</t>
  </si>
  <si>
    <t>数据日期</t>
  </si>
  <si>
    <t>数据模式</t>
  </si>
  <si>
    <t>需求与范围基线草案</t>
  </si>
  <si>
    <t>P0需求数</t>
  </si>
  <si>
    <t>范围项数</t>
  </si>
  <si>
    <t>工作包数</t>
  </si>
  <si>
    <t>需求基线里程碑</t>
  </si>
  <si>
    <t>基线计划完成</t>
  </si>
  <si>
    <t>2026-11-30</t>
  </si>
  <si>
    <t>中央数据库</t>
  </si>
  <si>
    <t>../90_项目数据中心/ai_pmo.db</t>
  </si>
  <si>
    <t>需求与范围管理-20260917-V2 使用说明</t>
  </si>
  <si>
    <t>管理需求入口、范围基线、追踪关系、WBS字典和范围变更。</t>
  </si>
  <si>
    <t>项目</t>
  </si>
  <si>
    <t>适用对象</t>
  </si>
  <si>
    <t>产品经理、业务负责人、项目经理、测试负责人</t>
  </si>
  <si>
    <t>更新频率</t>
  </si>
  <si>
    <t>需求评审后更新；变更评审和基线发布时同步维护。</t>
  </si>
  <si>
    <t>版本日期</t>
  </si>
  <si>
    <t>2026-09-17</t>
  </si>
  <si>
    <t>颜色约定</t>
  </si>
  <si>
    <t>浅蓝表头；黄色为人工输入区；白色/灰色通常为公式、说明或系统数据。</t>
  </si>
  <si>
    <t>推荐使用流程</t>
  </si>
  <si>
    <t>登记需求并完成澄清</t>
  </si>
  <si>
    <t>确认优先级和验收标准</t>
  </si>
  <si>
    <t>纳入范围基线并建立追踪</t>
  </si>
  <si>
    <t>同步WBS字典和测试覆盖</t>
  </si>
  <si>
    <t>通过范围变更评审处理新增或删减</t>
  </si>
  <si>
    <t>工作表导航</t>
  </si>
  <si>
    <t>顺序</t>
  </si>
  <si>
    <t>工作表</t>
  </si>
  <si>
    <t>用途</t>
  </si>
  <si>
    <t>范围总览</t>
  </si>
  <si>
    <t>查看需求与范围关键指标和门禁。</t>
  </si>
  <si>
    <t>登记、澄清、评审和排序需求。</t>
  </si>
  <si>
    <t>记录批准纳入和排除的范围。</t>
  </si>
  <si>
    <t>连接需求、设计、开发、测试和验收证据。</t>
  </si>
  <si>
    <t>WBS字典</t>
  </si>
  <si>
    <t>定义工作包边界、交付物和验收条件。</t>
  </si>
  <si>
    <t>评估范围变更影响及批准结论。</t>
  </si>
  <si>
    <t>_数据接口</t>
  </si>
  <si>
    <t>供Python脚本和AI PMO读取，人工一般不直接修改。</t>
  </si>
  <si>
    <t>维护与检查规则</t>
  </si>
  <si>
    <t>先维护唯一编号、责任人、计划日期和状态，再补充说明与证据。</t>
  </si>
  <si>
    <t>状态变化时同步更新实际日期、完成比例、阻塞原因或验证结果。</t>
  </si>
  <si>
    <t>涉及基线、预算、范围、合同或上线门禁的变化，须先履行评审或审批。</t>
  </si>
  <si>
    <t>不要覆盖公式、汇总区、图表数据区和“_数据接口”中的系统字段。</t>
  </si>
  <si>
    <t>每周检查空责任人、逾期未完成、状态与日期矛盾、缺少证据和公式错误。</t>
  </si>
  <si>
    <t>文件升级后，将被替换版本移入本模块_archive目录，不在正式目录保留多个现行版本。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</si>
</sst>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  <numFmt numFmtId="177" formatCode="#,##0.0"/>
    <numFmt numFmtId="178" formatCode="0.0%"/>
  </numFmts>
  <fonts count="31">
    <font>
      <sz val="11"/>
      <name val="Carlito"/>
      <charset val="134"/>
    </font>
    <font>
      <b/>
      <sz val="16"/>
      <color rgb="FF1F4E78"/>
      <name val="Arial"/>
      <charset val="134"/>
    </font>
    <font>
      <i/>
      <sz val="10"/>
      <color rgb="FF666666"/>
      <name val="Arial"/>
      <charset val="134"/>
    </font>
    <font>
      <sz val="10"/>
      <color rgb="FF404040"/>
      <name val="Arial"/>
      <charset val="134"/>
    </font>
    <font>
      <b/>
      <sz val="11"/>
      <color rgb="FF1F4E78"/>
      <name val="Arial"/>
      <charset val="134"/>
    </font>
    <font>
      <b/>
      <sz val="10"/>
      <color rgb="FF1F4E78"/>
      <name val="Arial"/>
      <charset val="134"/>
    </font>
    <font>
      <b/>
      <sz val="10"/>
      <color rgb="FFFFFFFF"/>
      <name val="Arial"/>
      <charset val="134"/>
    </font>
    <font>
      <sz val="10"/>
      <color rgb="FF243447"/>
      <name val="Arial"/>
      <charset val="134"/>
    </font>
    <font>
      <b/>
      <sz val="15"/>
      <color rgb="FF1F4E78"/>
      <name val="Arial"/>
      <charset val="134"/>
    </font>
    <font>
      <i/>
      <sz val="10"/>
      <color rgb="FF667788"/>
      <name val="Arial"/>
      <charset val="134"/>
    </font>
    <font>
      <b/>
      <sz val="10"/>
      <color rgb="FF243447"/>
      <name val="Arial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FFF2CC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rgb="FF1F4E78"/>
        <bgColor indexed="64"/>
      </patternFill>
    </fill>
    <fill>
      <patternFill patternType="solid">
        <fgColor rgb="FFE7E6E6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  <diagonal/>
    </border>
    <border>
      <left style="thin">
        <color rgb="FFB4C6E7"/>
      </left>
      <right/>
      <top style="thin">
        <color rgb="FFB4C6E7"/>
      </top>
      <bottom style="thin">
        <color rgb="FFB4C6E7"/>
      </bottom>
      <diagonal/>
    </border>
    <border>
      <left/>
      <right/>
      <top style="thin">
        <color rgb="FFB4C6E7"/>
      </top>
      <bottom style="thin">
        <color rgb="FFB4C6E7"/>
      </bottom>
      <diagonal/>
    </border>
    <border>
      <left/>
      <right style="thin">
        <color rgb="FFB4C6E7"/>
      </right>
      <top style="thin">
        <color rgb="FFB4C6E7"/>
      </top>
      <bottom style="thin">
        <color rgb="FFB4C6E7"/>
      </bottom>
      <diagonal/>
    </border>
    <border>
      <left style="thin">
        <color rgb="FFB4C6D7"/>
      </left>
      <right style="thin">
        <color rgb="FFB4C6D7"/>
      </right>
      <top style="thin">
        <color rgb="FFB4C6D7"/>
      </top>
      <bottom style="thin">
        <color rgb="FFB4C6D7"/>
      </bottom>
      <diagonal/>
    </border>
    <border>
      <left style="thin">
        <color rgb="FF1F4E78"/>
      </left>
      <right style="thin">
        <color rgb="FFB4C6D7"/>
      </right>
      <top style="thin">
        <color rgb="FF1F4E78"/>
      </top>
      <bottom style="thin">
        <color rgb="FF1F4E78"/>
      </bottom>
      <diagonal/>
    </border>
    <border>
      <left style="thin">
        <color rgb="FFB4C6D7"/>
      </left>
      <right style="thin">
        <color rgb="FFB4C6D7"/>
      </right>
      <top style="thin">
        <color rgb="FF1F4E78"/>
      </top>
      <bottom style="thin">
        <color rgb="FF1F4E78"/>
      </bottom>
      <diagonal/>
    </border>
    <border>
      <left style="thin">
        <color rgb="FFB4C6D7"/>
      </left>
      <right style="thin">
        <color rgb="FF1F4E78"/>
      </right>
      <top style="thin">
        <color rgb="FF1F4E78"/>
      </top>
      <bottom style="thin">
        <color rgb="FF1F4E78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11" fillId="0" borderId="0">
      <alignment vertical="center"/>
    </xf>
    <xf numFmtId="43" fontId="11" fillId="0" borderId="0" applyFont="0" applyFill="0" applyBorder="0" applyAlignment="0" applyProtection="0">
      <alignment vertical="center"/>
    </xf>
    <xf numFmtId="44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1" fillId="8" borderId="9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9" borderId="12" applyNumberFormat="0" applyAlignment="0" applyProtection="0">
      <alignment vertical="center"/>
    </xf>
    <xf numFmtId="0" fontId="21" fillId="10" borderId="13" applyNumberFormat="0" applyAlignment="0" applyProtection="0">
      <alignment vertical="center"/>
    </xf>
    <xf numFmtId="0" fontId="22" fillId="10" borderId="12" applyNumberFormat="0" applyAlignment="0" applyProtection="0">
      <alignment vertical="center"/>
    </xf>
    <xf numFmtId="0" fontId="23" fillId="11" borderId="14" applyNumberFormat="0" applyAlignment="0" applyProtection="0">
      <alignment vertical="center"/>
    </xf>
    <xf numFmtId="0" fontId="24" fillId="0" borderId="15" applyNumberFormat="0" applyFill="0" applyAlignment="0" applyProtection="0">
      <alignment vertical="center"/>
    </xf>
    <xf numFmtId="0" fontId="25" fillId="0" borderId="16" applyNumberFormat="0" applyFill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30" fillId="33" borderId="0" applyNumberFormat="0" applyBorder="0" applyAlignment="0" applyProtection="0">
      <alignment vertical="center"/>
    </xf>
    <xf numFmtId="0" fontId="29" fillId="34" borderId="0" applyNumberFormat="0" applyBorder="0" applyAlignment="0" applyProtection="0">
      <alignment vertical="center"/>
    </xf>
    <xf numFmtId="0" fontId="29" fillId="35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29" fillId="38" borderId="0" applyNumberFormat="0" applyBorder="0" applyAlignment="0" applyProtection="0">
      <alignment vertical="center"/>
    </xf>
    <xf numFmtId="0" fontId="0" fillId="0" borderId="0"/>
  </cellStyleXfs>
  <cellXfs count="34">
    <xf numFmtId="0" fontId="0" fillId="0" borderId="0" xfId="49"/>
    <xf numFmtId="0" fontId="1" fillId="0" borderId="0" xfId="49" applyNumberFormat="1" applyFont="1" applyFill="1" applyBorder="1" applyAlignment="1">
      <alignment vertical="center" wrapText="1"/>
    </xf>
    <xf numFmtId="0" fontId="2" fillId="0" borderId="0" xfId="49" applyNumberFormat="1" applyFont="1" applyFill="1" applyBorder="1" applyAlignment="1">
      <alignment vertical="center" wrapText="1"/>
    </xf>
    <xf numFmtId="0" fontId="3" fillId="0" borderId="0" xfId="49" applyNumberFormat="1" applyFont="1" applyFill="1" applyBorder="1" applyAlignment="1">
      <alignment vertical="center" wrapText="1"/>
    </xf>
    <xf numFmtId="0" fontId="3" fillId="0" borderId="1" xfId="49" applyNumberFormat="1" applyFont="1" applyFill="1" applyBorder="1" applyAlignment="1">
      <alignment vertical="center" wrapText="1"/>
    </xf>
    <xf numFmtId="0" fontId="3" fillId="2" borderId="1" xfId="49" applyNumberFormat="1" applyFont="1" applyFill="1" applyBorder="1" applyAlignment="1">
      <alignment vertical="center" wrapText="1"/>
    </xf>
    <xf numFmtId="0" fontId="4" fillId="3" borderId="2" xfId="49" applyNumberFormat="1" applyFont="1" applyFill="1" applyBorder="1" applyAlignment="1">
      <alignment vertical="center" wrapText="1"/>
    </xf>
    <xf numFmtId="0" fontId="4" fillId="3" borderId="3" xfId="49" applyNumberFormat="1" applyFont="1" applyFill="1" applyBorder="1" applyAlignment="1">
      <alignment vertical="center" wrapText="1"/>
    </xf>
    <xf numFmtId="0" fontId="4" fillId="3" borderId="4" xfId="49" applyNumberFormat="1" applyFont="1" applyFill="1" applyBorder="1" applyAlignment="1">
      <alignment vertical="center" wrapText="1"/>
    </xf>
    <xf numFmtId="0" fontId="5" fillId="3" borderId="1" xfId="49" applyNumberFormat="1" applyFont="1" applyFill="1" applyBorder="1" applyAlignment="1">
      <alignment vertical="center" wrapText="1"/>
    </xf>
    <xf numFmtId="0" fontId="6" fillId="4" borderId="5" xfId="49" applyNumberFormat="1" applyFont="1" applyFill="1" applyBorder="1" applyAlignment="1">
      <alignment horizontal="center" vertical="center" wrapText="1"/>
    </xf>
    <xf numFmtId="0" fontId="7" fillId="0" borderId="5" xfId="49" applyNumberFormat="1" applyFont="1" applyFill="1" applyBorder="1" applyAlignment="1">
      <alignment vertical="center"/>
    </xf>
    <xf numFmtId="176" fontId="7" fillId="0" borderId="5" xfId="49" applyNumberFormat="1" applyFont="1" applyFill="1" applyBorder="1" applyAlignment="1">
      <alignment vertical="center"/>
    </xf>
    <xf numFmtId="0" fontId="8" fillId="0" borderId="0" xfId="49" applyNumberFormat="1" applyFont="1" applyFill="1" applyBorder="1"/>
    <xf numFmtId="0" fontId="9" fillId="0" borderId="0" xfId="49" applyNumberFormat="1" applyFont="1" applyFill="1" applyBorder="1"/>
    <xf numFmtId="0" fontId="7" fillId="2" borderId="5" xfId="49" applyNumberFormat="1" applyFont="1" applyFill="1" applyBorder="1" applyAlignment="1">
      <alignment vertical="center"/>
    </xf>
    <xf numFmtId="176" fontId="7" fillId="2" borderId="5" xfId="49" applyNumberFormat="1" applyFont="1" applyFill="1" applyBorder="1" applyAlignment="1">
      <alignment vertical="center"/>
    </xf>
    <xf numFmtId="0" fontId="7" fillId="2" borderId="5" xfId="49" applyNumberFormat="1" applyFont="1" applyFill="1" applyBorder="1" applyAlignment="1">
      <alignment vertical="center" wrapText="1"/>
    </xf>
    <xf numFmtId="177" fontId="7" fillId="2" borderId="5" xfId="49" applyNumberFormat="1" applyFont="1" applyFill="1" applyBorder="1" applyAlignment="1">
      <alignment vertical="center"/>
    </xf>
    <xf numFmtId="0" fontId="7" fillId="0" borderId="5" xfId="49" applyNumberFormat="1" applyFont="1" applyFill="1" applyBorder="1" applyAlignment="1">
      <alignment vertical="center" wrapText="1"/>
    </xf>
    <xf numFmtId="0" fontId="7" fillId="5" borderId="5" xfId="49" applyNumberFormat="1" applyFont="1" applyFill="1" applyBorder="1" applyAlignment="1">
      <alignment vertical="center"/>
    </xf>
    <xf numFmtId="0" fontId="7" fillId="0" borderId="5" xfId="49" applyNumberFormat="1" applyFont="1" applyFill="1" applyBorder="1" applyAlignment="1">
      <alignment horizontal="center" vertical="center"/>
    </xf>
    <xf numFmtId="0" fontId="8" fillId="0" borderId="0" xfId="49" applyNumberFormat="1" applyFont="1" applyFill="1" applyBorder="1" applyAlignment="1">
      <alignment vertical="center"/>
    </xf>
    <xf numFmtId="0" fontId="9" fillId="0" borderId="0" xfId="49" applyNumberFormat="1" applyFont="1" applyFill="1" applyBorder="1" applyAlignment="1">
      <alignment vertical="center"/>
    </xf>
    <xf numFmtId="0" fontId="0" fillId="0" borderId="0" xfId="49" applyNumberFormat="1" applyFont="1" applyFill="1" applyBorder="1" applyAlignment="1">
      <alignment vertical="center"/>
    </xf>
    <xf numFmtId="0" fontId="10" fillId="6" borderId="5" xfId="49" applyNumberFormat="1" applyFont="1" applyFill="1" applyBorder="1" applyAlignment="1">
      <alignment vertical="center"/>
    </xf>
    <xf numFmtId="0" fontId="10" fillId="0" borderId="5" xfId="49" applyNumberFormat="1" applyFont="1" applyFill="1" applyBorder="1" applyAlignment="1">
      <alignment vertical="center"/>
    </xf>
    <xf numFmtId="178" fontId="10" fillId="0" borderId="5" xfId="49" applyNumberFormat="1" applyFont="1" applyFill="1" applyBorder="1" applyAlignment="1">
      <alignment vertical="center"/>
    </xf>
    <xf numFmtId="0" fontId="5" fillId="6" borderId="6" xfId="49" applyNumberFormat="1" applyFont="1" applyFill="1" applyBorder="1" applyAlignment="1">
      <alignment vertical="center"/>
    </xf>
    <xf numFmtId="0" fontId="5" fillId="6" borderId="7" xfId="49" applyNumberFormat="1" applyFont="1" applyFill="1" applyBorder="1" applyAlignment="1">
      <alignment vertical="center"/>
    </xf>
    <xf numFmtId="0" fontId="5" fillId="6" borderId="8" xfId="49" applyNumberFormat="1" applyFont="1" applyFill="1" applyBorder="1" applyAlignment="1">
      <alignment vertical="center"/>
    </xf>
    <xf numFmtId="0" fontId="7" fillId="7" borderId="5" xfId="49" applyNumberFormat="1" applyFont="1" applyFill="1" applyBorder="1" applyAlignment="1">
      <alignment vertical="center" wrapText="1"/>
    </xf>
    <xf numFmtId="176" fontId="7" fillId="0" borderId="5" xfId="49" applyNumberFormat="1" applyFont="1" applyFill="1" applyBorder="1" applyAlignment="1">
      <alignment vertical="center" wrapText="1"/>
    </xf>
    <xf numFmtId="0" fontId="7" fillId="5" borderId="5" xfId="49" applyNumberFormat="1" applyFont="1" applyFill="1" applyBorder="1" applyAlignment="1">
      <alignment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9">
    <dxf>
      <font>
        <b val="1"/>
        <color rgb="FF9C0006"/>
      </font>
      <fill>
        <patternFill patternType="solid">
          <bgColor rgb="FFFCE4D6"/>
        </patternFill>
      </fill>
    </dxf>
    <dxf>
      <font>
        <b val="1"/>
        <color rgb="FF006100"/>
      </font>
      <fill>
        <patternFill patternType="solid">
          <bgColor rgb="FFE2F0D9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8"/>
      <tableStyleElement type="headerRow" dxfId="7"/>
      <tableStyleElement type="totalRow" dxfId="6"/>
      <tableStyleElement type="firstColumn" dxfId="5"/>
      <tableStyleElement type="lastColumn" dxfId="4"/>
      <tableStyleElement type="firstRowStripe" dxfId="3"/>
      <tableStyleElement type="firstColumnStripe" dxfId="2"/>
    </tableStyle>
    <tableStyle name="PivotStylePreset2_Accent1" table="0" count="10" xr9:uid="{267968C8-6FFD-4C36-ACC1-9EA1FD1885CA}">
      <tableStyleElement type="headerRow" dxfId="18"/>
      <tableStyleElement type="totalRow" dxfId="17"/>
      <tableStyleElement type="firstRowStripe" dxfId="16"/>
      <tableStyleElement type="firstColumnStripe" dxfId="15"/>
      <tableStyleElement type="firstSubtotalRow" dxfId="14"/>
      <tableStyleElement type="secondSubtotalRow" dxfId="13"/>
      <tableStyleElement type="firstRowSubheading" dxfId="12"/>
      <tableStyleElement type="secondRowSubheading" dxfId="11"/>
      <tableStyleElement type="pageFieldLabels" dxfId="10"/>
      <tableStyleElement type="pageFieldValues" dxfId="9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tyles" Target="styles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2"/>
  <sheetViews>
    <sheetView showGridLines="0" topLeftCell="A11" workbookViewId="0">
      <selection activeCell="A1" sqref="A1"/>
    </sheetView>
  </sheetViews>
  <sheetFormatPr defaultColWidth="9" defaultRowHeight="16.8"/>
  <cols>
    <col min="1" max="1" width="18" customWidth="1"/>
    <col min="2" max="2" width="46" customWidth="1"/>
    <col min="3" max="3" width="16" customWidth="1"/>
    <col min="4" max="4" width="14" customWidth="1"/>
    <col min="5" max="6" width="26" customWidth="1"/>
    <col min="7" max="14" width="12" customWidth="1"/>
  </cols>
  <sheetData>
    <row r="1" ht="25" customHeight="1" spans="1:14">
      <c r="A1" s="22" t="s">
        <v>0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</row>
    <row r="2" spans="1:14">
      <c r="A2" s="23" t="s">
        <v>1</v>
      </c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</row>
    <row r="3" spans="1:14">
      <c r="A3" s="24"/>
      <c r="B3" s="24"/>
      <c r="C3" s="24"/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</row>
    <row r="4" spans="1:14">
      <c r="A4" s="25" t="s">
        <v>2</v>
      </c>
      <c r="B4" s="25" t="s">
        <v>3</v>
      </c>
      <c r="C4" s="25" t="s">
        <v>4</v>
      </c>
      <c r="D4" s="25" t="s">
        <v>3</v>
      </c>
      <c r="E4" s="25" t="s">
        <v>5</v>
      </c>
      <c r="F4" s="25" t="s">
        <v>3</v>
      </c>
      <c r="G4" s="25" t="s">
        <v>6</v>
      </c>
      <c r="H4" s="25" t="s">
        <v>3</v>
      </c>
      <c r="I4" s="25" t="s">
        <v>7</v>
      </c>
      <c r="J4" s="25" t="s">
        <v>3</v>
      </c>
      <c r="K4" s="25" t="s">
        <v>8</v>
      </c>
      <c r="L4" s="25" t="s">
        <v>3</v>
      </c>
      <c r="M4" s="25" t="s">
        <v>9</v>
      </c>
      <c r="N4" s="25" t="s">
        <v>3</v>
      </c>
    </row>
    <row r="5" spans="1:14">
      <c r="A5" s="26">
        <v>24</v>
      </c>
      <c r="B5" s="26" t="s">
        <v>3</v>
      </c>
      <c r="C5" s="26">
        <v>19</v>
      </c>
      <c r="D5" s="26" t="s">
        <v>3</v>
      </c>
      <c r="E5" s="26">
        <v>24</v>
      </c>
      <c r="F5" s="26" t="s">
        <v>3</v>
      </c>
      <c r="G5" s="26">
        <v>12</v>
      </c>
      <c r="H5" s="26" t="s">
        <v>3</v>
      </c>
      <c r="I5" s="26">
        <v>8</v>
      </c>
      <c r="J5" s="26" t="s">
        <v>3</v>
      </c>
      <c r="K5" s="26">
        <v>4</v>
      </c>
      <c r="L5" s="26" t="s">
        <v>3</v>
      </c>
      <c r="M5" s="27">
        <v>0</v>
      </c>
      <c r="N5" s="26" t="s">
        <v>3</v>
      </c>
    </row>
    <row r="6" spans="1:14">
      <c r="A6" s="24"/>
      <c r="B6" s="24"/>
      <c r="C6" s="24"/>
      <c r="D6" s="24"/>
      <c r="E6" s="24"/>
      <c r="F6" s="24"/>
      <c r="G6" s="24"/>
      <c r="H6" s="24"/>
      <c r="I6" s="24"/>
      <c r="J6" s="24"/>
      <c r="K6" s="24"/>
      <c r="L6" s="24"/>
      <c r="M6" s="24"/>
      <c r="N6" s="24"/>
    </row>
    <row r="7" spans="1:14">
      <c r="A7" s="24"/>
      <c r="B7" s="24"/>
      <c r="C7" s="24"/>
      <c r="D7" s="24"/>
      <c r="E7" s="24"/>
      <c r="F7" s="24"/>
      <c r="G7" s="24"/>
      <c r="H7" s="24"/>
      <c r="I7" s="24"/>
      <c r="J7" s="24"/>
      <c r="K7" s="24"/>
      <c r="L7" s="24"/>
      <c r="M7" s="24"/>
      <c r="N7" s="24"/>
    </row>
    <row r="8" spans="1:14">
      <c r="A8" s="28" t="s">
        <v>10</v>
      </c>
      <c r="B8" s="29"/>
      <c r="C8" s="29"/>
      <c r="D8" s="29"/>
      <c r="E8" s="29"/>
      <c r="F8" s="30"/>
      <c r="G8" s="24"/>
      <c r="H8" s="24"/>
      <c r="I8" s="24"/>
      <c r="J8" s="24"/>
      <c r="K8" s="24"/>
      <c r="L8" s="24"/>
      <c r="M8" s="24"/>
      <c r="N8" s="24"/>
    </row>
    <row r="9" ht="32" customHeight="1" spans="1:14">
      <c r="A9" s="10" t="s">
        <v>11</v>
      </c>
      <c r="B9" s="10" t="s">
        <v>12</v>
      </c>
      <c r="C9" s="10" t="s">
        <v>13</v>
      </c>
      <c r="D9" s="10" t="s">
        <v>14</v>
      </c>
      <c r="E9" s="10" t="s">
        <v>15</v>
      </c>
      <c r="F9" s="10" t="s">
        <v>16</v>
      </c>
      <c r="G9" s="24"/>
      <c r="H9" s="24"/>
      <c r="I9" s="24"/>
      <c r="J9" s="24"/>
      <c r="K9" s="24"/>
      <c r="L9" s="24"/>
      <c r="M9" s="24"/>
      <c r="N9" s="24"/>
    </row>
    <row r="10" ht="31" spans="1:14">
      <c r="A10" s="19" t="s">
        <v>17</v>
      </c>
      <c r="B10" s="31" t="s">
        <v>18</v>
      </c>
      <c r="C10" s="19" t="s">
        <v>19</v>
      </c>
      <c r="D10" s="32">
        <v>46346</v>
      </c>
      <c r="E10" s="19" t="s">
        <v>20</v>
      </c>
      <c r="F10" s="19" t="s">
        <v>21</v>
      </c>
      <c r="G10" s="24"/>
      <c r="H10" s="24"/>
      <c r="I10" s="24"/>
      <c r="J10" s="24"/>
      <c r="K10" s="24"/>
      <c r="L10" s="24"/>
      <c r="M10" s="24"/>
      <c r="N10" s="24"/>
    </row>
    <row r="11" spans="1:14">
      <c r="A11" s="19" t="s">
        <v>22</v>
      </c>
      <c r="B11" s="31" t="s">
        <v>18</v>
      </c>
      <c r="C11" s="19" t="s">
        <v>19</v>
      </c>
      <c r="D11" s="32">
        <v>46351</v>
      </c>
      <c r="E11" s="19" t="s">
        <v>23</v>
      </c>
      <c r="F11" s="19" t="s">
        <v>24</v>
      </c>
      <c r="G11" s="24"/>
      <c r="H11" s="24"/>
      <c r="I11" s="24"/>
      <c r="J11" s="24"/>
      <c r="K11" s="24"/>
      <c r="L11" s="24"/>
      <c r="M11" s="24"/>
      <c r="N11" s="24"/>
    </row>
    <row r="12" ht="31" spans="1:14">
      <c r="A12" s="19" t="s">
        <v>25</v>
      </c>
      <c r="B12" s="31" t="s">
        <v>18</v>
      </c>
      <c r="C12" s="19" t="s">
        <v>26</v>
      </c>
      <c r="D12" s="32">
        <v>46351</v>
      </c>
      <c r="E12" s="19" t="s">
        <v>27</v>
      </c>
      <c r="F12" s="19" t="s">
        <v>28</v>
      </c>
      <c r="G12" s="24"/>
      <c r="H12" s="24"/>
      <c r="I12" s="24"/>
      <c r="J12" s="24"/>
      <c r="K12" s="24"/>
      <c r="L12" s="24"/>
      <c r="M12" s="24"/>
      <c r="N12" s="24"/>
    </row>
    <row r="13" ht="31" spans="1:14">
      <c r="A13" s="19" t="s">
        <v>29</v>
      </c>
      <c r="B13" s="31" t="s">
        <v>18</v>
      </c>
      <c r="C13" s="19" t="s">
        <v>30</v>
      </c>
      <c r="D13" s="32">
        <v>46353</v>
      </c>
      <c r="E13" s="19" t="s">
        <v>31</v>
      </c>
      <c r="F13" s="19" t="s">
        <v>32</v>
      </c>
      <c r="G13" s="24"/>
      <c r="H13" s="24"/>
      <c r="I13" s="24"/>
      <c r="J13" s="24"/>
      <c r="K13" s="24"/>
      <c r="L13" s="24"/>
      <c r="M13" s="24"/>
      <c r="N13" s="24"/>
    </row>
    <row r="14" spans="1:14">
      <c r="A14" s="19" t="s">
        <v>33</v>
      </c>
      <c r="B14" s="31" t="s">
        <v>18</v>
      </c>
      <c r="C14" s="19" t="s">
        <v>34</v>
      </c>
      <c r="D14" s="32">
        <v>46356</v>
      </c>
      <c r="E14" s="19" t="s">
        <v>35</v>
      </c>
      <c r="F14" s="19" t="s">
        <v>36</v>
      </c>
      <c r="G14" s="24"/>
      <c r="H14" s="24"/>
      <c r="I14" s="24"/>
      <c r="J14" s="24"/>
      <c r="K14" s="24"/>
      <c r="L14" s="24"/>
      <c r="M14" s="24"/>
      <c r="N14" s="24"/>
    </row>
    <row r="15" spans="1:14">
      <c r="A15" s="24"/>
      <c r="B15" s="24"/>
      <c r="C15" s="24"/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</row>
    <row r="16" spans="1:14">
      <c r="A16" s="24"/>
      <c r="B16" s="24"/>
      <c r="C16" s="24"/>
      <c r="D16" s="24"/>
      <c r="E16" s="24"/>
      <c r="F16" s="24"/>
      <c r="G16" s="24"/>
      <c r="H16" s="24"/>
      <c r="I16" s="24"/>
      <c r="J16" s="24"/>
      <c r="K16" s="24"/>
      <c r="L16" s="24"/>
      <c r="M16" s="24"/>
      <c r="N16" s="24"/>
    </row>
    <row r="17" spans="1:14">
      <c r="A17" s="28" t="s">
        <v>37</v>
      </c>
      <c r="B17" s="29"/>
      <c r="C17" s="29"/>
      <c r="D17" s="29"/>
      <c r="E17" s="29"/>
      <c r="F17" s="30"/>
      <c r="G17" s="24"/>
      <c r="H17" s="24"/>
      <c r="I17" s="24"/>
      <c r="J17" s="24"/>
      <c r="K17" s="24"/>
      <c r="L17" s="24"/>
      <c r="M17" s="24"/>
      <c r="N17" s="24"/>
    </row>
    <row r="18" ht="34" customHeight="1" spans="1:14">
      <c r="A18" s="33" t="s">
        <v>38</v>
      </c>
      <c r="B18" s="19" t="s">
        <v>39</v>
      </c>
      <c r="C18" s="19" t="s">
        <v>3</v>
      </c>
      <c r="D18" s="19" t="s">
        <v>3</v>
      </c>
      <c r="E18" s="19" t="s">
        <v>3</v>
      </c>
      <c r="F18" s="19" t="s">
        <v>3</v>
      </c>
      <c r="G18" s="24"/>
      <c r="H18" s="24"/>
      <c r="I18" s="24"/>
      <c r="J18" s="24"/>
      <c r="K18" s="24"/>
      <c r="L18" s="24"/>
      <c r="M18" s="24"/>
      <c r="N18" s="24"/>
    </row>
    <row r="19" ht="34" customHeight="1" spans="1:14">
      <c r="A19" s="33" t="s">
        <v>40</v>
      </c>
      <c r="B19" s="19" t="s">
        <v>41</v>
      </c>
      <c r="C19" s="19" t="s">
        <v>3</v>
      </c>
      <c r="D19" s="19" t="s">
        <v>3</v>
      </c>
      <c r="E19" s="19" t="s">
        <v>3</v>
      </c>
      <c r="F19" s="19" t="s">
        <v>3</v>
      </c>
      <c r="G19" s="24"/>
      <c r="H19" s="24"/>
      <c r="I19" s="24"/>
      <c r="J19" s="24"/>
      <c r="K19" s="24"/>
      <c r="L19" s="24"/>
      <c r="M19" s="24"/>
      <c r="N19" s="24"/>
    </row>
    <row r="20" ht="34" customHeight="1" spans="1:14">
      <c r="A20" s="33" t="s">
        <v>42</v>
      </c>
      <c r="B20" s="19" t="s">
        <v>43</v>
      </c>
      <c r="C20" s="19" t="s">
        <v>3</v>
      </c>
      <c r="D20" s="19" t="s">
        <v>3</v>
      </c>
      <c r="E20" s="19" t="s">
        <v>3</v>
      </c>
      <c r="F20" s="19" t="s">
        <v>3</v>
      </c>
      <c r="G20" s="24"/>
      <c r="H20" s="24"/>
      <c r="I20" s="24"/>
      <c r="J20" s="24"/>
      <c r="K20" s="24"/>
      <c r="L20" s="24"/>
      <c r="M20" s="24"/>
      <c r="N20" s="24"/>
    </row>
    <row r="21" ht="34" customHeight="1" spans="1:14">
      <c r="A21" s="33" t="s">
        <v>44</v>
      </c>
      <c r="B21" s="19" t="s">
        <v>45</v>
      </c>
      <c r="C21" s="19" t="s">
        <v>3</v>
      </c>
      <c r="D21" s="19" t="s">
        <v>3</v>
      </c>
      <c r="E21" s="19" t="s">
        <v>3</v>
      </c>
      <c r="F21" s="19" t="s">
        <v>3</v>
      </c>
      <c r="G21" s="24"/>
      <c r="H21" s="24"/>
      <c r="I21" s="24"/>
      <c r="J21" s="24"/>
      <c r="K21" s="24"/>
      <c r="L21" s="24"/>
      <c r="M21" s="24"/>
      <c r="N21" s="24"/>
    </row>
    <row r="22" ht="34" customHeight="1" spans="1:14">
      <c r="A22" s="33" t="s">
        <v>46</v>
      </c>
      <c r="B22" s="19" t="s">
        <v>47</v>
      </c>
      <c r="C22" s="19" t="s">
        <v>3</v>
      </c>
      <c r="D22" s="19" t="s">
        <v>3</v>
      </c>
      <c r="E22" s="19" t="s">
        <v>3</v>
      </c>
      <c r="F22" s="19" t="s">
        <v>3</v>
      </c>
      <c r="G22" s="24"/>
      <c r="H22" s="24"/>
      <c r="I22" s="24"/>
      <c r="J22" s="24"/>
      <c r="K22" s="24"/>
      <c r="L22" s="24"/>
      <c r="M22" s="24"/>
      <c r="N22" s="24"/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8"/>
  <sheetViews>
    <sheetView showGridLines="0" workbookViewId="0">
      <pane xSplit="3" ySplit="4" topLeftCell="D10" activePane="bottomRight" state="frozen"/>
      <selection/>
      <selection pane="topRight"/>
      <selection pane="bottomLeft"/>
      <selection pane="bottomRight" activeCell="C9" sqref="C9"/>
    </sheetView>
  </sheetViews>
  <sheetFormatPr defaultColWidth="9" defaultRowHeight="16.8"/>
  <cols>
    <col min="1" max="1" width="12" customWidth="1"/>
    <col min="2" max="2" width="14" customWidth="1"/>
    <col min="3" max="3" width="16" customWidth="1"/>
    <col min="4" max="4" width="38" customWidth="1"/>
    <col min="5" max="5" width="18" customWidth="1"/>
    <col min="6" max="9" width="12" customWidth="1"/>
    <col min="10" max="10" width="38" customWidth="1"/>
    <col min="11" max="12" width="16" customWidth="1"/>
    <col min="13" max="13" width="14" customWidth="1"/>
  </cols>
  <sheetData>
    <row r="1" ht="25" customHeight="1" spans="1:13">
      <c r="A1" s="13" t="s">
        <v>21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</row>
    <row r="2" spans="1:13">
      <c r="A2" s="14" t="s">
        <v>48</v>
      </c>
    </row>
    <row r="4" ht="32" customHeight="1" spans="1:13">
      <c r="A4" s="10" t="s">
        <v>49</v>
      </c>
      <c r="B4" s="10" t="s">
        <v>50</v>
      </c>
      <c r="C4" s="10" t="s">
        <v>51</v>
      </c>
      <c r="D4" s="10" t="s">
        <v>52</v>
      </c>
      <c r="E4" s="10" t="s">
        <v>53</v>
      </c>
      <c r="F4" s="10" t="s">
        <v>54</v>
      </c>
      <c r="G4" s="10" t="s">
        <v>55</v>
      </c>
      <c r="H4" s="10" t="s">
        <v>13</v>
      </c>
      <c r="I4" s="10" t="s">
        <v>56</v>
      </c>
      <c r="J4" s="10" t="s">
        <v>57</v>
      </c>
      <c r="K4" s="10" t="s">
        <v>58</v>
      </c>
      <c r="L4" s="10" t="s">
        <v>59</v>
      </c>
      <c r="M4" s="10" t="s">
        <v>60</v>
      </c>
    </row>
    <row r="5" spans="1:13">
      <c r="A5" s="21" t="s">
        <v>61</v>
      </c>
      <c r="B5" s="11" t="s">
        <v>62</v>
      </c>
      <c r="C5" s="11" t="s">
        <v>63</v>
      </c>
      <c r="D5" s="19" t="s">
        <v>64</v>
      </c>
      <c r="E5" s="15" t="s">
        <v>65</v>
      </c>
      <c r="F5" s="15" t="s">
        <v>66</v>
      </c>
      <c r="G5" s="15" t="s">
        <v>67</v>
      </c>
      <c r="H5" s="15" t="s">
        <v>19</v>
      </c>
      <c r="I5" s="15" t="s">
        <v>68</v>
      </c>
      <c r="J5" s="19" t="s">
        <v>69</v>
      </c>
      <c r="K5" s="11" t="s">
        <v>70</v>
      </c>
      <c r="L5" s="11" t="s">
        <v>71</v>
      </c>
      <c r="M5" s="15" t="s">
        <v>72</v>
      </c>
    </row>
    <row r="6" spans="1:13">
      <c r="A6" s="21" t="s">
        <v>73</v>
      </c>
      <c r="B6" s="11" t="s">
        <v>62</v>
      </c>
      <c r="C6" s="11" t="s">
        <v>74</v>
      </c>
      <c r="D6" s="19" t="s">
        <v>75</v>
      </c>
      <c r="E6" s="15" t="s">
        <v>65</v>
      </c>
      <c r="F6" s="15" t="s">
        <v>66</v>
      </c>
      <c r="G6" s="15" t="s">
        <v>67</v>
      </c>
      <c r="H6" s="15" t="s">
        <v>19</v>
      </c>
      <c r="I6" s="15" t="s">
        <v>68</v>
      </c>
      <c r="J6" s="19" t="s">
        <v>76</v>
      </c>
      <c r="K6" s="11" t="s">
        <v>70</v>
      </c>
      <c r="L6" s="11" t="s">
        <v>77</v>
      </c>
      <c r="M6" s="15" t="s">
        <v>72</v>
      </c>
    </row>
    <row r="7" spans="1:13">
      <c r="A7" s="21" t="s">
        <v>78</v>
      </c>
      <c r="B7" s="11" t="s">
        <v>79</v>
      </c>
      <c r="C7" s="11" t="s">
        <v>80</v>
      </c>
      <c r="D7" s="19" t="s">
        <v>81</v>
      </c>
      <c r="E7" s="15" t="s">
        <v>65</v>
      </c>
      <c r="F7" s="15" t="s">
        <v>66</v>
      </c>
      <c r="G7" s="15" t="s">
        <v>67</v>
      </c>
      <c r="H7" s="15" t="s">
        <v>19</v>
      </c>
      <c r="I7" s="15" t="s">
        <v>68</v>
      </c>
      <c r="J7" s="19" t="s">
        <v>82</v>
      </c>
      <c r="K7" s="11" t="s">
        <v>70</v>
      </c>
      <c r="L7" s="11" t="s">
        <v>83</v>
      </c>
      <c r="M7" s="15" t="s">
        <v>72</v>
      </c>
    </row>
    <row r="8" spans="1:13">
      <c r="A8" s="21" t="s">
        <v>84</v>
      </c>
      <c r="B8" s="11" t="s">
        <v>79</v>
      </c>
      <c r="C8" s="11" t="s">
        <v>85</v>
      </c>
      <c r="D8" s="19" t="s">
        <v>86</v>
      </c>
      <c r="E8" s="15" t="s">
        <v>65</v>
      </c>
      <c r="F8" s="15" t="s">
        <v>66</v>
      </c>
      <c r="G8" s="15" t="s">
        <v>67</v>
      </c>
      <c r="H8" s="15" t="s">
        <v>19</v>
      </c>
      <c r="I8" s="15" t="s">
        <v>68</v>
      </c>
      <c r="J8" s="19" t="s">
        <v>87</v>
      </c>
      <c r="K8" s="11" t="s">
        <v>70</v>
      </c>
      <c r="L8" s="11" t="s">
        <v>83</v>
      </c>
      <c r="M8" s="15" t="s">
        <v>72</v>
      </c>
    </row>
    <row r="9" spans="1:13">
      <c r="A9" s="21" t="s">
        <v>88</v>
      </c>
      <c r="B9" s="11" t="s">
        <v>89</v>
      </c>
      <c r="C9" s="11" t="s">
        <v>90</v>
      </c>
      <c r="D9" s="19" t="s">
        <v>91</v>
      </c>
      <c r="E9" s="15" t="s">
        <v>65</v>
      </c>
      <c r="F9" s="15" t="s">
        <v>66</v>
      </c>
      <c r="G9" s="15" t="s">
        <v>67</v>
      </c>
      <c r="H9" s="15" t="s">
        <v>19</v>
      </c>
      <c r="I9" s="15" t="s">
        <v>68</v>
      </c>
      <c r="J9" s="19" t="s">
        <v>92</v>
      </c>
      <c r="K9" s="11" t="s">
        <v>70</v>
      </c>
      <c r="L9" s="11" t="s">
        <v>93</v>
      </c>
      <c r="M9" s="15" t="s">
        <v>72</v>
      </c>
    </row>
    <row r="10" spans="1:13">
      <c r="A10" s="21" t="s">
        <v>94</v>
      </c>
      <c r="B10" s="11" t="s">
        <v>89</v>
      </c>
      <c r="C10" s="11" t="s">
        <v>95</v>
      </c>
      <c r="D10" s="19" t="s">
        <v>96</v>
      </c>
      <c r="E10" s="15" t="s">
        <v>65</v>
      </c>
      <c r="F10" s="15" t="s">
        <v>66</v>
      </c>
      <c r="G10" s="15" t="s">
        <v>67</v>
      </c>
      <c r="H10" s="15" t="s">
        <v>19</v>
      </c>
      <c r="I10" s="15" t="s">
        <v>68</v>
      </c>
      <c r="J10" s="19" t="s">
        <v>97</v>
      </c>
      <c r="K10" s="11" t="s">
        <v>70</v>
      </c>
      <c r="L10" s="11" t="s">
        <v>98</v>
      </c>
      <c r="M10" s="15" t="s">
        <v>72</v>
      </c>
    </row>
    <row r="11" spans="1:13">
      <c r="A11" s="21" t="s">
        <v>99</v>
      </c>
      <c r="B11" s="11" t="s">
        <v>100</v>
      </c>
      <c r="C11" s="11" t="s">
        <v>101</v>
      </c>
      <c r="D11" s="19" t="s">
        <v>102</v>
      </c>
      <c r="E11" s="15" t="s">
        <v>103</v>
      </c>
      <c r="F11" s="15" t="s">
        <v>66</v>
      </c>
      <c r="G11" s="15" t="s">
        <v>104</v>
      </c>
      <c r="H11" s="15" t="s">
        <v>26</v>
      </c>
      <c r="I11" s="15" t="s">
        <v>105</v>
      </c>
      <c r="J11" s="19" t="s">
        <v>106</v>
      </c>
      <c r="K11" s="11" t="s">
        <v>107</v>
      </c>
      <c r="L11" s="11" t="s">
        <v>108</v>
      </c>
      <c r="M11" s="15" t="s">
        <v>109</v>
      </c>
    </row>
    <row r="12" spans="1:13">
      <c r="A12" s="21" t="s">
        <v>110</v>
      </c>
      <c r="B12" s="11" t="s">
        <v>100</v>
      </c>
      <c r="C12" s="11" t="s">
        <v>111</v>
      </c>
      <c r="D12" s="19" t="s">
        <v>112</v>
      </c>
      <c r="E12" s="15" t="s">
        <v>65</v>
      </c>
      <c r="F12" s="15" t="s">
        <v>113</v>
      </c>
      <c r="G12" s="15" t="s">
        <v>67</v>
      </c>
      <c r="H12" s="15" t="s">
        <v>19</v>
      </c>
      <c r="I12" s="15" t="s">
        <v>68</v>
      </c>
      <c r="J12" s="19" t="s">
        <v>114</v>
      </c>
      <c r="K12" s="11" t="s">
        <v>70</v>
      </c>
      <c r="L12" s="11" t="s">
        <v>108</v>
      </c>
      <c r="M12" s="15" t="s">
        <v>72</v>
      </c>
    </row>
    <row r="13" spans="1:13">
      <c r="A13" s="21" t="s">
        <v>115</v>
      </c>
      <c r="B13" s="11" t="s">
        <v>116</v>
      </c>
      <c r="C13" s="11" t="s">
        <v>117</v>
      </c>
      <c r="D13" s="19" t="s">
        <v>118</v>
      </c>
      <c r="E13" s="15" t="s">
        <v>65</v>
      </c>
      <c r="F13" s="15" t="s">
        <v>66</v>
      </c>
      <c r="G13" s="15" t="s">
        <v>67</v>
      </c>
      <c r="H13" s="15" t="s">
        <v>19</v>
      </c>
      <c r="I13" s="15" t="s">
        <v>68</v>
      </c>
      <c r="J13" s="19" t="s">
        <v>119</v>
      </c>
      <c r="K13" s="11" t="s">
        <v>70</v>
      </c>
      <c r="L13" s="11" t="s">
        <v>120</v>
      </c>
      <c r="M13" s="15" t="s">
        <v>72</v>
      </c>
    </row>
    <row r="14" spans="1:13">
      <c r="A14" s="21" t="s">
        <v>121</v>
      </c>
      <c r="B14" s="11" t="s">
        <v>116</v>
      </c>
      <c r="C14" s="11" t="s">
        <v>122</v>
      </c>
      <c r="D14" s="19" t="s">
        <v>123</v>
      </c>
      <c r="E14" s="15" t="s">
        <v>65</v>
      </c>
      <c r="F14" s="15" t="s">
        <v>66</v>
      </c>
      <c r="G14" s="15" t="s">
        <v>67</v>
      </c>
      <c r="H14" s="15" t="s">
        <v>19</v>
      </c>
      <c r="I14" s="15" t="s">
        <v>68</v>
      </c>
      <c r="J14" s="19" t="s">
        <v>124</v>
      </c>
      <c r="K14" s="11" t="s">
        <v>70</v>
      </c>
      <c r="L14" s="11" t="s">
        <v>120</v>
      </c>
      <c r="M14" s="15" t="s">
        <v>72</v>
      </c>
    </row>
    <row r="15" spans="1:13">
      <c r="A15" s="21" t="s">
        <v>125</v>
      </c>
      <c r="B15" s="11" t="s">
        <v>116</v>
      </c>
      <c r="C15" s="11" t="s">
        <v>126</v>
      </c>
      <c r="D15" s="19" t="s">
        <v>127</v>
      </c>
      <c r="E15" s="15" t="s">
        <v>65</v>
      </c>
      <c r="F15" s="15" t="s">
        <v>66</v>
      </c>
      <c r="G15" s="15" t="s">
        <v>67</v>
      </c>
      <c r="H15" s="15" t="s">
        <v>19</v>
      </c>
      <c r="I15" s="15" t="s">
        <v>68</v>
      </c>
      <c r="J15" s="19" t="s">
        <v>128</v>
      </c>
      <c r="K15" s="11" t="s">
        <v>70</v>
      </c>
      <c r="L15" s="11" t="s">
        <v>129</v>
      </c>
      <c r="M15" s="15" t="s">
        <v>72</v>
      </c>
    </row>
    <row r="16" spans="1:13">
      <c r="A16" s="21" t="s">
        <v>130</v>
      </c>
      <c r="B16" s="11" t="s">
        <v>116</v>
      </c>
      <c r="C16" s="11" t="s">
        <v>131</v>
      </c>
      <c r="D16" s="19" t="s">
        <v>132</v>
      </c>
      <c r="E16" s="15" t="s">
        <v>65</v>
      </c>
      <c r="F16" s="15" t="s">
        <v>113</v>
      </c>
      <c r="G16" s="15" t="s">
        <v>67</v>
      </c>
      <c r="H16" s="15" t="s">
        <v>19</v>
      </c>
      <c r="I16" s="15" t="s">
        <v>68</v>
      </c>
      <c r="J16" s="19" t="s">
        <v>133</v>
      </c>
      <c r="K16" s="11" t="s">
        <v>70</v>
      </c>
      <c r="L16" s="11" t="s">
        <v>129</v>
      </c>
      <c r="M16" s="15" t="s">
        <v>72</v>
      </c>
    </row>
    <row r="17" spans="1:13">
      <c r="A17" s="21" t="s">
        <v>134</v>
      </c>
      <c r="B17" s="11" t="s">
        <v>135</v>
      </c>
      <c r="C17" s="11" t="s">
        <v>136</v>
      </c>
      <c r="D17" s="19" t="s">
        <v>137</v>
      </c>
      <c r="E17" s="15" t="s">
        <v>138</v>
      </c>
      <c r="F17" s="15" t="s">
        <v>66</v>
      </c>
      <c r="G17" s="15" t="s">
        <v>139</v>
      </c>
      <c r="H17" s="15" t="s">
        <v>30</v>
      </c>
      <c r="I17" s="15" t="s">
        <v>68</v>
      </c>
      <c r="J17" s="19" t="s">
        <v>140</v>
      </c>
      <c r="K17" s="11" t="s">
        <v>70</v>
      </c>
      <c r="L17" s="11" t="s">
        <v>141</v>
      </c>
      <c r="M17" s="15" t="s">
        <v>72</v>
      </c>
    </row>
    <row r="18" spans="1:13">
      <c r="A18" s="21" t="s">
        <v>142</v>
      </c>
      <c r="B18" s="11" t="s">
        <v>135</v>
      </c>
      <c r="C18" s="11" t="s">
        <v>143</v>
      </c>
      <c r="D18" s="19" t="s">
        <v>144</v>
      </c>
      <c r="E18" s="15" t="s">
        <v>65</v>
      </c>
      <c r="F18" s="15" t="s">
        <v>66</v>
      </c>
      <c r="G18" s="15" t="s">
        <v>67</v>
      </c>
      <c r="H18" s="15" t="s">
        <v>19</v>
      </c>
      <c r="I18" s="15" t="s">
        <v>68</v>
      </c>
      <c r="J18" s="19" t="s">
        <v>145</v>
      </c>
      <c r="K18" s="11" t="s">
        <v>70</v>
      </c>
      <c r="L18" s="11" t="s">
        <v>141</v>
      </c>
      <c r="M18" s="15" t="s">
        <v>72</v>
      </c>
    </row>
    <row r="19" spans="1:13">
      <c r="A19" s="21" t="s">
        <v>146</v>
      </c>
      <c r="B19" s="11" t="s">
        <v>147</v>
      </c>
      <c r="C19" s="11" t="s">
        <v>148</v>
      </c>
      <c r="D19" s="19" t="s">
        <v>149</v>
      </c>
      <c r="E19" s="15" t="s">
        <v>65</v>
      </c>
      <c r="F19" s="15" t="s">
        <v>113</v>
      </c>
      <c r="G19" s="15" t="s">
        <v>67</v>
      </c>
      <c r="H19" s="15" t="s">
        <v>19</v>
      </c>
      <c r="I19" s="15" t="s">
        <v>68</v>
      </c>
      <c r="J19" s="19" t="s">
        <v>150</v>
      </c>
      <c r="K19" s="11" t="s">
        <v>70</v>
      </c>
      <c r="L19" s="11" t="s">
        <v>151</v>
      </c>
      <c r="M19" s="15" t="s">
        <v>72</v>
      </c>
    </row>
    <row r="20" spans="1:13">
      <c r="A20" s="21" t="s">
        <v>152</v>
      </c>
      <c r="B20" s="11" t="s">
        <v>153</v>
      </c>
      <c r="C20" s="11" t="s">
        <v>154</v>
      </c>
      <c r="D20" s="19" t="s">
        <v>155</v>
      </c>
      <c r="E20" s="15" t="s">
        <v>103</v>
      </c>
      <c r="F20" s="15" t="s">
        <v>66</v>
      </c>
      <c r="G20" s="15" t="s">
        <v>67</v>
      </c>
      <c r="H20" s="15" t="s">
        <v>19</v>
      </c>
      <c r="I20" s="15" t="s">
        <v>105</v>
      </c>
      <c r="J20" s="19" t="s">
        <v>156</v>
      </c>
      <c r="K20" s="11" t="s">
        <v>107</v>
      </c>
      <c r="L20" s="11" t="s">
        <v>157</v>
      </c>
      <c r="M20" s="15" t="s">
        <v>109</v>
      </c>
    </row>
    <row r="21" spans="1:13">
      <c r="A21" s="21" t="s">
        <v>158</v>
      </c>
      <c r="B21" s="11" t="s">
        <v>159</v>
      </c>
      <c r="C21" s="11" t="s">
        <v>160</v>
      </c>
      <c r="D21" s="19" t="s">
        <v>161</v>
      </c>
      <c r="E21" s="15" t="s">
        <v>65</v>
      </c>
      <c r="F21" s="15" t="s">
        <v>113</v>
      </c>
      <c r="G21" s="15" t="s">
        <v>67</v>
      </c>
      <c r="H21" s="15" t="s">
        <v>19</v>
      </c>
      <c r="I21" s="15" t="s">
        <v>68</v>
      </c>
      <c r="J21" s="19" t="s">
        <v>162</v>
      </c>
      <c r="K21" s="11" t="s">
        <v>70</v>
      </c>
      <c r="L21" s="11" t="s">
        <v>163</v>
      </c>
      <c r="M21" s="15" t="s">
        <v>72</v>
      </c>
    </row>
    <row r="22" spans="1:13">
      <c r="A22" s="21" t="s">
        <v>164</v>
      </c>
      <c r="B22" s="11" t="s">
        <v>159</v>
      </c>
      <c r="C22" s="11" t="s">
        <v>165</v>
      </c>
      <c r="D22" s="19" t="s">
        <v>166</v>
      </c>
      <c r="E22" s="15" t="s">
        <v>103</v>
      </c>
      <c r="F22" s="15" t="s">
        <v>113</v>
      </c>
      <c r="G22" s="15" t="s">
        <v>167</v>
      </c>
      <c r="H22" s="15" t="s">
        <v>19</v>
      </c>
      <c r="I22" s="15" t="s">
        <v>105</v>
      </c>
      <c r="J22" s="19" t="s">
        <v>168</v>
      </c>
      <c r="K22" s="11" t="s">
        <v>107</v>
      </c>
      <c r="L22" s="11" t="s">
        <v>163</v>
      </c>
      <c r="M22" s="15" t="s">
        <v>109</v>
      </c>
    </row>
    <row r="23" spans="1:13">
      <c r="A23" s="21" t="s">
        <v>169</v>
      </c>
      <c r="B23" s="11" t="s">
        <v>170</v>
      </c>
      <c r="C23" s="11" t="s">
        <v>171</v>
      </c>
      <c r="D23" s="19" t="s">
        <v>172</v>
      </c>
      <c r="E23" s="15" t="s">
        <v>173</v>
      </c>
      <c r="F23" s="15" t="s">
        <v>66</v>
      </c>
      <c r="G23" s="15" t="s">
        <v>174</v>
      </c>
      <c r="H23" s="15" t="s">
        <v>26</v>
      </c>
      <c r="I23" s="15" t="s">
        <v>68</v>
      </c>
      <c r="J23" s="19" t="s">
        <v>175</v>
      </c>
      <c r="K23" s="11" t="s">
        <v>176</v>
      </c>
      <c r="L23" s="11" t="s">
        <v>177</v>
      </c>
      <c r="M23" s="15" t="s">
        <v>72</v>
      </c>
    </row>
    <row r="24" spans="1:13">
      <c r="A24" s="21" t="s">
        <v>178</v>
      </c>
      <c r="B24" s="11" t="s">
        <v>170</v>
      </c>
      <c r="C24" s="11" t="s">
        <v>179</v>
      </c>
      <c r="D24" s="19" t="s">
        <v>180</v>
      </c>
      <c r="E24" s="15" t="s">
        <v>173</v>
      </c>
      <c r="F24" s="15" t="s">
        <v>66</v>
      </c>
      <c r="G24" s="15" t="s">
        <v>174</v>
      </c>
      <c r="H24" s="15" t="s">
        <v>26</v>
      </c>
      <c r="I24" s="15" t="s">
        <v>68</v>
      </c>
      <c r="J24" s="19" t="s">
        <v>181</v>
      </c>
      <c r="K24" s="11" t="s">
        <v>176</v>
      </c>
      <c r="L24" s="11" t="s">
        <v>177</v>
      </c>
      <c r="M24" s="15" t="s">
        <v>72</v>
      </c>
    </row>
    <row r="25" spans="1:13">
      <c r="A25" s="21" t="s">
        <v>182</v>
      </c>
      <c r="B25" s="11" t="s">
        <v>183</v>
      </c>
      <c r="C25" s="11" t="s">
        <v>184</v>
      </c>
      <c r="D25" s="19" t="s">
        <v>185</v>
      </c>
      <c r="E25" s="15" t="s">
        <v>173</v>
      </c>
      <c r="F25" s="15" t="s">
        <v>66</v>
      </c>
      <c r="G25" s="15" t="s">
        <v>104</v>
      </c>
      <c r="H25" s="15" t="s">
        <v>26</v>
      </c>
      <c r="I25" s="15" t="s">
        <v>68</v>
      </c>
      <c r="J25" s="19" t="s">
        <v>186</v>
      </c>
      <c r="K25" s="11" t="s">
        <v>107</v>
      </c>
      <c r="L25" s="11" t="s">
        <v>187</v>
      </c>
      <c r="M25" s="15" t="s">
        <v>72</v>
      </c>
    </row>
    <row r="26" spans="1:13">
      <c r="A26" s="21" t="s">
        <v>188</v>
      </c>
      <c r="B26" s="11" t="s">
        <v>183</v>
      </c>
      <c r="C26" s="11" t="s">
        <v>189</v>
      </c>
      <c r="D26" s="19" t="s">
        <v>190</v>
      </c>
      <c r="E26" s="15" t="s">
        <v>173</v>
      </c>
      <c r="F26" s="15" t="s">
        <v>66</v>
      </c>
      <c r="G26" s="15" t="s">
        <v>104</v>
      </c>
      <c r="H26" s="15" t="s">
        <v>26</v>
      </c>
      <c r="I26" s="15" t="s">
        <v>68</v>
      </c>
      <c r="J26" s="19" t="s">
        <v>191</v>
      </c>
      <c r="K26" s="11" t="s">
        <v>107</v>
      </c>
      <c r="L26" s="11" t="s">
        <v>187</v>
      </c>
      <c r="M26" s="15" t="s">
        <v>72</v>
      </c>
    </row>
    <row r="27" spans="1:13">
      <c r="A27" s="21" t="s">
        <v>192</v>
      </c>
      <c r="B27" s="11" t="s">
        <v>193</v>
      </c>
      <c r="C27" s="11" t="s">
        <v>194</v>
      </c>
      <c r="D27" s="19" t="s">
        <v>195</v>
      </c>
      <c r="E27" s="15" t="s">
        <v>173</v>
      </c>
      <c r="F27" s="15" t="s">
        <v>66</v>
      </c>
      <c r="G27" s="15" t="s">
        <v>193</v>
      </c>
      <c r="H27" s="15" t="s">
        <v>26</v>
      </c>
      <c r="I27" s="15" t="s">
        <v>196</v>
      </c>
      <c r="J27" s="19" t="s">
        <v>197</v>
      </c>
      <c r="K27" s="11" t="s">
        <v>176</v>
      </c>
      <c r="L27" s="11" t="s">
        <v>198</v>
      </c>
      <c r="M27" s="15" t="s">
        <v>196</v>
      </c>
    </row>
    <row r="28" spans="1:13">
      <c r="A28" s="21" t="s">
        <v>199</v>
      </c>
      <c r="B28" s="11" t="s">
        <v>193</v>
      </c>
      <c r="C28" s="11" t="s">
        <v>200</v>
      </c>
      <c r="D28" s="19" t="s">
        <v>201</v>
      </c>
      <c r="E28" s="15" t="s">
        <v>173</v>
      </c>
      <c r="F28" s="15" t="s">
        <v>66</v>
      </c>
      <c r="G28" s="15" t="s">
        <v>193</v>
      </c>
      <c r="H28" s="15" t="s">
        <v>26</v>
      </c>
      <c r="I28" s="15" t="s">
        <v>196</v>
      </c>
      <c r="J28" s="19" t="s">
        <v>202</v>
      </c>
      <c r="K28" s="11" t="s">
        <v>176</v>
      </c>
      <c r="L28" s="11" t="s">
        <v>198</v>
      </c>
      <c r="M28" s="15" t="s">
        <v>196</v>
      </c>
    </row>
  </sheetData>
  <dataValidations count="3">
    <dataValidation type="list" sqref="F5:F104">
      <formula1>"P0,P1,P2"</formula1>
    </dataValidation>
    <dataValidation type="list" sqref="I5:I104">
      <formula1>"待确认,已确认,待验证,已验证,待量化,已拒绝"</formula1>
    </dataValidation>
    <dataValidation type="list" sqref="M5:M104">
      <formula1>"拟纳入,已纳入,不纳入,POC后确认,待量化"</formula1>
    </dataValidation>
  </dataValidations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6"/>
  <sheetViews>
    <sheetView showGridLines="0" tabSelected="1" workbookViewId="0">
      <pane ySplit="4" topLeftCell="A5" activePane="bottomLeft" state="frozen"/>
      <selection/>
      <selection pane="bottomLeft" activeCell="A1" sqref="A1"/>
    </sheetView>
  </sheetViews>
  <sheetFormatPr defaultColWidth="9" defaultRowHeight="16.8" outlineLevelCol="7"/>
  <cols>
    <col min="1" max="1" width="12" customWidth="1"/>
    <col min="2" max="2" width="22" customWidth="1"/>
    <col min="3" max="3" width="42" customWidth="1"/>
    <col min="4" max="4" width="14" customWidth="1"/>
    <col min="5" max="5" width="38" customWidth="1"/>
    <col min="6" max="8" width="16" customWidth="1"/>
  </cols>
  <sheetData>
    <row r="1" ht="25" customHeight="1" spans="1:8">
      <c r="A1" s="13" t="s">
        <v>203</v>
      </c>
      <c r="B1" s="13"/>
      <c r="C1" s="13"/>
      <c r="D1" s="13"/>
      <c r="E1" s="13"/>
      <c r="F1" s="13"/>
      <c r="G1" s="13"/>
      <c r="H1" s="13"/>
    </row>
    <row r="2" spans="1:8">
      <c r="A2" s="14" t="s">
        <v>204</v>
      </c>
    </row>
    <row r="4" ht="32" customHeight="1" spans="1:8">
      <c r="A4" s="10" t="s">
        <v>205</v>
      </c>
      <c r="B4" s="10" t="s">
        <v>206</v>
      </c>
      <c r="C4" s="10" t="s">
        <v>207</v>
      </c>
      <c r="D4" s="10" t="s">
        <v>208</v>
      </c>
      <c r="E4" s="10" t="s">
        <v>209</v>
      </c>
      <c r="F4" s="10" t="s">
        <v>210</v>
      </c>
      <c r="G4" s="10" t="s">
        <v>58</v>
      </c>
      <c r="H4" s="10" t="s">
        <v>56</v>
      </c>
    </row>
    <row r="5" spans="1:8">
      <c r="A5" s="11" t="s">
        <v>211</v>
      </c>
      <c r="B5" s="11" t="s">
        <v>212</v>
      </c>
      <c r="C5" s="19" t="s">
        <v>213</v>
      </c>
      <c r="D5" s="17" t="s">
        <v>214</v>
      </c>
      <c r="E5" s="17" t="s">
        <v>215</v>
      </c>
      <c r="F5" s="15" t="s">
        <v>19</v>
      </c>
      <c r="G5" s="15" t="s">
        <v>70</v>
      </c>
      <c r="H5" s="15" t="s">
        <v>68</v>
      </c>
    </row>
    <row r="6" spans="1:8">
      <c r="A6" s="11" t="s">
        <v>216</v>
      </c>
      <c r="B6" s="11" t="s">
        <v>217</v>
      </c>
      <c r="C6" s="19" t="s">
        <v>218</v>
      </c>
      <c r="D6" s="17" t="s">
        <v>219</v>
      </c>
      <c r="E6" s="17" t="s">
        <v>220</v>
      </c>
      <c r="F6" s="15" t="s">
        <v>26</v>
      </c>
      <c r="G6" s="15" t="s">
        <v>221</v>
      </c>
      <c r="H6" s="15" t="s">
        <v>105</v>
      </c>
    </row>
    <row r="7" spans="1:8">
      <c r="A7" s="11" t="s">
        <v>222</v>
      </c>
      <c r="B7" s="11" t="s">
        <v>223</v>
      </c>
      <c r="C7" s="19" t="s">
        <v>224</v>
      </c>
      <c r="D7" s="17" t="s">
        <v>214</v>
      </c>
      <c r="E7" s="17" t="s">
        <v>225</v>
      </c>
      <c r="F7" s="15" t="s">
        <v>26</v>
      </c>
      <c r="G7" s="15" t="s">
        <v>226</v>
      </c>
      <c r="H7" s="15" t="s">
        <v>68</v>
      </c>
    </row>
    <row r="8" spans="1:8">
      <c r="A8" s="11" t="s">
        <v>227</v>
      </c>
      <c r="B8" s="11" t="s">
        <v>228</v>
      </c>
      <c r="C8" s="19" t="s">
        <v>229</v>
      </c>
      <c r="D8" s="17" t="s">
        <v>214</v>
      </c>
      <c r="E8" s="17" t="s">
        <v>230</v>
      </c>
      <c r="F8" s="15" t="s">
        <v>26</v>
      </c>
      <c r="G8" s="15" t="s">
        <v>107</v>
      </c>
      <c r="H8" s="15" t="s">
        <v>68</v>
      </c>
    </row>
    <row r="9" spans="1:8">
      <c r="A9" s="11" t="s">
        <v>231</v>
      </c>
      <c r="B9" s="11" t="s">
        <v>232</v>
      </c>
      <c r="C9" s="19" t="s">
        <v>233</v>
      </c>
      <c r="D9" s="17" t="s">
        <v>214</v>
      </c>
      <c r="E9" s="17" t="s">
        <v>234</v>
      </c>
      <c r="F9" s="15" t="s">
        <v>19</v>
      </c>
      <c r="G9" s="15" t="s">
        <v>235</v>
      </c>
      <c r="H9" s="15" t="s">
        <v>68</v>
      </c>
    </row>
    <row r="10" spans="1:8">
      <c r="A10" s="11" t="s">
        <v>236</v>
      </c>
      <c r="B10" s="11" t="s">
        <v>237</v>
      </c>
      <c r="C10" s="19" t="s">
        <v>238</v>
      </c>
      <c r="D10" s="17" t="s">
        <v>214</v>
      </c>
      <c r="E10" s="17" t="s">
        <v>239</v>
      </c>
      <c r="F10" s="15" t="s">
        <v>26</v>
      </c>
      <c r="G10" s="15" t="s">
        <v>176</v>
      </c>
      <c r="H10" s="15" t="s">
        <v>68</v>
      </c>
    </row>
    <row r="11" spans="1:8">
      <c r="A11" s="11" t="s">
        <v>240</v>
      </c>
      <c r="B11" s="11" t="s">
        <v>241</v>
      </c>
      <c r="C11" s="19" t="s">
        <v>242</v>
      </c>
      <c r="D11" s="17" t="s">
        <v>214</v>
      </c>
      <c r="E11" s="17" t="s">
        <v>243</v>
      </c>
      <c r="F11" s="15" t="s">
        <v>244</v>
      </c>
      <c r="G11" s="15" t="s">
        <v>235</v>
      </c>
      <c r="H11" s="15" t="s">
        <v>68</v>
      </c>
    </row>
    <row r="12" spans="1:8">
      <c r="A12" s="11" t="s">
        <v>245</v>
      </c>
      <c r="B12" s="11" t="s">
        <v>246</v>
      </c>
      <c r="C12" s="19" t="s">
        <v>247</v>
      </c>
      <c r="D12" s="17" t="s">
        <v>214</v>
      </c>
      <c r="E12" s="17" t="s">
        <v>248</v>
      </c>
      <c r="F12" s="15" t="s">
        <v>30</v>
      </c>
      <c r="G12" s="15" t="s">
        <v>249</v>
      </c>
      <c r="H12" s="15" t="s">
        <v>68</v>
      </c>
    </row>
    <row r="13" spans="1:8">
      <c r="A13" s="11" t="s">
        <v>250</v>
      </c>
      <c r="B13" s="11" t="s">
        <v>251</v>
      </c>
      <c r="C13" s="19" t="s">
        <v>252</v>
      </c>
      <c r="D13" s="17" t="s">
        <v>253</v>
      </c>
      <c r="E13" s="17" t="s">
        <v>254</v>
      </c>
      <c r="F13" s="15" t="s">
        <v>30</v>
      </c>
      <c r="G13" s="15" t="s">
        <v>255</v>
      </c>
      <c r="H13" s="15" t="s">
        <v>256</v>
      </c>
    </row>
    <row r="14" spans="1:8">
      <c r="A14" s="11" t="s">
        <v>257</v>
      </c>
      <c r="B14" s="11" t="s">
        <v>258</v>
      </c>
      <c r="C14" s="19" t="s">
        <v>259</v>
      </c>
      <c r="D14" s="17" t="s">
        <v>253</v>
      </c>
      <c r="E14" s="17" t="s">
        <v>260</v>
      </c>
      <c r="F14" s="15" t="s">
        <v>19</v>
      </c>
      <c r="G14" s="15" t="s">
        <v>70</v>
      </c>
      <c r="H14" s="15" t="s">
        <v>256</v>
      </c>
    </row>
    <row r="15" spans="1:8">
      <c r="A15" s="11" t="s">
        <v>261</v>
      </c>
      <c r="B15" s="11" t="s">
        <v>262</v>
      </c>
      <c r="C15" s="19" t="s">
        <v>263</v>
      </c>
      <c r="D15" s="17" t="s">
        <v>253</v>
      </c>
      <c r="E15" s="17" t="s">
        <v>264</v>
      </c>
      <c r="F15" s="15" t="s">
        <v>26</v>
      </c>
      <c r="G15" s="15" t="s">
        <v>221</v>
      </c>
      <c r="H15" s="15" t="s">
        <v>256</v>
      </c>
    </row>
    <row r="16" spans="1:8">
      <c r="A16" s="11" t="s">
        <v>265</v>
      </c>
      <c r="B16" s="11" t="s">
        <v>266</v>
      </c>
      <c r="C16" s="19" t="s">
        <v>267</v>
      </c>
      <c r="D16" s="17" t="s">
        <v>253</v>
      </c>
      <c r="E16" s="17" t="s">
        <v>268</v>
      </c>
      <c r="F16" s="15" t="s">
        <v>34</v>
      </c>
      <c r="G16" s="15" t="s">
        <v>249</v>
      </c>
      <c r="H16" s="15" t="s">
        <v>256</v>
      </c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8"/>
  <sheetViews>
    <sheetView showGridLines="0" workbookViewId="0">
      <pane xSplit="2" ySplit="4" topLeftCell="C5" activePane="bottomRight" state="frozen"/>
      <selection/>
      <selection pane="topRight"/>
      <selection pane="bottomLeft"/>
      <selection pane="bottomRight" activeCell="A1" sqref="A1"/>
    </sheetView>
  </sheetViews>
  <sheetFormatPr defaultColWidth="9" defaultRowHeight="16.8"/>
  <cols>
    <col min="1" max="1" width="12" customWidth="1"/>
    <col min="2" max="2" width="38" customWidth="1"/>
    <col min="3" max="6" width="14" customWidth="1"/>
    <col min="7" max="10" width="18" customWidth="1"/>
    <col min="11" max="14" width="16" customWidth="1"/>
  </cols>
  <sheetData>
    <row r="1" ht="25" customHeight="1" spans="1:14">
      <c r="A1" s="13" t="s">
        <v>32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</row>
    <row r="2" spans="1:14">
      <c r="A2" s="14" t="s">
        <v>269</v>
      </c>
    </row>
    <row r="4" ht="32" customHeight="1" spans="1:14">
      <c r="A4" s="10" t="s">
        <v>49</v>
      </c>
      <c r="B4" s="10" t="s">
        <v>52</v>
      </c>
      <c r="C4" s="10" t="s">
        <v>54</v>
      </c>
      <c r="D4" s="10" t="s">
        <v>60</v>
      </c>
      <c r="E4" s="10" t="s">
        <v>205</v>
      </c>
      <c r="F4" s="10" t="s">
        <v>270</v>
      </c>
      <c r="G4" s="10" t="s">
        <v>271</v>
      </c>
      <c r="H4" s="10" t="s">
        <v>272</v>
      </c>
      <c r="I4" s="10" t="s">
        <v>273</v>
      </c>
      <c r="J4" s="10" t="s">
        <v>274</v>
      </c>
      <c r="K4" s="10" t="s">
        <v>13</v>
      </c>
      <c r="L4" s="10" t="s">
        <v>275</v>
      </c>
      <c r="M4" s="10" t="s">
        <v>56</v>
      </c>
      <c r="N4" s="10" t="s">
        <v>276</v>
      </c>
    </row>
    <row r="5" spans="1:14">
      <c r="A5" s="11" t="s">
        <v>61</v>
      </c>
      <c r="B5" s="19" t="s">
        <v>64</v>
      </c>
      <c r="C5" s="11" t="s">
        <v>66</v>
      </c>
      <c r="D5" s="11" t="s">
        <v>72</v>
      </c>
      <c r="E5" s="15" t="s">
        <v>211</v>
      </c>
      <c r="F5" s="15" t="s">
        <v>71</v>
      </c>
      <c r="G5" s="15" t="s">
        <v>277</v>
      </c>
      <c r="H5" s="15" t="s">
        <v>277</v>
      </c>
      <c r="I5" s="15" t="s">
        <v>277</v>
      </c>
      <c r="J5" s="15" t="s">
        <v>277</v>
      </c>
      <c r="K5" s="11" t="s">
        <v>19</v>
      </c>
      <c r="L5" s="11" t="s">
        <v>70</v>
      </c>
      <c r="M5" s="11" t="s">
        <v>68</v>
      </c>
      <c r="N5" s="20" t="str">
        <f t="shared" ref="N5:N28" si="0">IF(OR(A5="",D5=""),"缺失",IF(C5&lt;&gt;"P0","按需",IF(COUNTIF(E5:J5,"待补充")&gt;0,"不完整","完整")))</f>
        <v>不完整</v>
      </c>
    </row>
    <row r="6" spans="1:14">
      <c r="A6" s="11" t="s">
        <v>73</v>
      </c>
      <c r="B6" s="19" t="s">
        <v>75</v>
      </c>
      <c r="C6" s="11" t="s">
        <v>66</v>
      </c>
      <c r="D6" s="11" t="s">
        <v>72</v>
      </c>
      <c r="E6" s="15" t="s">
        <v>211</v>
      </c>
      <c r="F6" s="15" t="s">
        <v>77</v>
      </c>
      <c r="G6" s="15" t="s">
        <v>277</v>
      </c>
      <c r="H6" s="15" t="s">
        <v>277</v>
      </c>
      <c r="I6" s="15" t="s">
        <v>277</v>
      </c>
      <c r="J6" s="15" t="s">
        <v>277</v>
      </c>
      <c r="K6" s="11" t="s">
        <v>19</v>
      </c>
      <c r="L6" s="11" t="s">
        <v>70</v>
      </c>
      <c r="M6" s="11" t="s">
        <v>68</v>
      </c>
      <c r="N6" s="20" t="str">
        <f t="shared" si="0"/>
        <v>不完整</v>
      </c>
    </row>
    <row r="7" spans="1:14">
      <c r="A7" s="11" t="s">
        <v>78</v>
      </c>
      <c r="B7" s="19" t="s">
        <v>81</v>
      </c>
      <c r="C7" s="11" t="s">
        <v>66</v>
      </c>
      <c r="D7" s="11" t="s">
        <v>72</v>
      </c>
      <c r="E7" s="15" t="s">
        <v>211</v>
      </c>
      <c r="F7" s="15" t="s">
        <v>83</v>
      </c>
      <c r="G7" s="15" t="s">
        <v>277</v>
      </c>
      <c r="H7" s="15" t="s">
        <v>277</v>
      </c>
      <c r="I7" s="15" t="s">
        <v>277</v>
      </c>
      <c r="J7" s="15" t="s">
        <v>277</v>
      </c>
      <c r="K7" s="11" t="s">
        <v>19</v>
      </c>
      <c r="L7" s="11" t="s">
        <v>70</v>
      </c>
      <c r="M7" s="11" t="s">
        <v>68</v>
      </c>
      <c r="N7" s="20" t="str">
        <f t="shared" si="0"/>
        <v>不完整</v>
      </c>
    </row>
    <row r="8" spans="1:14">
      <c r="A8" s="11" t="s">
        <v>84</v>
      </c>
      <c r="B8" s="19" t="s">
        <v>86</v>
      </c>
      <c r="C8" s="11" t="s">
        <v>66</v>
      </c>
      <c r="D8" s="11" t="s">
        <v>72</v>
      </c>
      <c r="E8" s="15" t="s">
        <v>216</v>
      </c>
      <c r="F8" s="15" t="s">
        <v>83</v>
      </c>
      <c r="G8" s="15" t="s">
        <v>277</v>
      </c>
      <c r="H8" s="15" t="s">
        <v>277</v>
      </c>
      <c r="I8" s="15" t="s">
        <v>277</v>
      </c>
      <c r="J8" s="15" t="s">
        <v>277</v>
      </c>
      <c r="K8" s="11" t="s">
        <v>19</v>
      </c>
      <c r="L8" s="11" t="s">
        <v>70</v>
      </c>
      <c r="M8" s="11" t="s">
        <v>68</v>
      </c>
      <c r="N8" s="20" t="str">
        <f t="shared" si="0"/>
        <v>不完整</v>
      </c>
    </row>
    <row r="9" spans="1:14">
      <c r="A9" s="11" t="s">
        <v>88</v>
      </c>
      <c r="B9" s="19" t="s">
        <v>91</v>
      </c>
      <c r="C9" s="11" t="s">
        <v>66</v>
      </c>
      <c r="D9" s="11" t="s">
        <v>72</v>
      </c>
      <c r="E9" s="15" t="s">
        <v>216</v>
      </c>
      <c r="F9" s="15" t="s">
        <v>93</v>
      </c>
      <c r="G9" s="15" t="s">
        <v>277</v>
      </c>
      <c r="H9" s="15" t="s">
        <v>277</v>
      </c>
      <c r="I9" s="15" t="s">
        <v>277</v>
      </c>
      <c r="J9" s="15" t="s">
        <v>277</v>
      </c>
      <c r="K9" s="11" t="s">
        <v>19</v>
      </c>
      <c r="L9" s="11" t="s">
        <v>70</v>
      </c>
      <c r="M9" s="11" t="s">
        <v>68</v>
      </c>
      <c r="N9" s="20" t="str">
        <f t="shared" si="0"/>
        <v>不完整</v>
      </c>
    </row>
    <row r="10" spans="1:14">
      <c r="A10" s="11" t="s">
        <v>94</v>
      </c>
      <c r="B10" s="19" t="s">
        <v>96</v>
      </c>
      <c r="C10" s="11" t="s">
        <v>66</v>
      </c>
      <c r="D10" s="11" t="s">
        <v>72</v>
      </c>
      <c r="E10" s="15" t="s">
        <v>216</v>
      </c>
      <c r="F10" s="15" t="s">
        <v>98</v>
      </c>
      <c r="G10" s="15" t="s">
        <v>277</v>
      </c>
      <c r="H10" s="15" t="s">
        <v>277</v>
      </c>
      <c r="I10" s="15" t="s">
        <v>277</v>
      </c>
      <c r="J10" s="15" t="s">
        <v>277</v>
      </c>
      <c r="K10" s="11" t="s">
        <v>19</v>
      </c>
      <c r="L10" s="11" t="s">
        <v>70</v>
      </c>
      <c r="M10" s="11" t="s">
        <v>68</v>
      </c>
      <c r="N10" s="20" t="str">
        <f t="shared" si="0"/>
        <v>不完整</v>
      </c>
    </row>
    <row r="11" spans="1:14">
      <c r="A11" s="11" t="s">
        <v>99</v>
      </c>
      <c r="B11" s="19" t="s">
        <v>102</v>
      </c>
      <c r="C11" s="11" t="s">
        <v>66</v>
      </c>
      <c r="D11" s="11" t="s">
        <v>109</v>
      </c>
      <c r="E11" s="15" t="s">
        <v>222</v>
      </c>
      <c r="F11" s="15" t="s">
        <v>108</v>
      </c>
      <c r="G11" s="15" t="s">
        <v>277</v>
      </c>
      <c r="H11" s="15" t="s">
        <v>277</v>
      </c>
      <c r="I11" s="15" t="s">
        <v>277</v>
      </c>
      <c r="J11" s="15" t="s">
        <v>277</v>
      </c>
      <c r="K11" s="11" t="s">
        <v>26</v>
      </c>
      <c r="L11" s="11" t="s">
        <v>107</v>
      </c>
      <c r="M11" s="11" t="s">
        <v>105</v>
      </c>
      <c r="N11" s="20" t="str">
        <f t="shared" si="0"/>
        <v>不完整</v>
      </c>
    </row>
    <row r="12" spans="1:14">
      <c r="A12" s="11" t="s">
        <v>110</v>
      </c>
      <c r="B12" s="19" t="s">
        <v>112</v>
      </c>
      <c r="C12" s="11" t="s">
        <v>113</v>
      </c>
      <c r="D12" s="11" t="s">
        <v>72</v>
      </c>
      <c r="E12" s="15" t="s">
        <v>222</v>
      </c>
      <c r="F12" s="15" t="s">
        <v>108</v>
      </c>
      <c r="G12" s="15" t="s">
        <v>277</v>
      </c>
      <c r="H12" s="15" t="s">
        <v>277</v>
      </c>
      <c r="I12" s="15" t="s">
        <v>277</v>
      </c>
      <c r="J12" s="15" t="s">
        <v>277</v>
      </c>
      <c r="K12" s="11" t="s">
        <v>19</v>
      </c>
      <c r="L12" s="11" t="s">
        <v>70</v>
      </c>
      <c r="M12" s="11" t="s">
        <v>68</v>
      </c>
      <c r="N12" s="20" t="str">
        <f t="shared" si="0"/>
        <v>按需</v>
      </c>
    </row>
    <row r="13" spans="1:14">
      <c r="A13" s="11" t="s">
        <v>115</v>
      </c>
      <c r="B13" s="19" t="s">
        <v>118</v>
      </c>
      <c r="C13" s="11" t="s">
        <v>66</v>
      </c>
      <c r="D13" s="11" t="s">
        <v>72</v>
      </c>
      <c r="E13" s="15" t="s">
        <v>222</v>
      </c>
      <c r="F13" s="15" t="s">
        <v>120</v>
      </c>
      <c r="G13" s="15" t="s">
        <v>277</v>
      </c>
      <c r="H13" s="15" t="s">
        <v>277</v>
      </c>
      <c r="I13" s="15" t="s">
        <v>277</v>
      </c>
      <c r="J13" s="15" t="s">
        <v>277</v>
      </c>
      <c r="K13" s="11" t="s">
        <v>19</v>
      </c>
      <c r="L13" s="11" t="s">
        <v>70</v>
      </c>
      <c r="M13" s="11" t="s">
        <v>68</v>
      </c>
      <c r="N13" s="20" t="str">
        <f t="shared" si="0"/>
        <v>不完整</v>
      </c>
    </row>
    <row r="14" spans="1:14">
      <c r="A14" s="11" t="s">
        <v>121</v>
      </c>
      <c r="B14" s="19" t="s">
        <v>123</v>
      </c>
      <c r="C14" s="11" t="s">
        <v>66</v>
      </c>
      <c r="D14" s="11" t="s">
        <v>72</v>
      </c>
      <c r="E14" s="15" t="s">
        <v>227</v>
      </c>
      <c r="F14" s="15" t="s">
        <v>120</v>
      </c>
      <c r="G14" s="15" t="s">
        <v>277</v>
      </c>
      <c r="H14" s="15" t="s">
        <v>277</v>
      </c>
      <c r="I14" s="15" t="s">
        <v>277</v>
      </c>
      <c r="J14" s="15" t="s">
        <v>277</v>
      </c>
      <c r="K14" s="11" t="s">
        <v>19</v>
      </c>
      <c r="L14" s="11" t="s">
        <v>70</v>
      </c>
      <c r="M14" s="11" t="s">
        <v>68</v>
      </c>
      <c r="N14" s="20" t="str">
        <f t="shared" si="0"/>
        <v>不完整</v>
      </c>
    </row>
    <row r="15" spans="1:14">
      <c r="A15" s="11" t="s">
        <v>125</v>
      </c>
      <c r="B15" s="19" t="s">
        <v>127</v>
      </c>
      <c r="C15" s="11" t="s">
        <v>66</v>
      </c>
      <c r="D15" s="11" t="s">
        <v>72</v>
      </c>
      <c r="E15" s="15" t="s">
        <v>227</v>
      </c>
      <c r="F15" s="15" t="s">
        <v>129</v>
      </c>
      <c r="G15" s="15" t="s">
        <v>277</v>
      </c>
      <c r="H15" s="15" t="s">
        <v>277</v>
      </c>
      <c r="I15" s="15" t="s">
        <v>277</v>
      </c>
      <c r="J15" s="15" t="s">
        <v>277</v>
      </c>
      <c r="K15" s="11" t="s">
        <v>19</v>
      </c>
      <c r="L15" s="11" t="s">
        <v>70</v>
      </c>
      <c r="M15" s="11" t="s">
        <v>68</v>
      </c>
      <c r="N15" s="20" t="str">
        <f t="shared" si="0"/>
        <v>不完整</v>
      </c>
    </row>
    <row r="16" spans="1:14">
      <c r="A16" s="11" t="s">
        <v>130</v>
      </c>
      <c r="B16" s="19" t="s">
        <v>132</v>
      </c>
      <c r="C16" s="11" t="s">
        <v>113</v>
      </c>
      <c r="D16" s="11" t="s">
        <v>72</v>
      </c>
      <c r="E16" s="15" t="s">
        <v>227</v>
      </c>
      <c r="F16" s="15" t="s">
        <v>129</v>
      </c>
      <c r="G16" s="15" t="s">
        <v>277</v>
      </c>
      <c r="H16" s="15" t="s">
        <v>277</v>
      </c>
      <c r="I16" s="15" t="s">
        <v>277</v>
      </c>
      <c r="J16" s="15" t="s">
        <v>277</v>
      </c>
      <c r="K16" s="11" t="s">
        <v>19</v>
      </c>
      <c r="L16" s="11" t="s">
        <v>70</v>
      </c>
      <c r="M16" s="11" t="s">
        <v>68</v>
      </c>
      <c r="N16" s="20" t="str">
        <f t="shared" si="0"/>
        <v>按需</v>
      </c>
    </row>
    <row r="17" spans="1:14">
      <c r="A17" s="11" t="s">
        <v>134</v>
      </c>
      <c r="B17" s="19" t="s">
        <v>137</v>
      </c>
      <c r="C17" s="11" t="s">
        <v>66</v>
      </c>
      <c r="D17" s="11" t="s">
        <v>72</v>
      </c>
      <c r="E17" s="15" t="s">
        <v>231</v>
      </c>
      <c r="F17" s="15" t="s">
        <v>141</v>
      </c>
      <c r="G17" s="15" t="s">
        <v>277</v>
      </c>
      <c r="H17" s="15" t="s">
        <v>277</v>
      </c>
      <c r="I17" s="15" t="s">
        <v>277</v>
      </c>
      <c r="J17" s="15" t="s">
        <v>277</v>
      </c>
      <c r="K17" s="11" t="s">
        <v>30</v>
      </c>
      <c r="L17" s="11" t="s">
        <v>70</v>
      </c>
      <c r="M17" s="11" t="s">
        <v>68</v>
      </c>
      <c r="N17" s="20" t="str">
        <f t="shared" si="0"/>
        <v>不完整</v>
      </c>
    </row>
    <row r="18" spans="1:14">
      <c r="A18" s="11" t="s">
        <v>142</v>
      </c>
      <c r="B18" s="19" t="s">
        <v>144</v>
      </c>
      <c r="C18" s="11" t="s">
        <v>66</v>
      </c>
      <c r="D18" s="11" t="s">
        <v>72</v>
      </c>
      <c r="E18" s="15" t="s">
        <v>231</v>
      </c>
      <c r="F18" s="15" t="s">
        <v>141</v>
      </c>
      <c r="G18" s="15" t="s">
        <v>277</v>
      </c>
      <c r="H18" s="15" t="s">
        <v>277</v>
      </c>
      <c r="I18" s="15" t="s">
        <v>277</v>
      </c>
      <c r="J18" s="15" t="s">
        <v>277</v>
      </c>
      <c r="K18" s="11" t="s">
        <v>19</v>
      </c>
      <c r="L18" s="11" t="s">
        <v>70</v>
      </c>
      <c r="M18" s="11" t="s">
        <v>68</v>
      </c>
      <c r="N18" s="20" t="str">
        <f t="shared" si="0"/>
        <v>不完整</v>
      </c>
    </row>
    <row r="19" spans="1:14">
      <c r="A19" s="11" t="s">
        <v>146</v>
      </c>
      <c r="B19" s="19" t="s">
        <v>149</v>
      </c>
      <c r="C19" s="11" t="s">
        <v>113</v>
      </c>
      <c r="D19" s="11" t="s">
        <v>72</v>
      </c>
      <c r="E19" s="15" t="s">
        <v>231</v>
      </c>
      <c r="F19" s="15" t="s">
        <v>151</v>
      </c>
      <c r="G19" s="15" t="s">
        <v>277</v>
      </c>
      <c r="H19" s="15" t="s">
        <v>277</v>
      </c>
      <c r="I19" s="15" t="s">
        <v>277</v>
      </c>
      <c r="J19" s="15" t="s">
        <v>277</v>
      </c>
      <c r="K19" s="11" t="s">
        <v>19</v>
      </c>
      <c r="L19" s="11" t="s">
        <v>70</v>
      </c>
      <c r="M19" s="11" t="s">
        <v>68</v>
      </c>
      <c r="N19" s="20" t="str">
        <f t="shared" si="0"/>
        <v>按需</v>
      </c>
    </row>
    <row r="20" spans="1:14">
      <c r="A20" s="11" t="s">
        <v>152</v>
      </c>
      <c r="B20" s="19" t="s">
        <v>155</v>
      </c>
      <c r="C20" s="11" t="s">
        <v>66</v>
      </c>
      <c r="D20" s="11" t="s">
        <v>109</v>
      </c>
      <c r="E20" s="15" t="s">
        <v>236</v>
      </c>
      <c r="F20" s="15" t="s">
        <v>157</v>
      </c>
      <c r="G20" s="15" t="s">
        <v>277</v>
      </c>
      <c r="H20" s="15" t="s">
        <v>277</v>
      </c>
      <c r="I20" s="15" t="s">
        <v>277</v>
      </c>
      <c r="J20" s="15" t="s">
        <v>277</v>
      </c>
      <c r="K20" s="11" t="s">
        <v>19</v>
      </c>
      <c r="L20" s="11" t="s">
        <v>107</v>
      </c>
      <c r="M20" s="11" t="s">
        <v>105</v>
      </c>
      <c r="N20" s="20" t="str">
        <f t="shared" si="0"/>
        <v>不完整</v>
      </c>
    </row>
    <row r="21" spans="1:14">
      <c r="A21" s="11" t="s">
        <v>158</v>
      </c>
      <c r="B21" s="19" t="s">
        <v>161</v>
      </c>
      <c r="C21" s="11" t="s">
        <v>113</v>
      </c>
      <c r="D21" s="11" t="s">
        <v>72</v>
      </c>
      <c r="E21" s="15" t="s">
        <v>236</v>
      </c>
      <c r="F21" s="15" t="s">
        <v>163</v>
      </c>
      <c r="G21" s="15" t="s">
        <v>277</v>
      </c>
      <c r="H21" s="15" t="s">
        <v>277</v>
      </c>
      <c r="I21" s="15" t="s">
        <v>277</v>
      </c>
      <c r="J21" s="15" t="s">
        <v>277</v>
      </c>
      <c r="K21" s="11" t="s">
        <v>19</v>
      </c>
      <c r="L21" s="11" t="s">
        <v>70</v>
      </c>
      <c r="M21" s="11" t="s">
        <v>68</v>
      </c>
      <c r="N21" s="20" t="str">
        <f t="shared" si="0"/>
        <v>按需</v>
      </c>
    </row>
    <row r="22" spans="1:14">
      <c r="A22" s="11" t="s">
        <v>164</v>
      </c>
      <c r="B22" s="19" t="s">
        <v>166</v>
      </c>
      <c r="C22" s="11" t="s">
        <v>113</v>
      </c>
      <c r="D22" s="11" t="s">
        <v>109</v>
      </c>
      <c r="E22" s="15" t="s">
        <v>236</v>
      </c>
      <c r="F22" s="15" t="s">
        <v>163</v>
      </c>
      <c r="G22" s="15" t="s">
        <v>277</v>
      </c>
      <c r="H22" s="15" t="s">
        <v>277</v>
      </c>
      <c r="I22" s="15" t="s">
        <v>277</v>
      </c>
      <c r="J22" s="15" t="s">
        <v>277</v>
      </c>
      <c r="K22" s="11" t="s">
        <v>19</v>
      </c>
      <c r="L22" s="11" t="s">
        <v>107</v>
      </c>
      <c r="M22" s="11" t="s">
        <v>105</v>
      </c>
      <c r="N22" s="20" t="str">
        <f t="shared" si="0"/>
        <v>按需</v>
      </c>
    </row>
    <row r="23" spans="1:14">
      <c r="A23" s="11" t="s">
        <v>169</v>
      </c>
      <c r="B23" s="19" t="s">
        <v>172</v>
      </c>
      <c r="C23" s="11" t="s">
        <v>66</v>
      </c>
      <c r="D23" s="11" t="s">
        <v>72</v>
      </c>
      <c r="E23" s="15" t="s">
        <v>240</v>
      </c>
      <c r="F23" s="15" t="s">
        <v>177</v>
      </c>
      <c r="G23" s="15" t="s">
        <v>277</v>
      </c>
      <c r="H23" s="15" t="s">
        <v>277</v>
      </c>
      <c r="I23" s="15" t="s">
        <v>277</v>
      </c>
      <c r="J23" s="15" t="s">
        <v>277</v>
      </c>
      <c r="K23" s="11" t="s">
        <v>26</v>
      </c>
      <c r="L23" s="11" t="s">
        <v>176</v>
      </c>
      <c r="M23" s="11" t="s">
        <v>68</v>
      </c>
      <c r="N23" s="20" t="str">
        <f t="shared" si="0"/>
        <v>不完整</v>
      </c>
    </row>
    <row r="24" spans="1:14">
      <c r="A24" s="11" t="s">
        <v>178</v>
      </c>
      <c r="B24" s="19" t="s">
        <v>180</v>
      </c>
      <c r="C24" s="11" t="s">
        <v>66</v>
      </c>
      <c r="D24" s="11" t="s">
        <v>72</v>
      </c>
      <c r="E24" s="15" t="s">
        <v>240</v>
      </c>
      <c r="F24" s="15" t="s">
        <v>177</v>
      </c>
      <c r="G24" s="15" t="s">
        <v>277</v>
      </c>
      <c r="H24" s="15" t="s">
        <v>277</v>
      </c>
      <c r="I24" s="15" t="s">
        <v>277</v>
      </c>
      <c r="J24" s="15" t="s">
        <v>277</v>
      </c>
      <c r="K24" s="11" t="s">
        <v>26</v>
      </c>
      <c r="L24" s="11" t="s">
        <v>176</v>
      </c>
      <c r="M24" s="11" t="s">
        <v>68</v>
      </c>
      <c r="N24" s="20" t="str">
        <f t="shared" si="0"/>
        <v>不完整</v>
      </c>
    </row>
    <row r="25" spans="1:14">
      <c r="A25" s="11" t="s">
        <v>182</v>
      </c>
      <c r="B25" s="19" t="s">
        <v>185</v>
      </c>
      <c r="C25" s="11" t="s">
        <v>66</v>
      </c>
      <c r="D25" s="11" t="s">
        <v>72</v>
      </c>
      <c r="E25" s="15" t="s">
        <v>240</v>
      </c>
      <c r="F25" s="15" t="s">
        <v>187</v>
      </c>
      <c r="G25" s="15" t="s">
        <v>277</v>
      </c>
      <c r="H25" s="15" t="s">
        <v>277</v>
      </c>
      <c r="I25" s="15" t="s">
        <v>277</v>
      </c>
      <c r="J25" s="15" t="s">
        <v>277</v>
      </c>
      <c r="K25" s="11" t="s">
        <v>26</v>
      </c>
      <c r="L25" s="11" t="s">
        <v>107</v>
      </c>
      <c r="M25" s="11" t="s">
        <v>68</v>
      </c>
      <c r="N25" s="20" t="str">
        <f t="shared" si="0"/>
        <v>不完整</v>
      </c>
    </row>
    <row r="26" spans="1:14">
      <c r="A26" s="11" t="s">
        <v>188</v>
      </c>
      <c r="B26" s="19" t="s">
        <v>190</v>
      </c>
      <c r="C26" s="11" t="s">
        <v>66</v>
      </c>
      <c r="D26" s="11" t="s">
        <v>72</v>
      </c>
      <c r="E26" s="15" t="s">
        <v>245</v>
      </c>
      <c r="F26" s="15" t="s">
        <v>187</v>
      </c>
      <c r="G26" s="15" t="s">
        <v>277</v>
      </c>
      <c r="H26" s="15" t="s">
        <v>277</v>
      </c>
      <c r="I26" s="15" t="s">
        <v>277</v>
      </c>
      <c r="J26" s="15" t="s">
        <v>277</v>
      </c>
      <c r="K26" s="11" t="s">
        <v>26</v>
      </c>
      <c r="L26" s="11" t="s">
        <v>107</v>
      </c>
      <c r="M26" s="11" t="s">
        <v>68</v>
      </c>
      <c r="N26" s="20" t="str">
        <f t="shared" si="0"/>
        <v>不完整</v>
      </c>
    </row>
    <row r="27" spans="1:14">
      <c r="A27" s="11" t="s">
        <v>192</v>
      </c>
      <c r="B27" s="19" t="s">
        <v>195</v>
      </c>
      <c r="C27" s="11" t="s">
        <v>66</v>
      </c>
      <c r="D27" s="11" t="s">
        <v>196</v>
      </c>
      <c r="E27" s="15" t="s">
        <v>245</v>
      </c>
      <c r="F27" s="15" t="s">
        <v>198</v>
      </c>
      <c r="G27" s="15" t="s">
        <v>277</v>
      </c>
      <c r="H27" s="15" t="s">
        <v>277</v>
      </c>
      <c r="I27" s="15" t="s">
        <v>277</v>
      </c>
      <c r="J27" s="15" t="s">
        <v>277</v>
      </c>
      <c r="K27" s="11" t="s">
        <v>26</v>
      </c>
      <c r="L27" s="11" t="s">
        <v>176</v>
      </c>
      <c r="M27" s="11" t="s">
        <v>196</v>
      </c>
      <c r="N27" s="20" t="str">
        <f t="shared" si="0"/>
        <v>不完整</v>
      </c>
    </row>
    <row r="28" spans="1:14">
      <c r="A28" s="11" t="s">
        <v>199</v>
      </c>
      <c r="B28" s="19" t="s">
        <v>201</v>
      </c>
      <c r="C28" s="11" t="s">
        <v>66</v>
      </c>
      <c r="D28" s="11" t="s">
        <v>196</v>
      </c>
      <c r="E28" s="15" t="s">
        <v>245</v>
      </c>
      <c r="F28" s="15" t="s">
        <v>198</v>
      </c>
      <c r="G28" s="15" t="s">
        <v>277</v>
      </c>
      <c r="H28" s="15" t="s">
        <v>277</v>
      </c>
      <c r="I28" s="15" t="s">
        <v>277</v>
      </c>
      <c r="J28" s="15" t="s">
        <v>277</v>
      </c>
      <c r="K28" s="11" t="s">
        <v>26</v>
      </c>
      <c r="L28" s="11" t="s">
        <v>176</v>
      </c>
      <c r="M28" s="11" t="s">
        <v>196</v>
      </c>
      <c r="N28" s="20" t="str">
        <f t="shared" si="0"/>
        <v>不完整</v>
      </c>
    </row>
  </sheetData>
  <conditionalFormatting sqref="N5:N104">
    <cfRule type="containsText" dxfId="0" priority="1" operator="between" text="不完整">
      <formula>NOT(ISERROR(SEARCH("不完整",N5)))</formula>
    </cfRule>
    <cfRule type="containsText" dxfId="1" priority="2" operator="between" text="完整">
      <formula>NOT(ISERROR(SEARCH("完整",N5)))</formula>
    </cfRule>
  </conditionalFormatting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9"/>
  <sheetViews>
    <sheetView showGridLines="0" workbookViewId="0">
      <pane xSplit="3" ySplit="4" topLeftCell="D5" activePane="bottomRight" state="frozen"/>
      <selection/>
      <selection pane="topRight"/>
      <selection pane="bottomLeft"/>
      <selection pane="bottomRight" activeCell="A1" sqref="A1"/>
    </sheetView>
  </sheetViews>
  <sheetFormatPr defaultColWidth="9" defaultRowHeight="16.8"/>
  <cols>
    <col min="1" max="1" width="15" customWidth="1"/>
    <col min="2" max="2" width="10" customWidth="1"/>
    <col min="3" max="3" width="22" customWidth="1"/>
    <col min="4" max="4" width="40" customWidth="1"/>
    <col min="5" max="5" width="34" customWidth="1"/>
    <col min="6" max="6" width="16" customWidth="1"/>
    <col min="7" max="7" width="24" customWidth="1"/>
    <col min="8" max="8" width="14" customWidth="1"/>
    <col min="9" max="9" width="32" customWidth="1"/>
  </cols>
  <sheetData>
    <row r="1" ht="25" customHeight="1" spans="1:9">
      <c r="A1" s="13" t="s">
        <v>278</v>
      </c>
      <c r="B1" s="13"/>
      <c r="C1" s="13"/>
      <c r="D1" s="13"/>
      <c r="E1" s="13"/>
      <c r="F1" s="13"/>
      <c r="G1" s="13"/>
      <c r="H1" s="13"/>
      <c r="I1" s="13"/>
    </row>
    <row r="2" spans="1:9">
      <c r="A2" s="14" t="s">
        <v>279</v>
      </c>
    </row>
    <row r="4" ht="32" customHeight="1" spans="1:9">
      <c r="A4" s="10" t="s">
        <v>270</v>
      </c>
      <c r="B4" s="10" t="s">
        <v>280</v>
      </c>
      <c r="C4" s="10" t="s">
        <v>281</v>
      </c>
      <c r="D4" s="10" t="s">
        <v>282</v>
      </c>
      <c r="E4" s="10" t="s">
        <v>283</v>
      </c>
      <c r="F4" s="10" t="s">
        <v>210</v>
      </c>
      <c r="G4" s="10" t="s">
        <v>284</v>
      </c>
      <c r="H4" s="10" t="s">
        <v>275</v>
      </c>
      <c r="I4" s="10" t="s">
        <v>285</v>
      </c>
    </row>
    <row r="5" spans="1:9">
      <c r="A5" s="11" t="s">
        <v>71</v>
      </c>
      <c r="B5" s="11" t="s">
        <v>286</v>
      </c>
      <c r="C5" s="11" t="s">
        <v>287</v>
      </c>
      <c r="D5" s="19" t="s">
        <v>288</v>
      </c>
      <c r="E5" s="19" t="s">
        <v>289</v>
      </c>
      <c r="F5" s="11" t="s">
        <v>19</v>
      </c>
      <c r="G5" s="11" t="s">
        <v>61</v>
      </c>
      <c r="H5" s="11" t="s">
        <v>290</v>
      </c>
      <c r="I5" s="19" t="s">
        <v>291</v>
      </c>
    </row>
    <row r="6" spans="1:9">
      <c r="A6" s="11" t="s">
        <v>77</v>
      </c>
      <c r="B6" s="11" t="s">
        <v>292</v>
      </c>
      <c r="C6" s="11" t="s">
        <v>74</v>
      </c>
      <c r="D6" s="19" t="s">
        <v>293</v>
      </c>
      <c r="E6" s="19" t="s">
        <v>294</v>
      </c>
      <c r="F6" s="11" t="s">
        <v>19</v>
      </c>
      <c r="G6" s="11" t="s">
        <v>73</v>
      </c>
      <c r="H6" s="11" t="s">
        <v>290</v>
      </c>
      <c r="I6" s="19" t="s">
        <v>295</v>
      </c>
    </row>
    <row r="7" spans="1:9">
      <c r="A7" s="11" t="s">
        <v>83</v>
      </c>
      <c r="B7" s="11" t="s">
        <v>296</v>
      </c>
      <c r="C7" s="11" t="s">
        <v>297</v>
      </c>
      <c r="D7" s="19" t="s">
        <v>298</v>
      </c>
      <c r="E7" s="19" t="s">
        <v>299</v>
      </c>
      <c r="F7" s="11" t="s">
        <v>300</v>
      </c>
      <c r="G7" s="11" t="s">
        <v>301</v>
      </c>
      <c r="H7" s="11" t="s">
        <v>290</v>
      </c>
      <c r="I7" s="19" t="s">
        <v>302</v>
      </c>
    </row>
    <row r="8" spans="1:9">
      <c r="A8" s="11" t="s">
        <v>93</v>
      </c>
      <c r="B8" s="11" t="s">
        <v>303</v>
      </c>
      <c r="C8" s="11" t="s">
        <v>304</v>
      </c>
      <c r="D8" s="19" t="s">
        <v>305</v>
      </c>
      <c r="E8" s="19" t="s">
        <v>306</v>
      </c>
      <c r="F8" s="11" t="s">
        <v>300</v>
      </c>
      <c r="G8" s="11" t="s">
        <v>88</v>
      </c>
      <c r="H8" s="11" t="s">
        <v>290</v>
      </c>
      <c r="I8" s="19" t="s">
        <v>307</v>
      </c>
    </row>
    <row r="9" spans="1:9">
      <c r="A9" s="11" t="s">
        <v>98</v>
      </c>
      <c r="B9" s="11" t="s">
        <v>308</v>
      </c>
      <c r="C9" s="11" t="s">
        <v>95</v>
      </c>
      <c r="D9" s="19" t="s">
        <v>309</v>
      </c>
      <c r="E9" s="19" t="s">
        <v>310</v>
      </c>
      <c r="F9" s="11" t="s">
        <v>300</v>
      </c>
      <c r="G9" s="11" t="s">
        <v>94</v>
      </c>
      <c r="H9" s="11" t="s">
        <v>290</v>
      </c>
      <c r="I9" s="19" t="s">
        <v>311</v>
      </c>
    </row>
    <row r="10" spans="1:9">
      <c r="A10" s="11" t="s">
        <v>108</v>
      </c>
      <c r="B10" s="11" t="s">
        <v>312</v>
      </c>
      <c r="C10" s="11" t="s">
        <v>100</v>
      </c>
      <c r="D10" s="19" t="s">
        <v>313</v>
      </c>
      <c r="E10" s="19" t="s">
        <v>314</v>
      </c>
      <c r="F10" s="11" t="s">
        <v>26</v>
      </c>
      <c r="G10" s="11" t="s">
        <v>315</v>
      </c>
      <c r="H10" s="11" t="s">
        <v>107</v>
      </c>
      <c r="I10" s="19" t="s">
        <v>316</v>
      </c>
    </row>
    <row r="11" spans="1:9">
      <c r="A11" s="11" t="s">
        <v>120</v>
      </c>
      <c r="B11" s="11" t="s">
        <v>317</v>
      </c>
      <c r="C11" s="11" t="s">
        <v>318</v>
      </c>
      <c r="D11" s="19" t="s">
        <v>319</v>
      </c>
      <c r="E11" s="19" t="s">
        <v>320</v>
      </c>
      <c r="F11" s="11" t="s">
        <v>19</v>
      </c>
      <c r="G11" s="11" t="s">
        <v>321</v>
      </c>
      <c r="H11" s="11" t="s">
        <v>290</v>
      </c>
      <c r="I11" s="19" t="s">
        <v>322</v>
      </c>
    </row>
    <row r="12" spans="1:9">
      <c r="A12" s="11" t="s">
        <v>129</v>
      </c>
      <c r="B12" s="11" t="s">
        <v>323</v>
      </c>
      <c r="C12" s="11" t="s">
        <v>324</v>
      </c>
      <c r="D12" s="19" t="s">
        <v>325</v>
      </c>
      <c r="E12" s="19" t="s">
        <v>326</v>
      </c>
      <c r="F12" s="11" t="s">
        <v>19</v>
      </c>
      <c r="G12" s="11" t="s">
        <v>327</v>
      </c>
      <c r="H12" s="11" t="s">
        <v>107</v>
      </c>
      <c r="I12" s="19" t="s">
        <v>328</v>
      </c>
    </row>
    <row r="13" spans="1:9">
      <c r="A13" s="11" t="s">
        <v>141</v>
      </c>
      <c r="B13" s="11" t="s">
        <v>329</v>
      </c>
      <c r="C13" s="11" t="s">
        <v>135</v>
      </c>
      <c r="D13" s="19" t="s">
        <v>330</v>
      </c>
      <c r="E13" s="19" t="s">
        <v>331</v>
      </c>
      <c r="F13" s="11" t="s">
        <v>30</v>
      </c>
      <c r="G13" s="11" t="s">
        <v>332</v>
      </c>
      <c r="H13" s="11" t="s">
        <v>290</v>
      </c>
      <c r="I13" s="19" t="s">
        <v>333</v>
      </c>
    </row>
    <row r="14" spans="1:9">
      <c r="A14" s="11" t="s">
        <v>151</v>
      </c>
      <c r="B14" s="11" t="s">
        <v>334</v>
      </c>
      <c r="C14" s="11" t="s">
        <v>335</v>
      </c>
      <c r="D14" s="19" t="s">
        <v>336</v>
      </c>
      <c r="E14" s="19" t="s">
        <v>337</v>
      </c>
      <c r="F14" s="11" t="s">
        <v>19</v>
      </c>
      <c r="G14" s="11" t="s">
        <v>146</v>
      </c>
      <c r="H14" s="11" t="s">
        <v>290</v>
      </c>
      <c r="I14" s="19" t="s">
        <v>338</v>
      </c>
    </row>
    <row r="15" spans="1:9">
      <c r="A15" s="11" t="s">
        <v>157</v>
      </c>
      <c r="B15" s="11" t="s">
        <v>339</v>
      </c>
      <c r="C15" s="11" t="s">
        <v>154</v>
      </c>
      <c r="D15" s="19" t="s">
        <v>340</v>
      </c>
      <c r="E15" s="19" t="s">
        <v>341</v>
      </c>
      <c r="F15" s="11" t="s">
        <v>300</v>
      </c>
      <c r="G15" s="11" t="s">
        <v>152</v>
      </c>
      <c r="H15" s="11" t="s">
        <v>107</v>
      </c>
      <c r="I15" s="19" t="s">
        <v>342</v>
      </c>
    </row>
    <row r="16" spans="1:9">
      <c r="A16" s="11" t="s">
        <v>163</v>
      </c>
      <c r="B16" s="11" t="s">
        <v>343</v>
      </c>
      <c r="C16" s="11" t="s">
        <v>344</v>
      </c>
      <c r="D16" s="19" t="s">
        <v>345</v>
      </c>
      <c r="E16" s="19" t="s">
        <v>346</v>
      </c>
      <c r="F16" s="11" t="s">
        <v>19</v>
      </c>
      <c r="G16" s="11" t="s">
        <v>347</v>
      </c>
      <c r="H16" s="11" t="s">
        <v>290</v>
      </c>
      <c r="I16" s="19" t="s">
        <v>348</v>
      </c>
    </row>
    <row r="17" spans="1:9">
      <c r="A17" s="11" t="s">
        <v>177</v>
      </c>
      <c r="B17" s="11" t="s">
        <v>349</v>
      </c>
      <c r="C17" s="11" t="s">
        <v>350</v>
      </c>
      <c r="D17" s="19" t="s">
        <v>351</v>
      </c>
      <c r="E17" s="19" t="s">
        <v>352</v>
      </c>
      <c r="F17" s="11" t="s">
        <v>26</v>
      </c>
      <c r="G17" s="11" t="s">
        <v>353</v>
      </c>
      <c r="H17" s="11" t="s">
        <v>176</v>
      </c>
      <c r="I17" s="19" t="s">
        <v>354</v>
      </c>
    </row>
    <row r="18" spans="1:9">
      <c r="A18" s="11" t="s">
        <v>187</v>
      </c>
      <c r="B18" s="11" t="s">
        <v>355</v>
      </c>
      <c r="C18" s="11" t="s">
        <v>356</v>
      </c>
      <c r="D18" s="19" t="s">
        <v>357</v>
      </c>
      <c r="E18" s="19" t="s">
        <v>358</v>
      </c>
      <c r="F18" s="11" t="s">
        <v>26</v>
      </c>
      <c r="G18" s="11" t="s">
        <v>359</v>
      </c>
      <c r="H18" s="11" t="s">
        <v>107</v>
      </c>
      <c r="I18" s="19" t="s">
        <v>360</v>
      </c>
    </row>
    <row r="19" spans="1:9">
      <c r="A19" s="11" t="s">
        <v>198</v>
      </c>
      <c r="B19" s="11" t="s">
        <v>361</v>
      </c>
      <c r="C19" s="11" t="s">
        <v>362</v>
      </c>
      <c r="D19" s="19" t="s">
        <v>363</v>
      </c>
      <c r="E19" s="19" t="s">
        <v>364</v>
      </c>
      <c r="F19" s="11" t="s">
        <v>26</v>
      </c>
      <c r="G19" s="11" t="s">
        <v>365</v>
      </c>
      <c r="H19" s="11" t="s">
        <v>366</v>
      </c>
      <c r="I19" s="19" t="s">
        <v>367</v>
      </c>
    </row>
  </sheetData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4"/>
  <sheetViews>
    <sheetView showGridLines="0" workbookViewId="0">
      <pane xSplit="2" ySplit="4" topLeftCell="C5" activePane="bottomRight" state="frozen"/>
      <selection/>
      <selection pane="topRight"/>
      <selection pane="bottomLeft"/>
      <selection pane="bottomRight" activeCell="A1" sqref="A1"/>
    </sheetView>
  </sheetViews>
  <sheetFormatPr defaultColWidth="9" defaultRowHeight="16.8"/>
  <cols>
    <col min="1" max="2" width="13" customWidth="1"/>
    <col min="3" max="5" width="16" customWidth="1"/>
    <col min="6" max="11" width="22" customWidth="1"/>
    <col min="12" max="16" width="16" customWidth="1"/>
  </cols>
  <sheetData>
    <row r="1" ht="25" customHeight="1" spans="1:16">
      <c r="A1" s="13" t="s">
        <v>368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</row>
    <row r="2" spans="1:16">
      <c r="A2" s="14" t="s">
        <v>369</v>
      </c>
    </row>
    <row r="4" ht="32" customHeight="1" spans="1:16">
      <c r="A4" s="10" t="s">
        <v>370</v>
      </c>
      <c r="B4" s="10" t="s">
        <v>371</v>
      </c>
      <c r="C4" s="10" t="s">
        <v>372</v>
      </c>
      <c r="D4" s="10" t="s">
        <v>373</v>
      </c>
      <c r="E4" s="10" t="s">
        <v>374</v>
      </c>
      <c r="F4" s="10" t="s">
        <v>375</v>
      </c>
      <c r="G4" s="10" t="s">
        <v>376</v>
      </c>
      <c r="H4" s="10" t="s">
        <v>377</v>
      </c>
      <c r="I4" s="10" t="s">
        <v>378</v>
      </c>
      <c r="J4" s="10" t="s">
        <v>379</v>
      </c>
      <c r="K4" s="10" t="s">
        <v>380</v>
      </c>
      <c r="L4" s="10" t="s">
        <v>381</v>
      </c>
      <c r="M4" s="10" t="s">
        <v>382</v>
      </c>
      <c r="N4" s="10" t="s">
        <v>383</v>
      </c>
      <c r="O4" s="10" t="s">
        <v>384</v>
      </c>
      <c r="P4" s="10" t="s">
        <v>385</v>
      </c>
    </row>
    <row r="5" spans="1:16">
      <c r="A5" s="15"/>
      <c r="B5" s="16"/>
      <c r="C5" s="15"/>
      <c r="D5" s="15"/>
      <c r="E5" s="15"/>
      <c r="F5" s="17"/>
      <c r="G5" s="17"/>
      <c r="H5" s="17"/>
      <c r="I5" s="18"/>
      <c r="J5" s="18"/>
      <c r="K5" s="17"/>
      <c r="L5" s="15"/>
      <c r="M5" s="15"/>
      <c r="N5" s="15"/>
      <c r="O5" s="16"/>
      <c r="P5" s="15"/>
    </row>
    <row r="6" spans="1:16">
      <c r="A6" s="15"/>
      <c r="B6" s="16"/>
      <c r="C6" s="15"/>
      <c r="D6" s="15"/>
      <c r="E6" s="15"/>
      <c r="F6" s="17"/>
      <c r="G6" s="17"/>
      <c r="H6" s="17"/>
      <c r="I6" s="18"/>
      <c r="J6" s="18"/>
      <c r="K6" s="17"/>
      <c r="L6" s="15"/>
      <c r="M6" s="15"/>
      <c r="N6" s="15"/>
      <c r="O6" s="16"/>
      <c r="P6" s="15"/>
    </row>
    <row r="7" spans="1:16">
      <c r="A7" s="15"/>
      <c r="B7" s="16"/>
      <c r="C7" s="15"/>
      <c r="D7" s="15"/>
      <c r="E7" s="15"/>
      <c r="F7" s="17"/>
      <c r="G7" s="17"/>
      <c r="H7" s="17"/>
      <c r="I7" s="18"/>
      <c r="J7" s="18"/>
      <c r="K7" s="17"/>
      <c r="L7" s="15"/>
      <c r="M7" s="15"/>
      <c r="N7" s="15"/>
      <c r="O7" s="16"/>
      <c r="P7" s="15"/>
    </row>
    <row r="8" spans="1:16">
      <c r="A8" s="15"/>
      <c r="B8" s="16"/>
      <c r="C8" s="15"/>
      <c r="D8" s="15"/>
      <c r="E8" s="15"/>
      <c r="F8" s="17"/>
      <c r="G8" s="17"/>
      <c r="H8" s="17"/>
      <c r="I8" s="18"/>
      <c r="J8" s="18"/>
      <c r="K8" s="17"/>
      <c r="L8" s="15"/>
      <c r="M8" s="15"/>
      <c r="N8" s="15"/>
      <c r="O8" s="16"/>
      <c r="P8" s="15"/>
    </row>
    <row r="9" spans="1:16">
      <c r="A9" s="15"/>
      <c r="B9" s="16"/>
      <c r="C9" s="15"/>
      <c r="D9" s="15"/>
      <c r="E9" s="15"/>
      <c r="F9" s="17"/>
      <c r="G9" s="17"/>
      <c r="H9" s="17"/>
      <c r="I9" s="18"/>
      <c r="J9" s="18"/>
      <c r="K9" s="17"/>
      <c r="L9" s="15"/>
      <c r="M9" s="15"/>
      <c r="N9" s="15"/>
      <c r="O9" s="16"/>
      <c r="P9" s="15"/>
    </row>
    <row r="10" spans="1:16">
      <c r="A10" s="15"/>
      <c r="B10" s="16"/>
      <c r="C10" s="15"/>
      <c r="D10" s="15"/>
      <c r="E10" s="15"/>
      <c r="F10" s="17"/>
      <c r="G10" s="17"/>
      <c r="H10" s="17"/>
      <c r="I10" s="18"/>
      <c r="J10" s="18"/>
      <c r="K10" s="17"/>
      <c r="L10" s="15"/>
      <c r="M10" s="15"/>
      <c r="N10" s="15"/>
      <c r="O10" s="16"/>
      <c r="P10" s="15"/>
    </row>
    <row r="11" spans="1:16">
      <c r="A11" s="15"/>
      <c r="B11" s="16"/>
      <c r="C11" s="15"/>
      <c r="D11" s="15"/>
      <c r="E11" s="15"/>
      <c r="F11" s="17"/>
      <c r="G11" s="17"/>
      <c r="H11" s="17"/>
      <c r="I11" s="18"/>
      <c r="J11" s="18"/>
      <c r="K11" s="17"/>
      <c r="L11" s="15"/>
      <c r="M11" s="15"/>
      <c r="N11" s="15"/>
      <c r="O11" s="16"/>
      <c r="P11" s="15"/>
    </row>
    <row r="12" spans="1:16">
      <c r="A12" s="15"/>
      <c r="B12" s="16"/>
      <c r="C12" s="15"/>
      <c r="D12" s="15"/>
      <c r="E12" s="15"/>
      <c r="F12" s="17"/>
      <c r="G12" s="17"/>
      <c r="H12" s="17"/>
      <c r="I12" s="18"/>
      <c r="J12" s="18"/>
      <c r="K12" s="17"/>
      <c r="L12" s="15"/>
      <c r="M12" s="15"/>
      <c r="N12" s="15"/>
      <c r="O12" s="16"/>
      <c r="P12" s="15"/>
    </row>
    <row r="13" spans="1:16">
      <c r="A13" s="15"/>
      <c r="B13" s="16"/>
      <c r="C13" s="15"/>
      <c r="D13" s="15"/>
      <c r="E13" s="15"/>
      <c r="F13" s="17"/>
      <c r="G13" s="17"/>
      <c r="H13" s="17"/>
      <c r="I13" s="18"/>
      <c r="J13" s="18"/>
      <c r="K13" s="17"/>
      <c r="L13" s="15"/>
      <c r="M13" s="15"/>
      <c r="N13" s="15"/>
      <c r="O13" s="16"/>
      <c r="P13" s="15"/>
    </row>
    <row r="14" spans="1:16">
      <c r="A14" s="15"/>
      <c r="B14" s="16"/>
      <c r="C14" s="15"/>
      <c r="D14" s="15"/>
      <c r="E14" s="15"/>
      <c r="F14" s="17"/>
      <c r="G14" s="17"/>
      <c r="H14" s="17"/>
      <c r="I14" s="18"/>
      <c r="J14" s="18"/>
      <c r="K14" s="17"/>
      <c r="L14" s="15"/>
      <c r="M14" s="15"/>
      <c r="N14" s="15"/>
      <c r="O14" s="16"/>
      <c r="P14" s="15"/>
    </row>
    <row r="15" spans="1:16">
      <c r="A15" s="15"/>
      <c r="B15" s="16"/>
      <c r="C15" s="15"/>
      <c r="D15" s="15"/>
      <c r="E15" s="15"/>
      <c r="F15" s="17"/>
      <c r="G15" s="17"/>
      <c r="H15" s="17"/>
      <c r="I15" s="18"/>
      <c r="J15" s="18"/>
      <c r="K15" s="17"/>
      <c r="L15" s="15"/>
      <c r="M15" s="15"/>
      <c r="N15" s="15"/>
      <c r="O15" s="16"/>
      <c r="P15" s="15"/>
    </row>
    <row r="16" spans="1:16">
      <c r="A16" s="15"/>
      <c r="B16" s="16"/>
      <c r="C16" s="15"/>
      <c r="D16" s="15"/>
      <c r="E16" s="15"/>
      <c r="F16" s="17"/>
      <c r="G16" s="17"/>
      <c r="H16" s="17"/>
      <c r="I16" s="18"/>
      <c r="J16" s="18"/>
      <c r="K16" s="17"/>
      <c r="L16" s="15"/>
      <c r="M16" s="15"/>
      <c r="N16" s="15"/>
      <c r="O16" s="16"/>
      <c r="P16" s="15"/>
    </row>
    <row r="17" spans="1:16">
      <c r="A17" s="15"/>
      <c r="B17" s="16"/>
      <c r="C17" s="15"/>
      <c r="D17" s="15"/>
      <c r="E17" s="15"/>
      <c r="F17" s="17"/>
      <c r="G17" s="17"/>
      <c r="H17" s="17"/>
      <c r="I17" s="18"/>
      <c r="J17" s="18"/>
      <c r="K17" s="17"/>
      <c r="L17" s="15"/>
      <c r="M17" s="15"/>
      <c r="N17" s="15"/>
      <c r="O17" s="16"/>
      <c r="P17" s="15"/>
    </row>
    <row r="18" spans="1:16">
      <c r="A18" s="15"/>
      <c r="B18" s="16"/>
      <c r="C18" s="15"/>
      <c r="D18" s="15"/>
      <c r="E18" s="15"/>
      <c r="F18" s="17"/>
      <c r="G18" s="17"/>
      <c r="H18" s="17"/>
      <c r="I18" s="18"/>
      <c r="J18" s="18"/>
      <c r="K18" s="17"/>
      <c r="L18" s="15"/>
      <c r="M18" s="15"/>
      <c r="N18" s="15"/>
      <c r="O18" s="16"/>
      <c r="P18" s="15"/>
    </row>
    <row r="19" spans="1:16">
      <c r="A19" s="15"/>
      <c r="B19" s="16"/>
      <c r="C19" s="15"/>
      <c r="D19" s="15"/>
      <c r="E19" s="15"/>
      <c r="F19" s="17"/>
      <c r="G19" s="17"/>
      <c r="H19" s="17"/>
      <c r="I19" s="18"/>
      <c r="J19" s="18"/>
      <c r="K19" s="17"/>
      <c r="L19" s="15"/>
      <c r="M19" s="15"/>
      <c r="N19" s="15"/>
      <c r="O19" s="16"/>
      <c r="P19" s="15"/>
    </row>
    <row r="20" spans="1:16">
      <c r="A20" s="15"/>
      <c r="B20" s="16"/>
      <c r="C20" s="15"/>
      <c r="D20" s="15"/>
      <c r="E20" s="15"/>
      <c r="F20" s="17"/>
      <c r="G20" s="17"/>
      <c r="H20" s="17"/>
      <c r="I20" s="18"/>
      <c r="J20" s="18"/>
      <c r="K20" s="17"/>
      <c r="L20" s="15"/>
      <c r="M20" s="15"/>
      <c r="N20" s="15"/>
      <c r="O20" s="16"/>
      <c r="P20" s="15"/>
    </row>
    <row r="21" spans="1:16">
      <c r="A21" s="15"/>
      <c r="B21" s="16"/>
      <c r="C21" s="15"/>
      <c r="D21" s="15"/>
      <c r="E21" s="15"/>
      <c r="F21" s="17"/>
      <c r="G21" s="17"/>
      <c r="H21" s="17"/>
      <c r="I21" s="18"/>
      <c r="J21" s="18"/>
      <c r="K21" s="17"/>
      <c r="L21" s="15"/>
      <c r="M21" s="15"/>
      <c r="N21" s="15"/>
      <c r="O21" s="16"/>
      <c r="P21" s="15"/>
    </row>
    <row r="22" spans="1:16">
      <c r="A22" s="15"/>
      <c r="B22" s="16"/>
      <c r="C22" s="15"/>
      <c r="D22" s="15"/>
      <c r="E22" s="15"/>
      <c r="F22" s="17"/>
      <c r="G22" s="17"/>
      <c r="H22" s="17"/>
      <c r="I22" s="18"/>
      <c r="J22" s="18"/>
      <c r="K22" s="17"/>
      <c r="L22" s="15"/>
      <c r="M22" s="15"/>
      <c r="N22" s="15"/>
      <c r="O22" s="16"/>
      <c r="P22" s="15"/>
    </row>
    <row r="23" spans="1:16">
      <c r="A23" s="15"/>
      <c r="B23" s="16"/>
      <c r="C23" s="15"/>
      <c r="D23" s="15"/>
      <c r="E23" s="15"/>
      <c r="F23" s="17"/>
      <c r="G23" s="17"/>
      <c r="H23" s="17"/>
      <c r="I23" s="18"/>
      <c r="J23" s="18"/>
      <c r="K23" s="17"/>
      <c r="L23" s="15"/>
      <c r="M23" s="15"/>
      <c r="N23" s="15"/>
      <c r="O23" s="16"/>
      <c r="P23" s="15"/>
    </row>
    <row r="24" spans="1:16">
      <c r="A24" s="15"/>
      <c r="B24" s="16"/>
      <c r="C24" s="15"/>
      <c r="D24" s="15"/>
      <c r="E24" s="15"/>
      <c r="F24" s="17"/>
      <c r="G24" s="17"/>
      <c r="H24" s="17"/>
      <c r="I24" s="18"/>
      <c r="J24" s="18"/>
      <c r="K24" s="17"/>
      <c r="L24" s="15"/>
      <c r="M24" s="15"/>
      <c r="N24" s="15"/>
      <c r="O24" s="16"/>
      <c r="P24" s="15"/>
    </row>
  </sheetData>
  <dataValidations count="2">
    <dataValidation type="list" sqref="M5:M24">
      <formula1>"待评审,批准,有条件批准,拒绝,暂缓"</formula1>
    </dataValidation>
    <dataValidation type="list" sqref="P5:P24">
      <formula1>"不适用,待更新,已更新"</formula1>
    </dataValidation>
  </dataValidations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3"/>
  <sheetViews>
    <sheetView showGridLines="0" workbookViewId="0">
      <selection activeCell="A1" sqref="A1"/>
    </sheetView>
  </sheetViews>
  <sheetFormatPr defaultColWidth="9" defaultRowHeight="16.8" outlineLevelCol="1"/>
  <cols>
    <col min="1" max="1" width="22" customWidth="1"/>
    <col min="2" max="2" width="64" customWidth="1"/>
  </cols>
  <sheetData>
    <row r="1" ht="32" customHeight="1" spans="1:2">
      <c r="A1" s="10" t="s">
        <v>386</v>
      </c>
      <c r="B1" s="10" t="s">
        <v>387</v>
      </c>
    </row>
    <row r="2" spans="1:2">
      <c r="A2" s="11" t="s">
        <v>388</v>
      </c>
      <c r="B2" s="11" t="s">
        <v>389</v>
      </c>
    </row>
    <row r="3" spans="1:2">
      <c r="A3" s="11" t="s">
        <v>390</v>
      </c>
      <c r="B3" s="11" t="s">
        <v>391</v>
      </c>
    </row>
    <row r="4" spans="1:2">
      <c r="A4" s="11" t="s">
        <v>392</v>
      </c>
      <c r="B4" s="11" t="s">
        <v>393</v>
      </c>
    </row>
    <row r="5" spans="1:2">
      <c r="A5" s="11" t="s">
        <v>394</v>
      </c>
      <c r="B5" s="12">
        <v>46282</v>
      </c>
    </row>
    <row r="6" spans="1:2">
      <c r="A6" s="11" t="s">
        <v>395</v>
      </c>
      <c r="B6" s="11" t="s">
        <v>396</v>
      </c>
    </row>
    <row r="7" spans="1:2">
      <c r="A7" s="11" t="s">
        <v>2</v>
      </c>
      <c r="B7" s="11">
        <v>24</v>
      </c>
    </row>
    <row r="8" spans="1:2">
      <c r="A8" s="11" t="s">
        <v>397</v>
      </c>
      <c r="B8" s="11">
        <v>19</v>
      </c>
    </row>
    <row r="9" spans="1:2">
      <c r="A9" s="11" t="s">
        <v>398</v>
      </c>
      <c r="B9" s="11">
        <v>12</v>
      </c>
    </row>
    <row r="10" spans="1:2">
      <c r="A10" s="11" t="s">
        <v>399</v>
      </c>
      <c r="B10" s="11">
        <v>15</v>
      </c>
    </row>
    <row r="11" spans="1:2">
      <c r="A11" s="11" t="s">
        <v>400</v>
      </c>
      <c r="B11" s="11" t="s">
        <v>70</v>
      </c>
    </row>
    <row r="12" spans="1:2">
      <c r="A12" s="11" t="s">
        <v>401</v>
      </c>
      <c r="B12" s="11" t="s">
        <v>402</v>
      </c>
    </row>
    <row r="13" spans="1:2">
      <c r="A13" s="11" t="s">
        <v>403</v>
      </c>
      <c r="B13" s="11" t="s">
        <v>404</v>
      </c>
    </row>
  </sheetData>
  <pageMargins left="0.7" right="0.7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7F8C8D"/>
  </sheetPr>
  <dimension ref="A1:H34"/>
  <sheetViews>
    <sheetView showGridLines="0" workbookViewId="0">
      <pane ySplit="2" topLeftCell="A3" activePane="bottomLeft" state="frozen"/>
      <selection/>
      <selection pane="bottomLeft" activeCell="A1" sqref="A1:H1"/>
    </sheetView>
  </sheetViews>
  <sheetFormatPr defaultColWidth="9" defaultRowHeight="16.8" outlineLevelCol="7"/>
  <cols>
    <col min="1" max="1" width="10" customWidth="1"/>
    <col min="2" max="2" width="28" customWidth="1"/>
    <col min="3" max="3" width="62" customWidth="1"/>
    <col min="4" max="8" width="14" customWidth="1"/>
  </cols>
  <sheetData>
    <row r="1" ht="28" customHeight="1" spans="1:8">
      <c r="A1" s="1" t="s">
        <v>405</v>
      </c>
      <c r="B1" s="1"/>
      <c r="C1" s="1"/>
      <c r="D1" s="1"/>
      <c r="E1" s="1"/>
      <c r="F1" s="1"/>
      <c r="G1" s="1"/>
      <c r="H1" s="1"/>
    </row>
    <row r="2" ht="28" customHeight="1" spans="1:8">
      <c r="A2" s="2" t="s">
        <v>406</v>
      </c>
      <c r="B2" s="2"/>
      <c r="C2" s="2"/>
      <c r="D2" s="2"/>
      <c r="E2" s="2"/>
      <c r="F2" s="2"/>
      <c r="G2" s="2"/>
      <c r="H2" s="2"/>
    </row>
    <row r="3" ht="22" customHeight="1" spans="1:8">
      <c r="A3" s="3"/>
      <c r="B3" s="3"/>
      <c r="C3" s="3"/>
      <c r="D3" s="3"/>
      <c r="E3" s="3"/>
      <c r="F3" s="3"/>
      <c r="G3" s="3"/>
      <c r="H3" s="3"/>
    </row>
    <row r="4" ht="22" customHeight="1" spans="1:8">
      <c r="A4" s="4" t="s">
        <v>407</v>
      </c>
      <c r="B4" s="5" t="s">
        <v>391</v>
      </c>
      <c r="C4" s="3"/>
      <c r="D4" s="3"/>
      <c r="E4" s="3"/>
      <c r="F4" s="3"/>
      <c r="G4" s="3"/>
      <c r="H4" s="3"/>
    </row>
    <row r="5" ht="22" customHeight="1" spans="1:8">
      <c r="A5" s="4" t="s">
        <v>408</v>
      </c>
      <c r="B5" s="5" t="s">
        <v>409</v>
      </c>
      <c r="C5" s="3"/>
      <c r="D5" s="3"/>
      <c r="E5" s="3"/>
      <c r="F5" s="3"/>
      <c r="G5" s="3"/>
      <c r="H5" s="3"/>
    </row>
    <row r="6" ht="22" customHeight="1" spans="1:8">
      <c r="A6" s="4" t="s">
        <v>410</v>
      </c>
      <c r="B6" s="5" t="s">
        <v>411</v>
      </c>
      <c r="C6" s="3"/>
      <c r="D6" s="3"/>
      <c r="E6" s="3"/>
      <c r="F6" s="3"/>
      <c r="G6" s="3"/>
      <c r="H6" s="3"/>
    </row>
    <row r="7" ht="22" customHeight="1" spans="1:8">
      <c r="A7" s="4" t="s">
        <v>412</v>
      </c>
      <c r="B7" s="5" t="s">
        <v>413</v>
      </c>
      <c r="C7" s="3"/>
      <c r="D7" s="3"/>
      <c r="E7" s="3"/>
      <c r="F7" s="3"/>
      <c r="G7" s="3"/>
      <c r="H7" s="3"/>
    </row>
    <row r="8" ht="22" customHeight="1" spans="1:8">
      <c r="A8" s="4" t="s">
        <v>414</v>
      </c>
      <c r="B8" s="5" t="s">
        <v>415</v>
      </c>
      <c r="C8" s="3"/>
      <c r="D8" s="3"/>
      <c r="E8" s="3"/>
      <c r="F8" s="3"/>
      <c r="G8" s="3"/>
      <c r="H8" s="3"/>
    </row>
    <row r="9" ht="22" customHeight="1" spans="1:8">
      <c r="A9" s="3"/>
      <c r="B9" s="3"/>
      <c r="C9" s="3"/>
      <c r="D9" s="3"/>
      <c r="E9" s="3"/>
      <c r="F9" s="3"/>
      <c r="G9" s="3"/>
      <c r="H9" s="3"/>
    </row>
    <row r="10" ht="22" customHeight="1" spans="1:8">
      <c r="A10" s="6" t="s">
        <v>416</v>
      </c>
      <c r="B10" s="7"/>
      <c r="C10" s="7"/>
      <c r="D10" s="7"/>
      <c r="E10" s="7"/>
      <c r="F10" s="7"/>
      <c r="G10" s="7"/>
      <c r="H10" s="8"/>
    </row>
    <row r="11" ht="22" customHeight="1" spans="1:8">
      <c r="A11" s="3">
        <v>1</v>
      </c>
      <c r="B11" s="3" t="s">
        <v>417</v>
      </c>
      <c r="C11" s="3"/>
      <c r="D11" s="3"/>
      <c r="E11" s="3"/>
      <c r="F11" s="3"/>
      <c r="G11" s="3"/>
      <c r="H11" s="3"/>
    </row>
    <row r="12" ht="22" customHeight="1" spans="1:8">
      <c r="A12" s="3">
        <v>2</v>
      </c>
      <c r="B12" s="3" t="s">
        <v>418</v>
      </c>
      <c r="C12" s="3"/>
      <c r="D12" s="3"/>
      <c r="E12" s="3"/>
      <c r="F12" s="3"/>
      <c r="G12" s="3"/>
      <c r="H12" s="3"/>
    </row>
    <row r="13" ht="22" customHeight="1" spans="1:8">
      <c r="A13" s="3">
        <v>3</v>
      </c>
      <c r="B13" s="3" t="s">
        <v>419</v>
      </c>
      <c r="C13" s="3"/>
      <c r="D13" s="3"/>
      <c r="E13" s="3"/>
      <c r="F13" s="3"/>
      <c r="G13" s="3"/>
      <c r="H13" s="3"/>
    </row>
    <row r="14" ht="22" customHeight="1" spans="1:8">
      <c r="A14" s="3">
        <v>4</v>
      </c>
      <c r="B14" s="3" t="s">
        <v>420</v>
      </c>
      <c r="C14" s="3"/>
      <c r="D14" s="3"/>
      <c r="E14" s="3"/>
      <c r="F14" s="3"/>
      <c r="G14" s="3"/>
      <c r="H14" s="3"/>
    </row>
    <row r="15" ht="22" customHeight="1" spans="1:8">
      <c r="A15" s="3">
        <v>5</v>
      </c>
      <c r="B15" s="3" t="s">
        <v>421</v>
      </c>
      <c r="C15" s="3"/>
      <c r="D15" s="3"/>
      <c r="E15" s="3"/>
      <c r="F15" s="3"/>
      <c r="G15" s="3"/>
      <c r="H15" s="3"/>
    </row>
    <row r="16" ht="22" customHeight="1" spans="1:8">
      <c r="A16" s="3"/>
      <c r="B16" s="3"/>
      <c r="C16" s="3"/>
      <c r="D16" s="3"/>
      <c r="E16" s="3"/>
      <c r="F16" s="3"/>
      <c r="G16" s="3"/>
      <c r="H16" s="3"/>
    </row>
    <row r="17" ht="22" customHeight="1" spans="1:8">
      <c r="A17" s="3"/>
      <c r="B17" s="3"/>
      <c r="C17" s="3"/>
      <c r="D17" s="3"/>
      <c r="E17" s="3"/>
      <c r="F17" s="3"/>
      <c r="G17" s="3"/>
      <c r="H17" s="3"/>
    </row>
    <row r="18" ht="22" customHeight="1" spans="1:8">
      <c r="A18" s="6" t="s">
        <v>422</v>
      </c>
      <c r="B18" s="7"/>
      <c r="C18" s="7"/>
      <c r="D18" s="7"/>
      <c r="E18" s="7"/>
      <c r="F18" s="7"/>
      <c r="G18" s="7"/>
      <c r="H18" s="8"/>
    </row>
    <row r="19" ht="22" customHeight="1" spans="1:8">
      <c r="A19" s="9" t="s">
        <v>423</v>
      </c>
      <c r="B19" s="9" t="s">
        <v>424</v>
      </c>
      <c r="C19" s="9" t="s">
        <v>425</v>
      </c>
      <c r="D19" s="3"/>
      <c r="E19" s="3"/>
      <c r="F19" s="3"/>
      <c r="G19" s="3"/>
      <c r="H19" s="3"/>
    </row>
    <row r="20" ht="22" customHeight="1" spans="1:8">
      <c r="A20" s="4">
        <v>1</v>
      </c>
      <c r="B20" s="4" t="s">
        <v>426</v>
      </c>
      <c r="C20" s="4" t="s">
        <v>427</v>
      </c>
      <c r="D20" s="3"/>
      <c r="E20" s="3"/>
      <c r="F20" s="3"/>
      <c r="G20" s="3"/>
      <c r="H20" s="3"/>
    </row>
    <row r="21" ht="22" customHeight="1" spans="1:8">
      <c r="A21" s="4">
        <v>2</v>
      </c>
      <c r="B21" s="4" t="s">
        <v>21</v>
      </c>
      <c r="C21" s="4" t="s">
        <v>428</v>
      </c>
      <c r="D21" s="3"/>
      <c r="E21" s="3"/>
      <c r="F21" s="3"/>
      <c r="G21" s="3"/>
      <c r="H21" s="3"/>
    </row>
    <row r="22" ht="22" customHeight="1" spans="1:8">
      <c r="A22" s="4">
        <v>3</v>
      </c>
      <c r="B22" s="4" t="s">
        <v>203</v>
      </c>
      <c r="C22" s="4" t="s">
        <v>429</v>
      </c>
      <c r="D22" s="3"/>
      <c r="E22" s="3"/>
      <c r="F22" s="3"/>
      <c r="G22" s="3"/>
      <c r="H22" s="3"/>
    </row>
    <row r="23" ht="22" customHeight="1" spans="1:8">
      <c r="A23" s="4">
        <v>4</v>
      </c>
      <c r="B23" s="4" t="s">
        <v>32</v>
      </c>
      <c r="C23" s="4" t="s">
        <v>430</v>
      </c>
      <c r="D23" s="3"/>
      <c r="E23" s="3"/>
      <c r="F23" s="3"/>
      <c r="G23" s="3"/>
      <c r="H23" s="3"/>
    </row>
    <row r="24" ht="22" customHeight="1" spans="1:8">
      <c r="A24" s="4">
        <v>5</v>
      </c>
      <c r="B24" s="4" t="s">
        <v>431</v>
      </c>
      <c r="C24" s="4" t="s">
        <v>432</v>
      </c>
      <c r="D24" s="3"/>
      <c r="E24" s="3"/>
      <c r="F24" s="3"/>
      <c r="G24" s="3"/>
      <c r="H24" s="3"/>
    </row>
    <row r="25" ht="22" customHeight="1" spans="1:8">
      <c r="A25" s="4">
        <v>6</v>
      </c>
      <c r="B25" s="4" t="s">
        <v>368</v>
      </c>
      <c r="C25" s="4" t="s">
        <v>433</v>
      </c>
      <c r="D25" s="3"/>
      <c r="E25" s="3"/>
      <c r="F25" s="3"/>
      <c r="G25" s="3"/>
      <c r="H25" s="3"/>
    </row>
    <row r="26" ht="22" customHeight="1" spans="1:8">
      <c r="A26" s="4">
        <v>7</v>
      </c>
      <c r="B26" s="4" t="s">
        <v>434</v>
      </c>
      <c r="C26" s="4" t="s">
        <v>435</v>
      </c>
      <c r="D26" s="3"/>
      <c r="E26" s="3"/>
      <c r="F26" s="3"/>
      <c r="G26" s="3"/>
      <c r="H26" s="3"/>
    </row>
    <row r="27" ht="22" customHeight="1" spans="1:8">
      <c r="A27" s="3"/>
      <c r="B27" s="3"/>
      <c r="C27" s="3"/>
      <c r="D27" s="3"/>
      <c r="E27" s="3"/>
      <c r="F27" s="3"/>
      <c r="G27" s="3"/>
      <c r="H27" s="3"/>
    </row>
    <row r="28" ht="22" customHeight="1" spans="1:8">
      <c r="A28" s="6" t="s">
        <v>436</v>
      </c>
      <c r="B28" s="7"/>
      <c r="C28" s="7"/>
      <c r="D28" s="7"/>
      <c r="E28" s="7"/>
      <c r="F28" s="7"/>
      <c r="G28" s="7"/>
      <c r="H28" s="8"/>
    </row>
    <row r="29" ht="22" customHeight="1" spans="1:8">
      <c r="A29" s="3">
        <v>1</v>
      </c>
      <c r="B29" s="3" t="s">
        <v>437</v>
      </c>
      <c r="C29" s="3"/>
      <c r="D29" s="3"/>
      <c r="E29" s="3"/>
      <c r="F29" s="3"/>
      <c r="G29" s="3"/>
      <c r="H29" s="3"/>
    </row>
    <row r="30" ht="22" customHeight="1" spans="1:8">
      <c r="A30" s="3">
        <v>2</v>
      </c>
      <c r="B30" s="3" t="s">
        <v>438</v>
      </c>
      <c r="C30" s="3"/>
      <c r="D30" s="3"/>
      <c r="E30" s="3"/>
      <c r="F30" s="3"/>
      <c r="G30" s="3"/>
      <c r="H30" s="3"/>
    </row>
    <row r="31" ht="22" customHeight="1" spans="1:8">
      <c r="A31" s="3">
        <v>3</v>
      </c>
      <c r="B31" s="3" t="s">
        <v>439</v>
      </c>
      <c r="C31" s="3"/>
      <c r="D31" s="3"/>
      <c r="E31" s="3"/>
      <c r="F31" s="3"/>
      <c r="G31" s="3"/>
      <c r="H31" s="3"/>
    </row>
    <row r="32" ht="22" customHeight="1" spans="1:8">
      <c r="A32" s="3">
        <v>4</v>
      </c>
      <c r="B32" s="3" t="s">
        <v>440</v>
      </c>
      <c r="C32" s="3"/>
      <c r="D32" s="3"/>
      <c r="E32" s="3"/>
      <c r="F32" s="3"/>
      <c r="G32" s="3"/>
      <c r="H32" s="3"/>
    </row>
    <row r="33" ht="22" customHeight="1" spans="1:8">
      <c r="A33" s="3">
        <v>5</v>
      </c>
      <c r="B33" s="3" t="s">
        <v>441</v>
      </c>
      <c r="C33" s="3"/>
      <c r="D33" s="3"/>
      <c r="E33" s="3"/>
      <c r="F33" s="3"/>
      <c r="G33" s="3"/>
      <c r="H33" s="3"/>
    </row>
    <row r="34" ht="22" customHeight="1" spans="1:8">
      <c r="A34" s="3">
        <v>6</v>
      </c>
      <c r="B34" s="3" t="s">
        <v>442</v>
      </c>
      <c r="C34" s="3"/>
      <c r="D34" s="3"/>
      <c r="E34" s="3"/>
      <c r="F34" s="3"/>
      <c r="G34" s="3"/>
      <c r="H34" s="3"/>
    </row>
  </sheetData>
  <mergeCells count="16">
    <mergeCell ref="A1:H1"/>
    <mergeCell ref="A2:H2"/>
    <mergeCell ref="A10:H10"/>
    <mergeCell ref="B11:H11"/>
    <mergeCell ref="B12:H12"/>
    <mergeCell ref="B13:H13"/>
    <mergeCell ref="B14:H14"/>
    <mergeCell ref="B15:H15"/>
    <mergeCell ref="A18:H18"/>
    <mergeCell ref="A28:H28"/>
    <mergeCell ref="B29:H29"/>
    <mergeCell ref="B30:H30"/>
    <mergeCell ref="B31:H31"/>
    <mergeCell ref="B32:H32"/>
    <mergeCell ref="B33:H33"/>
    <mergeCell ref="B34:H34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文字</Application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范围总览</vt:lpstr>
      <vt:lpstr>需求池</vt:lpstr>
      <vt:lpstr>范围基线</vt:lpstr>
      <vt:lpstr>需求追踪矩阵</vt:lpstr>
      <vt:lpstr>WBS字典</vt:lpstr>
      <vt:lpstr>范围变更评审</vt:lpstr>
      <vt:lpstr>_数据接口</vt:lpstr>
      <vt:lpstr>使用说明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zlyyh</cp:lastModifiedBy>
  <dcterms:created xsi:type="dcterms:W3CDTF">2026-09-17T15:32:11Z</dcterms:created>
  <dcterms:modified xsi:type="dcterms:W3CDTF">2026-09-17T15:32:42Z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45C0C67B364A982C9A97AB6AC9ED567F_42</vt:lpwstr>
  </property>
  <property fmtid="{D5CDD505-2E9C-101B-9397-08002B2CF9AE}" pid="3" name="KSOProductBuildVer">
    <vt:lpwstr>2052-12.1.25869.25869</vt:lpwstr>
  </property>
  <property fmtid="{D5CDD505-2E9C-101B-9397-08002B2CF9AE}" pid="4" name="CalculationRule">
    <vt:i4>0</vt:i4>
  </property>
</Properties>
</file>
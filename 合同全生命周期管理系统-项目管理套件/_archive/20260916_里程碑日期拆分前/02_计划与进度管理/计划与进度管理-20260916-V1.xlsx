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700"/>
  </bookViews>
  <sheets>
    <sheet name="里程碑计划" sheetId="1" r:id="rId1"/>
    <sheet name="项目总控台账" sheetId="2" r:id="rId2"/>
    <sheet name="资源计划" sheetId="3" r:id="rId3"/>
    <sheet name="周迭代计划" sheetId="4" r:id="rId4"/>
    <sheet name="_数据接口"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<sst xmlns="http://schemas.openxmlformats.org/spreadsheetml/2006/main" count="8595" uniqueCount="1178">
  <si>
    <t>能源行业合同全生命周期管理系统｜里程碑计划</t>
  </si>
  <si>
    <t>里程碑ID</t>
  </si>
  <si>
    <t>里程碑名称</t>
  </si>
  <si>
    <t>阶段</t>
  </si>
  <si>
    <t>验收/完成标准</t>
  </si>
  <si>
    <t>责任角色</t>
  </si>
  <si>
    <t>计划日期</t>
  </si>
  <si>
    <t>状态</t>
  </si>
  <si>
    <t>实际日期</t>
  </si>
  <si>
    <t>偏差天数</t>
  </si>
  <si>
    <t>健康度</t>
  </si>
  <si>
    <t>交付物</t>
  </si>
  <si>
    <t>MS001</t>
  </si>
  <si>
    <t>可研工作启动</t>
  </si>
  <si>
    <t>可研与原业务梳理</t>
  </si>
  <si>
    <t>范围、负责人和调研计划确认</t>
  </si>
  <si>
    <t>项目经理</t>
  </si>
  <si>
    <t>计划日期已到，待确认</t>
  </si>
  <si>
    <t>可研工作方案</t>
  </si>
  <si>
    <t>MS002</t>
  </si>
  <si>
    <t>可行性研究完成</t>
  </si>
  <si>
    <t>业务、技术、投资和实施可行性完成评审</t>
  </si>
  <si>
    <t>项目集经理</t>
  </si>
  <si>
    <t>未开始</t>
  </si>
  <si>
    <t>项目可行性研究报告</t>
  </si>
  <si>
    <t>MS003</t>
  </si>
  <si>
    <t>原业务梳理完成</t>
  </si>
  <si>
    <t>核心业务部门确认现状基线</t>
  </si>
  <si>
    <t>产品经理</t>
  </si>
  <si>
    <t>现状流程、问题及改进机会清单</t>
  </si>
  <si>
    <t>MS004</t>
  </si>
  <si>
    <t>项目规范基线确认</t>
  </si>
  <si>
    <t>项目规范梳理与技术架构搭建</t>
  </si>
  <si>
    <t>计划、需求、质量、变更和配置规范通过评审</t>
  </si>
  <si>
    <t>项目管理与研发规范</t>
  </si>
  <si>
    <t>MS005</t>
  </si>
  <si>
    <t>技术架构基线确认</t>
  </si>
  <si>
    <t>应用、数据、集成、安全和部署架构通过评审</t>
  </si>
  <si>
    <t>技术经理</t>
  </si>
  <si>
    <t>总体技术架构和环境基础</t>
  </si>
  <si>
    <t>MS006</t>
  </si>
  <si>
    <t>启动准备评审通过</t>
  </si>
  <si>
    <t>正式启动准备</t>
  </si>
  <si>
    <t>范围、组织、预算、计划和治理机制具备启动条件</t>
  </si>
  <si>
    <t>项目章程、实施计划和启动材料</t>
  </si>
  <si>
    <t>MS007</t>
  </si>
  <si>
    <t>项目正式启动</t>
  </si>
  <si>
    <t>正式实施与上线准备</t>
  </si>
  <si>
    <t>项目组织到位、职责明确、计划发布</t>
  </si>
  <si>
    <t>启动会纪要与行动项</t>
  </si>
  <si>
    <t>MS008</t>
  </si>
  <si>
    <t>需求基线确认</t>
  </si>
  <si>
    <t>P0/P1/P2范围、验收标准和变更机制确认</t>
  </si>
  <si>
    <t>需求规格说明书与跟踪矩阵</t>
  </si>
  <si>
    <t>MS009</t>
  </si>
  <si>
    <t>详细设计完成</t>
  </si>
  <si>
    <t>核心模块、数据、接口、权限和安全设计通过评审</t>
  </si>
  <si>
    <t>详细设计、数据和接口设计</t>
  </si>
  <si>
    <t>MS010</t>
  </si>
  <si>
    <t>核心功能开发完成</t>
  </si>
  <si>
    <t>P0功能完成且单元测试通过</t>
  </si>
  <si>
    <t>高级开发人员</t>
  </si>
  <si>
    <t>可测试版本</t>
  </si>
  <si>
    <t>MS011</t>
  </si>
  <si>
    <t>系统测试完成</t>
  </si>
  <si>
    <t>阻断及严重缺陷关闭，核心集成验证通过</t>
  </si>
  <si>
    <t>测试人员</t>
  </si>
  <si>
    <t>系统测试报告</t>
  </si>
  <si>
    <t>MS012</t>
  </si>
  <si>
    <t>UAT验收完成</t>
  </si>
  <si>
    <t>P0场景验收通过，遗留事项获得批准</t>
  </si>
  <si>
    <t>UAT报告与业务确认单</t>
  </si>
  <si>
    <t>MS013</t>
  </si>
  <si>
    <t>上线准入评审通过</t>
  </si>
  <si>
    <t>数据、接口、权限、回退、培训和运维准备就绪</t>
  </si>
  <si>
    <t>上线检查表和批准记录</t>
  </si>
  <si>
    <t>MS014</t>
  </si>
  <si>
    <t>生产上线并进入试运行</t>
  </si>
  <si>
    <t>系统上线与试运行</t>
  </si>
  <si>
    <t>生产验证通过、监控启用、支持机制生效</t>
  </si>
  <si>
    <t>上线确认单和试运行计划</t>
  </si>
  <si>
    <t>华能交易中心港口交易平台｜项目总控台账</t>
  </si>
  <si>
    <t>蓝色字段来自原开发计划；黄色字段为管理补充项；进度与延期由公式自动计算。</t>
  </si>
  <si>
    <t>任务ID</t>
  </si>
  <si>
    <t>一级功能</t>
  </si>
  <si>
    <t>二级功能</t>
  </si>
  <si>
    <t>三级功能</t>
  </si>
  <si>
    <t>四级功能</t>
  </si>
  <si>
    <t>批次</t>
  </si>
  <si>
    <t>总体状态</t>
  </si>
  <si>
    <t>主责人</t>
  </si>
  <si>
    <t>计划开始</t>
  </si>
  <si>
    <t>计划完成</t>
  </si>
  <si>
    <t>计划上线</t>
  </si>
  <si>
    <t>业务负责人</t>
  </si>
  <si>
    <t>业务状态</t>
  </si>
  <si>
    <t>业务开始</t>
  </si>
  <si>
    <t>业务结束</t>
  </si>
  <si>
    <t>后端负责人</t>
  </si>
  <si>
    <t>后端状态</t>
  </si>
  <si>
    <t>后端开始</t>
  </si>
  <si>
    <t>后端结束</t>
  </si>
  <si>
    <t>前端负责人</t>
  </si>
  <si>
    <t>前端状态</t>
  </si>
  <si>
    <t>前端开始</t>
  </si>
  <si>
    <t>前端结束</t>
  </si>
  <si>
    <t>测试负责人</t>
  </si>
  <si>
    <t>测试状态</t>
  </si>
  <si>
    <t>测试开始</t>
  </si>
  <si>
    <t>测试结束</t>
  </si>
  <si>
    <t>综合进度</t>
  </si>
  <si>
    <t>延期状态</t>
  </si>
  <si>
    <t>当前问题/阻塞</t>
  </si>
  <si>
    <t>备注</t>
  </si>
  <si>
    <t>T001</t>
  </si>
  <si>
    <t>基础数据</t>
  </si>
  <si>
    <t>车辆信息维护</t>
  </si>
  <si>
    <t>新增车辆信息</t>
  </si>
  <si>
    <t>/</t>
  </si>
  <si>
    <t>第一批次</t>
  </si>
  <si>
    <t>郑士旺</t>
  </si>
  <si>
    <t>已完成</t>
  </si>
  <si>
    <t>石军磊、刘凯</t>
  </si>
  <si>
    <t>贺航</t>
  </si>
  <si>
    <t>袁丽荣</t>
  </si>
  <si>
    <t>69</t>
  </si>
  <si>
    <t>T002</t>
  </si>
  <si>
    <t>修改车辆信息</t>
  </si>
  <si>
    <t>T003</t>
  </si>
  <si>
    <t>删除车辆信息</t>
  </si>
  <si>
    <t>T004</t>
  </si>
  <si>
    <t>查询展示车辆信息</t>
  </si>
  <si>
    <t>T005</t>
  </si>
  <si>
    <t>船舶信息维护</t>
  </si>
  <si>
    <t>船舶唯一性校验</t>
  </si>
  <si>
    <t>第二批次</t>
  </si>
  <si>
    <t>T006</t>
  </si>
  <si>
    <t>收费标准信息维护</t>
  </si>
  <si>
    <t>优化收费标准（装卸费）新增</t>
  </si>
  <si>
    <t>T007</t>
  </si>
  <si>
    <t>优化收费标准（装卸费）编辑</t>
  </si>
  <si>
    <t>T008</t>
  </si>
  <si>
    <t>优化收费标准（装卸费）详情</t>
  </si>
  <si>
    <t>T009</t>
  </si>
  <si>
    <t>采样方式信息维护</t>
  </si>
  <si>
    <t>优化采样方式新增</t>
  </si>
  <si>
    <t>T010</t>
  </si>
  <si>
    <t>优化采样方式编辑</t>
  </si>
  <si>
    <t>T011</t>
  </si>
  <si>
    <t>网上营业厅</t>
  </si>
  <si>
    <t>交易中心报单信息展示及应单入口</t>
  </si>
  <si>
    <t>获取报单数据及展示</t>
  </si>
  <si>
    <t>T012</t>
  </si>
  <si>
    <t>应单入口</t>
  </si>
  <si>
    <t>T013</t>
  </si>
  <si>
    <t>结算条款管理</t>
  </si>
  <si>
    <t>新增结算条款</t>
  </si>
  <si>
    <t>进行中</t>
  </si>
  <si>
    <t>T014</t>
  </si>
  <si>
    <t>结算条款审批</t>
  </si>
  <si>
    <t>T015</t>
  </si>
  <si>
    <t>修改结算条款</t>
  </si>
  <si>
    <t>T016</t>
  </si>
  <si>
    <t>删除结算条款</t>
  </si>
  <si>
    <t>T017</t>
  </si>
  <si>
    <t>查询展示结算条款</t>
  </si>
  <si>
    <t>T018</t>
  </si>
  <si>
    <t>结算条款推送法务系统</t>
  </si>
  <si>
    <t>T019</t>
  </si>
  <si>
    <t>卸船作业</t>
  </si>
  <si>
    <t>卸船计划</t>
  </si>
  <si>
    <t>对接卸船计划</t>
  </si>
  <si>
    <t>T020</t>
  </si>
  <si>
    <t>查询卸车计划</t>
  </si>
  <si>
    <t>T021</t>
  </si>
  <si>
    <t>外部客户确认</t>
  </si>
  <si>
    <t>T022</t>
  </si>
  <si>
    <t>卸船作业信息管理</t>
  </si>
  <si>
    <t>对接卸船作业信息</t>
  </si>
  <si>
    <t>T023</t>
  </si>
  <si>
    <t>查询卸船作业信息</t>
  </si>
  <si>
    <t>T024</t>
  </si>
  <si>
    <t>卸船查询</t>
  </si>
  <si>
    <t>卸船查询列表</t>
  </si>
  <si>
    <t>T025</t>
  </si>
  <si>
    <t>卸船查询详情</t>
  </si>
  <si>
    <t>T026</t>
  </si>
  <si>
    <t>卸船作业委托</t>
  </si>
  <si>
    <t>创建卸船作业委托信息</t>
  </si>
  <si>
    <t>T027</t>
  </si>
  <si>
    <t>修改卸船作业委托信息</t>
  </si>
  <si>
    <t>T028</t>
  </si>
  <si>
    <t>作废卸船作业委托信息</t>
  </si>
  <si>
    <t>T029</t>
  </si>
  <si>
    <t>推送卸船作业委托信息</t>
  </si>
  <si>
    <t>T030</t>
  </si>
  <si>
    <t>查询卸船作业委托信息</t>
  </si>
  <si>
    <t>T031</t>
  </si>
  <si>
    <t>外轮转内贸业务</t>
  </si>
  <si>
    <t>创建外轮转内贸业务信息</t>
  </si>
  <si>
    <t>常浩</t>
  </si>
  <si>
    <t>T032</t>
  </si>
  <si>
    <t>作废外轮转内贸业务信息</t>
  </si>
  <si>
    <t>T033</t>
  </si>
  <si>
    <t>查询外轮转内贸业务信息</t>
  </si>
  <si>
    <t>T034</t>
  </si>
  <si>
    <t>船舶靠泊通知单</t>
  </si>
  <si>
    <t>新增船舶靠泊通知单</t>
  </si>
  <si>
    <t>T035</t>
  </si>
  <si>
    <t>审批船舶靠泊通知单</t>
  </si>
  <si>
    <t>T036</t>
  </si>
  <si>
    <t>查询船舶靠泊通知单</t>
  </si>
  <si>
    <t>T037</t>
  </si>
  <si>
    <t>卸车流程跟踪</t>
  </si>
  <si>
    <t>创建卸车流程</t>
  </si>
  <si>
    <t>T038</t>
  </si>
  <si>
    <t>查询卸车流程</t>
  </si>
  <si>
    <t>T039</t>
  </si>
  <si>
    <t>修改卸车流程</t>
  </si>
  <si>
    <t>T040</t>
  </si>
  <si>
    <t>装船流程跟踪</t>
  </si>
  <si>
    <t>创建装船流程</t>
  </si>
  <si>
    <t>T041</t>
  </si>
  <si>
    <t>查询装船流程</t>
  </si>
  <si>
    <t>T042</t>
  </si>
  <si>
    <t>修改装船流程</t>
  </si>
  <si>
    <t>T043</t>
  </si>
  <si>
    <t>卸船流程跟踪</t>
  </si>
  <si>
    <t>创建卸船流程</t>
  </si>
  <si>
    <t>T044</t>
  </si>
  <si>
    <t>查询卸船流程</t>
  </si>
  <si>
    <t>T045</t>
  </si>
  <si>
    <t>修改卸船流程</t>
  </si>
  <si>
    <t>T046</t>
  </si>
  <si>
    <t>船舶预到（外贸）</t>
  </si>
  <si>
    <t>新增船舶预到（外贸）</t>
  </si>
  <si>
    <t>T047</t>
  </si>
  <si>
    <t>退回船舶预到（外贸）</t>
  </si>
  <si>
    <t>T048</t>
  </si>
  <si>
    <t>船舶预到（内贸）</t>
  </si>
  <si>
    <t>T049</t>
  </si>
  <si>
    <t>采样申请（外贸）</t>
  </si>
  <si>
    <t>申请采样申请（外贸）</t>
  </si>
  <si>
    <t>T050</t>
  </si>
  <si>
    <t>船舶轨迹跟踪</t>
  </si>
  <si>
    <t>维护需跟踪船舶清单</t>
  </si>
  <si>
    <t>T051</t>
  </si>
  <si>
    <t>根据船舶清单更新第三方系统推送数据船舶清单</t>
  </si>
  <si>
    <t>T052</t>
  </si>
  <si>
    <t>T053</t>
  </si>
  <si>
    <t>协同视览</t>
  </si>
  <si>
    <t>接入港口侧视频监控</t>
  </si>
  <si>
    <t>T054</t>
  </si>
  <si>
    <t>视频查看权限申请</t>
  </si>
  <si>
    <t>T055</t>
  </si>
  <si>
    <t>视频查看权限审批</t>
  </si>
  <si>
    <t>T056</t>
  </si>
  <si>
    <t>视频查看权限有效期控制</t>
  </si>
  <si>
    <t>T057</t>
  </si>
  <si>
    <t>外网PC端视频监控查询</t>
  </si>
  <si>
    <t>T058</t>
  </si>
  <si>
    <t>装船计划编制及推送</t>
  </si>
  <si>
    <t>OCR识别及编辑</t>
  </si>
  <si>
    <t>T059</t>
  </si>
  <si>
    <t>优化装车作业信息录入</t>
  </si>
  <si>
    <t>优化新增装车作业信息</t>
  </si>
  <si>
    <t>T060</t>
  </si>
  <si>
    <t>货权跟踪</t>
  </si>
  <si>
    <t>货权录入</t>
  </si>
  <si>
    <t>T061</t>
  </si>
  <si>
    <t>货权修改</t>
  </si>
  <si>
    <t>T062</t>
  </si>
  <si>
    <t>获取查询</t>
  </si>
  <si>
    <t>T063</t>
  </si>
  <si>
    <t>货权提醒</t>
  </si>
  <si>
    <t>卸船作业货权跟踪</t>
  </si>
  <si>
    <t>T064</t>
  </si>
  <si>
    <t>T065</t>
  </si>
  <si>
    <t>装船作业货权跟踪</t>
  </si>
  <si>
    <t>T066</t>
  </si>
  <si>
    <t>T067</t>
  </si>
  <si>
    <t>T068</t>
  </si>
  <si>
    <t>T069</t>
  </si>
  <si>
    <t>卸船作业信息录入优化（太仓）</t>
  </si>
  <si>
    <t>新增、详情、修改页内容调整</t>
  </si>
  <si>
    <t>T070</t>
  </si>
  <si>
    <t>生成报告</t>
  </si>
  <si>
    <t>T071</t>
  </si>
  <si>
    <t>装船作业信息录入优化（太仓）</t>
  </si>
  <si>
    <t>T072</t>
  </si>
  <si>
    <t>船舶预到优化（太仓）</t>
  </si>
  <si>
    <t>OCR识别</t>
  </si>
  <si>
    <t>T073</t>
  </si>
  <si>
    <t>采样作业信息录入</t>
  </si>
  <si>
    <t>采样作业信息录入新增</t>
  </si>
  <si>
    <t>T074</t>
  </si>
  <si>
    <t>采样作业信息录入编辑</t>
  </si>
  <si>
    <t>T075</t>
  </si>
  <si>
    <t>采样作业信息录入详情</t>
  </si>
  <si>
    <t>T076</t>
  </si>
  <si>
    <t>采样作业信息录入删除</t>
  </si>
  <si>
    <t>T077</t>
  </si>
  <si>
    <t>采样作业信息录入列表</t>
  </si>
  <si>
    <t>T078</t>
  </si>
  <si>
    <t>费用结算</t>
  </si>
  <si>
    <t>费用合同签订校验</t>
  </si>
  <si>
    <t>业务数据合同签订校验</t>
  </si>
  <si>
    <t>T079</t>
  </si>
  <si>
    <t>结算数据合同签订校验</t>
  </si>
  <si>
    <t>T080</t>
  </si>
  <si>
    <t>合同校验结果查询</t>
  </si>
  <si>
    <t>T081</t>
  </si>
  <si>
    <t>停泊费（外贸）</t>
  </si>
  <si>
    <t>数据对接</t>
  </si>
  <si>
    <t>T082</t>
  </si>
  <si>
    <t>数据展示</t>
  </si>
  <si>
    <t>T083</t>
  </si>
  <si>
    <t>锚泊费（外贸）</t>
  </si>
  <si>
    <t>T084</t>
  </si>
  <si>
    <t>数据产生</t>
  </si>
  <si>
    <t>T085</t>
  </si>
  <si>
    <t>堆存费（外贸）</t>
  </si>
  <si>
    <t>T086</t>
  </si>
  <si>
    <t>T087</t>
  </si>
  <si>
    <t>卸船费（外贸）</t>
  </si>
  <si>
    <t>T088</t>
  </si>
  <si>
    <t>T089</t>
  </si>
  <si>
    <t>采样服务费（外贸）</t>
  </si>
  <si>
    <t>新增采样服务费（外贸）</t>
  </si>
  <si>
    <t>T090</t>
  </si>
  <si>
    <t>审批采样服务费（外贸）</t>
  </si>
  <si>
    <t>T091</t>
  </si>
  <si>
    <t>单据签章</t>
  </si>
  <si>
    <t>T092</t>
  </si>
  <si>
    <t>数据推送</t>
  </si>
  <si>
    <t>T093</t>
  </si>
  <si>
    <t>船舶供应服务费（外贸）</t>
  </si>
  <si>
    <t>T094</t>
  </si>
  <si>
    <t>T095</t>
  </si>
  <si>
    <t>堆存费优化（太仓）</t>
  </si>
  <si>
    <t>自动生成堆存费</t>
  </si>
  <si>
    <t>T096</t>
  </si>
  <si>
    <t>港杂费优化(太仓）</t>
  </si>
  <si>
    <t>自动生成装船港杂费</t>
  </si>
  <si>
    <t>T097</t>
  </si>
  <si>
    <t>租赁费优化（太仓）</t>
  </si>
  <si>
    <t>自动生成租赁费</t>
  </si>
  <si>
    <t>T098</t>
  </si>
  <si>
    <t>装卸费优化（太仓）</t>
  </si>
  <si>
    <t>优化装卸费新增</t>
  </si>
  <si>
    <t>T099</t>
  </si>
  <si>
    <t>优化装卸费编辑</t>
  </si>
  <si>
    <t>T100</t>
  </si>
  <si>
    <t>资讯公告</t>
  </si>
  <si>
    <t>行业资讯</t>
  </si>
  <si>
    <t>创建行业资讯数据</t>
  </si>
  <si>
    <t>T101</t>
  </si>
  <si>
    <t>修改行业资讯数据</t>
  </si>
  <si>
    <t>T102</t>
  </si>
  <si>
    <t>删除行业资讯数据</t>
  </si>
  <si>
    <t>T103</t>
  </si>
  <si>
    <t>展示行业资讯数据</t>
  </si>
  <si>
    <t>T104</t>
  </si>
  <si>
    <t>统计分析</t>
  </si>
  <si>
    <t>吞吐量统计（曹妃甸）</t>
  </si>
  <si>
    <t>T105</t>
  </si>
  <si>
    <t>泊位占用率分析（曹妃甸）</t>
  </si>
  <si>
    <t>T106</t>
  </si>
  <si>
    <t>堆存库存统计（曹妃甸）</t>
  </si>
  <si>
    <t>T107</t>
  </si>
  <si>
    <t>分货主实时统计表（曹妃甸）</t>
  </si>
  <si>
    <t>T108</t>
  </si>
  <si>
    <t>综合装船效率分析（曹妃甸）</t>
  </si>
  <si>
    <t>T109</t>
  </si>
  <si>
    <t>综合卸车效率分析（曹妃甸）</t>
  </si>
  <si>
    <t>T110</t>
  </si>
  <si>
    <t>综合卸船效率分析（曹妃甸）</t>
  </si>
  <si>
    <t>T111</t>
  </si>
  <si>
    <t>吞吐量统计（太仓）</t>
  </si>
  <si>
    <t>T112</t>
  </si>
  <si>
    <t>泊位占用率分析（太仓）</t>
  </si>
  <si>
    <t>T113</t>
  </si>
  <si>
    <t>堆存库存统计（太仓）</t>
  </si>
  <si>
    <t>T114</t>
  </si>
  <si>
    <t>分货主实时统计表（太仓）</t>
  </si>
  <si>
    <t>T115</t>
  </si>
  <si>
    <t>综合卸船效率分析（太仓）</t>
  </si>
  <si>
    <t>T116</t>
  </si>
  <si>
    <t>堆垛雨布苫盖情况表（太仓）</t>
  </si>
  <si>
    <t>T117</t>
  </si>
  <si>
    <t>自动报告</t>
  </si>
  <si>
    <t>经营任务情况分析报告</t>
  </si>
  <si>
    <t>T118</t>
  </si>
  <si>
    <t>客户月报报告</t>
  </si>
  <si>
    <t>T119</t>
  </si>
  <si>
    <t>月度客户情况报告</t>
  </si>
  <si>
    <t>T120</t>
  </si>
  <si>
    <t>商务计划周报</t>
  </si>
  <si>
    <t>T121</t>
  </si>
  <si>
    <t>移动端</t>
  </si>
  <si>
    <t>APP</t>
  </si>
  <si>
    <t>船舶供应服务查询</t>
  </si>
  <si>
    <t>T122</t>
  </si>
  <si>
    <t>船舶预到（内贸）查询</t>
  </si>
  <si>
    <t>T123</t>
  </si>
  <si>
    <t>台账查询</t>
  </si>
  <si>
    <t>T124</t>
  </si>
  <si>
    <t>停泊费（内贸）查询</t>
  </si>
  <si>
    <t>T125</t>
  </si>
  <si>
    <t>船舶供应服务费（内贸）查询</t>
  </si>
  <si>
    <t>T126</t>
  </si>
  <si>
    <t>停泊费（外贸）查询</t>
  </si>
  <si>
    <t>T127</t>
  </si>
  <si>
    <t>锚泊费（外贸）查询</t>
  </si>
  <si>
    <t>T128</t>
  </si>
  <si>
    <t>堆存费（外贸）查询</t>
  </si>
  <si>
    <t>T129</t>
  </si>
  <si>
    <t>卸船费（外贸）查询</t>
  </si>
  <si>
    <t>T130</t>
  </si>
  <si>
    <t>采样服务费（外贸）查询</t>
  </si>
  <si>
    <t>T131</t>
  </si>
  <si>
    <t>船舶供应服务费（外贸）查询</t>
  </si>
  <si>
    <t>T132</t>
  </si>
  <si>
    <t>T133</t>
  </si>
  <si>
    <t>T134</t>
  </si>
  <si>
    <t>卸船计划查询</t>
  </si>
  <si>
    <t>T135</t>
  </si>
  <si>
    <t>T136</t>
  </si>
  <si>
    <t>T137</t>
  </si>
  <si>
    <t>外轮转内贸业务查询</t>
  </si>
  <si>
    <t>T138</t>
  </si>
  <si>
    <t>T139</t>
  </si>
  <si>
    <t>T140</t>
  </si>
  <si>
    <t>T141</t>
  </si>
  <si>
    <t>视频监控查询</t>
  </si>
  <si>
    <t>T142</t>
  </si>
  <si>
    <t>iHN+</t>
  </si>
  <si>
    <t>T143</t>
  </si>
  <si>
    <t>图片上传</t>
  </si>
  <si>
    <t>T144</t>
  </si>
  <si>
    <t>T145</t>
  </si>
  <si>
    <t>资源计划</t>
  </si>
  <si>
    <t>汇总业务、后端、前端和测试任务分配。黄色区域用于填写可用工时、任务投入工时和资源调整说明。</t>
  </si>
  <si>
    <t>人员</t>
  </si>
  <si>
    <t>角色</t>
  </si>
  <si>
    <t>任务数</t>
  </si>
  <si>
    <t>未完成任务</t>
  </si>
  <si>
    <t>最早开始</t>
  </si>
  <si>
    <t>最晚结束</t>
  </si>
  <si>
    <t>周可用工时</t>
  </si>
  <si>
    <t>计划投入工时</t>
  </si>
  <si>
    <t>负荷率</t>
  </si>
  <si>
    <t>负荷判断</t>
  </si>
  <si>
    <t>资源建议</t>
  </si>
  <si>
    <t>刘凯</t>
  </si>
  <si>
    <t>后端</t>
  </si>
  <si>
    <t>高负荷</t>
  </si>
  <si>
    <t>确认优先级并预留缓冲</t>
  </si>
  <si>
    <t>全栈、后端</t>
  </si>
  <si>
    <t>石军磊</t>
  </si>
  <si>
    <t>测试</t>
  </si>
  <si>
    <t>正常</t>
  </si>
  <si>
    <t>按计划跟踪</t>
  </si>
  <si>
    <t>前端</t>
  </si>
  <si>
    <t>业务</t>
  </si>
  <si>
    <t>资源周计划</t>
  </si>
  <si>
    <t>任务名称、状态和日期直接引用总控台账；新增任务或调整责任人后，重新执行V2更新以扩展明细行。</t>
  </si>
  <si>
    <t>周开始</t>
  </si>
  <si>
    <t>周结束</t>
  </si>
  <si>
    <t>是否有任务</t>
  </si>
  <si>
    <t>周计划工时</t>
  </si>
  <si>
    <t>任务清单</t>
  </si>
  <si>
    <t>有</t>
  </si>
  <si>
    <t>T058 OCR识别及编辑；T069 新增、详情、修改页内容调整；T070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</si>
  <si>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</si>
  <si>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</si>
  <si>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</si>
  <si>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</si>
  <si>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</si>
  <si>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</si>
  <si>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</si>
  <si>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</si>
  <si>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</si>
  <si>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T018 结算条款推送法务系统；T053 接入港口侧视频监控；T054 视频查看权限申请；T055 视频查看权限审批；T056 视频查看权限有效期控制；T057 外网PC端视频监控查询；T141 视频监控查询</t>
  </si>
  <si>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</si>
  <si>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无</t>
  </si>
  <si>
    <t>无任务</t>
  </si>
  <si>
    <t/>
  </si>
  <si>
    <t>T050 维护需跟踪船舶清单；T051 根据船舶清单更新第三方系统推送数据船舶清单；T052 船舶轨迹跟踪</t>
  </si>
  <si>
    <t>T095 自动生成堆存费；T050 维护需跟踪船舶清单；T051 根据船舶清单更新第三方系统推送数据船舶清单；T052 船舶轨迹跟踪</t>
  </si>
  <si>
    <t>T095 自动生成堆存费</t>
  </si>
  <si>
    <t>T031 创建外轮转内贸业务信息；T032 作废外轮转内贸业务信息；T033 查询外轮转内贸业务信息</t>
  </si>
  <si>
    <t>T085 数据对接；T087 数据对接；T088 数据展示；T086 数据展示</t>
  </si>
  <si>
    <t>T085 数据对接；T087 数据对接；T088 数据展示；T128 堆存费（外贸）查询；T129 卸船费（外贸）查询；T137 外轮转内贸业务查询；T086 数据展示</t>
  </si>
  <si>
    <t>T128 堆存费（外贸）查询；T129 卸船费（外贸）查询；T137 外轮转内贸业务查询</t>
  </si>
  <si>
    <t>T058 OCR识别及编辑；T070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</si>
  <si>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</si>
  <si>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
  </si>
  <si>
    <t>T121 船舶供应服务查询；T122 船舶预到（内贸）查询；T123 台账查询；T124 停泊费（内贸）查询；T125 船舶供应服务费（内贸）查询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</si>
  <si>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</si>
  <si>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</si>
  <si>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</si>
  <si>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船舶轨迹跟踪；T073 采样作业信息录入新增；T074 采样作业信息录入编辑；T075 采样作业信息录入详情；T076 采样作业信息录入删除；T077 采样作业信息录入列表；T097 自动生成租赁费；T098 优化装卸费新增；T099 优化装卸费编辑</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</si>
  <si>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</si>
  <si>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</si>
  <si>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</si>
  <si>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</si>
  <si>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</si>
  <si>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T018 结算条款推送法务系统；T053 接入港口侧视频监控；T054 视频查看权限申请；T055 视频查看权限审批；T056 视频查看权限有效期控制；T057 外网PC端视频监控查询；T141 视频监控查询；T086 数据展示</t>
  </si>
  <si>
    <t>T086 数据展示；T005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</si>
  <si>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</si>
  <si>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</si>
  <si>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t>
  </si>
  <si>
    <t>周迭代计划与完成跟踪</t>
  </si>
  <si>
    <t>上方汇总承诺完成、延期和暂停；下方按总控任务四阶段展开。周目标和复盘人工填写，其余内容更新V2时重建。</t>
  </si>
  <si>
    <t>迭代周</t>
  </si>
  <si>
    <t>开始日期</t>
  </si>
  <si>
    <t>结束日期</t>
  </si>
  <si>
    <t>周目标</t>
  </si>
  <si>
    <t>原周计划摘要</t>
  </si>
  <si>
    <t>计划完成阶段数</t>
  </si>
  <si>
    <t>实际完成阶段数</t>
  </si>
  <si>
    <t>承诺完成率</t>
  </si>
  <si>
    <t>延期数</t>
  </si>
  <si>
    <t>暂停数</t>
  </si>
  <si>
    <t>周状态</t>
  </si>
  <si>
    <t>复盘结论</t>
  </si>
  <si>
    <t>_key</t>
  </si>
  <si>
    <t>功能设计：装船计划编制及推送、卸船作业信息录入优化（太仓）、装船作业信息录入优化（太仓）
前端：装船计划编制及推送、卸船作业信息录入优化（太仓）、装船作业信息录入优化（太仓）
后端：装船计划编制及推送、卸船作业信息录入优化（太仓）、装船作业信息录入优化（太仓）</t>
  </si>
  <si>
    <t>无计划任务</t>
  </si>
  <si>
    <t>已结束</t>
  </si>
  <si>
    <t>W001</t>
  </si>
  <si>
    <t>完成42个计划阶段</t>
  </si>
  <si>
    <t>功能设计：车辆信息维护、交易中心报单信息展示及应单入口、船舶轨迹跟踪、货权跟踪、货权提醒、船舶预到优化（太仓）、堆存费优化（太仓）、港杂费优化(太仓）、收费标准信息维护、采样方式信息维护、装卸费结算、租赁费结算、采样作业信息录入
测试：装船计划编制及推送、卸船作业信息录入优化（太仓）、装船作业信息录入优化（太仓）</t>
  </si>
  <si>
    <t>人工复盘保留验证</t>
  </si>
  <si>
    <t>W002</t>
  </si>
  <si>
    <t>功能设计：卸车流程跟踪、装船流程跟踪、卸船流程跟踪、行业资讯、统计分析
前端：车辆信息维护、交易中心报单信息展示及应单入口、船舶轨迹跟踪、货权跟踪、货权提醒、船舶预到优化（太仓）、堆存费优化（太仓）、港杂费优化(太仓）、收费标准信息维护、采样方式信息维护、装卸费结算、租赁费结算、采样作业信息录入
后端：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</si>
  <si>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W003</t>
  </si>
  <si>
    <t>功能设计：APP：船舶供应服务查询、船舶预到（内贸）查询、台账查询、停泊费（内贸）查询、船舶供应服务费（内贸）查询
测试：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</si>
  <si>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W004</t>
  </si>
  <si>
    <t>功能设计：结算条款管理、协同视览、费用合同签订校验</t>
  </si>
  <si>
    <t>W005</t>
  </si>
  <si>
    <t>功能设计：船舶唯一性校验、卸船作业、船舶预到（外贸）、退回船舶预到（外贸）、采样申请（外贸）、停泊费（外贸）、锚泊费（外贸）、堆存费（外贸）、卸船费（外贸）、采样服务费（外贸）、船舶供应服务费（外贸）
前端：卸车流程跟踪、装船流程跟踪、卸船流程跟踪、行业资讯、统计分析、自动报告
后端：卸车流程跟踪、装船流程跟踪、卸船流程跟踪、行业资讯、统计分析、自动报告</t>
  </si>
  <si>
    <t>W006</t>
  </si>
  <si>
    <t>W007</t>
  </si>
  <si>
    <t>W008</t>
  </si>
  <si>
    <t>测试：卸车流程跟踪、装船流程跟踪、卸船流程跟踪、行业资讯、统计分析、自动报告</t>
  </si>
  <si>
    <t>W009</t>
  </si>
  <si>
    <t>W010</t>
  </si>
  <si>
    <t>前端：APP：船舶供应服务查询、船舶预到（内贸）查询、台账查询、停泊费（内贸）查询、船舶供应服务费（内贸）查询
后端：APP：船舶供应服务查询、船舶预到（内贸）查询、台账查询、停泊费（内贸）查询、船舶供应服务费（内贸）查询</t>
  </si>
  <si>
    <t>W011</t>
  </si>
  <si>
    <t>前端：结算条款管理、协同视览、费用合同签订校验
后端：结算条款管理、协同视览、费用合同签订校验
测试：APP：船舶供应服务查询、船舶预到（内贸）查询、台账查询、停泊费（内贸）查询、船舶供应服务费（内贸）查询</t>
  </si>
  <si>
    <t>W012</t>
  </si>
  <si>
    <t>W013</t>
  </si>
  <si>
    <t>W014</t>
  </si>
  <si>
    <t>W015</t>
  </si>
  <si>
    <t>W016</t>
  </si>
  <si>
    <t>前端：船舶唯一性校验、卸船作业、船舶预到（外贸）、退回船舶预到（外贸）、采样申请（外贸）、停泊费（外贸）、锚泊费（外贸）、堆存费（外贸）、卸船费（外贸）、采样服务费（外贸）、船舶供应服务费（外贸）
后端：船舶唯一性校验、卸船作业、船舶预到（外贸）、退回船舶预到（外贸）、采样申请（外贸）、停泊费（外贸）、锚泊费（外贸）、堆存费（外贸）、卸船费（外贸）、采样服务费（外贸）、船舶供应服务费（外贸）
测试：结算条款管理、协同视览、费用合同签订校验</t>
  </si>
  <si>
    <t>W017</t>
  </si>
  <si>
    <t>W018</t>
  </si>
  <si>
    <t>W019</t>
  </si>
  <si>
    <t>W020</t>
  </si>
  <si>
    <t>W021</t>
  </si>
  <si>
    <t>测试：船舶唯一性校验、卸船作业、船舶预到（外贸）、退回船舶预到（外贸）、采样申请（外贸）、停泊费（外贸）、锚泊费（外贸）、堆存费（外贸）、卸船费（外贸）、采样服务费（外贸）、船舶供应服务费（外贸）</t>
  </si>
  <si>
    <t>W022</t>
  </si>
  <si>
    <t>W023</t>
  </si>
  <si>
    <t>周任务明细</t>
  </si>
  <si>
    <t>任务名称</t>
  </si>
  <si>
    <t>专业阶段</t>
  </si>
  <si>
    <t>负责人</t>
  </si>
  <si>
    <t>阶段状态</t>
  </si>
  <si>
    <t>实际完成日期</t>
  </si>
  <si>
    <t>是否延期</t>
  </si>
  <si>
    <t>异常提示</t>
  </si>
  <si>
    <t>复盘说明</t>
  </si>
  <si>
    <t>_detail_key</t>
  </si>
  <si>
    <t>否</t>
  </si>
  <si>
    <t>完成日期待补充</t>
  </si>
  <si>
    <t>W002|tsk-33c582966f67#001|业务</t>
  </si>
  <si>
    <t>W002|tsk-23275116439b#001|业务</t>
  </si>
  <si>
    <t>W002|tsk-f668411c7176#001|业务</t>
  </si>
  <si>
    <t>W002|tsk-9344390f42cf#001|业务</t>
  </si>
  <si>
    <t>W002|tsk-ed149daad87d#001|业务</t>
  </si>
  <si>
    <t>W002|tsk-97a98e6009e6#001|业务</t>
  </si>
  <si>
    <t>W002|tsk-a12265c00afb#001|业务</t>
  </si>
  <si>
    <t>W002|tsk-e3cb05a8752f#001|业务</t>
  </si>
  <si>
    <t>W002|tsk-b7577ba49e91#001|业务</t>
  </si>
  <si>
    <t>W002|tsk-7f2aa4709d11#001|业务</t>
  </si>
  <si>
    <t>W002|tsk-702fd2cdf48f#001|业务</t>
  </si>
  <si>
    <t>W002|tsk-d0de99d77921#001|业务</t>
  </si>
  <si>
    <t>W002|tsk-8e0f61ad2405#001|业务</t>
  </si>
  <si>
    <t>W002|tsk-a12801ccffa6#001|业务</t>
  </si>
  <si>
    <t>W002|tsk-978d907ae469#001|业务</t>
  </si>
  <si>
    <t>W002|tsk-f4466ad5469c#001|业务</t>
  </si>
  <si>
    <t>W002|tsk-7d88bf49e933#001|业务</t>
  </si>
  <si>
    <t>W002|tsk-7d592b89a46f#001|业务</t>
  </si>
  <si>
    <t>W002|tsk-7d592b89a46f#002|业务</t>
  </si>
  <si>
    <t>W002|tsk-10c71dc857f0#001|业务</t>
  </si>
  <si>
    <t>W002|tsk-10c71dc857f0#002|业务</t>
  </si>
  <si>
    <t>W002|tsk-10c71dc857f0#003|业务</t>
  </si>
  <si>
    <t>W002|tsk-10c71dc857f0#004|业务</t>
  </si>
  <si>
    <t>W002|tsk-57b8e280d274#001|业务</t>
  </si>
  <si>
    <t>W002|tsk-211024d6f6de#001|业务</t>
  </si>
  <si>
    <t>W002|tsk-c0d2087ea559#001|业务</t>
  </si>
  <si>
    <t>W002|tsk-ef409224d46b#001|业务</t>
  </si>
  <si>
    <t>W002|tsk-febee99e5a1e#001|业务</t>
  </si>
  <si>
    <t>W002|tsk-177bff8cf7f9#001|业务</t>
  </si>
  <si>
    <t>W002|tsk-15570328b3e1#001|业务</t>
  </si>
  <si>
    <t>W002|tsk-2f7c5586317d#001|业务</t>
  </si>
  <si>
    <t>W002|tsk-a5528f60d6ad#001|业务</t>
  </si>
  <si>
    <t>W002|tsk-e8fdac8072e1#001|业务</t>
  </si>
  <si>
    <t>W002|tsk-628e22896d5e#001|业务</t>
  </si>
  <si>
    <t>W002|tsk-8e34ce8f4239#001|前端</t>
  </si>
  <si>
    <t>W002|tsk-965e74d49261#001|前端</t>
  </si>
  <si>
    <t>W002|tsk-38a802bbe105#001|前端</t>
  </si>
  <si>
    <t>W002|tsk-cb19eab07c79#001|前端</t>
  </si>
  <si>
    <t>W002|tsk-8e34ce8f4239#001|后端</t>
  </si>
  <si>
    <t>W002|tsk-965e74d49261#001|后端</t>
  </si>
  <si>
    <t>W002|tsk-38a802bbe105#001|后端</t>
  </si>
  <si>
    <t>W002|tsk-cb19eab07c79#001|后端</t>
  </si>
  <si>
    <t>W003|tsk-41f84a2dbee7#001|业务</t>
  </si>
  <si>
    <t>W003|tsk-720110050036#001|业务</t>
  </si>
  <si>
    <t>W003|tsk-72392976ed5d#001|业务</t>
  </si>
  <si>
    <t>W003|tsk-f1427d0c97d9#001|业务</t>
  </si>
  <si>
    <t>W003|tsk-060d8a1d14e2#001|业务</t>
  </si>
  <si>
    <t>W003|tsk-b0bfc16bb18d#001|业务</t>
  </si>
  <si>
    <t>W003|tsk-e7e708d55c95#001|业务</t>
  </si>
  <si>
    <t>W003|tsk-ae0234715f64#001|业务</t>
  </si>
  <si>
    <t>W003|tsk-58da4f05f2c4#001|业务</t>
  </si>
  <si>
    <t>W003|tsk-86a7a8f2d6d2#001|业务</t>
  </si>
  <si>
    <t>W003|tsk-5dde71d1afa6#001|业务</t>
  </si>
  <si>
    <t>W003|tsk-b414c5bb0e5c#001|业务</t>
  </si>
  <si>
    <t>W003|tsk-d8cee4246d76#001|业务</t>
  </si>
  <si>
    <t>W003|tsk-2383292632d6#001|业务</t>
  </si>
  <si>
    <t>W003|tsk-6844eefcb09f#001|业务</t>
  </si>
  <si>
    <t>W003|tsk-c0b615e95db5#001|业务</t>
  </si>
  <si>
    <t>W003|tsk-010f2f0578d8#001|业务</t>
  </si>
  <si>
    <t>W003|tsk-ba126ef0228f#001|业务</t>
  </si>
  <si>
    <t>W003|tsk-13ad283484a7#001|业务</t>
  </si>
  <si>
    <t>W003|tsk-f441c61f54ad#001|业务</t>
  </si>
  <si>
    <t>W003|tsk-a9cbee439438#001|业务</t>
  </si>
  <si>
    <t>W003|tsk-b174cf36c1c8#001|业务</t>
  </si>
  <si>
    <t>W003|tsk-b782224c74f5#001|业务</t>
  </si>
  <si>
    <t>W003|tsk-b14957c92331#001|业务</t>
  </si>
  <si>
    <t>W003|tsk-d942dd328122#001|业务</t>
  </si>
  <si>
    <t>W003|tsk-577f9f403da5#001|业务</t>
  </si>
  <si>
    <t>W003|tsk-8e34ce8f4239#001|测试</t>
  </si>
  <si>
    <t>W003|tsk-38a802bbe105#001|测试</t>
  </si>
  <si>
    <t>W003|tsk-cb19eab07c79#001|测试</t>
  </si>
  <si>
    <t>W004|tsk-3c49a764e4d0#001|业务</t>
  </si>
  <si>
    <t>W004|tsk-7adc76236513#001|业务</t>
  </si>
  <si>
    <t>W004|tsk-27502e8eb665#001|业务</t>
  </si>
  <si>
    <t>W004|tsk-4bbd9b69bf8e#001|业务</t>
  </si>
  <si>
    <t>W004|tsk-d4c78b2bbc7a#001|业务</t>
  </si>
  <si>
    <t>W005|tsk-2e5e69219e67#001|业务</t>
  </si>
  <si>
    <t>W005|tsk-c1590b9d60b9#001|业务</t>
  </si>
  <si>
    <t>W005|tsk-449ebaf20126#001|业务</t>
  </si>
  <si>
    <t>W005|tsk-01c63684d31f#001|业务</t>
  </si>
  <si>
    <t>W005|tsk-684ea1a8faac#001|业务</t>
  </si>
  <si>
    <t>是</t>
  </si>
  <si>
    <t>W005|tsk-e439a610e5c1#001|业务</t>
  </si>
  <si>
    <t>W005|tsk-339841bab1cf#001|业务</t>
  </si>
  <si>
    <t>W005|tsk-5c3c488e8374#001|业务</t>
  </si>
  <si>
    <t>W005|tsk-031a8fd31f7a#001|业务</t>
  </si>
  <si>
    <t>W005|tsk-eda52a0a3d62#001|业务</t>
  </si>
  <si>
    <t>W005|tsk-13a94a87edcb#001|业务</t>
  </si>
  <si>
    <t>W005|tsk-9716888ab487#001|业务</t>
  </si>
  <si>
    <t>W005|tsk-a195bb2f0e59#001|业务</t>
  </si>
  <si>
    <t>W005|tsk-d6b4db0b7fa5#001|业务</t>
  </si>
  <si>
    <t>W005|tsk-504c9ba6309d#001|业务</t>
  </si>
  <si>
    <t>W005|tsk-33c582966f67#001|前端</t>
  </si>
  <si>
    <t>W005|tsk-23275116439b#001|前端</t>
  </si>
  <si>
    <t>W005|tsk-f668411c7176#001|前端</t>
  </si>
  <si>
    <t>W005|tsk-9344390f42cf#001|前端</t>
  </si>
  <si>
    <t>W005|tsk-ed149daad87d#001|前端</t>
  </si>
  <si>
    <t>W005|tsk-97a98e6009e6#001|前端</t>
  </si>
  <si>
    <t>W005|tsk-a12265c00afb#001|前端</t>
  </si>
  <si>
    <t>W005|tsk-e3cb05a8752f#001|前端</t>
  </si>
  <si>
    <t>W005|tsk-b7577ba49e91#001|前端</t>
  </si>
  <si>
    <t>W005|tsk-7f2aa4709d11#001|前端</t>
  </si>
  <si>
    <t>W005|tsk-702fd2cdf48f#001|前端</t>
  </si>
  <si>
    <t>W005|tsk-978d907ae469#001|前端</t>
  </si>
  <si>
    <t>W005|tsk-f4466ad5469c#001|前端</t>
  </si>
  <si>
    <t>W005|tsk-7d88bf49e933#001|前端</t>
  </si>
  <si>
    <t>W005|tsk-7d592b89a46f#001|前端</t>
  </si>
  <si>
    <t>W005|tsk-7d592b89a46f#002|前端</t>
  </si>
  <si>
    <t>W005|tsk-10c71dc857f0#001|前端</t>
  </si>
  <si>
    <t>W005|tsk-10c71dc857f0#002|前端</t>
  </si>
  <si>
    <t>W005|tsk-10c71dc857f0#003|前端</t>
  </si>
  <si>
    <t>W005|tsk-10c71dc857f0#004|前端</t>
  </si>
  <si>
    <t>W005|tsk-57b8e280d274#001|前端</t>
  </si>
  <si>
    <t>W005|tsk-211024d6f6de#001|前端</t>
  </si>
  <si>
    <t>W005|tsk-c0d2087ea559#001|前端</t>
  </si>
  <si>
    <t>W005|tsk-ef409224d46b#001|前端</t>
  </si>
  <si>
    <t>W005|tsk-febee99e5a1e#001|前端</t>
  </si>
  <si>
    <t>W005|tsk-177bff8cf7f9#001|前端</t>
  </si>
  <si>
    <t>W005|tsk-2f7c5586317d#001|前端</t>
  </si>
  <si>
    <t>W005|tsk-a5528f60d6ad#001|前端</t>
  </si>
  <si>
    <t>W005|tsk-e8fdac8072e1#001|前端</t>
  </si>
  <si>
    <t>W005|tsk-628e22896d5e#001|前端</t>
  </si>
  <si>
    <t>W005|tsk-33c582966f67#001|后端</t>
  </si>
  <si>
    <t>W005|tsk-23275116439b#001|后端</t>
  </si>
  <si>
    <t>W005|tsk-f668411c7176#001|后端</t>
  </si>
  <si>
    <t>W005|tsk-9344390f42cf#001|后端</t>
  </si>
  <si>
    <t>W005|tsk-ed149daad87d#001|后端</t>
  </si>
  <si>
    <t>W005|tsk-97a98e6009e6#001|后端</t>
  </si>
  <si>
    <t>W005|tsk-a12265c00afb#001|后端</t>
  </si>
  <si>
    <t>W005|tsk-e3cb05a8752f#001|后端</t>
  </si>
  <si>
    <t>W005|tsk-b7577ba49e91#001|后端</t>
  </si>
  <si>
    <t>W005|tsk-7f2aa4709d11#001|后端</t>
  </si>
  <si>
    <t>W005|tsk-702fd2cdf48f#001|后端</t>
  </si>
  <si>
    <t>W005|tsk-978d907ae469#001|后端</t>
  </si>
  <si>
    <t>W005|tsk-f4466ad5469c#001|后端</t>
  </si>
  <si>
    <t>W005|tsk-7d88bf49e933#001|后端</t>
  </si>
  <si>
    <t>W005|tsk-7d592b89a46f#001|后端</t>
  </si>
  <si>
    <t>W005|tsk-7d592b89a46f#002|后端</t>
  </si>
  <si>
    <t>W005|tsk-10c71dc857f0#001|后端</t>
  </si>
  <si>
    <t>W005|tsk-10c71dc857f0#002|后端</t>
  </si>
  <si>
    <t>W005|tsk-10c71dc857f0#003|后端</t>
  </si>
  <si>
    <t>W005|tsk-10c71dc857f0#004|后端</t>
  </si>
  <si>
    <t>W005|tsk-57b8e280d274#001|后端</t>
  </si>
  <si>
    <t>W005|tsk-211024d6f6de#001|后端</t>
  </si>
  <si>
    <t>W005|tsk-c0d2087ea559#001|后端</t>
  </si>
  <si>
    <t>W005|tsk-ef409224d46b#001|后端</t>
  </si>
  <si>
    <t>W005|tsk-febee99e5a1e#001|后端</t>
  </si>
  <si>
    <t>W005|tsk-177bff8cf7f9#001|后端</t>
  </si>
  <si>
    <t>W005|tsk-2f7c5586317d#001|后端</t>
  </si>
  <si>
    <t>W005|tsk-a5528f60d6ad#001|后端</t>
  </si>
  <si>
    <t>W005|tsk-e8fdac8072e1#001|后端</t>
  </si>
  <si>
    <t>W005|tsk-628e22896d5e#001|后端</t>
  </si>
  <si>
    <t>W006|tsk-33c582966f67#001|测试</t>
  </si>
  <si>
    <t>W006|tsk-23275116439b#001|测试</t>
  </si>
  <si>
    <t>W006|tsk-f668411c7176#001|测试</t>
  </si>
  <si>
    <t>W006|tsk-9344390f42cf#001|测试</t>
  </si>
  <si>
    <t>W006|tsk-ed149daad87d#001|测试</t>
  </si>
  <si>
    <t>W006|tsk-97a98e6009e6#001|测试</t>
  </si>
  <si>
    <t>W006|tsk-a12265c00afb#001|测试</t>
  </si>
  <si>
    <t>W006|tsk-e3cb05a8752f#001|测试</t>
  </si>
  <si>
    <t>W006|tsk-b7577ba49e91#001|测试</t>
  </si>
  <si>
    <t>W006|tsk-7f2aa4709d11#001|测试</t>
  </si>
  <si>
    <t>W006|tsk-702fd2cdf48f#001|测试</t>
  </si>
  <si>
    <t>W006|tsk-d0de99d77921#001|测试</t>
  </si>
  <si>
    <t>W006|tsk-8e0f61ad2405#001|测试</t>
  </si>
  <si>
    <t>W006|tsk-a12801ccffa6#001|测试</t>
  </si>
  <si>
    <t>W006|tsk-978d907ae469#001|测试</t>
  </si>
  <si>
    <t>W006|tsk-f4466ad5469c#001|测试</t>
  </si>
  <si>
    <t>W006|tsk-7d88bf49e933#001|测试</t>
  </si>
  <si>
    <t>W006|tsk-7d592b89a46f#001|测试</t>
  </si>
  <si>
    <t>W006|tsk-7d592b89a46f#002|测试</t>
  </si>
  <si>
    <t>W006|tsk-10c71dc857f0#001|测试</t>
  </si>
  <si>
    <t>W006|tsk-10c71dc857f0#002|测试</t>
  </si>
  <si>
    <t>W006|tsk-10c71dc857f0#003|测试</t>
  </si>
  <si>
    <t>W006|tsk-10c71dc857f0#004|测试</t>
  </si>
  <si>
    <t>W006|tsk-965e74d49261#001|测试</t>
  </si>
  <si>
    <t>W006|tsk-57b8e280d274#001|测试</t>
  </si>
  <si>
    <t>W006|tsk-211024d6f6de#001|测试</t>
  </si>
  <si>
    <t>W006|tsk-c0d2087ea559#001|测试</t>
  </si>
  <si>
    <t>W006|tsk-ef409224d46b#001|测试</t>
  </si>
  <si>
    <t>W006|tsk-febee99e5a1e#001|测试</t>
  </si>
  <si>
    <t>W006|tsk-177bff8cf7f9#001|测试</t>
  </si>
  <si>
    <t>W006|tsk-15570328b3e1#001|测试</t>
  </si>
  <si>
    <t>W006|tsk-2f7c5586317d#001|测试</t>
  </si>
  <si>
    <t>W006|tsk-a5528f60d6ad#001|测试</t>
  </si>
  <si>
    <t>W006|tsk-e8fdac8072e1#001|测试</t>
  </si>
  <si>
    <t>W006|tsk-628e22896d5e#001|测试</t>
  </si>
  <si>
    <t>W007|tsk-48d2a2f6f0ca#001|业务</t>
  </si>
  <si>
    <t>W007|tsk-1434d732f324#001|业务</t>
  </si>
  <si>
    <t>W007|tsk-6f7899347220#001|业务</t>
  </si>
  <si>
    <t>W007|tsk-5e443e932dea#001|业务</t>
  </si>
  <si>
    <t>W007|tsk-687e056338b0#001|业务</t>
  </si>
  <si>
    <t>W007|tsk-1f2d6d901b96#001|业务</t>
  </si>
  <si>
    <t>W007|tsk-569b438a861f#001|业务</t>
  </si>
  <si>
    <t>W007|tsk-190248011e64#001|业务</t>
  </si>
  <si>
    <t>W007|tsk-f6c637702ac8#001|业务</t>
  </si>
  <si>
    <t>W007|tsk-b94ca72bec1d#001|业务</t>
  </si>
  <si>
    <t>W007|tsk-042dd9e15de9#001|业务</t>
  </si>
  <si>
    <t>W007|tsk-733eb8844d0a#001|业务</t>
  </si>
  <si>
    <t>W007|tsk-2b8fe09330fa#001|业务</t>
  </si>
  <si>
    <t>W007|tsk-2cf4f1125368#001|业务</t>
  </si>
  <si>
    <t>W007|tsk-a8a88945c3aa#001|业务</t>
  </si>
  <si>
    <t>W007|tsk-1257be12f654#001|业务</t>
  </si>
  <si>
    <t>W007|tsk-0941687334ee#001|业务</t>
  </si>
  <si>
    <t>W007|tsk-df5becb03546#001|业务</t>
  </si>
  <si>
    <t>W007|tsk-40a850a3615b#001|业务</t>
  </si>
  <si>
    <t>W007|tsk-51e2a658ea29#001|业务</t>
  </si>
  <si>
    <t>W007|tsk-6e540ffca5c7#001|业务</t>
  </si>
  <si>
    <t>W007|tsk-09a02f4d7d83#001|业务</t>
  </si>
  <si>
    <t>W007|tsk-da7f1bbdc582#001|业务</t>
  </si>
  <si>
    <t>W007|tsk-af568665c0d5#001|业务</t>
  </si>
  <si>
    <t>W007|tsk-f0e8e7f9f9ee#001|业务</t>
  </si>
  <si>
    <t>W007|tsk-ca380e0d0aee#001|业务</t>
  </si>
  <si>
    <t>W007|tsk-ed4dab57b66a#001|业务</t>
  </si>
  <si>
    <t>W007|tsk-ba4956b049fc#001|业务</t>
  </si>
  <si>
    <t>W007|tsk-36b50b083723#001|业务</t>
  </si>
  <si>
    <t>W007|tsk-8b699cb2d97b#001|业务</t>
  </si>
  <si>
    <t>W007|tsk-97239b879826#001|业务</t>
  </si>
  <si>
    <t>W007|tsk-67356a4c38e7#001|业务</t>
  </si>
  <si>
    <t>W007|tsk-d843b0070289#001|业务</t>
  </si>
  <si>
    <t>W007|tsk-f0fcc8b90f2f#001|业务</t>
  </si>
  <si>
    <t>W007|tsk-18bc2a0df442#001|业务</t>
  </si>
  <si>
    <t>W007|tsk-5d63b672e354#001|业务</t>
  </si>
  <si>
    <t>W007|tsk-c19b20b85e7d#001|业务</t>
  </si>
  <si>
    <t>W007|tsk-4d9a344af7af#001|业务</t>
  </si>
  <si>
    <t>W007|tsk-9b71d83dfa28#001|业务</t>
  </si>
  <si>
    <t>W007|tsk-ce4913ddfaf8#001|业务</t>
  </si>
  <si>
    <t>W007|tsk-178c0ad2db5d#001|业务</t>
  </si>
  <si>
    <t>W007|tsk-6c8633be9834#001|业务</t>
  </si>
  <si>
    <t>W007|tsk-b2bf08346ef0#001|业务</t>
  </si>
  <si>
    <t>W007|tsk-dc1028c0741b#001|业务</t>
  </si>
  <si>
    <t>W007|tsk-ba976910e0a8#001|业务</t>
  </si>
  <si>
    <t>W007|tsk-2f656028e1ee#001|业务</t>
  </si>
  <si>
    <t>W007|tsk-8da0ab00b9be#001|业务</t>
  </si>
  <si>
    <t>W007|tsk-16b867992f39#001|业务</t>
  </si>
  <si>
    <t>W007|tsk-51f72709ab2b#001|业务</t>
  </si>
  <si>
    <t>W007|tsk-fc2047391ae1#001|业务</t>
  </si>
  <si>
    <t>W007|tsk-c3816ac8c41c#001|业务</t>
  </si>
  <si>
    <t>W007|tsk-af568665c0d5#001|前端</t>
  </si>
  <si>
    <t>W007|tsk-af568665c0d5#001|后端</t>
  </si>
  <si>
    <t>W009|tsk-b14957c92331#001|前端</t>
  </si>
  <si>
    <t>W009|tsk-d942dd328122#001|前端</t>
  </si>
  <si>
    <t>W009|tsk-577f9f403da5#001|前端</t>
  </si>
  <si>
    <t>W009|tsk-b14957c92331#001|后端</t>
  </si>
  <si>
    <t>W009|tsk-d942dd328122#001|后端</t>
  </si>
  <si>
    <t>W009|tsk-577f9f403da5#001|后端</t>
  </si>
  <si>
    <t>W010|tsk-41f84a2dbee7#001|前端</t>
  </si>
  <si>
    <t>W010|tsk-720110050036#001|前端</t>
  </si>
  <si>
    <t>W010|tsk-72392976ed5d#001|前端</t>
  </si>
  <si>
    <t>W010|tsk-f1427d0c97d9#001|前端</t>
  </si>
  <si>
    <t>W010|tsk-060d8a1d14e2#001|前端</t>
  </si>
  <si>
    <t>W010|tsk-b0bfc16bb18d#001|前端</t>
  </si>
  <si>
    <t>W010|tsk-e7e708d55c95#001|前端</t>
  </si>
  <si>
    <t>W010|tsk-ae0234715f64#001|前端</t>
  </si>
  <si>
    <t>W010|tsk-58da4f05f2c4#001|前端</t>
  </si>
  <si>
    <t>W010|tsk-86a7a8f2d6d2#001|前端</t>
  </si>
  <si>
    <t>W010|tsk-5dde71d1afa6#001|前端</t>
  </si>
  <si>
    <t>W010|tsk-b414c5bb0e5c#001|前端</t>
  </si>
  <si>
    <t>W010|tsk-d8cee4246d76#001|前端</t>
  </si>
  <si>
    <t>W010|tsk-2383292632d6#001|前端</t>
  </si>
  <si>
    <t>W010|tsk-6844eefcb09f#001|前端</t>
  </si>
  <si>
    <t>W010|tsk-c0b615e95db5#001|前端</t>
  </si>
  <si>
    <t>W010|tsk-010f2f0578d8#001|前端</t>
  </si>
  <si>
    <t>W010|tsk-ba126ef0228f#001|前端</t>
  </si>
  <si>
    <t>W010|tsk-13ad283484a7#001|前端</t>
  </si>
  <si>
    <t>W010|tsk-f441c61f54ad#001|前端</t>
  </si>
  <si>
    <t>W010|tsk-4537a4eb5b31#001|前端</t>
  </si>
  <si>
    <t>W010|tsk-9a64b8ed984e#001|前端</t>
  </si>
  <si>
    <t>W010|tsk-9355d4cfb537#001|前端</t>
  </si>
  <si>
    <t>W010|tsk-b55e82bcfe4a#001|前端</t>
  </si>
  <si>
    <t>W010|tsk-a9cbee439438#001|前端</t>
  </si>
  <si>
    <t>W010|tsk-b174cf36c1c8#001|前端</t>
  </si>
  <si>
    <t>W010|tsk-b782224c74f5#001|前端</t>
  </si>
  <si>
    <t>W010|tsk-41f84a2dbee7#001|后端</t>
  </si>
  <si>
    <t>W010|tsk-720110050036#001|后端</t>
  </si>
  <si>
    <t>W010|tsk-72392976ed5d#001|后端</t>
  </si>
  <si>
    <t>W010|tsk-f1427d0c97d9#001|后端</t>
  </si>
  <si>
    <t>W010|tsk-060d8a1d14e2#001|后端</t>
  </si>
  <si>
    <t>W010|tsk-b0bfc16bb18d#001|后端</t>
  </si>
  <si>
    <t>W010|tsk-e7e708d55c95#001|后端</t>
  </si>
  <si>
    <t>W010|tsk-ae0234715f64#001|后端</t>
  </si>
  <si>
    <t>W010|tsk-58da4f05f2c4#001|后端</t>
  </si>
  <si>
    <t>W010|tsk-86a7a8f2d6d2#001|后端</t>
  </si>
  <si>
    <t>W010|tsk-5dde71d1afa6#001|后端</t>
  </si>
  <si>
    <t>W010|tsk-b414c5bb0e5c#001|后端</t>
  </si>
  <si>
    <t>W010|tsk-d8cee4246d76#001|后端</t>
  </si>
  <si>
    <t>W010|tsk-2383292632d6#001|后端</t>
  </si>
  <si>
    <t>W010|tsk-6844eefcb09f#001|后端</t>
  </si>
  <si>
    <t>W010|tsk-c0b615e95db5#001|后端</t>
  </si>
  <si>
    <t>W010|tsk-010f2f0578d8#001|后端</t>
  </si>
  <si>
    <t>W010|tsk-ba126ef0228f#001|后端</t>
  </si>
  <si>
    <t>W010|tsk-13ad283484a7#001|后端</t>
  </si>
  <si>
    <t>W010|tsk-f441c61f54ad#001|后端</t>
  </si>
  <si>
    <t>W010|tsk-4537a4eb5b31#001|后端</t>
  </si>
  <si>
    <t>W010|tsk-9a64b8ed984e#001|后端</t>
  </si>
  <si>
    <t>W010|tsk-9355d4cfb537#001|后端</t>
  </si>
  <si>
    <t>W010|tsk-b55e82bcfe4a#001|后端</t>
  </si>
  <si>
    <t>W010|tsk-a9cbee439438#001|后端</t>
  </si>
  <si>
    <t>W010|tsk-b174cf36c1c8#001|后端</t>
  </si>
  <si>
    <t>W010|tsk-b782224c74f5#001|后端</t>
  </si>
  <si>
    <t>W011|tsk-d0de99d77921#001|前端</t>
  </si>
  <si>
    <t>W011|tsk-8e0f61ad2405#001|前端</t>
  </si>
  <si>
    <t>W011|tsk-a12801ccffa6#001|前端</t>
  </si>
  <si>
    <t>W011|tsk-3c49a764e4d0#001|前端</t>
  </si>
  <si>
    <t>W011|tsk-7adc76236513#001|前端</t>
  </si>
  <si>
    <t>W011|tsk-27502e8eb665#001|前端</t>
  </si>
  <si>
    <t>W011|tsk-4bbd9b69bf8e#001|前端</t>
  </si>
  <si>
    <t>W011|tsk-d4c78b2bbc7a#001|前端</t>
  </si>
  <si>
    <t>W011|tsk-d0de99d77921#001|后端</t>
  </si>
  <si>
    <t>W011|tsk-8e0f61ad2405#001|后端</t>
  </si>
  <si>
    <t>W011|tsk-a12801ccffa6#001|后端</t>
  </si>
  <si>
    <t>W011|tsk-3c49a764e4d0#001|后端</t>
  </si>
  <si>
    <t>W011|tsk-7adc76236513#001|后端</t>
  </si>
  <si>
    <t>W011|tsk-27502e8eb665#001|后端</t>
  </si>
  <si>
    <t>W011|tsk-4bbd9b69bf8e#001|后端</t>
  </si>
  <si>
    <t>W011|tsk-d4c78b2bbc7a#001|后端</t>
  </si>
  <si>
    <t>W011|tsk-41f84a2dbee7#001|测试</t>
  </si>
  <si>
    <t>W011|tsk-720110050036#001|测试</t>
  </si>
  <si>
    <t>W011|tsk-72392976ed5d#001|测试</t>
  </si>
  <si>
    <t>W011|tsk-f1427d0c97d9#001|测试</t>
  </si>
  <si>
    <t>W011|tsk-060d8a1d14e2#001|测试</t>
  </si>
  <si>
    <t>W011|tsk-b0bfc16bb18d#001|测试</t>
  </si>
  <si>
    <t>W011|tsk-e7e708d55c95#001|测试</t>
  </si>
  <si>
    <t>W011|tsk-ae0234715f64#001|测试</t>
  </si>
  <si>
    <t>W011|tsk-58da4f05f2c4#001|测试</t>
  </si>
  <si>
    <t>W011|tsk-86a7a8f2d6d2#001|测试</t>
  </si>
  <si>
    <t>W011|tsk-5dde71d1afa6#001|测试</t>
  </si>
  <si>
    <t>W011|tsk-b414c5bb0e5c#001|测试</t>
  </si>
  <si>
    <t>W011|tsk-d8cee4246d76#001|测试</t>
  </si>
  <si>
    <t>W011|tsk-2383292632d6#001|测试</t>
  </si>
  <si>
    <t>W011|tsk-6844eefcb09f#001|测试</t>
  </si>
  <si>
    <t>W011|tsk-c0b615e95db5#001|测试</t>
  </si>
  <si>
    <t>W011|tsk-010f2f0578d8#001|测试</t>
  </si>
  <si>
    <t>W011|tsk-ba126ef0228f#001|测试</t>
  </si>
  <si>
    <t>W011|tsk-13ad283484a7#001|测试</t>
  </si>
  <si>
    <t>W011|tsk-f441c61f54ad#001|测试</t>
  </si>
  <si>
    <t>W011|tsk-4537a4eb5b31#001|测试</t>
  </si>
  <si>
    <t>W011|tsk-9a64b8ed984e#001|测试</t>
  </si>
  <si>
    <t>W011|tsk-9355d4cfb537#001|测试</t>
  </si>
  <si>
    <t>W011|tsk-b55e82bcfe4a#001|测试</t>
  </si>
  <si>
    <t>W011|tsk-b14957c92331#001|测试</t>
  </si>
  <si>
    <t>W011|tsk-d942dd328122#001|测试</t>
  </si>
  <si>
    <t>W011|tsk-577f9f403da5#001|测试</t>
  </si>
  <si>
    <t>W012|tsk-6f7899347220#001|前端</t>
  </si>
  <si>
    <t>W012|tsk-5e443e932dea#001|前端</t>
  </si>
  <si>
    <t>W012|tsk-f6c637702ac8#001|前端</t>
  </si>
  <si>
    <t>W012|tsk-b94ca72bec1d#001|前端</t>
  </si>
  <si>
    <t>W012|tsk-2b8fe09330fa#001|前端</t>
  </si>
  <si>
    <t>W012|tsk-0941687334ee#001|前端</t>
  </si>
  <si>
    <t>W012|tsk-df5becb03546#001|前端</t>
  </si>
  <si>
    <t>W012|tsk-40a850a3615b#001|前端</t>
  </si>
  <si>
    <t>W012|tsk-15570328b3e1#001|前端</t>
  </si>
  <si>
    <t>W012|tsk-6f7899347220#001|后端</t>
  </si>
  <si>
    <t>W012|tsk-5e443e932dea#001|后端</t>
  </si>
  <si>
    <t>W012|tsk-f6c637702ac8#001|后端</t>
  </si>
  <si>
    <t>W012|tsk-b94ca72bec1d#001|后端</t>
  </si>
  <si>
    <t>W012|tsk-2b8fe09330fa#001|后端</t>
  </si>
  <si>
    <t>W012|tsk-0941687334ee#001|后端</t>
  </si>
  <si>
    <t>W012|tsk-df5becb03546#001|后端</t>
  </si>
  <si>
    <t>W012|tsk-40a850a3615b#001|后端</t>
  </si>
  <si>
    <t>W012|tsk-15570328b3e1#001|后端</t>
  </si>
  <si>
    <t>W012|tsk-3c49a764e4d0#001|测试</t>
  </si>
  <si>
    <t>W012|tsk-7adc76236513#001|测试</t>
  </si>
  <si>
    <t>W012|tsk-27502e8eb665#001|测试</t>
  </si>
  <si>
    <t>W012|tsk-4bbd9b69bf8e#001|测试</t>
  </si>
  <si>
    <t>W012|tsk-d4c78b2bbc7a#001|测试</t>
  </si>
  <si>
    <t>W013|tsk-2e5e69219e67#001|前端</t>
  </si>
  <si>
    <t>W013|tsk-c1590b9d60b9#001|前端</t>
  </si>
  <si>
    <t>W013|tsk-449ebaf20126#001|前端</t>
  </si>
  <si>
    <t>W013|tsk-01c63684d31f#001|前端</t>
  </si>
  <si>
    <t>W013|tsk-684ea1a8faac#001|前端</t>
  </si>
  <si>
    <t>W013|tsk-9716888ab487#001|前端</t>
  </si>
  <si>
    <t>W013|tsk-a195bb2f0e59#001|前端</t>
  </si>
  <si>
    <t>W013|tsk-d6b4db0b7fa5#001|前端</t>
  </si>
  <si>
    <t>W013|tsk-2e5e69219e67#001|后端</t>
  </si>
  <si>
    <t>W013|tsk-c1590b9d60b9#001|后端</t>
  </si>
  <si>
    <t>W013|tsk-449ebaf20126#001|后端</t>
  </si>
  <si>
    <t>W013|tsk-01c63684d31f#001|后端</t>
  </si>
  <si>
    <t>W013|tsk-684ea1a8faac#001|后端</t>
  </si>
  <si>
    <t>W013|tsk-9716888ab487#001|后端</t>
  </si>
  <si>
    <t>W013|tsk-a195bb2f0e59#001|后端</t>
  </si>
  <si>
    <t>W013|tsk-d6b4db0b7fa5#001|后端</t>
  </si>
  <si>
    <t>W014|tsk-2cf4f1125368#001|前端</t>
  </si>
  <si>
    <t>W014|tsk-a8a88945c3aa#001|前端</t>
  </si>
  <si>
    <t>W014|tsk-1257be12f654#001|前端</t>
  </si>
  <si>
    <t>W014|tsk-2cf4f1125368#001|后端</t>
  </si>
  <si>
    <t>W014|tsk-a8a88945c3aa#001|后端</t>
  </si>
  <si>
    <t>W014|tsk-1257be12f654#001|后端</t>
  </si>
  <si>
    <t>W016|tsk-e439a610e5c1#001|前端</t>
  </si>
  <si>
    <t>W016|tsk-339841bab1cf#001|前端</t>
  </si>
  <si>
    <t>W016|tsk-5c3c488e8374#001|前端</t>
  </si>
  <si>
    <t>W016|tsk-031a8fd31f7a#001|前端</t>
  </si>
  <si>
    <t>W016|tsk-eda52a0a3d62#001|前端</t>
  </si>
  <si>
    <t>W016|tsk-13a94a87edcb#001|前端</t>
  </si>
  <si>
    <t>W016|tsk-504c9ba6309d#001|前端</t>
  </si>
  <si>
    <t>W016|tsk-e439a610e5c1#001|后端</t>
  </si>
  <si>
    <t>W016|tsk-339841bab1cf#001|后端</t>
  </si>
  <si>
    <t>W016|tsk-5c3c488e8374#001|后端</t>
  </si>
  <si>
    <t>W016|tsk-031a8fd31f7a#001|后端</t>
  </si>
  <si>
    <t>W016|tsk-eda52a0a3d62#001|后端</t>
  </si>
  <si>
    <t>W016|tsk-13a94a87edcb#001|后端</t>
  </si>
  <si>
    <t>W016|tsk-504c9ba6309d#001|后端</t>
  </si>
  <si>
    <t>W017|tsk-36b50b083723#001|前端</t>
  </si>
  <si>
    <t>W017|tsk-8b699cb2d97b#001|前端</t>
  </si>
  <si>
    <t>W017|tsk-97239b879826#001|前端</t>
  </si>
  <si>
    <t>W017|tsk-67356a4c38e7#001|前端</t>
  </si>
  <si>
    <t>W017|tsk-36b50b083723#001|后端</t>
  </si>
  <si>
    <t>W017|tsk-8b699cb2d97b#001|后端</t>
  </si>
  <si>
    <t>W017|tsk-97239b879826#001|后端</t>
  </si>
  <si>
    <t>W017|tsk-67356a4c38e7#001|后端</t>
  </si>
  <si>
    <t>W018|tsk-2e5e69219e67#001|测试</t>
  </si>
  <si>
    <t>W018|tsk-c1590b9d60b9#001|测试</t>
  </si>
  <si>
    <t>W018|tsk-449ebaf20126#001|测试</t>
  </si>
  <si>
    <t>W018|tsk-01c63684d31f#001|测试</t>
  </si>
  <si>
    <t>W018|tsk-684ea1a8faac#001|测试</t>
  </si>
  <si>
    <t>W018|tsk-e439a610e5c1#001|测试</t>
  </si>
  <si>
    <t>W018|tsk-339841bab1cf#001|测试</t>
  </si>
  <si>
    <t>W018|tsk-5c3c488e8374#001|测试</t>
  </si>
  <si>
    <t>W018|tsk-031a8fd31f7a#001|测试</t>
  </si>
  <si>
    <t>W018|tsk-eda52a0a3d62#001|测试</t>
  </si>
  <si>
    <t>W018|tsk-13a94a87edcb#001|测试</t>
  </si>
  <si>
    <t>W018|tsk-af568665c0d5#001|测试</t>
  </si>
  <si>
    <t>W018|tsk-9716888ab487#001|测试</t>
  </si>
  <si>
    <t>W018|tsk-a195bb2f0e59#001|测试</t>
  </si>
  <si>
    <t>W018|tsk-d6b4db0b7fa5#001|测试</t>
  </si>
  <si>
    <t>W018|tsk-504c9ba6309d#001|测试</t>
  </si>
  <si>
    <t>W021|tsk-48d2a2f6f0ca#001|前端</t>
  </si>
  <si>
    <t>W021|tsk-1434d732f324#001|前端</t>
  </si>
  <si>
    <t>W021|tsk-687e056338b0#001|前端</t>
  </si>
  <si>
    <t>W021|tsk-1f2d6d901b96#001|前端</t>
  </si>
  <si>
    <t>W021|tsk-569b438a861f#001|前端</t>
  </si>
  <si>
    <t>W021|tsk-190248011e64#001|前端</t>
  </si>
  <si>
    <t>W021|tsk-042dd9e15de9#001|前端</t>
  </si>
  <si>
    <t>W021|tsk-733eb8844d0a#001|前端</t>
  </si>
  <si>
    <t>W021|tsk-51e2a658ea29#001|前端</t>
  </si>
  <si>
    <t>W021|tsk-6e540ffca5c7#001|前端</t>
  </si>
  <si>
    <t>W021|tsk-09a02f4d7d83#001|前端</t>
  </si>
  <si>
    <t>W021|tsk-da7f1bbdc582#001|前端</t>
  </si>
  <si>
    <t>W021|tsk-f0e8e7f9f9ee#001|前端</t>
  </si>
  <si>
    <t>W021|tsk-ca380e0d0aee#001|前端</t>
  </si>
  <si>
    <t>W021|tsk-ed4dab57b66a#001|前端</t>
  </si>
  <si>
    <t>W021|tsk-ba4956b049fc#001|前端</t>
  </si>
  <si>
    <t>W021|tsk-d843b0070289#001|前端</t>
  </si>
  <si>
    <t>W021|tsk-f0fcc8b90f2f#001|前端</t>
  </si>
  <si>
    <t>W021|tsk-18bc2a0df442#001|前端</t>
  </si>
  <si>
    <t>W021|tsk-5d63b672e354#001|前端</t>
  </si>
  <si>
    <t>W021|tsk-c19b20b85e7d#001|前端</t>
  </si>
  <si>
    <t>W021|tsk-4d9a344af7af#001|前端</t>
  </si>
  <si>
    <t>W021|tsk-9b71d83dfa28#001|前端</t>
  </si>
  <si>
    <t>W021|tsk-ce4913ddfaf8#001|前端</t>
  </si>
  <si>
    <t>W021|tsk-178c0ad2db5d#001|前端</t>
  </si>
  <si>
    <t>W021|tsk-6c8633be9834#001|前端</t>
  </si>
  <si>
    <t>W021|tsk-b2bf08346ef0#001|前端</t>
  </si>
  <si>
    <t>W021|tsk-dc1028c0741b#001|前端</t>
  </si>
  <si>
    <t>W021|tsk-ba976910e0a8#001|前端</t>
  </si>
  <si>
    <t>W021|tsk-2f656028e1ee#001|前端</t>
  </si>
  <si>
    <t>W021|tsk-8da0ab00b9be#001|前端</t>
  </si>
  <si>
    <t>W021|tsk-16b867992f39#001|前端</t>
  </si>
  <si>
    <t>W021|tsk-51f72709ab2b#001|前端</t>
  </si>
  <si>
    <t>W021|tsk-fc2047391ae1#001|前端</t>
  </si>
  <si>
    <t>W021|tsk-c3816ac8c41c#001|前端</t>
  </si>
  <si>
    <t>W021|tsk-48d2a2f6f0ca#001|后端</t>
  </si>
  <si>
    <t>W021|tsk-1434d732f324#001|后端</t>
  </si>
  <si>
    <t>W021|tsk-687e056338b0#001|后端</t>
  </si>
  <si>
    <t>W021|tsk-1f2d6d901b96#001|后端</t>
  </si>
  <si>
    <t>W021|tsk-569b438a861f#001|后端</t>
  </si>
  <si>
    <t>W021|tsk-190248011e64#001|后端</t>
  </si>
  <si>
    <t>W021|tsk-042dd9e15de9#001|后端</t>
  </si>
  <si>
    <t>W021|tsk-733eb8844d0a#001|后端</t>
  </si>
  <si>
    <t>W021|tsk-51e2a658ea29#001|后端</t>
  </si>
  <si>
    <t>W021|tsk-6e540ffca5c7#001|后端</t>
  </si>
  <si>
    <t>W021|tsk-09a02f4d7d83#001|后端</t>
  </si>
  <si>
    <t>W021|tsk-da7f1bbdc582#001|后端</t>
  </si>
  <si>
    <t>W021|tsk-f0e8e7f9f9ee#001|后端</t>
  </si>
  <si>
    <t>W021|tsk-ca380e0d0aee#001|后端</t>
  </si>
  <si>
    <t>W021|tsk-ed4dab57b66a#001|后端</t>
  </si>
  <si>
    <t>W021|tsk-ba4956b049fc#001|后端</t>
  </si>
  <si>
    <t>W021|tsk-d843b0070289#001|后端</t>
  </si>
  <si>
    <t>W021|tsk-f0fcc8b90f2f#001|后端</t>
  </si>
  <si>
    <t>W021|tsk-18bc2a0df442#001|后端</t>
  </si>
  <si>
    <t>W021|tsk-5d63b672e354#001|后端</t>
  </si>
  <si>
    <t>W021|tsk-c19b20b85e7d#001|后端</t>
  </si>
  <si>
    <t>W021|tsk-4d9a344af7af#001|后端</t>
  </si>
  <si>
    <t>W021|tsk-9b71d83dfa28#001|后端</t>
  </si>
  <si>
    <t>W021|tsk-ce4913ddfaf8#001|后端</t>
  </si>
  <si>
    <t>W021|tsk-178c0ad2db5d#001|后端</t>
  </si>
  <si>
    <t>W021|tsk-6c8633be9834#001|后端</t>
  </si>
  <si>
    <t>W021|tsk-b2bf08346ef0#001|后端</t>
  </si>
  <si>
    <t>W021|tsk-dc1028c0741b#001|后端</t>
  </si>
  <si>
    <t>W021|tsk-ba976910e0a8#001|后端</t>
  </si>
  <si>
    <t>W021|tsk-2f656028e1ee#001|后端</t>
  </si>
  <si>
    <t>W021|tsk-8da0ab00b9be#001|后端</t>
  </si>
  <si>
    <t>W021|tsk-16b867992f39#001|后端</t>
  </si>
  <si>
    <t>W021|tsk-51f72709ab2b#001|后端</t>
  </si>
  <si>
    <t>W021|tsk-fc2047391ae1#001|后端</t>
  </si>
  <si>
    <t>W021|tsk-c3816ac8c41c#001|后端</t>
  </si>
  <si>
    <t>W023|tsk-48d2a2f6f0ca#001|测试</t>
  </si>
  <si>
    <t>W023|tsk-1434d732f324#001|测试</t>
  </si>
  <si>
    <t>W023|tsk-6f7899347220#001|测试</t>
  </si>
  <si>
    <t>W023|tsk-5e443e932dea#001|测试</t>
  </si>
  <si>
    <t>W023|tsk-687e056338b0#001|测试</t>
  </si>
  <si>
    <t>W023|tsk-1f2d6d901b96#001|测试</t>
  </si>
  <si>
    <t>W023|tsk-569b438a861f#001|测试</t>
  </si>
  <si>
    <t>W023|tsk-190248011e64#001|测试</t>
  </si>
  <si>
    <t>W023|tsk-f6c637702ac8#001|测试</t>
  </si>
  <si>
    <t>W023|tsk-b94ca72bec1d#001|测试</t>
  </si>
  <si>
    <t>W023|tsk-042dd9e15de9#001|测试</t>
  </si>
  <si>
    <t>W023|tsk-733eb8844d0a#001|测试</t>
  </si>
  <si>
    <t>W023|tsk-2b8fe09330fa#001|测试</t>
  </si>
  <si>
    <t>W023|tsk-2cf4f1125368#001|测试</t>
  </si>
  <si>
    <t>W023|tsk-a8a88945c3aa#001|测试</t>
  </si>
  <si>
    <t>W023|tsk-1257be12f654#001|测试</t>
  </si>
  <si>
    <t>W023|tsk-0941687334ee#001|测试</t>
  </si>
  <si>
    <t>W023|tsk-df5becb03546#001|测试</t>
  </si>
  <si>
    <t>W023|tsk-40a850a3615b#001|测试</t>
  </si>
  <si>
    <t>W023|tsk-51e2a658ea29#001|测试</t>
  </si>
  <si>
    <t>W023|tsk-6e540ffca5c7#001|测试</t>
  </si>
  <si>
    <t>W023|tsk-09a02f4d7d83#001|测试</t>
  </si>
  <si>
    <t>W023|tsk-da7f1bbdc582#001|测试</t>
  </si>
  <si>
    <t>W023|tsk-f0e8e7f9f9ee#001|测试</t>
  </si>
  <si>
    <t>W023|tsk-ca380e0d0aee#001|测试</t>
  </si>
  <si>
    <t>W023|tsk-ed4dab57b66a#001|测试</t>
  </si>
  <si>
    <t>W023|tsk-ba4956b049fc#001|测试</t>
  </si>
  <si>
    <t>W023|tsk-36b50b083723#001|测试</t>
  </si>
  <si>
    <t>W023|tsk-8b699cb2d97b#001|测试</t>
  </si>
  <si>
    <t>W023|tsk-97239b879826#001|测试</t>
  </si>
  <si>
    <t>W023|tsk-67356a4c38e7#001|测试</t>
  </si>
  <si>
    <t>W023|tsk-d843b0070289#001|测试</t>
  </si>
  <si>
    <t>W023|tsk-f0fcc8b90f2f#001|测试</t>
  </si>
  <si>
    <t>W023|tsk-18bc2a0df442#001|测试</t>
  </si>
  <si>
    <t>W023|tsk-5d63b672e354#001|测试</t>
  </si>
  <si>
    <t>W023|tsk-c19b20b85e7d#001|测试</t>
  </si>
  <si>
    <t>W023|tsk-4d9a344af7af#001|测试</t>
  </si>
  <si>
    <t>W023|tsk-9b71d83dfa28#001|测试</t>
  </si>
  <si>
    <t>W023|tsk-ce4913ddfaf8#001|测试</t>
  </si>
  <si>
    <t>W023|tsk-178c0ad2db5d#001|测试</t>
  </si>
  <si>
    <t>W023|tsk-6c8633be9834#001|测试</t>
  </si>
  <si>
    <t>W023|tsk-b2bf08346ef0#001|测试</t>
  </si>
  <si>
    <t>W023|tsk-dc1028c0741b#001|测试</t>
  </si>
  <si>
    <t>W023|tsk-ba976910e0a8#001|测试</t>
  </si>
  <si>
    <t>W023|tsk-2f656028e1ee#001|测试</t>
  </si>
  <si>
    <t>W023|tsk-8da0ab00b9be#001|测试</t>
  </si>
  <si>
    <t>W023|tsk-16b867992f39#001|测试</t>
  </si>
  <si>
    <t>W023|tsk-51f72709ab2b#001|测试</t>
  </si>
  <si>
    <t>W023|tsk-fc2047391ae1#001|测试</t>
  </si>
  <si>
    <t>W023|tsk-a9cbee439438#001|测试</t>
  </si>
  <si>
    <t>W023|tsk-b174cf36c1c8#001|测试</t>
  </si>
  <si>
    <t>W023|tsk-b782224c74f5#001|测试</t>
  </si>
  <si>
    <t>W023|tsk-c3816ac8c41c#001|测试</t>
  </si>
  <si>
    <t>待排期</t>
  </si>
  <si>
    <t>计划完成待补充</t>
  </si>
  <si>
    <t>待排期|tsk-8e34ce8f4239#001|业务</t>
  </si>
  <si>
    <t>待排期|tsk-965e74d49261#001|业务</t>
  </si>
  <si>
    <t>待排期|tsk-38a802bbe105#001|业务</t>
  </si>
  <si>
    <t>待排期|tsk-cb19eab07c79#001|业务</t>
  </si>
  <si>
    <t>暂停</t>
  </si>
  <si>
    <t>负责人待补充
计划完成待补充</t>
  </si>
  <si>
    <t>待排期|tsk-291e10c22527#001|业务</t>
  </si>
  <si>
    <t>待排期|tsk-2f972324dec9#001|业务</t>
  </si>
  <si>
    <t>待排期|tsk-4a266e697780#001|业务</t>
  </si>
  <si>
    <t>待排期|tsk-1ae4783480c2#001|业务</t>
  </si>
  <si>
    <t>待排期|tsk-16a27f7bcbd1#001|业务</t>
  </si>
  <si>
    <t>待排期|tsk-3bc03b0253af#001|业务</t>
  </si>
  <si>
    <t>计划完成待补充
完成日期待补充</t>
  </si>
  <si>
    <t>待排期|tsk-4537a4eb5b31#001|业务</t>
  </si>
  <si>
    <t>待排期|tsk-9a64b8ed984e#001|业务</t>
  </si>
  <si>
    <t>待排期|tsk-9355d4cfb537#001|业务</t>
  </si>
  <si>
    <t>待排期|tsk-b55e82bcfe4a#001|业务</t>
  </si>
  <si>
    <t>待排期|tsk-291e10c22527#001|前端</t>
  </si>
  <si>
    <t>待排期|tsk-2f972324dec9#001|前端</t>
  </si>
  <si>
    <t>待排期|tsk-4a266e697780#001|前端</t>
  </si>
  <si>
    <t>待排期|tsk-1ae4783480c2#001|前端</t>
  </si>
  <si>
    <t>待排期|tsk-16a27f7bcbd1#001|前端</t>
  </si>
  <si>
    <t>待排期|tsk-3bc03b0253af#001|前端</t>
  </si>
  <si>
    <t>待排期|tsk-291e10c22527#001|后端</t>
  </si>
  <si>
    <t>待排期|tsk-2f972324dec9#001|后端</t>
  </si>
  <si>
    <t>待排期|tsk-4a266e697780#001|后端</t>
  </si>
  <si>
    <t>待排期|tsk-1ae4783480c2#001|后端</t>
  </si>
  <si>
    <t>待排期|tsk-16a27f7bcbd1#001|后端</t>
  </si>
  <si>
    <t>待排期|tsk-3bc03b0253af#001|后端</t>
  </si>
  <si>
    <t>待排期|tsk-291e10c22527#001|测试</t>
  </si>
  <si>
    <t>待排期|tsk-2f972324dec9#001|测试</t>
  </si>
  <si>
    <t>待排期|tsk-4a266e697780#001|测试</t>
  </si>
  <si>
    <t>待排期|tsk-1ae4783480c2#001|测试</t>
  </si>
  <si>
    <t>待排期|tsk-16a27f7bcbd1#001|测试</t>
  </si>
  <si>
    <t>待排期|tsk-3bc03b0253af#001|测试</t>
  </si>
  <si>
    <t>字段</t>
  </si>
  <si>
    <t>值</t>
  </si>
  <si>
    <t>Project_ID</t>
  </si>
  <si>
    <t>ECM-2026</t>
  </si>
  <si>
    <t>项目名称</t>
  </si>
  <si>
    <t>能源行业合同全生命周期管理系统</t>
  </si>
  <si>
    <t>模块编码</t>
  </si>
  <si>
    <t>02</t>
  </si>
  <si>
    <t>生成日期</t>
  </si>
  <si>
    <t>2026-09-16</t>
  </si>
  <si>
    <t>中央数据库</t>
  </si>
  <si>
    <t>../90_项目数据中心/ai_pmo.db</t>
  </si>
  <si>
    <t>数据日期</t>
  </si>
  <si>
    <t>可研完成日期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</si>
</sst>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
  </numFmts>
  <fonts count="31">
    <font>
      <sz val="11"/>
      <color theme="1"/>
      <name val="Calibri"/>
      <charset val="134"/>
    </font>
    <font>
      <b/>
      <sz val="16"/>
      <color rgb="FF17365D"/>
      <name val="Carlito"/>
      <charset val="134"/>
    </font>
    <font>
      <i/>
      <sz val="10"/>
      <color rgb="FF5B6573"/>
      <name val="Carlito"/>
      <charset val="134"/>
    </font>
    <font>
      <sz val="11"/>
      <name val="Carlito"/>
      <charset val="134"/>
    </font>
    <font>
      <b/>
      <sz val="10"/>
      <color rgb="FFFFFFFF"/>
      <name val="Carlito"/>
      <charset val="134"/>
    </font>
    <font>
      <sz val="10"/>
      <color rgb="FF1F2937"/>
      <name val="Carlito"/>
      <charset val="134"/>
    </font>
    <font>
      <b/>
      <sz val="12"/>
      <color rgb="FF17365D"/>
      <name val="Carlito"/>
      <charset val="134"/>
    </font>
    <font>
      <i/>
      <sz val="9"/>
      <color rgb="FF666666"/>
      <name val="Carlito"/>
      <charset val="134"/>
    </font>
    <font>
      <b/>
      <sz val="11"/>
      <color rgb="FFFFFFFF"/>
      <name val="Carlito"/>
      <charset val="134"/>
    </font>
    <font>
      <i/>
      <sz val="11"/>
      <color rgb="FF17365D"/>
      <name val="Carlito"/>
      <charset val="134"/>
    </font>
    <font>
      <sz val="11"/>
      <color rgb="FF1F2937"/>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0070C0"/>
        <bgColor indexed="64"/>
      </patternFill>
    </fill>
    <fill>
      <patternFill patternType="solid">
        <fgColor rgb="FFFFF2CC"/>
        <bgColor indexed="64"/>
      </patternFill>
    </fill>
    <fill>
      <patternFill patternType="solid">
        <fgColor rgb="FFD9EAF7"/>
        <bgColor indexed="64"/>
      </patternFill>
    </fill>
    <fill>
      <patternFill patternType="solid">
        <fgColor rgb="FF17365D"/>
        <bgColor indexed="64"/>
      </patternFill>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D9E1F2"/>
      </left>
      <right style="thin">
        <color rgb="FFD9E1F2"/>
      </right>
      <top style="thin">
        <color rgb="FFD9E1F2"/>
      </top>
      <bottom style="thin">
        <color rgb="FFD9E1F2"/>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style="thin">
        <color rgb="FFD9E1F2"/>
      </left>
      <right style="thin">
        <color rgb="FFD9E1F2"/>
      </right>
      <top/>
      <bottom/>
      <diagonal/>
    </border>
    <border>
      <left style="thin">
        <color rgb="FFD9E1F2"/>
      </left>
      <right style="thin">
        <color rgb="FFD9E1F2"/>
      </right>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1"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7"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8" borderId="9" applyNumberFormat="0" applyAlignment="0" applyProtection="0">
      <alignment vertical="center"/>
    </xf>
    <xf numFmtId="0" fontId="21" fillId="9" borderId="10" applyNumberFormat="0" applyAlignment="0" applyProtection="0">
      <alignment vertical="center"/>
    </xf>
    <xf numFmtId="0" fontId="22" fillId="9" borderId="9" applyNumberFormat="0" applyAlignment="0" applyProtection="0">
      <alignment vertical="center"/>
    </xf>
    <xf numFmtId="0" fontId="23" fillId="10"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xf numFmtId="0" fontId="0" fillId="0" borderId="0"/>
  </cellStyleXfs>
  <cellXfs count="33">
    <xf numFmtId="0" fontId="0" fillId="0" borderId="0" xfId="49"/>
    <xf numFmtId="176" fontId="0" fillId="0" borderId="0" xfId="49" applyNumberFormat="1"/>
    <xf numFmtId="0" fontId="1" fillId="0" borderId="1" xfId="49" applyFont="1" applyBorder="1" applyAlignment="1">
      <alignment horizontal="left" vertical="center"/>
    </xf>
    <xf numFmtId="0" fontId="0" fillId="0" borderId="2" xfId="49" applyBorder="1"/>
    <xf numFmtId="0" fontId="0" fillId="0" borderId="3" xfId="49" applyBorder="1"/>
    <xf numFmtId="0" fontId="2" fillId="0" borderId="1" xfId="49" applyFont="1" applyBorder="1" applyAlignment="1">
      <alignment horizontal="left" vertical="center"/>
    </xf>
    <xf numFmtId="0" fontId="3" fillId="0" borderId="1" xfId="49" applyFont="1" applyBorder="1"/>
    <xf numFmtId="0" fontId="4" fillId="2" borderId="1" xfId="49" applyFont="1" applyFill="1" applyBorder="1" applyAlignment="1">
      <alignment horizontal="center" vertical="center" wrapText="1"/>
    </xf>
    <xf numFmtId="0" fontId="5" fillId="0" borderId="1" xfId="49" applyFont="1" applyBorder="1" applyAlignment="1">
      <alignment vertical="top" wrapText="1"/>
    </xf>
    <xf numFmtId="176" fontId="5" fillId="0" borderId="1" xfId="49" applyNumberFormat="1" applyFont="1" applyBorder="1" applyAlignment="1">
      <alignment vertical="top" wrapText="1"/>
    </xf>
    <xf numFmtId="0" fontId="5" fillId="3" borderId="1" xfId="49" applyFont="1" applyFill="1" applyBorder="1" applyAlignment="1">
      <alignment vertical="top" wrapText="1"/>
    </xf>
    <xf numFmtId="9" fontId="5" fillId="0" borderId="1" xfId="49" applyNumberFormat="1" applyFont="1" applyBorder="1" applyAlignment="1">
      <alignment vertical="top" wrapText="1"/>
    </xf>
    <xf numFmtId="0" fontId="5" fillId="4" borderId="1" xfId="49" applyFont="1" applyFill="1" applyBorder="1" applyAlignment="1">
      <alignment vertical="top" wrapText="1"/>
    </xf>
    <xf numFmtId="176" fontId="5" fillId="4" borderId="1" xfId="49" applyNumberFormat="1" applyFont="1" applyFill="1" applyBorder="1" applyAlignment="1">
      <alignment vertical="top" wrapText="1"/>
    </xf>
    <xf numFmtId="9" fontId="5" fillId="4" borderId="1" xfId="49" applyNumberFormat="1" applyFont="1" applyFill="1" applyBorder="1" applyAlignment="1">
      <alignment vertical="top" wrapText="1"/>
    </xf>
    <xf numFmtId="0" fontId="6" fillId="0" borderId="1" xfId="49" applyFont="1" applyBorder="1" applyAlignment="1">
      <alignment vertical="center"/>
    </xf>
    <xf numFmtId="177" fontId="5" fillId="0" borderId="1" xfId="49" applyNumberFormat="1" applyFont="1" applyBorder="1" applyAlignment="1">
      <alignment vertical="top" wrapText="1"/>
    </xf>
    <xf numFmtId="0" fontId="6" fillId="0" borderId="1" xfId="49" applyFont="1" applyBorder="1"/>
    <xf numFmtId="0" fontId="7" fillId="0" borderId="1" xfId="49" applyFont="1" applyBorder="1"/>
    <xf numFmtId="0" fontId="5" fillId="0" borderId="1" xfId="49" applyFont="1" applyBorder="1" applyAlignment="1">
      <alignment horizontal="center" vertical="center" wrapText="1"/>
    </xf>
    <xf numFmtId="0" fontId="0" fillId="0" borderId="4" xfId="49" applyBorder="1"/>
    <xf numFmtId="0" fontId="0" fillId="0" borderId="5" xfId="49" applyBorder="1"/>
    <xf numFmtId="0" fontId="8" fillId="5" borderId="1" xfId="49" applyFont="1" applyFill="1" applyBorder="1" applyAlignment="1">
      <alignment horizontal="left" vertical="center"/>
    </xf>
    <xf numFmtId="0" fontId="9" fillId="6" borderId="1" xfId="49" applyFont="1" applyFill="1" applyBorder="1" applyAlignment="1">
      <alignment vertical="center"/>
    </xf>
    <xf numFmtId="0" fontId="8" fillId="2" borderId="1" xfId="49" applyFont="1" applyFill="1" applyBorder="1" applyAlignment="1">
      <alignment horizontal="center" vertical="center" wrapText="1"/>
    </xf>
    <xf numFmtId="0" fontId="10" fillId="0" borderId="1" xfId="49" applyFont="1" applyBorder="1" applyAlignment="1">
      <alignment vertical="center" wrapText="1"/>
    </xf>
    <xf numFmtId="176" fontId="10" fillId="0" borderId="1" xfId="49" applyNumberFormat="1" applyFont="1" applyBorder="1" applyAlignment="1">
      <alignment vertical="center" wrapText="1"/>
    </xf>
    <xf numFmtId="9" fontId="10" fillId="0" borderId="1" xfId="49" applyNumberFormat="1" applyFont="1" applyBorder="1" applyAlignment="1">
      <alignment vertical="center" wrapText="1"/>
    </xf>
    <xf numFmtId="0" fontId="10" fillId="0" borderId="1" xfId="49" applyFont="1" applyBorder="1" applyAlignment="1">
      <alignment horizontal="center" vertical="center" wrapText="1"/>
    </xf>
    <xf numFmtId="176" fontId="10" fillId="3" borderId="1" xfId="49" applyNumberFormat="1" applyFont="1" applyFill="1" applyBorder="1" applyAlignment="1">
      <alignment horizontal="center" vertical="center" wrapText="1"/>
    </xf>
    <xf numFmtId="0" fontId="10" fillId="3" borderId="1" xfId="49" applyFont="1" applyFill="1" applyBorder="1" applyAlignment="1">
      <alignment horizontal="center" vertical="center" wrapText="1"/>
    </xf>
    <xf numFmtId="1" fontId="10" fillId="0" borderId="1" xfId="49" applyNumberFormat="1" applyFont="1" applyBorder="1" applyAlignment="1">
      <alignment horizontal="center" vertical="center" wrapText="1"/>
    </xf>
    <xf numFmtId="0" fontId="3" fillId="0" borderId="1" xfId="49" applyFont="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b val="1"/>
        <color rgb="FF9C0006"/>
      </font>
      <fill>
        <patternFill patternType="solid">
          <bgColor rgb="FFF4CCCC"/>
        </patternFill>
      </fill>
    </dxf>
    <dxf>
      <font>
        <b val="1"/>
        <color rgb="FF9C6500"/>
      </font>
      <fill>
        <patternFill patternType="solid">
          <bgColor rgb="FFFFF2CC"/>
        </patternFill>
      </fill>
    </dxf>
    <dxf>
      <font>
        <b val="1"/>
        <color rgb="FF274E13"/>
      </font>
      <fill>
        <patternFill patternType="solid">
          <bgColor rgb="FFD9EAD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showGridLines="0" tabSelected="1" workbookViewId="0">
      <pane ySplit="3" topLeftCell="A4" activePane="bottomLeft" state="frozen"/>
      <selection/>
      <selection pane="bottomLeft" activeCell="A1" sqref="A1:K1"/>
    </sheetView>
  </sheetViews>
  <sheetFormatPr defaultColWidth="9" defaultRowHeight="16.8"/>
  <cols>
    <col min="1" max="1" width="11" customWidth="1"/>
    <col min="2" max="2" width="18.28125" customWidth="1"/>
    <col min="3" max="3" width="25.90625" customWidth="1"/>
    <col min="4" max="4" width="36" customWidth="1"/>
    <col min="5" max="5" width="15" customWidth="1"/>
    <col min="6" max="6" width="13" customWidth="1"/>
    <col min="7" max="7" width="11" customWidth="1"/>
    <col min="8" max="8" width="13" customWidth="1"/>
    <col min="9" max="9" width="11" customWidth="1"/>
    <col min="10" max="10" width="10" customWidth="1"/>
    <col min="11" max="11" width="26" customWidth="1"/>
  </cols>
  <sheetData>
    <row r="1" ht="34" customHeight="1" spans="1:11">
      <c r="A1" s="22" t="s">
        <v>0</v>
      </c>
      <c r="B1" s="3"/>
      <c r="C1" s="3"/>
      <c r="D1" s="3"/>
      <c r="E1" s="3"/>
      <c r="F1" s="3"/>
      <c r="G1" s="3"/>
      <c r="H1" s="3"/>
      <c r="I1" s="3"/>
      <c r="J1" s="3"/>
      <c r="K1" s="4"/>
    </row>
    <row r="3" ht="30" customHeight="1" spans="1:11">
      <c r="A3" s="24" t="s">
        <v>1</v>
      </c>
      <c r="B3" s="24" t="s">
        <v>2</v>
      </c>
      <c r="C3" s="24" t="s">
        <v>3</v>
      </c>
      <c r="D3" s="24" t="s">
        <v>4</v>
      </c>
      <c r="E3" s="24" t="s">
        <v>5</v>
      </c>
      <c r="F3" s="24" t="s">
        <v>6</v>
      </c>
      <c r="G3" s="24" t="s">
        <v>7</v>
      </c>
      <c r="H3" s="24" t="s">
        <v>8</v>
      </c>
      <c r="I3" s="24" t="s">
        <v>9</v>
      </c>
      <c r="J3" s="24" t="s">
        <v>10</v>
      </c>
      <c r="K3" s="24" t="s">
        <v>11</v>
      </c>
    </row>
    <row r="4" ht="36" customHeight="1" spans="1:11">
      <c r="A4" s="28" t="s">
        <v>12</v>
      </c>
      <c r="B4" s="25" t="s">
        <v>13</v>
      </c>
      <c r="C4" s="28" t="s">
        <v>14</v>
      </c>
      <c r="D4" s="25" t="s">
        <v>15</v>
      </c>
      <c r="E4" s="28" t="s">
        <v>16</v>
      </c>
      <c r="F4" s="29">
        <v>46063</v>
      </c>
      <c r="G4" s="30" t="s">
        <v>17</v>
      </c>
      <c r="H4" s="29"/>
      <c r="I4" s="31">
        <f>IF(H4&lt;&gt;"",H4-F4,MAX(0,_数据接口!$B$7-F4))</f>
        <v>218</v>
      </c>
      <c r="J4" s="28" t="str">
        <f>IF(G4="已完成","绿",IF(F4&lt;_数据接口!$B$7,"红",IF(F4&lt;=_数据接口!$B$7+7,"黄","绿")))</f>
        <v>红</v>
      </c>
      <c r="K4" s="25" t="s">
        <v>18</v>
      </c>
    </row>
    <row r="5" ht="36" customHeight="1" spans="1:11">
      <c r="A5" s="28" t="s">
        <v>19</v>
      </c>
      <c r="B5" s="25" t="s">
        <v>20</v>
      </c>
      <c r="C5" s="28" t="s">
        <v>14</v>
      </c>
      <c r="D5" s="25" t="s">
        <v>21</v>
      </c>
      <c r="E5" s="28" t="s">
        <v>22</v>
      </c>
      <c r="F5" s="29">
        <v>46283</v>
      </c>
      <c r="G5" s="30" t="s">
        <v>23</v>
      </c>
      <c r="H5" s="29"/>
      <c r="I5" s="31">
        <f>IF(H5&lt;&gt;"",H5-F5,MAX(0,_数据接口!$B$7-F5))</f>
        <v>0</v>
      </c>
      <c r="J5" s="28" t="str">
        <f>IF(G5="已完成","绿",IF(F5&lt;_数据接口!$B$7,"红",IF(F5&lt;=_数据接口!$B$7+7,"黄","绿")))</f>
        <v>黄</v>
      </c>
      <c r="K5" s="25" t="s">
        <v>24</v>
      </c>
    </row>
    <row r="6" ht="36" customHeight="1" spans="1:11">
      <c r="A6" s="28" t="s">
        <v>25</v>
      </c>
      <c r="B6" s="25" t="s">
        <v>26</v>
      </c>
      <c r="C6" s="28" t="s">
        <v>14</v>
      </c>
      <c r="D6" s="25" t="s">
        <v>27</v>
      </c>
      <c r="E6" s="28" t="s">
        <v>28</v>
      </c>
      <c r="F6" s="29">
        <v>46203</v>
      </c>
      <c r="G6" s="30" t="s">
        <v>17</v>
      </c>
      <c r="H6" s="29"/>
      <c r="I6" s="31">
        <f>IF(H6&lt;&gt;"",H6-F6,MAX(0,_数据接口!$B$7-F6))</f>
        <v>78</v>
      </c>
      <c r="J6" s="28" t="str">
        <f>IF(G6="已完成","绿",IF(F6&lt;_数据接口!$B$7,"红",IF(F6&lt;=_数据接口!$B$7+7,"黄","绿")))</f>
        <v>红</v>
      </c>
      <c r="K6" s="25" t="s">
        <v>29</v>
      </c>
    </row>
    <row r="7" ht="36" customHeight="1" spans="1:11">
      <c r="A7" s="28" t="s">
        <v>30</v>
      </c>
      <c r="B7" s="25" t="s">
        <v>31</v>
      </c>
      <c r="C7" s="28" t="s">
        <v>32</v>
      </c>
      <c r="D7" s="25" t="s">
        <v>33</v>
      </c>
      <c r="E7" s="28" t="s">
        <v>16</v>
      </c>
      <c r="F7" s="29">
        <v>46265</v>
      </c>
      <c r="G7" s="30" t="s">
        <v>17</v>
      </c>
      <c r="H7" s="29"/>
      <c r="I7" s="31">
        <f>IF(H7&lt;&gt;"",H7-F7,MAX(0,_数据接口!$B$7-F7))</f>
        <v>16</v>
      </c>
      <c r="J7" s="28" t="str">
        <f>IF(G7="已完成","绿",IF(F7&lt;_数据接口!$B$7,"红",IF(F7&lt;=_数据接口!$B$7+7,"黄","绿")))</f>
        <v>红</v>
      </c>
      <c r="K7" s="25" t="s">
        <v>34</v>
      </c>
    </row>
    <row r="8" ht="36" customHeight="1" spans="1:11">
      <c r="A8" s="28" t="s">
        <v>35</v>
      </c>
      <c r="B8" s="25" t="s">
        <v>36</v>
      </c>
      <c r="C8" s="28" t="s">
        <v>32</v>
      </c>
      <c r="D8" s="25" t="s">
        <v>37</v>
      </c>
      <c r="E8" s="28" t="s">
        <v>38</v>
      </c>
      <c r="F8" s="29">
        <v>46295</v>
      </c>
      <c r="G8" s="30" t="s">
        <v>23</v>
      </c>
      <c r="H8" s="29"/>
      <c r="I8" s="31">
        <f>IF(H8&lt;&gt;"",H8-F8,MAX(0,_数据接口!$B$7-F8))</f>
        <v>0</v>
      </c>
      <c r="J8" s="28" t="str">
        <f>IF(G8="已完成","绿",IF(F8&lt;_数据接口!$B$7,"红",IF(F8&lt;=_数据接口!$B$7+7,"黄","绿")))</f>
        <v>绿</v>
      </c>
      <c r="K8" s="25" t="s">
        <v>39</v>
      </c>
    </row>
    <row r="9" ht="36" customHeight="1" spans="1:11">
      <c r="A9" s="28" t="s">
        <v>40</v>
      </c>
      <c r="B9" s="25" t="s">
        <v>41</v>
      </c>
      <c r="C9" s="28" t="s">
        <v>42</v>
      </c>
      <c r="D9" s="25" t="s">
        <v>43</v>
      </c>
      <c r="E9" s="28" t="s">
        <v>22</v>
      </c>
      <c r="F9" s="29">
        <v>46311</v>
      </c>
      <c r="G9" s="30" t="s">
        <v>23</v>
      </c>
      <c r="H9" s="29"/>
      <c r="I9" s="31">
        <f>IF(H9&lt;&gt;"",H9-F9,MAX(0,_数据接口!$B$7-F9))</f>
        <v>0</v>
      </c>
      <c r="J9" s="28" t="str">
        <f>IF(G9="已完成","绿",IF(F9&lt;_数据接口!$B$7,"红",IF(F9&lt;=_数据接口!$B$7+7,"黄","绿")))</f>
        <v>绿</v>
      </c>
      <c r="K9" s="25" t="s">
        <v>44</v>
      </c>
    </row>
    <row r="10" ht="36" customHeight="1" spans="1:11">
      <c r="A10" s="28" t="s">
        <v>45</v>
      </c>
      <c r="B10" s="25" t="s">
        <v>46</v>
      </c>
      <c r="C10" s="28" t="s">
        <v>47</v>
      </c>
      <c r="D10" s="25" t="s">
        <v>48</v>
      </c>
      <c r="E10" s="28" t="s">
        <v>22</v>
      </c>
      <c r="F10" s="29">
        <v>46315</v>
      </c>
      <c r="G10" s="30" t="s">
        <v>23</v>
      </c>
      <c r="H10" s="29"/>
      <c r="I10" s="31">
        <f>IF(H10&lt;&gt;"",H10-F10,MAX(0,_数据接口!$B$7-F10))</f>
        <v>0</v>
      </c>
      <c r="J10" s="28" t="str">
        <f>IF(G10="已完成","绿",IF(F10&lt;_数据接口!$B$7,"红",IF(F10&lt;=_数据接口!$B$7+7,"黄","绿")))</f>
        <v>绿</v>
      </c>
      <c r="K10" s="25" t="s">
        <v>49</v>
      </c>
    </row>
    <row r="11" ht="36" customHeight="1" spans="1:11">
      <c r="A11" s="28" t="s">
        <v>50</v>
      </c>
      <c r="B11" s="25" t="s">
        <v>51</v>
      </c>
      <c r="C11" s="28" t="s">
        <v>47</v>
      </c>
      <c r="D11" s="25" t="s">
        <v>52</v>
      </c>
      <c r="E11" s="28" t="s">
        <v>28</v>
      </c>
      <c r="F11" s="29">
        <v>46356</v>
      </c>
      <c r="G11" s="30" t="s">
        <v>23</v>
      </c>
      <c r="H11" s="29"/>
      <c r="I11" s="31">
        <f>IF(H11&lt;&gt;"",H11-F11,MAX(0,_数据接口!$B$7-F11))</f>
        <v>0</v>
      </c>
      <c r="J11" s="28" t="str">
        <f>IF(G11="已完成","绿",IF(F11&lt;_数据接口!$B$7,"红",IF(F11&lt;=_数据接口!$B$7+7,"黄","绿")))</f>
        <v>绿</v>
      </c>
      <c r="K11" s="25" t="s">
        <v>53</v>
      </c>
    </row>
    <row r="12" ht="36" customHeight="1" spans="1:11">
      <c r="A12" s="28" t="s">
        <v>54</v>
      </c>
      <c r="B12" s="25" t="s">
        <v>55</v>
      </c>
      <c r="C12" s="28" t="s">
        <v>47</v>
      </c>
      <c r="D12" s="25" t="s">
        <v>56</v>
      </c>
      <c r="E12" s="28" t="s">
        <v>38</v>
      </c>
      <c r="F12" s="29">
        <v>46387</v>
      </c>
      <c r="G12" s="30" t="s">
        <v>23</v>
      </c>
      <c r="H12" s="29"/>
      <c r="I12" s="31">
        <f>IF(H12&lt;&gt;"",H12-F12,MAX(0,_数据接口!$B$7-F12))</f>
        <v>0</v>
      </c>
      <c r="J12" s="28" t="str">
        <f>IF(G12="已完成","绿",IF(F12&lt;_数据接口!$B$7,"红",IF(F12&lt;=_数据接口!$B$7+7,"黄","绿")))</f>
        <v>绿</v>
      </c>
      <c r="K12" s="25" t="s">
        <v>57</v>
      </c>
    </row>
    <row r="13" ht="36" customHeight="1" spans="1:11">
      <c r="A13" s="28" t="s">
        <v>58</v>
      </c>
      <c r="B13" s="25" t="s">
        <v>59</v>
      </c>
      <c r="C13" s="28" t="s">
        <v>47</v>
      </c>
      <c r="D13" s="25" t="s">
        <v>60</v>
      </c>
      <c r="E13" s="28" t="s">
        <v>61</v>
      </c>
      <c r="F13" s="29">
        <v>46461</v>
      </c>
      <c r="G13" s="30" t="s">
        <v>23</v>
      </c>
      <c r="H13" s="29"/>
      <c r="I13" s="31">
        <f>IF(H13&lt;&gt;"",H13-F13,MAX(0,_数据接口!$B$7-F13))</f>
        <v>0</v>
      </c>
      <c r="J13" s="28" t="str">
        <f>IF(G13="已完成","绿",IF(F13&lt;_数据接口!$B$7,"红",IF(F13&lt;=_数据接口!$B$7+7,"黄","绿")))</f>
        <v>绿</v>
      </c>
      <c r="K13" s="25" t="s">
        <v>62</v>
      </c>
    </row>
    <row r="14" ht="36" customHeight="1" spans="1:11">
      <c r="A14" s="28" t="s">
        <v>63</v>
      </c>
      <c r="B14" s="25" t="s">
        <v>64</v>
      </c>
      <c r="C14" s="28" t="s">
        <v>47</v>
      </c>
      <c r="D14" s="25" t="s">
        <v>65</v>
      </c>
      <c r="E14" s="28" t="s">
        <v>66</v>
      </c>
      <c r="F14" s="29">
        <v>46492</v>
      </c>
      <c r="G14" s="30" t="s">
        <v>23</v>
      </c>
      <c r="H14" s="29"/>
      <c r="I14" s="31">
        <f>IF(H14&lt;&gt;"",H14-F14,MAX(0,_数据接口!$B$7-F14))</f>
        <v>0</v>
      </c>
      <c r="J14" s="28" t="str">
        <f>IF(G14="已完成","绿",IF(F14&lt;_数据接口!$B$7,"红",IF(F14&lt;=_数据接口!$B$7+7,"黄","绿")))</f>
        <v>绿</v>
      </c>
      <c r="K14" s="25" t="s">
        <v>67</v>
      </c>
    </row>
    <row r="15" ht="36" customHeight="1" spans="1:11">
      <c r="A15" s="28" t="s">
        <v>68</v>
      </c>
      <c r="B15" s="25" t="s">
        <v>69</v>
      </c>
      <c r="C15" s="28" t="s">
        <v>47</v>
      </c>
      <c r="D15" s="25" t="s">
        <v>70</v>
      </c>
      <c r="E15" s="28" t="s">
        <v>28</v>
      </c>
      <c r="F15" s="29">
        <v>46517</v>
      </c>
      <c r="G15" s="30" t="s">
        <v>23</v>
      </c>
      <c r="H15" s="29"/>
      <c r="I15" s="31">
        <f>IF(H15&lt;&gt;"",H15-F15,MAX(0,_数据接口!$B$7-F15))</f>
        <v>0</v>
      </c>
      <c r="J15" s="28" t="str">
        <f>IF(G15="已完成","绿",IF(F15&lt;_数据接口!$B$7,"红",IF(F15&lt;=_数据接口!$B$7+7,"黄","绿")))</f>
        <v>绿</v>
      </c>
      <c r="K15" s="25" t="s">
        <v>71</v>
      </c>
    </row>
    <row r="16" ht="36" customHeight="1" spans="1:11">
      <c r="A16" s="28" t="s">
        <v>72</v>
      </c>
      <c r="B16" s="25" t="s">
        <v>73</v>
      </c>
      <c r="C16" s="28" t="s">
        <v>47</v>
      </c>
      <c r="D16" s="25" t="s">
        <v>74</v>
      </c>
      <c r="E16" s="28" t="s">
        <v>22</v>
      </c>
      <c r="F16" s="29">
        <v>46531</v>
      </c>
      <c r="G16" s="30" t="s">
        <v>23</v>
      </c>
      <c r="H16" s="29"/>
      <c r="I16" s="31">
        <f>IF(H16&lt;&gt;"",H16-F16,MAX(0,_数据接口!$B$7-F16))</f>
        <v>0</v>
      </c>
      <c r="J16" s="28" t="str">
        <f>IF(G16="已完成","绿",IF(F16&lt;_数据接口!$B$7,"红",IF(F16&lt;=_数据接口!$B$7+7,"黄","绿")))</f>
        <v>绿</v>
      </c>
      <c r="K16" s="25" t="s">
        <v>75</v>
      </c>
    </row>
    <row r="17" ht="36" customHeight="1" spans="1:11">
      <c r="A17" s="28" t="s">
        <v>76</v>
      </c>
      <c r="B17" s="25" t="s">
        <v>77</v>
      </c>
      <c r="C17" s="28" t="s">
        <v>78</v>
      </c>
      <c r="D17" s="25" t="s">
        <v>79</v>
      </c>
      <c r="E17" s="28" t="s">
        <v>22</v>
      </c>
      <c r="F17" s="29">
        <v>46538</v>
      </c>
      <c r="G17" s="30" t="s">
        <v>23</v>
      </c>
      <c r="H17" s="29"/>
      <c r="I17" s="31">
        <f>IF(H17&lt;&gt;"",H17-F17,MAX(0,_数据接口!$B$7-F17))</f>
        <v>0</v>
      </c>
      <c r="J17" s="28" t="str">
        <f>IF(G17="已完成","绿",IF(F17&lt;_数据接口!$B$7,"红",IF(F17&lt;=_数据接口!$B$7+7,"黄","绿")))</f>
        <v>绿</v>
      </c>
      <c r="K17" s="25" t="s">
        <v>80</v>
      </c>
    </row>
    <row r="18" spans="1:11">
      <c r="A18" s="32"/>
      <c r="B18" s="32"/>
      <c r="C18" s="32"/>
      <c r="D18" s="32"/>
      <c r="E18" s="32"/>
      <c r="F18" s="32"/>
      <c r="G18" s="32"/>
      <c r="H18" s="32"/>
      <c r="I18" s="32"/>
      <c r="J18" s="32"/>
      <c r="K18" s="32"/>
    </row>
    <row r="19" spans="1:11">
      <c r="A19" s="32"/>
      <c r="B19" s="32"/>
      <c r="C19" s="32"/>
      <c r="D19" s="32"/>
      <c r="E19" s="32"/>
      <c r="F19" s="32"/>
      <c r="G19" s="32"/>
      <c r="H19" s="32"/>
      <c r="I19" s="32"/>
      <c r="J19" s="32"/>
      <c r="K19" s="32"/>
    </row>
    <row r="20" spans="1:11">
      <c r="A20" s="32"/>
      <c r="B20" s="32"/>
      <c r="C20" s="32"/>
      <c r="D20" s="32"/>
      <c r="E20" s="32"/>
      <c r="F20" s="32"/>
      <c r="G20" s="32"/>
      <c r="H20" s="32"/>
      <c r="I20" s="32"/>
      <c r="J20" s="32"/>
      <c r="K20" s="32"/>
    </row>
    <row r="21" spans="1:11">
      <c r="A21" s="32"/>
      <c r="B21" s="32"/>
      <c r="C21" s="32"/>
      <c r="D21" s="32"/>
      <c r="E21" s="32"/>
      <c r="F21" s="32"/>
      <c r="G21" s="32"/>
      <c r="H21" s="32"/>
      <c r="I21" s="32"/>
      <c r="J21" s="32"/>
      <c r="K21" s="32"/>
    </row>
    <row r="22" spans="1:11">
      <c r="A22" s="32"/>
      <c r="B22" s="32"/>
      <c r="C22" s="32"/>
      <c r="D22" s="32"/>
      <c r="E22" s="32"/>
      <c r="F22" s="32"/>
      <c r="G22" s="32"/>
      <c r="H22" s="32"/>
      <c r="I22" s="32"/>
      <c r="J22" s="32"/>
      <c r="K22" s="32"/>
    </row>
    <row r="23" spans="1:11">
      <c r="A23" s="32"/>
      <c r="B23" s="32"/>
      <c r="C23" s="32"/>
      <c r="D23" s="32"/>
      <c r="E23" s="32"/>
      <c r="F23" s="32"/>
      <c r="G23" s="32"/>
      <c r="H23" s="32"/>
      <c r="I23" s="32"/>
      <c r="J23" s="32"/>
      <c r="K23" s="32"/>
    </row>
  </sheetData>
  <mergeCells count="1">
    <mergeCell ref="A1:K1"/>
  </mergeCells>
  <conditionalFormatting sqref="J4:J17">
    <cfRule type="containsText" dxfId="0" priority="1" operator="between" text="红">
      <formula>NOT(ISERROR(SEARCH("红",J4)))</formula>
    </cfRule>
    <cfRule type="containsText" dxfId="1" priority="2" operator="between" text="黄">
      <formula>NOT(ISERROR(SEARCH("黄",J4)))</formula>
    </cfRule>
    <cfRule type="containsText" dxfId="2" priority="3" operator="between" text="绿">
      <formula>NOT(ISERROR(SEARCH("绿",J4)))</formula>
    </cfRule>
  </conditionalFormatting>
  <dataValidations count="1">
    <dataValidation type="list" sqref="G4:G23">
      <formula1>"未开始,进行中,已完成,暂停"</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48"/>
  <sheetViews>
    <sheetView showGridLines="0" workbookViewId="0">
      <pane xSplit="5" ySplit="3" topLeftCell="F4" activePane="bottomRight" state="frozen"/>
      <selection/>
      <selection pane="topRight"/>
      <selection pane="bottomLeft"/>
      <selection pane="bottomRight" activeCell="A1" sqref="A1:AE1"/>
    </sheetView>
  </sheetViews>
  <sheetFormatPr defaultColWidth="9" defaultRowHeight="16.8"/>
  <cols>
    <col min="1" max="1" width="11" customWidth="1"/>
    <col min="2" max="2" width="16" customWidth="1"/>
    <col min="3" max="3" width="22" customWidth="1"/>
    <col min="4" max="4" width="28" customWidth="1"/>
    <col min="5" max="5" width="18.96875" customWidth="1"/>
    <col min="6" max="6" width="11" customWidth="1"/>
    <col min="8" max="8" width="14" customWidth="1"/>
    <col min="9" max="9" width="12" customWidth="1"/>
    <col min="12" max="12" width="14" customWidth="1"/>
    <col min="13" max="13" width="11" customWidth="1"/>
    <col min="14" max="14" width="12" customWidth="1"/>
    <col min="16" max="16" width="17" customWidth="1"/>
    <col min="17" max="17" width="11" customWidth="1"/>
    <col min="18" max="18" width="12" customWidth="1"/>
    <col min="20" max="20" width="14" customWidth="1"/>
    <col min="21" max="21" width="11" customWidth="1"/>
    <col min="22" max="22" width="12" customWidth="1"/>
    <col min="24" max="24" width="14" customWidth="1"/>
    <col min="25" max="25" width="11" customWidth="1"/>
    <col min="26" max="26" width="12" customWidth="1"/>
    <col min="28" max="28" width="11" customWidth="1"/>
    <col min="29" max="29" width="12" customWidth="1"/>
    <col min="30" max="30" width="24" customWidth="1"/>
  </cols>
  <sheetData>
    <row r="1" ht="34" customHeight="1" spans="1:31">
      <c r="A1" s="22" t="s">
        <v>81</v>
      </c>
      <c r="B1" s="3"/>
      <c r="C1" s="3"/>
      <c r="D1" s="3"/>
      <c r="E1" s="3"/>
      <c r="F1" s="3"/>
      <c r="G1" s="3"/>
      <c r="H1" s="3"/>
      <c r="I1" s="3"/>
      <c r="J1" s="3"/>
      <c r="K1" s="3"/>
      <c r="L1" s="3"/>
      <c r="M1" s="3"/>
      <c r="N1" s="3"/>
      <c r="O1" s="3"/>
      <c r="P1" s="3"/>
      <c r="Q1" s="3"/>
      <c r="R1" s="3"/>
      <c r="S1" s="3"/>
      <c r="T1" s="3"/>
      <c r="U1" s="3"/>
      <c r="V1" s="3"/>
      <c r="W1" s="3"/>
      <c r="X1" s="3"/>
      <c r="Y1" s="3"/>
      <c r="Z1" s="3"/>
      <c r="AA1" s="3"/>
      <c r="AB1" s="3"/>
      <c r="AC1" s="3"/>
      <c r="AD1" s="3"/>
      <c r="AE1" s="4"/>
    </row>
    <row r="2" spans="1:31">
      <c r="A2" s="23" t="s">
        <v>82</v>
      </c>
      <c r="B2" s="3"/>
      <c r="C2" s="3"/>
      <c r="D2" s="3"/>
      <c r="E2" s="3"/>
      <c r="F2" s="3"/>
      <c r="G2" s="3"/>
      <c r="H2" s="3"/>
      <c r="I2" s="3"/>
      <c r="J2" s="3"/>
      <c r="K2" s="3"/>
      <c r="L2" s="3"/>
      <c r="M2" s="3"/>
      <c r="N2" s="3"/>
      <c r="O2" s="3"/>
      <c r="P2" s="3"/>
      <c r="Q2" s="3"/>
      <c r="R2" s="3"/>
      <c r="S2" s="3"/>
      <c r="T2" s="3"/>
      <c r="U2" s="3"/>
      <c r="V2" s="3"/>
      <c r="W2" s="3"/>
      <c r="X2" s="3"/>
      <c r="Y2" s="3"/>
      <c r="Z2" s="3"/>
      <c r="AA2" s="3"/>
      <c r="AB2" s="3"/>
      <c r="AC2" s="3"/>
      <c r="AD2" s="3"/>
      <c r="AE2" s="4"/>
    </row>
    <row r="3" ht="30" customHeight="1" spans="1:31">
      <c r="A3" s="24" t="s">
        <v>83</v>
      </c>
      <c r="B3" s="24" t="s">
        <v>84</v>
      </c>
      <c r="C3" s="24" t="s">
        <v>85</v>
      </c>
      <c r="D3" s="24" t="s">
        <v>86</v>
      </c>
      <c r="E3" s="24" t="s">
        <v>87</v>
      </c>
      <c r="F3" s="24" t="s">
        <v>88</v>
      </c>
      <c r="G3" s="24" t="s">
        <v>89</v>
      </c>
      <c r="H3" s="24" t="s">
        <v>90</v>
      </c>
      <c r="I3" s="24" t="s">
        <v>91</v>
      </c>
      <c r="J3" s="24" t="s">
        <v>92</v>
      </c>
      <c r="K3" s="24" t="s">
        <v>93</v>
      </c>
      <c r="L3" s="24" t="s">
        <v>94</v>
      </c>
      <c r="M3" s="24" t="s">
        <v>95</v>
      </c>
      <c r="N3" s="24" t="s">
        <v>96</v>
      </c>
      <c r="O3" s="24" t="s">
        <v>97</v>
      </c>
      <c r="P3" s="24" t="s">
        <v>98</v>
      </c>
      <c r="Q3" s="24" t="s">
        <v>99</v>
      </c>
      <c r="R3" s="24" t="s">
        <v>100</v>
      </c>
      <c r="S3" s="24" t="s">
        <v>101</v>
      </c>
      <c r="T3" s="24" t="s">
        <v>102</v>
      </c>
      <c r="U3" s="24" t="s">
        <v>103</v>
      </c>
      <c r="V3" s="24" t="s">
        <v>104</v>
      </c>
      <c r="W3" s="24" t="s">
        <v>105</v>
      </c>
      <c r="X3" s="24" t="s">
        <v>106</v>
      </c>
      <c r="Y3" s="24" t="s">
        <v>107</v>
      </c>
      <c r="Z3" s="24" t="s">
        <v>108</v>
      </c>
      <c r="AA3" s="24" t="s">
        <v>109</v>
      </c>
      <c r="AB3" s="24" t="s">
        <v>110</v>
      </c>
      <c r="AC3" s="24" t="s">
        <v>111</v>
      </c>
      <c r="AD3" s="24" t="s">
        <v>112</v>
      </c>
      <c r="AE3" s="24" t="s">
        <v>113</v>
      </c>
    </row>
    <row r="4" ht="17" customHeight="1" spans="1:31">
      <c r="A4" s="25" t="s">
        <v>114</v>
      </c>
      <c r="B4" s="25" t="s">
        <v>115</v>
      </c>
      <c r="C4" s="25" t="s">
        <v>116</v>
      </c>
      <c r="D4" s="25" t="s">
        <v>117</v>
      </c>
      <c r="E4" s="25" t="s">
        <v>118</v>
      </c>
      <c r="F4" s="25" t="s">
        <v>119</v>
      </c>
      <c r="G4" s="25" t="str">
        <f t="shared" ref="G4:G15" si="0">IF(OR(M4="挂起",M4="暂停",Q4="挂起",Q4="暂停",U4="挂起",U4="暂停",Y4="挂起",Y4="暂停"),"暂停","已完成")</f>
        <v>已完成</v>
      </c>
      <c r="H4" s="25" t="str">
        <f t="shared" ref="H4:H67" si="1">IF(L4&lt;&gt;"",L4,IF(P4&lt;&gt;"",P4,IF(T4&lt;&gt;"",T4,X4)))</f>
        <v>郑士旺</v>
      </c>
      <c r="I4" s="26">
        <f t="shared" ref="I4:I67" si="2">IF(COUNT(N4,R4,V4,Z4)=0,"",MIN(N4,R4,V4,Z4))</f>
        <v>46202</v>
      </c>
      <c r="J4" s="26">
        <f t="shared" ref="J4:J67" si="3">IF(ISNUMBER(K4),K4,IF(COUNT(O4,S4,W4,AA4)=0,"",MAX(O4,S4,W4,AA4)))</f>
        <v>46234</v>
      </c>
      <c r="K4" s="26" t="s">
        <v>118</v>
      </c>
      <c r="L4" s="25" t="s">
        <v>120</v>
      </c>
      <c r="M4" s="25" t="s">
        <v>121</v>
      </c>
      <c r="N4" s="26">
        <v>46202</v>
      </c>
      <c r="O4" s="26">
        <v>46206</v>
      </c>
      <c r="P4" s="25" t="s">
        <v>122</v>
      </c>
      <c r="Q4" s="25" t="s">
        <v>121</v>
      </c>
      <c r="R4" s="26">
        <v>46209</v>
      </c>
      <c r="S4" s="26">
        <v>46225</v>
      </c>
      <c r="T4" s="25" t="s">
        <v>123</v>
      </c>
      <c r="U4" s="25" t="s">
        <v>121</v>
      </c>
      <c r="V4" s="26">
        <v>46209</v>
      </c>
      <c r="W4" s="26">
        <v>46225</v>
      </c>
      <c r="X4" s="25" t="s">
        <v>124</v>
      </c>
      <c r="Y4" s="25" t="s">
        <v>121</v>
      </c>
      <c r="Z4" s="26">
        <v>46216</v>
      </c>
      <c r="AA4" s="26">
        <v>46234</v>
      </c>
      <c r="AB4" s="27">
        <f t="shared" ref="AB4:AB67" si="4">(IF(M4="已完成",1,IF(M4="进行中",0.5,0))*15%+IF(Q4="已完成",1,IF(Q4="进行中",0.5,0))*35%+IF(U4="已完成",1,IF(U4="进行中",0.5,0))*30%+IF(Y4="已完成",1,IF(Y4="进行中",0.5,0))*20%)</f>
        <v>1</v>
      </c>
      <c r="AC4" s="25" t="str">
        <f>IF(G4="已完成","正常",IF(OR(G4="暂停",G4="挂起"),"暂停",IF(J4="","日期缺失",IF(J4&lt;_数据接口!$B$7,"已延期",IF(J4&lt;=_数据接口!$B$7+7,"临近到期","正常")))))</f>
        <v>正常</v>
      </c>
      <c r="AD4" s="25" t="s">
        <v>125</v>
      </c>
      <c r="AE4" s="25" t="s">
        <v>125</v>
      </c>
    </row>
    <row r="5" ht="17" customHeight="1" spans="1:31">
      <c r="A5" s="25" t="s">
        <v>126</v>
      </c>
      <c r="B5" s="25" t="s">
        <v>115</v>
      </c>
      <c r="C5" s="25" t="s">
        <v>116</v>
      </c>
      <c r="D5" s="25" t="s">
        <v>127</v>
      </c>
      <c r="E5" s="25" t="s">
        <v>118</v>
      </c>
      <c r="F5" s="25" t="s">
        <v>119</v>
      </c>
      <c r="G5" s="25" t="str">
        <f t="shared" si="0"/>
        <v>已完成</v>
      </c>
      <c r="H5" s="25" t="str">
        <f t="shared" si="1"/>
        <v>郑士旺</v>
      </c>
      <c r="I5" s="26">
        <f t="shared" si="2"/>
        <v>46202</v>
      </c>
      <c r="J5" s="26">
        <f t="shared" si="3"/>
        <v>46234</v>
      </c>
      <c r="K5" s="26" t="s">
        <v>118</v>
      </c>
      <c r="L5" s="25" t="s">
        <v>120</v>
      </c>
      <c r="M5" s="25" t="s">
        <v>121</v>
      </c>
      <c r="N5" s="26">
        <v>46202</v>
      </c>
      <c r="O5" s="26">
        <v>46206</v>
      </c>
      <c r="P5" s="25" t="s">
        <v>122</v>
      </c>
      <c r="Q5" s="25" t="s">
        <v>121</v>
      </c>
      <c r="R5" s="26">
        <v>46209</v>
      </c>
      <c r="S5" s="26">
        <v>46225</v>
      </c>
      <c r="T5" s="25" t="s">
        <v>123</v>
      </c>
      <c r="U5" s="25" t="s">
        <v>121</v>
      </c>
      <c r="V5" s="26">
        <v>46209</v>
      </c>
      <c r="W5" s="26">
        <v>46225</v>
      </c>
      <c r="X5" s="25" t="s">
        <v>124</v>
      </c>
      <c r="Y5" s="25" t="s">
        <v>121</v>
      </c>
      <c r="Z5" s="26">
        <v>46216</v>
      </c>
      <c r="AA5" s="26">
        <v>46234</v>
      </c>
      <c r="AB5" s="27">
        <f t="shared" si="4"/>
        <v>1</v>
      </c>
      <c r="AC5" s="25" t="str">
        <f>IF(G5="已完成","正常",IF(OR(G5="暂停",G5="挂起"),"暂停",IF(J5="","日期缺失",IF(J5&lt;_数据接口!$B$7,"已延期",IF(J5&lt;=_数据接口!$B$7+7,"临近到期","正常")))))</f>
        <v>正常</v>
      </c>
      <c r="AD5" s="25" t="s">
        <v>125</v>
      </c>
      <c r="AE5" s="25" t="s">
        <v>125</v>
      </c>
    </row>
    <row r="6" ht="17" customHeight="1" spans="1:31">
      <c r="A6" s="25" t="s">
        <v>128</v>
      </c>
      <c r="B6" s="25" t="s">
        <v>115</v>
      </c>
      <c r="C6" s="25" t="s">
        <v>116</v>
      </c>
      <c r="D6" s="25" t="s">
        <v>129</v>
      </c>
      <c r="E6" s="25" t="s">
        <v>118</v>
      </c>
      <c r="F6" s="25" t="s">
        <v>119</v>
      </c>
      <c r="G6" s="25" t="str">
        <f t="shared" si="0"/>
        <v>已完成</v>
      </c>
      <c r="H6" s="25" t="str">
        <f t="shared" si="1"/>
        <v>郑士旺</v>
      </c>
      <c r="I6" s="26">
        <f t="shared" si="2"/>
        <v>46202</v>
      </c>
      <c r="J6" s="26">
        <f t="shared" si="3"/>
        <v>46234</v>
      </c>
      <c r="K6" s="26" t="s">
        <v>118</v>
      </c>
      <c r="L6" s="25" t="s">
        <v>120</v>
      </c>
      <c r="M6" s="25" t="s">
        <v>121</v>
      </c>
      <c r="N6" s="26">
        <v>46202</v>
      </c>
      <c r="O6" s="26">
        <v>46206</v>
      </c>
      <c r="P6" s="25" t="s">
        <v>122</v>
      </c>
      <c r="Q6" s="25" t="s">
        <v>121</v>
      </c>
      <c r="R6" s="26">
        <v>46209</v>
      </c>
      <c r="S6" s="26">
        <v>46225</v>
      </c>
      <c r="T6" s="25" t="s">
        <v>123</v>
      </c>
      <c r="U6" s="25" t="s">
        <v>121</v>
      </c>
      <c r="V6" s="26">
        <v>46209</v>
      </c>
      <c r="W6" s="26">
        <v>46225</v>
      </c>
      <c r="X6" s="25" t="s">
        <v>124</v>
      </c>
      <c r="Y6" s="25" t="s">
        <v>121</v>
      </c>
      <c r="Z6" s="26">
        <v>46216</v>
      </c>
      <c r="AA6" s="26">
        <v>46234</v>
      </c>
      <c r="AB6" s="27">
        <f t="shared" si="4"/>
        <v>1</v>
      </c>
      <c r="AC6" s="25" t="str">
        <f>IF(G6="已完成","正常",IF(OR(G6="暂停",G6="挂起"),"暂停",IF(J6="","日期缺失",IF(J6&lt;_数据接口!$B$7,"已延期",IF(J6&lt;=_数据接口!$B$7+7,"临近到期","正常")))))</f>
        <v>正常</v>
      </c>
      <c r="AD6" s="25" t="s">
        <v>125</v>
      </c>
      <c r="AE6" s="25" t="s">
        <v>125</v>
      </c>
    </row>
    <row r="7" ht="17" customHeight="1" spans="1:31">
      <c r="A7" s="25" t="s">
        <v>130</v>
      </c>
      <c r="B7" s="25" t="s">
        <v>115</v>
      </c>
      <c r="C7" s="25" t="s">
        <v>116</v>
      </c>
      <c r="D7" s="25" t="s">
        <v>131</v>
      </c>
      <c r="E7" s="25" t="s">
        <v>118</v>
      </c>
      <c r="F7" s="25" t="s">
        <v>119</v>
      </c>
      <c r="G7" s="25" t="str">
        <f t="shared" si="0"/>
        <v>已完成</v>
      </c>
      <c r="H7" s="25" t="str">
        <f t="shared" si="1"/>
        <v>郑士旺</v>
      </c>
      <c r="I7" s="26">
        <f t="shared" si="2"/>
        <v>46202</v>
      </c>
      <c r="J7" s="26">
        <f t="shared" si="3"/>
        <v>46234</v>
      </c>
      <c r="K7" s="26" t="s">
        <v>118</v>
      </c>
      <c r="L7" s="25" t="s">
        <v>120</v>
      </c>
      <c r="M7" s="25" t="s">
        <v>121</v>
      </c>
      <c r="N7" s="26">
        <v>46202</v>
      </c>
      <c r="O7" s="26">
        <v>46206</v>
      </c>
      <c r="P7" s="25" t="s">
        <v>122</v>
      </c>
      <c r="Q7" s="25" t="s">
        <v>121</v>
      </c>
      <c r="R7" s="26">
        <v>46209</v>
      </c>
      <c r="S7" s="26">
        <v>46225</v>
      </c>
      <c r="T7" s="25" t="s">
        <v>123</v>
      </c>
      <c r="U7" s="25" t="s">
        <v>121</v>
      </c>
      <c r="V7" s="26">
        <v>46209</v>
      </c>
      <c r="W7" s="26">
        <v>46225</v>
      </c>
      <c r="X7" s="25" t="s">
        <v>124</v>
      </c>
      <c r="Y7" s="25" t="s">
        <v>121</v>
      </c>
      <c r="Z7" s="26">
        <v>46216</v>
      </c>
      <c r="AA7" s="26">
        <v>46234</v>
      </c>
      <c r="AB7" s="27">
        <f t="shared" si="4"/>
        <v>1</v>
      </c>
      <c r="AC7" s="25" t="str">
        <f>IF(G7="已完成","正常",IF(OR(G7="暂停",G7="挂起"),"暂停",IF(J7="","日期缺失",IF(J7&lt;_数据接口!$B$7,"已延期",IF(J7&lt;=_数据接口!$B$7+7,"临近到期","正常")))))</f>
        <v>正常</v>
      </c>
      <c r="AD7" s="25" t="s">
        <v>125</v>
      </c>
      <c r="AE7" s="25" t="s">
        <v>125</v>
      </c>
    </row>
    <row r="8" ht="17" customHeight="1" spans="1:31">
      <c r="A8" s="25" t="s">
        <v>132</v>
      </c>
      <c r="B8" s="25" t="s">
        <v>115</v>
      </c>
      <c r="C8" s="25" t="s">
        <v>133</v>
      </c>
      <c r="D8" s="25" t="s">
        <v>134</v>
      </c>
      <c r="E8" s="25" t="s">
        <v>118</v>
      </c>
      <c r="F8" s="25" t="s">
        <v>135</v>
      </c>
      <c r="G8" s="25" t="str">
        <f t="shared" si="0"/>
        <v>已完成</v>
      </c>
      <c r="H8" s="25" t="str">
        <f t="shared" si="1"/>
        <v>郑士旺</v>
      </c>
      <c r="I8" s="26">
        <f t="shared" si="2"/>
        <v>46230</v>
      </c>
      <c r="J8" s="26">
        <f t="shared" si="3"/>
        <v>46353</v>
      </c>
      <c r="K8" s="26" t="s">
        <v>118</v>
      </c>
      <c r="L8" s="25" t="s">
        <v>120</v>
      </c>
      <c r="M8" s="25" t="s">
        <v>121</v>
      </c>
      <c r="N8" s="26">
        <v>46230</v>
      </c>
      <c r="O8" s="26">
        <v>46241</v>
      </c>
      <c r="P8" s="25" t="s">
        <v>122</v>
      </c>
      <c r="Q8" s="25" t="s">
        <v>121</v>
      </c>
      <c r="R8" s="26">
        <v>46307</v>
      </c>
      <c r="S8" s="26">
        <v>46339</v>
      </c>
      <c r="T8" s="25" t="s">
        <v>123</v>
      </c>
      <c r="U8" s="25" t="s">
        <v>121</v>
      </c>
      <c r="V8" s="26">
        <v>46307</v>
      </c>
      <c r="W8" s="26">
        <v>46339</v>
      </c>
      <c r="X8" s="25" t="s">
        <v>124</v>
      </c>
      <c r="Y8" s="25" t="s">
        <v>121</v>
      </c>
      <c r="Z8" s="26">
        <v>46342</v>
      </c>
      <c r="AA8" s="26">
        <v>46353</v>
      </c>
      <c r="AB8" s="27">
        <f t="shared" si="4"/>
        <v>1</v>
      </c>
      <c r="AC8" s="25" t="str">
        <f>IF(G8="已完成","正常",IF(OR(G8="暂停",G8="挂起"),"暂停",IF(J8="","日期缺失",IF(J8&lt;_数据接口!$B$7,"已延期",IF(J8&lt;=_数据接口!$B$7+7,"临近到期","正常")))))</f>
        <v>正常</v>
      </c>
      <c r="AD8" s="25" t="s">
        <v>125</v>
      </c>
      <c r="AE8" s="25" t="s">
        <v>125</v>
      </c>
    </row>
    <row r="9" ht="17" customHeight="1" spans="1:31">
      <c r="A9" s="25" t="s">
        <v>136</v>
      </c>
      <c r="B9" s="25" t="s">
        <v>115</v>
      </c>
      <c r="C9" s="25" t="s">
        <v>137</v>
      </c>
      <c r="D9" s="25" t="s">
        <v>138</v>
      </c>
      <c r="E9" s="25" t="s">
        <v>118</v>
      </c>
      <c r="F9" s="25" t="s">
        <v>119</v>
      </c>
      <c r="G9" s="25" t="str">
        <f t="shared" si="0"/>
        <v>已完成</v>
      </c>
      <c r="H9" s="25" t="str">
        <f t="shared" si="1"/>
        <v>郑士旺</v>
      </c>
      <c r="I9" s="26">
        <f t="shared" si="2"/>
        <v>46202</v>
      </c>
      <c r="J9" s="26">
        <f t="shared" si="3"/>
        <v>46224</v>
      </c>
      <c r="K9" s="26">
        <v>46224</v>
      </c>
      <c r="L9" s="25" t="s">
        <v>120</v>
      </c>
      <c r="M9" s="25" t="s">
        <v>121</v>
      </c>
      <c r="N9" s="26">
        <v>46202</v>
      </c>
      <c r="O9" s="26">
        <v>46206</v>
      </c>
      <c r="P9" s="25" t="s">
        <v>122</v>
      </c>
      <c r="Q9" s="25" t="s">
        <v>121</v>
      </c>
      <c r="R9" s="26">
        <v>46209</v>
      </c>
      <c r="S9" s="26">
        <v>46227</v>
      </c>
      <c r="T9" s="25" t="s">
        <v>123</v>
      </c>
      <c r="U9" s="25" t="s">
        <v>121</v>
      </c>
      <c r="V9" s="26">
        <v>46209</v>
      </c>
      <c r="W9" s="26">
        <v>46227</v>
      </c>
      <c r="X9" s="25" t="s">
        <v>124</v>
      </c>
      <c r="Y9" s="25" t="s">
        <v>121</v>
      </c>
      <c r="Z9" s="26">
        <v>46216</v>
      </c>
      <c r="AA9" s="26">
        <v>46234</v>
      </c>
      <c r="AB9" s="27">
        <f t="shared" si="4"/>
        <v>1</v>
      </c>
      <c r="AC9" s="25" t="str">
        <f>IF(G9="已完成","正常",IF(OR(G9="暂停",G9="挂起"),"暂停",IF(J9="","日期缺失",IF(J9&lt;_数据接口!$B$7,"已延期",IF(J9&lt;=_数据接口!$B$7+7,"临近到期","正常")))))</f>
        <v>正常</v>
      </c>
      <c r="AD9" s="25" t="s">
        <v>125</v>
      </c>
      <c r="AE9" s="25" t="s">
        <v>125</v>
      </c>
    </row>
    <row r="10" ht="17" customHeight="1" spans="1:31">
      <c r="A10" s="25" t="s">
        <v>139</v>
      </c>
      <c r="B10" s="25" t="s">
        <v>115</v>
      </c>
      <c r="C10" s="25" t="s">
        <v>137</v>
      </c>
      <c r="D10" s="25" t="s">
        <v>140</v>
      </c>
      <c r="E10" s="25" t="s">
        <v>118</v>
      </c>
      <c r="F10" s="25" t="s">
        <v>119</v>
      </c>
      <c r="G10" s="25" t="str">
        <f t="shared" si="0"/>
        <v>已完成</v>
      </c>
      <c r="H10" s="25" t="str">
        <f t="shared" si="1"/>
        <v>郑士旺</v>
      </c>
      <c r="I10" s="26">
        <f t="shared" si="2"/>
        <v>46202</v>
      </c>
      <c r="J10" s="26">
        <f t="shared" si="3"/>
        <v>46224</v>
      </c>
      <c r="K10" s="26">
        <v>46224</v>
      </c>
      <c r="L10" s="25" t="s">
        <v>120</v>
      </c>
      <c r="M10" s="25" t="s">
        <v>121</v>
      </c>
      <c r="N10" s="26">
        <v>46202</v>
      </c>
      <c r="O10" s="26">
        <v>46206</v>
      </c>
      <c r="P10" s="25" t="s">
        <v>122</v>
      </c>
      <c r="Q10" s="25" t="s">
        <v>121</v>
      </c>
      <c r="R10" s="26">
        <v>46209</v>
      </c>
      <c r="S10" s="26">
        <v>46227</v>
      </c>
      <c r="T10" s="25" t="s">
        <v>123</v>
      </c>
      <c r="U10" s="25" t="s">
        <v>121</v>
      </c>
      <c r="V10" s="26">
        <v>46209</v>
      </c>
      <c r="W10" s="26">
        <v>46227</v>
      </c>
      <c r="X10" s="25" t="s">
        <v>124</v>
      </c>
      <c r="Y10" s="25" t="s">
        <v>121</v>
      </c>
      <c r="Z10" s="26">
        <v>46216</v>
      </c>
      <c r="AA10" s="26">
        <v>46234</v>
      </c>
      <c r="AB10" s="27">
        <f t="shared" si="4"/>
        <v>1</v>
      </c>
      <c r="AC10" s="25" t="str">
        <f>IF(G10="已完成","正常",IF(OR(G10="暂停",G10="挂起"),"暂停",IF(J10="","日期缺失",IF(J10&lt;_数据接口!$B$7,"已延期",IF(J10&lt;=_数据接口!$B$7+7,"临近到期","正常")))))</f>
        <v>正常</v>
      </c>
      <c r="AD10" s="25" t="s">
        <v>125</v>
      </c>
      <c r="AE10" s="25" t="s">
        <v>125</v>
      </c>
    </row>
    <row r="11" ht="17" customHeight="1" spans="1:31">
      <c r="A11" s="25" t="s">
        <v>141</v>
      </c>
      <c r="B11" s="25" t="s">
        <v>115</v>
      </c>
      <c r="C11" s="25" t="s">
        <v>137</v>
      </c>
      <c r="D11" s="25" t="s">
        <v>142</v>
      </c>
      <c r="E11" s="25" t="s">
        <v>118</v>
      </c>
      <c r="F11" s="25" t="s">
        <v>119</v>
      </c>
      <c r="G11" s="25" t="str">
        <f t="shared" si="0"/>
        <v>已完成</v>
      </c>
      <c r="H11" s="25" t="str">
        <f t="shared" si="1"/>
        <v>郑士旺</v>
      </c>
      <c r="I11" s="26">
        <f t="shared" si="2"/>
        <v>46202</v>
      </c>
      <c r="J11" s="26">
        <f t="shared" si="3"/>
        <v>46224</v>
      </c>
      <c r="K11" s="26">
        <v>46224</v>
      </c>
      <c r="L11" s="25" t="s">
        <v>120</v>
      </c>
      <c r="M11" s="25" t="s">
        <v>121</v>
      </c>
      <c r="N11" s="26">
        <v>46202</v>
      </c>
      <c r="O11" s="26">
        <v>46206</v>
      </c>
      <c r="P11" s="25" t="s">
        <v>122</v>
      </c>
      <c r="Q11" s="25" t="s">
        <v>121</v>
      </c>
      <c r="R11" s="26">
        <v>46209</v>
      </c>
      <c r="S11" s="26">
        <v>46227</v>
      </c>
      <c r="T11" s="25" t="s">
        <v>123</v>
      </c>
      <c r="U11" s="25" t="s">
        <v>121</v>
      </c>
      <c r="V11" s="26">
        <v>46209</v>
      </c>
      <c r="W11" s="26">
        <v>46227</v>
      </c>
      <c r="X11" s="25" t="s">
        <v>124</v>
      </c>
      <c r="Y11" s="25" t="s">
        <v>121</v>
      </c>
      <c r="Z11" s="26">
        <v>46216</v>
      </c>
      <c r="AA11" s="26">
        <v>46234</v>
      </c>
      <c r="AB11" s="27">
        <f t="shared" si="4"/>
        <v>1</v>
      </c>
      <c r="AC11" s="25" t="str">
        <f>IF(G11="已完成","正常",IF(OR(G11="暂停",G11="挂起"),"暂停",IF(J11="","日期缺失",IF(J11&lt;_数据接口!$B$7,"已延期",IF(J11&lt;=_数据接口!$B$7+7,"临近到期","正常")))))</f>
        <v>正常</v>
      </c>
      <c r="AD11" s="25" t="s">
        <v>125</v>
      </c>
      <c r="AE11" s="25" t="s">
        <v>125</v>
      </c>
    </row>
    <row r="12" ht="17" customHeight="1" spans="1:31">
      <c r="A12" s="25" t="s">
        <v>143</v>
      </c>
      <c r="B12" s="25" t="s">
        <v>115</v>
      </c>
      <c r="C12" s="25" t="s">
        <v>144</v>
      </c>
      <c r="D12" s="25" t="s">
        <v>145</v>
      </c>
      <c r="E12" s="25" t="s">
        <v>118</v>
      </c>
      <c r="F12" s="25" t="s">
        <v>119</v>
      </c>
      <c r="G12" s="25" t="str">
        <f t="shared" si="0"/>
        <v>已完成</v>
      </c>
      <c r="H12" s="25" t="str">
        <f t="shared" si="1"/>
        <v>郑士旺</v>
      </c>
      <c r="I12" s="26">
        <f t="shared" si="2"/>
        <v>46202</v>
      </c>
      <c r="J12" s="26">
        <f t="shared" si="3"/>
        <v>46224</v>
      </c>
      <c r="K12" s="26">
        <v>46224</v>
      </c>
      <c r="L12" s="25" t="s">
        <v>120</v>
      </c>
      <c r="M12" s="25" t="s">
        <v>121</v>
      </c>
      <c r="N12" s="26">
        <v>46202</v>
      </c>
      <c r="O12" s="26">
        <v>46206</v>
      </c>
      <c r="P12" s="25" t="s">
        <v>122</v>
      </c>
      <c r="Q12" s="25" t="s">
        <v>121</v>
      </c>
      <c r="R12" s="26">
        <v>46209</v>
      </c>
      <c r="S12" s="26">
        <v>46227</v>
      </c>
      <c r="T12" s="25" t="s">
        <v>123</v>
      </c>
      <c r="U12" s="25" t="s">
        <v>121</v>
      </c>
      <c r="V12" s="26">
        <v>46209</v>
      </c>
      <c r="W12" s="26">
        <v>46227</v>
      </c>
      <c r="X12" s="25" t="s">
        <v>124</v>
      </c>
      <c r="Y12" s="25" t="s">
        <v>121</v>
      </c>
      <c r="Z12" s="26">
        <v>46216</v>
      </c>
      <c r="AA12" s="26">
        <v>46234</v>
      </c>
      <c r="AB12" s="27">
        <f t="shared" si="4"/>
        <v>1</v>
      </c>
      <c r="AC12" s="25" t="str">
        <f>IF(G12="已完成","正常",IF(OR(G12="暂停",G12="挂起"),"暂停",IF(J12="","日期缺失",IF(J12&lt;_数据接口!$B$7,"已延期",IF(J12&lt;=_数据接口!$B$7+7,"临近到期","正常")))))</f>
        <v>正常</v>
      </c>
      <c r="AD12" s="25" t="s">
        <v>125</v>
      </c>
      <c r="AE12" s="25" t="s">
        <v>125</v>
      </c>
    </row>
    <row r="13" ht="17" customHeight="1" spans="1:31">
      <c r="A13" s="25" t="s">
        <v>146</v>
      </c>
      <c r="B13" s="25" t="s">
        <v>115</v>
      </c>
      <c r="C13" s="25" t="s">
        <v>144</v>
      </c>
      <c r="D13" s="25" t="s">
        <v>147</v>
      </c>
      <c r="E13" s="25" t="s">
        <v>118</v>
      </c>
      <c r="F13" s="25" t="s">
        <v>119</v>
      </c>
      <c r="G13" s="25" t="str">
        <f t="shared" si="0"/>
        <v>已完成</v>
      </c>
      <c r="H13" s="25" t="str">
        <f t="shared" si="1"/>
        <v>郑士旺</v>
      </c>
      <c r="I13" s="26">
        <f t="shared" si="2"/>
        <v>46202</v>
      </c>
      <c r="J13" s="26">
        <f t="shared" si="3"/>
        <v>46224</v>
      </c>
      <c r="K13" s="26">
        <v>46224</v>
      </c>
      <c r="L13" s="25" t="s">
        <v>120</v>
      </c>
      <c r="M13" s="25" t="s">
        <v>121</v>
      </c>
      <c r="N13" s="26">
        <v>46202</v>
      </c>
      <c r="O13" s="26">
        <v>46206</v>
      </c>
      <c r="P13" s="25" t="s">
        <v>122</v>
      </c>
      <c r="Q13" s="25" t="s">
        <v>121</v>
      </c>
      <c r="R13" s="26">
        <v>46209</v>
      </c>
      <c r="S13" s="26">
        <v>46227</v>
      </c>
      <c r="T13" s="25" t="s">
        <v>123</v>
      </c>
      <c r="U13" s="25" t="s">
        <v>121</v>
      </c>
      <c r="V13" s="26">
        <v>46209</v>
      </c>
      <c r="W13" s="26">
        <v>46227</v>
      </c>
      <c r="X13" s="25" t="s">
        <v>124</v>
      </c>
      <c r="Y13" s="25" t="s">
        <v>121</v>
      </c>
      <c r="Z13" s="26">
        <v>46216</v>
      </c>
      <c r="AA13" s="26">
        <v>46234</v>
      </c>
      <c r="AB13" s="27">
        <f t="shared" si="4"/>
        <v>1</v>
      </c>
      <c r="AC13" s="25" t="str">
        <f>IF(G13="已完成","正常",IF(OR(G13="暂停",G13="挂起"),"暂停",IF(J13="","日期缺失",IF(J13&lt;_数据接口!$B$7,"已延期",IF(J13&lt;=_数据接口!$B$7+7,"临近到期","正常")))))</f>
        <v>正常</v>
      </c>
      <c r="AD13" s="25" t="s">
        <v>125</v>
      </c>
      <c r="AE13" s="25" t="s">
        <v>125</v>
      </c>
    </row>
    <row r="14" ht="34" customHeight="1" spans="1:31">
      <c r="A14" s="25" t="s">
        <v>148</v>
      </c>
      <c r="B14" s="25" t="s">
        <v>149</v>
      </c>
      <c r="C14" s="25" t="s">
        <v>150</v>
      </c>
      <c r="D14" s="25" t="s">
        <v>151</v>
      </c>
      <c r="E14" s="25" t="s">
        <v>118</v>
      </c>
      <c r="F14" s="25" t="s">
        <v>119</v>
      </c>
      <c r="G14" s="25" t="str">
        <f t="shared" si="0"/>
        <v>已完成</v>
      </c>
      <c r="H14" s="25" t="str">
        <f t="shared" si="1"/>
        <v>郑士旺</v>
      </c>
      <c r="I14" s="26">
        <f t="shared" si="2"/>
        <v>46202</v>
      </c>
      <c r="J14" s="26">
        <f t="shared" si="3"/>
        <v>46224</v>
      </c>
      <c r="K14" s="26">
        <v>46224</v>
      </c>
      <c r="L14" s="25" t="s">
        <v>120</v>
      </c>
      <c r="M14" s="25" t="s">
        <v>121</v>
      </c>
      <c r="N14" s="26">
        <v>46202</v>
      </c>
      <c r="O14" s="26">
        <v>46206</v>
      </c>
      <c r="P14" s="25" t="s">
        <v>122</v>
      </c>
      <c r="Q14" s="25" t="s">
        <v>121</v>
      </c>
      <c r="R14" s="26">
        <v>46209</v>
      </c>
      <c r="S14" s="26">
        <v>46227</v>
      </c>
      <c r="T14" s="25" t="s">
        <v>123</v>
      </c>
      <c r="U14" s="25" t="s">
        <v>121</v>
      </c>
      <c r="V14" s="26">
        <v>46209</v>
      </c>
      <c r="W14" s="26">
        <v>46225</v>
      </c>
      <c r="X14" s="25" t="s">
        <v>124</v>
      </c>
      <c r="Y14" s="25" t="s">
        <v>121</v>
      </c>
      <c r="Z14" s="26">
        <v>46216</v>
      </c>
      <c r="AA14" s="26">
        <v>46234</v>
      </c>
      <c r="AB14" s="27">
        <f t="shared" si="4"/>
        <v>1</v>
      </c>
      <c r="AC14" s="25" t="str">
        <f>IF(G14="已完成","正常",IF(OR(G14="暂停",G14="挂起"),"暂停",IF(J14="","日期缺失",IF(J14&lt;_数据接口!$B$7,"已延期",IF(J14&lt;=_数据接口!$B$7+7,"临近到期","正常")))))</f>
        <v>正常</v>
      </c>
      <c r="AD14" s="25" t="s">
        <v>125</v>
      </c>
      <c r="AE14" s="25" t="s">
        <v>125</v>
      </c>
    </row>
    <row r="15" ht="34" customHeight="1" spans="1:31">
      <c r="A15" s="25" t="s">
        <v>152</v>
      </c>
      <c r="B15" s="25" t="s">
        <v>149</v>
      </c>
      <c r="C15" s="25" t="s">
        <v>150</v>
      </c>
      <c r="D15" s="25" t="s">
        <v>153</v>
      </c>
      <c r="E15" s="25" t="s">
        <v>118</v>
      </c>
      <c r="F15" s="25" t="s">
        <v>119</v>
      </c>
      <c r="G15" s="25" t="str">
        <f t="shared" si="0"/>
        <v>已完成</v>
      </c>
      <c r="H15" s="25" t="str">
        <f t="shared" si="1"/>
        <v>郑士旺</v>
      </c>
      <c r="I15" s="26">
        <f t="shared" si="2"/>
        <v>46202</v>
      </c>
      <c r="J15" s="26">
        <f t="shared" si="3"/>
        <v>46224</v>
      </c>
      <c r="K15" s="26">
        <v>46224</v>
      </c>
      <c r="L15" s="25" t="s">
        <v>120</v>
      </c>
      <c r="M15" s="25" t="s">
        <v>121</v>
      </c>
      <c r="N15" s="26">
        <v>46202</v>
      </c>
      <c r="O15" s="26">
        <v>46206</v>
      </c>
      <c r="P15" s="25" t="s">
        <v>122</v>
      </c>
      <c r="Q15" s="25" t="s">
        <v>121</v>
      </c>
      <c r="R15" s="26">
        <v>46209</v>
      </c>
      <c r="S15" s="26">
        <v>46227</v>
      </c>
      <c r="T15" s="25" t="s">
        <v>123</v>
      </c>
      <c r="U15" s="25" t="s">
        <v>121</v>
      </c>
      <c r="V15" s="26">
        <v>46209</v>
      </c>
      <c r="W15" s="26">
        <v>46225</v>
      </c>
      <c r="X15" s="25" t="s">
        <v>124</v>
      </c>
      <c r="Y15" s="25" t="s">
        <v>121</v>
      </c>
      <c r="Z15" s="26">
        <v>46216</v>
      </c>
      <c r="AA15" s="26">
        <v>46234</v>
      </c>
      <c r="AB15" s="27">
        <f t="shared" si="4"/>
        <v>1</v>
      </c>
      <c r="AC15" s="25" t="str">
        <f>IF(G15="已完成","正常",IF(OR(G15="暂停",G15="挂起"),"暂停",IF(J15="","日期缺失",IF(J15&lt;_数据接口!$B$7,"已延期",IF(J15&lt;=_数据接口!$B$7+7,"临近到期","正常")))))</f>
        <v>正常</v>
      </c>
      <c r="AD15" s="25" t="s">
        <v>125</v>
      </c>
      <c r="AE15" s="25" t="s">
        <v>125</v>
      </c>
    </row>
    <row r="16" ht="17" customHeight="1" spans="1:31">
      <c r="A16" s="25" t="s">
        <v>154</v>
      </c>
      <c r="B16" s="25" t="s">
        <v>149</v>
      </c>
      <c r="C16" s="25" t="s">
        <v>155</v>
      </c>
      <c r="D16" s="25" t="s">
        <v>156</v>
      </c>
      <c r="E16" s="25" t="s">
        <v>118</v>
      </c>
      <c r="F16" s="25" t="s">
        <v>135</v>
      </c>
      <c r="G16" s="25" t="str">
        <f>IF(OR(M16="挂起",M16="暂停",Q16="挂起",Q16="暂停",U16="挂起",U16="暂停",Y16="挂起",Y16="暂停"),"暂停","进行中")</f>
        <v>进行中</v>
      </c>
      <c r="H16" s="25" t="str">
        <f t="shared" si="1"/>
        <v>郑士旺</v>
      </c>
      <c r="I16" s="26">
        <f t="shared" si="2"/>
        <v>46223</v>
      </c>
      <c r="J16" s="26">
        <f t="shared" si="3"/>
        <v>46318</v>
      </c>
      <c r="K16" s="26"/>
      <c r="L16" s="25" t="s">
        <v>120</v>
      </c>
      <c r="M16" s="25" t="s">
        <v>121</v>
      </c>
      <c r="N16" s="26">
        <v>46223</v>
      </c>
      <c r="O16" s="26">
        <v>46227</v>
      </c>
      <c r="P16" s="25" t="s">
        <v>122</v>
      </c>
      <c r="Q16" s="25" t="s">
        <v>157</v>
      </c>
      <c r="R16" s="26">
        <v>46272</v>
      </c>
      <c r="S16" s="26">
        <v>46279</v>
      </c>
      <c r="T16" s="25" t="s">
        <v>123</v>
      </c>
      <c r="U16" s="25" t="s">
        <v>157</v>
      </c>
      <c r="V16" s="26">
        <v>46272</v>
      </c>
      <c r="W16" s="26">
        <v>46279</v>
      </c>
      <c r="X16" s="25" t="s">
        <v>124</v>
      </c>
      <c r="Y16" s="25" t="s">
        <v>23</v>
      </c>
      <c r="Z16" s="26">
        <v>46307</v>
      </c>
      <c r="AA16" s="26">
        <v>46318</v>
      </c>
      <c r="AB16" s="27">
        <f t="shared" si="4"/>
        <v>0.475</v>
      </c>
      <c r="AC16" s="25" t="str">
        <f>IF(G16="已完成","正常",IF(OR(G16="暂停",G16="挂起"),"暂停",IF(J16="","日期缺失",IF(J16&lt;_数据接口!$B$7,"已延期",IF(J16&lt;=_数据接口!$B$7+7,"临近到期","正常")))))</f>
        <v>正常</v>
      </c>
      <c r="AD16" s="25" t="s">
        <v>125</v>
      </c>
      <c r="AE16" s="25" t="s">
        <v>125</v>
      </c>
    </row>
    <row r="17" ht="17" customHeight="1" spans="1:31">
      <c r="A17" s="25" t="s">
        <v>158</v>
      </c>
      <c r="B17" s="25" t="s">
        <v>149</v>
      </c>
      <c r="C17" s="25" t="s">
        <v>155</v>
      </c>
      <c r="D17" s="25" t="s">
        <v>159</v>
      </c>
      <c r="E17" s="25" t="s">
        <v>118</v>
      </c>
      <c r="F17" s="25" t="s">
        <v>135</v>
      </c>
      <c r="G17" s="25" t="str">
        <f>IF(OR(M17="挂起",M17="暂停",Q17="挂起",Q17="暂停",U17="挂起",U17="暂停",Y17="挂起",Y17="暂停"),"暂停","进行中")</f>
        <v>进行中</v>
      </c>
      <c r="H17" s="25" t="str">
        <f t="shared" si="1"/>
        <v>郑士旺</v>
      </c>
      <c r="I17" s="26">
        <f t="shared" si="2"/>
        <v>46223</v>
      </c>
      <c r="J17" s="26">
        <f t="shared" si="3"/>
        <v>46318</v>
      </c>
      <c r="K17" s="26"/>
      <c r="L17" s="25" t="s">
        <v>120</v>
      </c>
      <c r="M17" s="25" t="s">
        <v>121</v>
      </c>
      <c r="N17" s="26">
        <v>46223</v>
      </c>
      <c r="O17" s="26">
        <v>46227</v>
      </c>
      <c r="P17" s="25" t="s">
        <v>122</v>
      </c>
      <c r="Q17" s="25" t="s">
        <v>157</v>
      </c>
      <c r="R17" s="26">
        <v>46272</v>
      </c>
      <c r="S17" s="26">
        <v>46279</v>
      </c>
      <c r="T17" s="25" t="s">
        <v>123</v>
      </c>
      <c r="U17" s="25" t="s">
        <v>157</v>
      </c>
      <c r="V17" s="26">
        <v>46272</v>
      </c>
      <c r="W17" s="26">
        <v>46279</v>
      </c>
      <c r="X17" s="25" t="s">
        <v>124</v>
      </c>
      <c r="Y17" s="25" t="s">
        <v>23</v>
      </c>
      <c r="Z17" s="26">
        <v>46307</v>
      </c>
      <c r="AA17" s="26">
        <v>46318</v>
      </c>
      <c r="AB17" s="27">
        <f t="shared" si="4"/>
        <v>0.475</v>
      </c>
      <c r="AC17" s="25" t="str">
        <f>IF(G17="已完成","正常",IF(OR(G17="暂停",G17="挂起"),"暂停",IF(J17="","日期缺失",IF(J17&lt;_数据接口!$B$7,"已延期",IF(J17&lt;=_数据接口!$B$7+7,"临近到期","正常")))))</f>
        <v>正常</v>
      </c>
      <c r="AD17" s="25" t="s">
        <v>125</v>
      </c>
      <c r="AE17" s="25" t="s">
        <v>125</v>
      </c>
    </row>
    <row r="18" ht="17" customHeight="1" spans="1:31">
      <c r="A18" s="25" t="s">
        <v>160</v>
      </c>
      <c r="B18" s="25" t="s">
        <v>149</v>
      </c>
      <c r="C18" s="25" t="s">
        <v>155</v>
      </c>
      <c r="D18" s="25" t="s">
        <v>161</v>
      </c>
      <c r="E18" s="25" t="s">
        <v>118</v>
      </c>
      <c r="F18" s="25" t="s">
        <v>135</v>
      </c>
      <c r="G18" s="25" t="str">
        <f>IF(OR(M18="挂起",M18="暂停",Q18="挂起",Q18="暂停",U18="挂起",U18="暂停",Y18="挂起",Y18="暂停"),"暂停","进行中")</f>
        <v>进行中</v>
      </c>
      <c r="H18" s="25" t="str">
        <f t="shared" si="1"/>
        <v>郑士旺</v>
      </c>
      <c r="I18" s="26">
        <f t="shared" si="2"/>
        <v>46223</v>
      </c>
      <c r="J18" s="26">
        <f t="shared" si="3"/>
        <v>46318</v>
      </c>
      <c r="K18" s="26"/>
      <c r="L18" s="25" t="s">
        <v>120</v>
      </c>
      <c r="M18" s="25" t="s">
        <v>121</v>
      </c>
      <c r="N18" s="26">
        <v>46223</v>
      </c>
      <c r="O18" s="26">
        <v>46227</v>
      </c>
      <c r="P18" s="25" t="s">
        <v>122</v>
      </c>
      <c r="Q18" s="25" t="s">
        <v>157</v>
      </c>
      <c r="R18" s="26">
        <v>46272</v>
      </c>
      <c r="S18" s="26">
        <v>46279</v>
      </c>
      <c r="T18" s="25" t="s">
        <v>123</v>
      </c>
      <c r="U18" s="25" t="s">
        <v>157</v>
      </c>
      <c r="V18" s="26">
        <v>46272</v>
      </c>
      <c r="W18" s="26">
        <v>46279</v>
      </c>
      <c r="X18" s="25" t="s">
        <v>124</v>
      </c>
      <c r="Y18" s="25" t="s">
        <v>23</v>
      </c>
      <c r="Z18" s="26">
        <v>46307</v>
      </c>
      <c r="AA18" s="26">
        <v>46318</v>
      </c>
      <c r="AB18" s="27">
        <f t="shared" si="4"/>
        <v>0.475</v>
      </c>
      <c r="AC18" s="25" t="str">
        <f>IF(G18="已完成","正常",IF(OR(G18="暂停",G18="挂起"),"暂停",IF(J18="","日期缺失",IF(J18&lt;_数据接口!$B$7,"已延期",IF(J18&lt;=_数据接口!$B$7+7,"临近到期","正常")))))</f>
        <v>正常</v>
      </c>
      <c r="AD18" s="25" t="s">
        <v>125</v>
      </c>
      <c r="AE18" s="25" t="s">
        <v>125</v>
      </c>
    </row>
    <row r="19" ht="17" customHeight="1" spans="1:31">
      <c r="A19" s="25" t="s">
        <v>162</v>
      </c>
      <c r="B19" s="25" t="s">
        <v>149</v>
      </c>
      <c r="C19" s="25" t="s">
        <v>155</v>
      </c>
      <c r="D19" s="25" t="s">
        <v>163</v>
      </c>
      <c r="E19" s="25" t="s">
        <v>118</v>
      </c>
      <c r="F19" s="25" t="s">
        <v>135</v>
      </c>
      <c r="G19" s="25" t="str">
        <f>IF(OR(M19="挂起",M19="暂停",Q19="挂起",Q19="暂停",U19="挂起",U19="暂停",Y19="挂起",Y19="暂停"),"暂停","进行中")</f>
        <v>进行中</v>
      </c>
      <c r="H19" s="25" t="str">
        <f t="shared" si="1"/>
        <v>郑士旺</v>
      </c>
      <c r="I19" s="26">
        <f t="shared" si="2"/>
        <v>46223</v>
      </c>
      <c r="J19" s="26">
        <f t="shared" si="3"/>
        <v>46318</v>
      </c>
      <c r="K19" s="26"/>
      <c r="L19" s="25" t="s">
        <v>120</v>
      </c>
      <c r="M19" s="25" t="s">
        <v>121</v>
      </c>
      <c r="N19" s="26">
        <v>46223</v>
      </c>
      <c r="O19" s="26">
        <v>46227</v>
      </c>
      <c r="P19" s="25" t="s">
        <v>122</v>
      </c>
      <c r="Q19" s="25" t="s">
        <v>157</v>
      </c>
      <c r="R19" s="26">
        <v>46272</v>
      </c>
      <c r="S19" s="26">
        <v>46279</v>
      </c>
      <c r="T19" s="25" t="s">
        <v>123</v>
      </c>
      <c r="U19" s="25" t="s">
        <v>157</v>
      </c>
      <c r="V19" s="26">
        <v>46272</v>
      </c>
      <c r="W19" s="26">
        <v>46279</v>
      </c>
      <c r="X19" s="25" t="s">
        <v>124</v>
      </c>
      <c r="Y19" s="25" t="s">
        <v>23</v>
      </c>
      <c r="Z19" s="26">
        <v>46307</v>
      </c>
      <c r="AA19" s="26">
        <v>46318</v>
      </c>
      <c r="AB19" s="27">
        <f t="shared" si="4"/>
        <v>0.475</v>
      </c>
      <c r="AC19" s="25" t="str">
        <f>IF(G19="已完成","正常",IF(OR(G19="暂停",G19="挂起"),"暂停",IF(J19="","日期缺失",IF(J19&lt;_数据接口!$B$7,"已延期",IF(J19&lt;=_数据接口!$B$7+7,"临近到期","正常")))))</f>
        <v>正常</v>
      </c>
      <c r="AD19" s="25" t="s">
        <v>125</v>
      </c>
      <c r="AE19" s="25" t="s">
        <v>125</v>
      </c>
    </row>
    <row r="20" ht="17" customHeight="1" spans="1:31">
      <c r="A20" s="25" t="s">
        <v>164</v>
      </c>
      <c r="B20" s="25" t="s">
        <v>149</v>
      </c>
      <c r="C20" s="25" t="s">
        <v>155</v>
      </c>
      <c r="D20" s="25" t="s">
        <v>165</v>
      </c>
      <c r="E20" s="25" t="s">
        <v>118</v>
      </c>
      <c r="F20" s="25" t="s">
        <v>135</v>
      </c>
      <c r="G20" s="25" t="str">
        <f>IF(OR(M20="挂起",M20="暂停",Q20="挂起",Q20="暂停",U20="挂起",U20="暂停",Y20="挂起",Y20="暂停"),"暂停","进行中")</f>
        <v>进行中</v>
      </c>
      <c r="H20" s="25" t="str">
        <f t="shared" si="1"/>
        <v>郑士旺</v>
      </c>
      <c r="I20" s="26">
        <f t="shared" si="2"/>
        <v>46223</v>
      </c>
      <c r="J20" s="26">
        <f t="shared" si="3"/>
        <v>46318</v>
      </c>
      <c r="K20" s="26"/>
      <c r="L20" s="25" t="s">
        <v>120</v>
      </c>
      <c r="M20" s="25" t="s">
        <v>121</v>
      </c>
      <c r="N20" s="26">
        <v>46223</v>
      </c>
      <c r="O20" s="26">
        <v>46227</v>
      </c>
      <c r="P20" s="25" t="s">
        <v>122</v>
      </c>
      <c r="Q20" s="25" t="s">
        <v>157</v>
      </c>
      <c r="R20" s="26">
        <v>46272</v>
      </c>
      <c r="S20" s="26">
        <v>46279</v>
      </c>
      <c r="T20" s="25" t="s">
        <v>123</v>
      </c>
      <c r="U20" s="25" t="s">
        <v>157</v>
      </c>
      <c r="V20" s="26">
        <v>46272</v>
      </c>
      <c r="W20" s="26">
        <v>46279</v>
      </c>
      <c r="X20" s="25" t="s">
        <v>124</v>
      </c>
      <c r="Y20" s="25" t="s">
        <v>23</v>
      </c>
      <c r="Z20" s="26">
        <v>46307</v>
      </c>
      <c r="AA20" s="26">
        <v>46318</v>
      </c>
      <c r="AB20" s="27">
        <f t="shared" si="4"/>
        <v>0.475</v>
      </c>
      <c r="AC20" s="25" t="str">
        <f>IF(G20="已完成","正常",IF(OR(G20="暂停",G20="挂起"),"暂停",IF(J20="","日期缺失",IF(J20&lt;_数据接口!$B$7,"已延期",IF(J20&lt;=_数据接口!$B$7+7,"临近到期","正常")))))</f>
        <v>正常</v>
      </c>
      <c r="AD20" s="25" t="s">
        <v>125</v>
      </c>
      <c r="AE20" s="25" t="s">
        <v>125</v>
      </c>
    </row>
    <row r="21" ht="17" customHeight="1" spans="1:31">
      <c r="A21" s="25" t="s">
        <v>166</v>
      </c>
      <c r="B21" s="25" t="s">
        <v>149</v>
      </c>
      <c r="C21" s="25" t="s">
        <v>155</v>
      </c>
      <c r="D21" s="25" t="s">
        <v>167</v>
      </c>
      <c r="E21" s="25" t="s">
        <v>118</v>
      </c>
      <c r="F21" s="25" t="s">
        <v>135</v>
      </c>
      <c r="G21" s="25" t="str">
        <f>IF(OR(M21="挂起",M21="暂停",Q21="挂起",Q21="暂停",U21="挂起",U21="暂停",Y21="挂起",Y21="暂停"),"暂停","未开始")</f>
        <v>未开始</v>
      </c>
      <c r="H21" s="25" t="str">
        <f t="shared" si="1"/>
        <v>郑士旺</v>
      </c>
      <c r="I21" s="26">
        <f t="shared" si="2"/>
        <v>46223</v>
      </c>
      <c r="J21" s="26">
        <f t="shared" si="3"/>
        <v>46318</v>
      </c>
      <c r="K21" s="26"/>
      <c r="L21" s="25" t="s">
        <v>120</v>
      </c>
      <c r="M21" s="25" t="s">
        <v>23</v>
      </c>
      <c r="N21" s="26">
        <v>46223</v>
      </c>
      <c r="O21" s="26">
        <v>46227</v>
      </c>
      <c r="P21" s="25" t="s">
        <v>122</v>
      </c>
      <c r="Q21" s="25" t="s">
        <v>23</v>
      </c>
      <c r="R21" s="26">
        <v>46272</v>
      </c>
      <c r="S21" s="26">
        <v>46304</v>
      </c>
      <c r="T21" s="25" t="s">
        <v>123</v>
      </c>
      <c r="U21" s="25" t="s">
        <v>23</v>
      </c>
      <c r="V21" s="26">
        <v>46272</v>
      </c>
      <c r="W21" s="26">
        <v>46304</v>
      </c>
      <c r="X21" s="25" t="s">
        <v>124</v>
      </c>
      <c r="Y21" s="25" t="s">
        <v>23</v>
      </c>
      <c r="Z21" s="26">
        <v>46307</v>
      </c>
      <c r="AA21" s="26">
        <v>46318</v>
      </c>
      <c r="AB21" s="27">
        <f t="shared" si="4"/>
        <v>0</v>
      </c>
      <c r="AC21" s="25" t="str">
        <f>IF(G21="已完成","正常",IF(OR(G21="暂停",G21="挂起"),"暂停",IF(J21="","日期缺失",IF(J21&lt;_数据接口!$B$7,"已延期",IF(J21&lt;=_数据接口!$B$7+7,"临近到期","正常")))))</f>
        <v>正常</v>
      </c>
      <c r="AD21" s="25" t="s">
        <v>125</v>
      </c>
      <c r="AE21" s="25" t="s">
        <v>125</v>
      </c>
    </row>
    <row r="22" ht="17" customHeight="1" spans="1:31">
      <c r="A22" s="25" t="s">
        <v>168</v>
      </c>
      <c r="B22" s="25" t="s">
        <v>149</v>
      </c>
      <c r="C22" s="25" t="s">
        <v>169</v>
      </c>
      <c r="D22" s="25" t="s">
        <v>170</v>
      </c>
      <c r="E22" s="25" t="s">
        <v>171</v>
      </c>
      <c r="F22" s="25" t="s">
        <v>135</v>
      </c>
      <c r="G22" s="25" t="str">
        <f>IF(OR(M22="挂起",M22="暂停",Q22="挂起",Q22="暂停",U22="挂起",U22="暂停",Y22="挂起",Y22="暂停"),"暂停","进行中")</f>
        <v>进行中</v>
      </c>
      <c r="H22" s="25" t="str">
        <f t="shared" si="1"/>
        <v>郑士旺</v>
      </c>
      <c r="I22" s="26">
        <f t="shared" si="2"/>
        <v>46230</v>
      </c>
      <c r="J22" s="26">
        <f t="shared" si="3"/>
        <v>46353</v>
      </c>
      <c r="K22" s="26"/>
      <c r="L22" s="25" t="s">
        <v>120</v>
      </c>
      <c r="M22" s="25" t="s">
        <v>121</v>
      </c>
      <c r="N22" s="26">
        <v>46230</v>
      </c>
      <c r="O22" s="26">
        <v>46241</v>
      </c>
      <c r="P22" s="25" t="s">
        <v>122</v>
      </c>
      <c r="Q22" s="25" t="s">
        <v>23</v>
      </c>
      <c r="R22" s="26">
        <v>46307</v>
      </c>
      <c r="S22" s="26">
        <v>46339</v>
      </c>
      <c r="T22" s="25" t="s">
        <v>123</v>
      </c>
      <c r="U22" s="25" t="s">
        <v>23</v>
      </c>
      <c r="V22" s="26">
        <v>46307</v>
      </c>
      <c r="W22" s="26">
        <v>46339</v>
      </c>
      <c r="X22" s="25" t="s">
        <v>124</v>
      </c>
      <c r="Y22" s="25" t="s">
        <v>23</v>
      </c>
      <c r="Z22" s="26">
        <v>46342</v>
      </c>
      <c r="AA22" s="26">
        <v>46353</v>
      </c>
      <c r="AB22" s="27">
        <f t="shared" si="4"/>
        <v>0.15</v>
      </c>
      <c r="AC22" s="25" t="str">
        <f>IF(G22="已完成","正常",IF(OR(G22="暂停",G22="挂起"),"暂停",IF(J22="","日期缺失",IF(J22&lt;_数据接口!$B$7,"已延期",IF(J22&lt;=_数据接口!$B$7+7,"临近到期","正常")))))</f>
        <v>正常</v>
      </c>
      <c r="AD22" s="25" t="s">
        <v>125</v>
      </c>
      <c r="AE22" s="25" t="s">
        <v>125</v>
      </c>
    </row>
    <row r="23" ht="17" customHeight="1" spans="1:31">
      <c r="A23" s="25" t="s">
        <v>172</v>
      </c>
      <c r="B23" s="25" t="s">
        <v>149</v>
      </c>
      <c r="C23" s="25" t="s">
        <v>169</v>
      </c>
      <c r="D23" s="25" t="s">
        <v>170</v>
      </c>
      <c r="E23" s="25" t="s">
        <v>173</v>
      </c>
      <c r="F23" s="25" t="s">
        <v>135</v>
      </c>
      <c r="G23" s="25" t="str">
        <f>IF(OR(M23="挂起",M23="暂停",Q23="挂起",Q23="暂停",U23="挂起",U23="暂停",Y23="挂起",Y23="暂停"),"暂停","进行中")</f>
        <v>进行中</v>
      </c>
      <c r="H23" s="25" t="str">
        <f t="shared" si="1"/>
        <v>郑士旺</v>
      </c>
      <c r="I23" s="26">
        <f t="shared" si="2"/>
        <v>46230</v>
      </c>
      <c r="J23" s="26">
        <f t="shared" si="3"/>
        <v>46353</v>
      </c>
      <c r="K23" s="26"/>
      <c r="L23" s="25" t="s">
        <v>120</v>
      </c>
      <c r="M23" s="25" t="s">
        <v>121</v>
      </c>
      <c r="N23" s="26">
        <v>46230</v>
      </c>
      <c r="O23" s="26">
        <v>46241</v>
      </c>
      <c r="P23" s="25" t="s">
        <v>122</v>
      </c>
      <c r="Q23" s="25" t="s">
        <v>121</v>
      </c>
      <c r="R23" s="26">
        <v>46266</v>
      </c>
      <c r="S23" s="26">
        <v>46272</v>
      </c>
      <c r="T23" s="25" t="s">
        <v>123</v>
      </c>
      <c r="U23" s="25" t="s">
        <v>121</v>
      </c>
      <c r="V23" s="26">
        <v>46266</v>
      </c>
      <c r="W23" s="26">
        <v>46272</v>
      </c>
      <c r="X23" s="25" t="s">
        <v>124</v>
      </c>
      <c r="Y23" s="25" t="s">
        <v>157</v>
      </c>
      <c r="Z23" s="26">
        <v>46342</v>
      </c>
      <c r="AA23" s="26">
        <v>46353</v>
      </c>
      <c r="AB23" s="27">
        <f t="shared" si="4"/>
        <v>0.9</v>
      </c>
      <c r="AC23" s="25" t="str">
        <f>IF(G23="已完成","正常",IF(OR(G23="暂停",G23="挂起"),"暂停",IF(J23="","日期缺失",IF(J23&lt;_数据接口!$B$7,"已延期",IF(J23&lt;=_数据接口!$B$7+7,"临近到期","正常")))))</f>
        <v>正常</v>
      </c>
      <c r="AD23" s="25" t="s">
        <v>125</v>
      </c>
      <c r="AE23" s="25" t="s">
        <v>125</v>
      </c>
    </row>
    <row r="24" ht="17" customHeight="1" spans="1:31">
      <c r="A24" s="25" t="s">
        <v>174</v>
      </c>
      <c r="B24" s="25" t="s">
        <v>149</v>
      </c>
      <c r="C24" s="25" t="s">
        <v>169</v>
      </c>
      <c r="D24" s="25" t="s">
        <v>170</v>
      </c>
      <c r="E24" s="25" t="s">
        <v>175</v>
      </c>
      <c r="F24" s="25" t="s">
        <v>135</v>
      </c>
      <c r="G24" s="25" t="str">
        <f>IF(OR(M24="挂起",M24="暂停",Q24="挂起",Q24="暂停",U24="挂起",U24="暂停",Y24="挂起",Y24="暂停"),"暂停","进行中")</f>
        <v>进行中</v>
      </c>
      <c r="H24" s="25" t="str">
        <f t="shared" si="1"/>
        <v>郑士旺</v>
      </c>
      <c r="I24" s="26">
        <f t="shared" si="2"/>
        <v>46230</v>
      </c>
      <c r="J24" s="26">
        <f t="shared" si="3"/>
        <v>46353</v>
      </c>
      <c r="K24" s="26"/>
      <c r="L24" s="25" t="s">
        <v>120</v>
      </c>
      <c r="M24" s="25" t="s">
        <v>121</v>
      </c>
      <c r="N24" s="26">
        <v>46230</v>
      </c>
      <c r="O24" s="26">
        <v>46241</v>
      </c>
      <c r="P24" s="25" t="s">
        <v>122</v>
      </c>
      <c r="Q24" s="25" t="s">
        <v>121</v>
      </c>
      <c r="R24" s="26">
        <v>46266</v>
      </c>
      <c r="S24" s="26">
        <v>46272</v>
      </c>
      <c r="T24" s="25" t="s">
        <v>123</v>
      </c>
      <c r="U24" s="25" t="s">
        <v>121</v>
      </c>
      <c r="V24" s="26">
        <v>46266</v>
      </c>
      <c r="W24" s="26">
        <v>46272</v>
      </c>
      <c r="X24" s="25" t="s">
        <v>124</v>
      </c>
      <c r="Y24" s="25" t="s">
        <v>157</v>
      </c>
      <c r="Z24" s="26">
        <v>46342</v>
      </c>
      <c r="AA24" s="26">
        <v>46353</v>
      </c>
      <c r="AB24" s="27">
        <f t="shared" si="4"/>
        <v>0.9</v>
      </c>
      <c r="AC24" s="25" t="str">
        <f>IF(G24="已完成","正常",IF(OR(G24="暂停",G24="挂起"),"暂停",IF(J24="","日期缺失",IF(J24&lt;_数据接口!$B$7,"已延期",IF(J24&lt;=_数据接口!$B$7+7,"临近到期","正常")))))</f>
        <v>正常</v>
      </c>
      <c r="AD24" s="25" t="s">
        <v>125</v>
      </c>
      <c r="AE24" s="25" t="s">
        <v>125</v>
      </c>
    </row>
    <row r="25" ht="34" customHeight="1" spans="1:31">
      <c r="A25" s="25" t="s">
        <v>176</v>
      </c>
      <c r="B25" s="25" t="s">
        <v>149</v>
      </c>
      <c r="C25" s="25" t="s">
        <v>169</v>
      </c>
      <c r="D25" s="25" t="s">
        <v>177</v>
      </c>
      <c r="E25" s="25" t="s">
        <v>178</v>
      </c>
      <c r="F25" s="25" t="s">
        <v>135</v>
      </c>
      <c r="G25" s="25" t="str">
        <f>IF(OR(M25="挂起",M25="暂停",Q25="挂起",Q25="暂停",U25="挂起",U25="暂停",Y25="挂起",Y25="暂停"),"暂停","未开始")</f>
        <v>未开始</v>
      </c>
      <c r="H25" s="25" t="str">
        <f t="shared" si="1"/>
        <v>郑士旺</v>
      </c>
      <c r="I25" s="26">
        <f t="shared" si="2"/>
        <v>46230</v>
      </c>
      <c r="J25" s="26">
        <f t="shared" si="3"/>
        <v>46353</v>
      </c>
      <c r="K25" s="26"/>
      <c r="L25" s="25" t="s">
        <v>120</v>
      </c>
      <c r="M25" s="25" t="s">
        <v>23</v>
      </c>
      <c r="N25" s="26">
        <v>46230</v>
      </c>
      <c r="O25" s="26">
        <v>46241</v>
      </c>
      <c r="P25" s="25" t="s">
        <v>122</v>
      </c>
      <c r="Q25" s="25" t="s">
        <v>23</v>
      </c>
      <c r="R25" s="26">
        <v>46307</v>
      </c>
      <c r="S25" s="26">
        <v>46339</v>
      </c>
      <c r="T25" s="25" t="s">
        <v>123</v>
      </c>
      <c r="U25" s="25" t="s">
        <v>23</v>
      </c>
      <c r="V25" s="26">
        <v>46307</v>
      </c>
      <c r="W25" s="26">
        <v>46339</v>
      </c>
      <c r="X25" s="25" t="s">
        <v>124</v>
      </c>
      <c r="Y25" s="25" t="s">
        <v>23</v>
      </c>
      <c r="Z25" s="26">
        <v>46342</v>
      </c>
      <c r="AA25" s="26">
        <v>46353</v>
      </c>
      <c r="AB25" s="27">
        <f t="shared" si="4"/>
        <v>0</v>
      </c>
      <c r="AC25" s="25" t="str">
        <f>IF(G25="已完成","正常",IF(OR(G25="暂停",G25="挂起"),"暂停",IF(J25="","日期缺失",IF(J25&lt;_数据接口!$B$7,"已延期",IF(J25&lt;=_数据接口!$B$7+7,"临近到期","正常")))))</f>
        <v>正常</v>
      </c>
      <c r="AD25" s="25" t="s">
        <v>125</v>
      </c>
      <c r="AE25" s="25" t="s">
        <v>125</v>
      </c>
    </row>
    <row r="26" ht="34" customHeight="1" spans="1:31">
      <c r="A26" s="25" t="s">
        <v>179</v>
      </c>
      <c r="B26" s="25" t="s">
        <v>149</v>
      </c>
      <c r="C26" s="25" t="s">
        <v>169</v>
      </c>
      <c r="D26" s="25" t="s">
        <v>177</v>
      </c>
      <c r="E26" s="25" t="s">
        <v>180</v>
      </c>
      <c r="F26" s="25" t="s">
        <v>135</v>
      </c>
      <c r="G26" s="25" t="str">
        <f>IF(OR(M26="挂起",M26="暂停",Q26="挂起",Q26="暂停",U26="挂起",U26="暂停",Y26="挂起",Y26="暂停"),"暂停","未开始")</f>
        <v>未开始</v>
      </c>
      <c r="H26" s="25" t="str">
        <f t="shared" si="1"/>
        <v>郑士旺</v>
      </c>
      <c r="I26" s="26">
        <f t="shared" si="2"/>
        <v>46230</v>
      </c>
      <c r="J26" s="26">
        <f t="shared" si="3"/>
        <v>46353</v>
      </c>
      <c r="K26" s="26"/>
      <c r="L26" s="25" t="s">
        <v>120</v>
      </c>
      <c r="M26" s="25" t="s">
        <v>23</v>
      </c>
      <c r="N26" s="26">
        <v>46230</v>
      </c>
      <c r="O26" s="26">
        <v>46241</v>
      </c>
      <c r="P26" s="25" t="s">
        <v>122</v>
      </c>
      <c r="Q26" s="25" t="s">
        <v>23</v>
      </c>
      <c r="R26" s="26">
        <v>46307</v>
      </c>
      <c r="S26" s="26">
        <v>46339</v>
      </c>
      <c r="T26" s="25" t="s">
        <v>123</v>
      </c>
      <c r="U26" s="25" t="s">
        <v>23</v>
      </c>
      <c r="V26" s="26">
        <v>46307</v>
      </c>
      <c r="W26" s="26">
        <v>46339</v>
      </c>
      <c r="X26" s="25" t="s">
        <v>124</v>
      </c>
      <c r="Y26" s="25" t="s">
        <v>23</v>
      </c>
      <c r="Z26" s="26">
        <v>46342</v>
      </c>
      <c r="AA26" s="26">
        <v>46353</v>
      </c>
      <c r="AB26" s="27">
        <f t="shared" si="4"/>
        <v>0</v>
      </c>
      <c r="AC26" s="25" t="str">
        <f>IF(G26="已完成","正常",IF(OR(G26="暂停",G26="挂起"),"暂停",IF(J26="","日期缺失",IF(J26&lt;_数据接口!$B$7,"已延期",IF(J26&lt;=_数据接口!$B$7+7,"临近到期","正常")))))</f>
        <v>正常</v>
      </c>
      <c r="AD26" s="25" t="s">
        <v>125</v>
      </c>
      <c r="AE26" s="25" t="s">
        <v>125</v>
      </c>
    </row>
    <row r="27" ht="17" customHeight="1" spans="1:31">
      <c r="A27" s="25" t="s">
        <v>181</v>
      </c>
      <c r="B27" s="25" t="s">
        <v>149</v>
      </c>
      <c r="C27" s="25" t="s">
        <v>169</v>
      </c>
      <c r="D27" s="25" t="s">
        <v>182</v>
      </c>
      <c r="E27" s="25" t="s">
        <v>183</v>
      </c>
      <c r="F27" s="25" t="s">
        <v>135</v>
      </c>
      <c r="G27" s="25" t="str">
        <f>IF(OR(M27="挂起",M27="暂停",Q27="挂起",Q27="暂停",U27="挂起",U27="暂停",Y27="挂起",Y27="暂停"),"暂停","未开始")</f>
        <v>未开始</v>
      </c>
      <c r="H27" s="25" t="str">
        <f t="shared" si="1"/>
        <v>郑士旺</v>
      </c>
      <c r="I27" s="26">
        <f t="shared" si="2"/>
        <v>46230</v>
      </c>
      <c r="J27" s="26">
        <f t="shared" si="3"/>
        <v>46353</v>
      </c>
      <c r="K27" s="26"/>
      <c r="L27" s="25" t="s">
        <v>120</v>
      </c>
      <c r="M27" s="25" t="s">
        <v>23</v>
      </c>
      <c r="N27" s="26">
        <v>46230</v>
      </c>
      <c r="O27" s="26">
        <v>46241</v>
      </c>
      <c r="P27" s="25" t="s">
        <v>122</v>
      </c>
      <c r="Q27" s="25" t="s">
        <v>23</v>
      </c>
      <c r="R27" s="26">
        <v>46307</v>
      </c>
      <c r="S27" s="26">
        <v>46339</v>
      </c>
      <c r="T27" s="25" t="s">
        <v>123</v>
      </c>
      <c r="U27" s="25" t="s">
        <v>23</v>
      </c>
      <c r="V27" s="26">
        <v>46307</v>
      </c>
      <c r="W27" s="26">
        <v>46339</v>
      </c>
      <c r="X27" s="25" t="s">
        <v>124</v>
      </c>
      <c r="Y27" s="25" t="s">
        <v>23</v>
      </c>
      <c r="Z27" s="26">
        <v>46342</v>
      </c>
      <c r="AA27" s="26">
        <v>46353</v>
      </c>
      <c r="AB27" s="27">
        <f t="shared" si="4"/>
        <v>0</v>
      </c>
      <c r="AC27" s="25" t="str">
        <f>IF(G27="已完成","正常",IF(OR(G27="暂停",G27="挂起"),"暂停",IF(J27="","日期缺失",IF(J27&lt;_数据接口!$B$7,"已延期",IF(J27&lt;=_数据接口!$B$7+7,"临近到期","正常")))))</f>
        <v>正常</v>
      </c>
      <c r="AD27" s="25" t="s">
        <v>125</v>
      </c>
      <c r="AE27" s="25" t="s">
        <v>125</v>
      </c>
    </row>
    <row r="28" ht="17" customHeight="1" spans="1:31">
      <c r="A28" s="25" t="s">
        <v>184</v>
      </c>
      <c r="B28" s="25" t="s">
        <v>149</v>
      </c>
      <c r="C28" s="25" t="s">
        <v>169</v>
      </c>
      <c r="D28" s="25" t="s">
        <v>182</v>
      </c>
      <c r="E28" s="25" t="s">
        <v>185</v>
      </c>
      <c r="F28" s="25" t="s">
        <v>135</v>
      </c>
      <c r="G28" s="25" t="str">
        <f>IF(OR(M28="挂起",M28="暂停",Q28="挂起",Q28="暂停",U28="挂起",U28="暂停",Y28="挂起",Y28="暂停"),"暂停","未开始")</f>
        <v>未开始</v>
      </c>
      <c r="H28" s="25" t="str">
        <f t="shared" si="1"/>
        <v>郑士旺</v>
      </c>
      <c r="I28" s="26">
        <f t="shared" si="2"/>
        <v>46230</v>
      </c>
      <c r="J28" s="26">
        <f t="shared" si="3"/>
        <v>46261</v>
      </c>
      <c r="K28" s="26">
        <v>46261</v>
      </c>
      <c r="L28" s="25" t="s">
        <v>120</v>
      </c>
      <c r="M28" s="25" t="s">
        <v>23</v>
      </c>
      <c r="N28" s="26">
        <v>46230</v>
      </c>
      <c r="O28" s="26">
        <v>46241</v>
      </c>
      <c r="P28" s="25" t="s">
        <v>122</v>
      </c>
      <c r="Q28" s="25" t="s">
        <v>23</v>
      </c>
      <c r="R28" s="26">
        <v>46307</v>
      </c>
      <c r="S28" s="26">
        <v>46339</v>
      </c>
      <c r="T28" s="25" t="s">
        <v>123</v>
      </c>
      <c r="U28" s="25" t="s">
        <v>23</v>
      </c>
      <c r="V28" s="26">
        <v>46307</v>
      </c>
      <c r="W28" s="26">
        <v>46339</v>
      </c>
      <c r="X28" s="25" t="s">
        <v>124</v>
      </c>
      <c r="Y28" s="25" t="s">
        <v>23</v>
      </c>
      <c r="Z28" s="26">
        <v>46342</v>
      </c>
      <c r="AA28" s="26">
        <v>46353</v>
      </c>
      <c r="AB28" s="27">
        <f t="shared" si="4"/>
        <v>0</v>
      </c>
      <c r="AC28" s="25" t="str">
        <f>IF(G28="已完成","正常",IF(OR(G28="暂停",G28="挂起"),"暂停",IF(J28="","日期缺失",IF(J28&lt;_数据接口!$B$7,"已延期",IF(J28&lt;=_数据接口!$B$7+7,"临近到期","正常")))))</f>
        <v>已延期</v>
      </c>
      <c r="AD28" s="25" t="s">
        <v>125</v>
      </c>
      <c r="AE28" s="25" t="s">
        <v>125</v>
      </c>
    </row>
    <row r="29" ht="17" customHeight="1" spans="1:31">
      <c r="A29" s="25" t="s">
        <v>186</v>
      </c>
      <c r="B29" s="25" t="s">
        <v>149</v>
      </c>
      <c r="C29" s="25" t="s">
        <v>169</v>
      </c>
      <c r="D29" s="25" t="s">
        <v>187</v>
      </c>
      <c r="E29" s="25" t="s">
        <v>188</v>
      </c>
      <c r="F29" s="25" t="s">
        <v>135</v>
      </c>
      <c r="G29" s="25" t="str">
        <f>IF(OR(M29="挂起",M29="暂停",Q29="挂起",Q29="暂停",U29="挂起",U29="暂停",Y29="挂起",Y29="暂停"),"暂停","进行中")</f>
        <v>进行中</v>
      </c>
      <c r="H29" s="25" t="str">
        <f t="shared" si="1"/>
        <v>郑士旺</v>
      </c>
      <c r="I29" s="26">
        <f t="shared" si="2"/>
        <v>46230</v>
      </c>
      <c r="J29" s="26">
        <f t="shared" si="3"/>
        <v>46261</v>
      </c>
      <c r="K29" s="26">
        <v>46261</v>
      </c>
      <c r="L29" s="25" t="s">
        <v>120</v>
      </c>
      <c r="M29" s="25" t="s">
        <v>121</v>
      </c>
      <c r="N29" s="26">
        <v>46230</v>
      </c>
      <c r="O29" s="26">
        <v>46241</v>
      </c>
      <c r="P29" s="25" t="s">
        <v>122</v>
      </c>
      <c r="Q29" s="25" t="s">
        <v>121</v>
      </c>
      <c r="R29" s="26">
        <v>46266</v>
      </c>
      <c r="S29" s="26">
        <v>46272</v>
      </c>
      <c r="T29" s="25" t="s">
        <v>123</v>
      </c>
      <c r="U29" s="25" t="s">
        <v>121</v>
      </c>
      <c r="V29" s="26">
        <v>46266</v>
      </c>
      <c r="W29" s="26">
        <v>46272</v>
      </c>
      <c r="X29" s="25" t="s">
        <v>124</v>
      </c>
      <c r="Y29" s="25" t="s">
        <v>157</v>
      </c>
      <c r="Z29" s="26">
        <v>46342</v>
      </c>
      <c r="AA29" s="26">
        <v>46353</v>
      </c>
      <c r="AB29" s="27">
        <f t="shared" si="4"/>
        <v>0.9</v>
      </c>
      <c r="AC29" s="25" t="str">
        <f>IF(G29="已完成","正常",IF(OR(G29="暂停",G29="挂起"),"暂停",IF(J29="","日期缺失",IF(J29&lt;_数据接口!$B$7,"已延期",IF(J29&lt;=_数据接口!$B$7+7,"临近到期","正常")))))</f>
        <v>已延期</v>
      </c>
      <c r="AD29" s="25" t="s">
        <v>125</v>
      </c>
      <c r="AE29" s="25" t="s">
        <v>125</v>
      </c>
    </row>
    <row r="30" ht="17" customHeight="1" spans="1:31">
      <c r="A30" s="25" t="s">
        <v>189</v>
      </c>
      <c r="B30" s="25" t="s">
        <v>149</v>
      </c>
      <c r="C30" s="25" t="s">
        <v>169</v>
      </c>
      <c r="D30" s="25" t="s">
        <v>187</v>
      </c>
      <c r="E30" s="25" t="s">
        <v>190</v>
      </c>
      <c r="F30" s="25" t="s">
        <v>135</v>
      </c>
      <c r="G30" s="25" t="str">
        <f>IF(OR(M30="挂起",M30="暂停",Q30="挂起",Q30="暂停",U30="挂起",U30="暂停",Y30="挂起",Y30="暂停"),"暂停","进行中")</f>
        <v>进行中</v>
      </c>
      <c r="H30" s="25" t="str">
        <f t="shared" si="1"/>
        <v>郑士旺</v>
      </c>
      <c r="I30" s="26">
        <f t="shared" si="2"/>
        <v>46230</v>
      </c>
      <c r="J30" s="26">
        <f t="shared" si="3"/>
        <v>46261</v>
      </c>
      <c r="K30" s="26">
        <v>46261</v>
      </c>
      <c r="L30" s="25" t="s">
        <v>120</v>
      </c>
      <c r="M30" s="25" t="s">
        <v>121</v>
      </c>
      <c r="N30" s="26">
        <v>46230</v>
      </c>
      <c r="O30" s="26">
        <v>46241</v>
      </c>
      <c r="P30" s="25" t="s">
        <v>122</v>
      </c>
      <c r="Q30" s="25" t="s">
        <v>121</v>
      </c>
      <c r="R30" s="26">
        <v>46266</v>
      </c>
      <c r="S30" s="26">
        <v>46272</v>
      </c>
      <c r="T30" s="25" t="s">
        <v>123</v>
      </c>
      <c r="U30" s="25" t="s">
        <v>121</v>
      </c>
      <c r="V30" s="26">
        <v>46266</v>
      </c>
      <c r="W30" s="26">
        <v>46272</v>
      </c>
      <c r="X30" s="25" t="s">
        <v>124</v>
      </c>
      <c r="Y30" s="25" t="s">
        <v>157</v>
      </c>
      <c r="Z30" s="26">
        <v>46342</v>
      </c>
      <c r="AA30" s="26">
        <v>46353</v>
      </c>
      <c r="AB30" s="27">
        <f t="shared" si="4"/>
        <v>0.9</v>
      </c>
      <c r="AC30" s="25" t="str">
        <f>IF(G30="已完成","正常",IF(OR(G30="暂停",G30="挂起"),"暂停",IF(J30="","日期缺失",IF(J30&lt;_数据接口!$B$7,"已延期",IF(J30&lt;=_数据接口!$B$7+7,"临近到期","正常")))))</f>
        <v>已延期</v>
      </c>
      <c r="AD30" s="25" t="s">
        <v>125</v>
      </c>
      <c r="AE30" s="25" t="s">
        <v>125</v>
      </c>
    </row>
    <row r="31" ht="17" customHeight="1" spans="1:31">
      <c r="A31" s="25" t="s">
        <v>191</v>
      </c>
      <c r="B31" s="25" t="s">
        <v>149</v>
      </c>
      <c r="C31" s="25" t="s">
        <v>169</v>
      </c>
      <c r="D31" s="25" t="s">
        <v>187</v>
      </c>
      <c r="E31" s="25" t="s">
        <v>192</v>
      </c>
      <c r="F31" s="25" t="s">
        <v>135</v>
      </c>
      <c r="G31" s="25" t="str">
        <f>IF(OR(M31="挂起",M31="暂停",Q31="挂起",Q31="暂停",U31="挂起",U31="暂停",Y31="挂起",Y31="暂停"),"暂停","进行中")</f>
        <v>进行中</v>
      </c>
      <c r="H31" s="25" t="str">
        <f t="shared" si="1"/>
        <v>郑士旺</v>
      </c>
      <c r="I31" s="26">
        <f t="shared" si="2"/>
        <v>46230</v>
      </c>
      <c r="J31" s="26">
        <f t="shared" si="3"/>
        <v>46261</v>
      </c>
      <c r="K31" s="26">
        <v>46261</v>
      </c>
      <c r="L31" s="25" t="s">
        <v>120</v>
      </c>
      <c r="M31" s="25" t="s">
        <v>157</v>
      </c>
      <c r="N31" s="26">
        <v>46230</v>
      </c>
      <c r="O31" s="26">
        <v>46241</v>
      </c>
      <c r="P31" s="25" t="s">
        <v>122</v>
      </c>
      <c r="Q31" s="25" t="s">
        <v>23</v>
      </c>
      <c r="R31" s="26">
        <v>46307</v>
      </c>
      <c r="S31" s="26">
        <v>46339</v>
      </c>
      <c r="T31" s="25" t="s">
        <v>123</v>
      </c>
      <c r="U31" s="25" t="s">
        <v>23</v>
      </c>
      <c r="V31" s="26">
        <v>46307</v>
      </c>
      <c r="W31" s="26">
        <v>46339</v>
      </c>
      <c r="X31" s="25" t="s">
        <v>124</v>
      </c>
      <c r="Y31" s="25" t="s">
        <v>23</v>
      </c>
      <c r="Z31" s="26">
        <v>46342</v>
      </c>
      <c r="AA31" s="26">
        <v>46353</v>
      </c>
      <c r="AB31" s="27">
        <f t="shared" si="4"/>
        <v>0.075</v>
      </c>
      <c r="AC31" s="25" t="str">
        <f>IF(G31="已完成","正常",IF(OR(G31="暂停",G31="挂起"),"暂停",IF(J31="","日期缺失",IF(J31&lt;_数据接口!$B$7,"已延期",IF(J31&lt;=_数据接口!$B$7+7,"临近到期","正常")))))</f>
        <v>已延期</v>
      </c>
      <c r="AD31" s="25" t="s">
        <v>125</v>
      </c>
      <c r="AE31" s="25" t="s">
        <v>125</v>
      </c>
    </row>
    <row r="32" ht="17" customHeight="1" spans="1:31">
      <c r="A32" s="25" t="s">
        <v>193</v>
      </c>
      <c r="B32" s="25" t="s">
        <v>149</v>
      </c>
      <c r="C32" s="25" t="s">
        <v>169</v>
      </c>
      <c r="D32" s="25" t="s">
        <v>187</v>
      </c>
      <c r="E32" s="25" t="s">
        <v>194</v>
      </c>
      <c r="F32" s="25" t="s">
        <v>135</v>
      </c>
      <c r="G32" s="25" t="str">
        <f>IF(OR(M32="挂起",M32="暂停",Q32="挂起",Q32="暂停",U32="挂起",U32="暂停",Y32="挂起",Y32="暂停"),"暂停","进行中")</f>
        <v>进行中</v>
      </c>
      <c r="H32" s="25" t="str">
        <f t="shared" si="1"/>
        <v>郑士旺</v>
      </c>
      <c r="I32" s="26">
        <f t="shared" si="2"/>
        <v>46230</v>
      </c>
      <c r="J32" s="26">
        <f t="shared" si="3"/>
        <v>46261</v>
      </c>
      <c r="K32" s="26">
        <v>46261</v>
      </c>
      <c r="L32" s="25" t="s">
        <v>120</v>
      </c>
      <c r="M32" s="25" t="s">
        <v>157</v>
      </c>
      <c r="N32" s="26">
        <v>46230</v>
      </c>
      <c r="O32" s="26">
        <v>46241</v>
      </c>
      <c r="P32" s="25" t="s">
        <v>122</v>
      </c>
      <c r="Q32" s="25" t="s">
        <v>23</v>
      </c>
      <c r="R32" s="26">
        <v>46307</v>
      </c>
      <c r="S32" s="26">
        <v>46339</v>
      </c>
      <c r="T32" s="25" t="s">
        <v>123</v>
      </c>
      <c r="U32" s="25" t="s">
        <v>23</v>
      </c>
      <c r="V32" s="26">
        <v>46307</v>
      </c>
      <c r="W32" s="26">
        <v>46339</v>
      </c>
      <c r="X32" s="25" t="s">
        <v>124</v>
      </c>
      <c r="Y32" s="25" t="s">
        <v>23</v>
      </c>
      <c r="Z32" s="26">
        <v>46342</v>
      </c>
      <c r="AA32" s="26">
        <v>46353</v>
      </c>
      <c r="AB32" s="27">
        <f t="shared" si="4"/>
        <v>0.075</v>
      </c>
      <c r="AC32" s="25" t="str">
        <f>IF(G32="已完成","正常",IF(OR(G32="暂停",G32="挂起"),"暂停",IF(J32="","日期缺失",IF(J32&lt;_数据接口!$B$7,"已延期",IF(J32&lt;=_数据接口!$B$7+7,"临近到期","正常")))))</f>
        <v>已延期</v>
      </c>
      <c r="AD32" s="25" t="s">
        <v>125</v>
      </c>
      <c r="AE32" s="25" t="s">
        <v>125</v>
      </c>
    </row>
    <row r="33" ht="17" customHeight="1" spans="1:31">
      <c r="A33" s="25" t="s">
        <v>195</v>
      </c>
      <c r="B33" s="25" t="s">
        <v>149</v>
      </c>
      <c r="C33" s="25" t="s">
        <v>169</v>
      </c>
      <c r="D33" s="25" t="s">
        <v>187</v>
      </c>
      <c r="E33" s="25" t="s">
        <v>196</v>
      </c>
      <c r="F33" s="25" t="s">
        <v>135</v>
      </c>
      <c r="G33" s="25" t="str">
        <f>IF(OR(M33="挂起",M33="暂停",Q33="挂起",Q33="暂停",U33="挂起",U33="暂停",Y33="挂起",Y33="暂停"),"暂停","进行中")</f>
        <v>进行中</v>
      </c>
      <c r="H33" s="25" t="str">
        <f t="shared" si="1"/>
        <v>郑士旺</v>
      </c>
      <c r="I33" s="26">
        <f t="shared" si="2"/>
        <v>46230</v>
      </c>
      <c r="J33" s="26">
        <f t="shared" si="3"/>
        <v>46261</v>
      </c>
      <c r="K33" s="26">
        <v>46261</v>
      </c>
      <c r="L33" s="25" t="s">
        <v>120</v>
      </c>
      <c r="M33" s="25" t="s">
        <v>121</v>
      </c>
      <c r="N33" s="26">
        <v>46230</v>
      </c>
      <c r="O33" s="26">
        <v>46241</v>
      </c>
      <c r="P33" s="25" t="s">
        <v>122</v>
      </c>
      <c r="Q33" s="25" t="s">
        <v>121</v>
      </c>
      <c r="R33" s="26">
        <v>46266</v>
      </c>
      <c r="S33" s="26">
        <v>46272</v>
      </c>
      <c r="T33" s="25" t="s">
        <v>123</v>
      </c>
      <c r="U33" s="25" t="s">
        <v>121</v>
      </c>
      <c r="V33" s="26">
        <v>46266</v>
      </c>
      <c r="W33" s="26">
        <v>46272</v>
      </c>
      <c r="X33" s="25" t="s">
        <v>124</v>
      </c>
      <c r="Y33" s="25" t="s">
        <v>157</v>
      </c>
      <c r="Z33" s="26">
        <v>46342</v>
      </c>
      <c r="AA33" s="26">
        <v>46353</v>
      </c>
      <c r="AB33" s="27">
        <f t="shared" si="4"/>
        <v>0.9</v>
      </c>
      <c r="AC33" s="25" t="str">
        <f>IF(G33="已完成","正常",IF(OR(G33="暂停",G33="挂起"),"暂停",IF(J33="","日期缺失",IF(J33&lt;_数据接口!$B$7,"已延期",IF(J33&lt;=_数据接口!$B$7+7,"临近到期","正常")))))</f>
        <v>已延期</v>
      </c>
      <c r="AD33" s="25" t="s">
        <v>125</v>
      </c>
      <c r="AE33" s="25" t="s">
        <v>125</v>
      </c>
    </row>
    <row r="34" ht="17" customHeight="1" spans="1:31">
      <c r="A34" s="25" t="s">
        <v>197</v>
      </c>
      <c r="B34" s="25" t="s">
        <v>149</v>
      </c>
      <c r="C34" s="25" t="s">
        <v>169</v>
      </c>
      <c r="D34" s="25" t="s">
        <v>198</v>
      </c>
      <c r="E34" s="25" t="s">
        <v>199</v>
      </c>
      <c r="F34" s="25" t="s">
        <v>135</v>
      </c>
      <c r="G34" s="25" t="str">
        <f>IF(OR(M34="挂起",M34="暂停",Q34="挂起",Q34="暂停",U34="挂起",U34="暂停",Y34="挂起",Y34="暂停"),"暂停","未开始")</f>
        <v>未开始</v>
      </c>
      <c r="H34" s="25" t="str">
        <f t="shared" si="1"/>
        <v>郑士旺</v>
      </c>
      <c r="I34" s="26">
        <f t="shared" si="2"/>
        <v>46230</v>
      </c>
      <c r="J34" s="26">
        <f t="shared" si="3"/>
        <v>46353</v>
      </c>
      <c r="K34" s="26"/>
      <c r="L34" s="25" t="s">
        <v>120</v>
      </c>
      <c r="M34" s="25" t="s">
        <v>23</v>
      </c>
      <c r="N34" s="26">
        <v>46230</v>
      </c>
      <c r="O34" s="26">
        <v>46241</v>
      </c>
      <c r="P34" s="25" t="s">
        <v>200</v>
      </c>
      <c r="Q34" s="25" t="s">
        <v>23</v>
      </c>
      <c r="R34" s="26">
        <v>46286</v>
      </c>
      <c r="S34" s="26">
        <v>46289</v>
      </c>
      <c r="T34" s="25" t="s">
        <v>200</v>
      </c>
      <c r="U34" s="25" t="s">
        <v>23</v>
      </c>
      <c r="V34" s="26">
        <v>46286</v>
      </c>
      <c r="W34" s="26">
        <v>46289</v>
      </c>
      <c r="X34" s="25" t="s">
        <v>124</v>
      </c>
      <c r="Y34" s="25" t="s">
        <v>23</v>
      </c>
      <c r="Z34" s="26">
        <v>46342</v>
      </c>
      <c r="AA34" s="26">
        <v>46353</v>
      </c>
      <c r="AB34" s="27">
        <f t="shared" si="4"/>
        <v>0</v>
      </c>
      <c r="AC34" s="25" t="str">
        <f>IF(G34="已完成","正常",IF(OR(G34="暂停",G34="挂起"),"暂停",IF(J34="","日期缺失",IF(J34&lt;_数据接口!$B$7,"已延期",IF(J34&lt;=_数据接口!$B$7+7,"临近到期","正常")))))</f>
        <v>正常</v>
      </c>
      <c r="AD34" s="25" t="s">
        <v>125</v>
      </c>
      <c r="AE34" s="25" t="s">
        <v>125</v>
      </c>
    </row>
    <row r="35" ht="17" customHeight="1" spans="1:31">
      <c r="A35" s="25" t="s">
        <v>201</v>
      </c>
      <c r="B35" s="25" t="s">
        <v>149</v>
      </c>
      <c r="C35" s="25" t="s">
        <v>169</v>
      </c>
      <c r="D35" s="25" t="s">
        <v>198</v>
      </c>
      <c r="E35" s="25" t="s">
        <v>202</v>
      </c>
      <c r="F35" s="25" t="s">
        <v>135</v>
      </c>
      <c r="G35" s="25" t="str">
        <f>IF(OR(M35="挂起",M35="暂停",Q35="挂起",Q35="暂停",U35="挂起",U35="暂停",Y35="挂起",Y35="暂停"),"暂停","未开始")</f>
        <v>未开始</v>
      </c>
      <c r="H35" s="25" t="str">
        <f t="shared" si="1"/>
        <v>郑士旺</v>
      </c>
      <c r="I35" s="26">
        <f t="shared" si="2"/>
        <v>46230</v>
      </c>
      <c r="J35" s="26">
        <f t="shared" si="3"/>
        <v>46353</v>
      </c>
      <c r="K35" s="26"/>
      <c r="L35" s="25" t="s">
        <v>120</v>
      </c>
      <c r="M35" s="25" t="s">
        <v>23</v>
      </c>
      <c r="N35" s="26">
        <v>46230</v>
      </c>
      <c r="O35" s="26">
        <v>46241</v>
      </c>
      <c r="P35" s="25" t="s">
        <v>200</v>
      </c>
      <c r="Q35" s="25" t="s">
        <v>23</v>
      </c>
      <c r="R35" s="26">
        <v>46286</v>
      </c>
      <c r="S35" s="26">
        <v>46289</v>
      </c>
      <c r="T35" s="25" t="s">
        <v>200</v>
      </c>
      <c r="U35" s="25" t="s">
        <v>23</v>
      </c>
      <c r="V35" s="26">
        <v>46286</v>
      </c>
      <c r="W35" s="26">
        <v>46289</v>
      </c>
      <c r="X35" s="25" t="s">
        <v>124</v>
      </c>
      <c r="Y35" s="25" t="s">
        <v>23</v>
      </c>
      <c r="Z35" s="26">
        <v>46342</v>
      </c>
      <c r="AA35" s="26">
        <v>46353</v>
      </c>
      <c r="AB35" s="27">
        <f t="shared" si="4"/>
        <v>0</v>
      </c>
      <c r="AC35" s="25" t="str">
        <f>IF(G35="已完成","正常",IF(OR(G35="暂停",G35="挂起"),"暂停",IF(J35="","日期缺失",IF(J35&lt;_数据接口!$B$7,"已延期",IF(J35&lt;=_数据接口!$B$7+7,"临近到期","正常")))))</f>
        <v>正常</v>
      </c>
      <c r="AD35" s="25" t="s">
        <v>125</v>
      </c>
      <c r="AE35" s="25" t="s">
        <v>125</v>
      </c>
    </row>
    <row r="36" ht="17" customHeight="1" spans="1:31">
      <c r="A36" s="25" t="s">
        <v>203</v>
      </c>
      <c r="B36" s="25" t="s">
        <v>149</v>
      </c>
      <c r="C36" s="25" t="s">
        <v>169</v>
      </c>
      <c r="D36" s="25" t="s">
        <v>198</v>
      </c>
      <c r="E36" s="25" t="s">
        <v>204</v>
      </c>
      <c r="F36" s="25" t="s">
        <v>135</v>
      </c>
      <c r="G36" s="25" t="str">
        <f>IF(OR(M36="挂起",M36="暂停",Q36="挂起",Q36="暂停",U36="挂起",U36="暂停",Y36="挂起",Y36="暂停"),"暂停","未开始")</f>
        <v>未开始</v>
      </c>
      <c r="H36" s="25" t="str">
        <f t="shared" si="1"/>
        <v>郑士旺</v>
      </c>
      <c r="I36" s="26">
        <f t="shared" si="2"/>
        <v>46230</v>
      </c>
      <c r="J36" s="26">
        <f t="shared" si="3"/>
        <v>46353</v>
      </c>
      <c r="K36" s="26"/>
      <c r="L36" s="25" t="s">
        <v>120</v>
      </c>
      <c r="M36" s="25" t="s">
        <v>23</v>
      </c>
      <c r="N36" s="26">
        <v>46230</v>
      </c>
      <c r="O36" s="26">
        <v>46241</v>
      </c>
      <c r="P36" s="25" t="s">
        <v>200</v>
      </c>
      <c r="Q36" s="25" t="s">
        <v>23</v>
      </c>
      <c r="R36" s="26">
        <v>46286</v>
      </c>
      <c r="S36" s="26">
        <v>46289</v>
      </c>
      <c r="T36" s="25" t="s">
        <v>200</v>
      </c>
      <c r="U36" s="25" t="s">
        <v>23</v>
      </c>
      <c r="V36" s="26">
        <v>46286</v>
      </c>
      <c r="W36" s="26">
        <v>46289</v>
      </c>
      <c r="X36" s="25" t="s">
        <v>124</v>
      </c>
      <c r="Y36" s="25" t="s">
        <v>23</v>
      </c>
      <c r="Z36" s="26">
        <v>46342</v>
      </c>
      <c r="AA36" s="26">
        <v>46353</v>
      </c>
      <c r="AB36" s="27">
        <f t="shared" si="4"/>
        <v>0</v>
      </c>
      <c r="AC36" s="25" t="str">
        <f>IF(G36="已完成","正常",IF(OR(G36="暂停",G36="挂起"),"暂停",IF(J36="","日期缺失",IF(J36&lt;_数据接口!$B$7,"已延期",IF(J36&lt;=_数据接口!$B$7+7,"临近到期","正常")))))</f>
        <v>正常</v>
      </c>
      <c r="AD36" s="25" t="s">
        <v>125</v>
      </c>
      <c r="AE36" s="25" t="s">
        <v>125</v>
      </c>
    </row>
    <row r="37" ht="17" customHeight="1" spans="1:31">
      <c r="A37" s="25" t="s">
        <v>205</v>
      </c>
      <c r="B37" s="25" t="s">
        <v>149</v>
      </c>
      <c r="C37" s="25" t="s">
        <v>169</v>
      </c>
      <c r="D37" s="25" t="s">
        <v>206</v>
      </c>
      <c r="E37" s="25" t="s">
        <v>207</v>
      </c>
      <c r="F37" s="25" t="s">
        <v>135</v>
      </c>
      <c r="G37" s="25" t="str">
        <f>IF(OR(M37="挂起",M37="暂停",Q37="挂起",Q37="暂停",U37="挂起",U37="暂停",Y37="挂起",Y37="暂停"),"暂停","进行中")</f>
        <v>进行中</v>
      </c>
      <c r="H37" s="25" t="str">
        <f t="shared" si="1"/>
        <v>郑士旺</v>
      </c>
      <c r="I37" s="26">
        <f t="shared" si="2"/>
        <v>46230</v>
      </c>
      <c r="J37" s="26">
        <f t="shared" si="3"/>
        <v>46353</v>
      </c>
      <c r="K37" s="26"/>
      <c r="L37" s="25" t="s">
        <v>120</v>
      </c>
      <c r="M37" s="25" t="s">
        <v>121</v>
      </c>
      <c r="N37" s="26">
        <v>46230</v>
      </c>
      <c r="O37" s="26">
        <v>46241</v>
      </c>
      <c r="P37" s="25" t="s">
        <v>122</v>
      </c>
      <c r="Q37" s="25" t="s">
        <v>121</v>
      </c>
      <c r="R37" s="26">
        <v>46266</v>
      </c>
      <c r="S37" s="26">
        <v>46272</v>
      </c>
      <c r="T37" s="25" t="s">
        <v>123</v>
      </c>
      <c r="U37" s="25" t="s">
        <v>121</v>
      </c>
      <c r="V37" s="26">
        <v>46266</v>
      </c>
      <c r="W37" s="26">
        <v>46272</v>
      </c>
      <c r="X37" s="25" t="s">
        <v>124</v>
      </c>
      <c r="Y37" s="25" t="s">
        <v>157</v>
      </c>
      <c r="Z37" s="26">
        <v>46342</v>
      </c>
      <c r="AA37" s="26">
        <v>46353</v>
      </c>
      <c r="AB37" s="27">
        <f t="shared" si="4"/>
        <v>0.9</v>
      </c>
      <c r="AC37" s="25" t="str">
        <f>IF(G37="已完成","正常",IF(OR(G37="暂停",G37="挂起"),"暂停",IF(J37="","日期缺失",IF(J37&lt;_数据接口!$B$7,"已延期",IF(J37&lt;=_数据接口!$B$7+7,"临近到期","正常")))))</f>
        <v>正常</v>
      </c>
      <c r="AD37" s="25" t="s">
        <v>125</v>
      </c>
      <c r="AE37" s="25" t="s">
        <v>125</v>
      </c>
    </row>
    <row r="38" ht="17" customHeight="1" spans="1:31">
      <c r="A38" s="25" t="s">
        <v>208</v>
      </c>
      <c r="B38" s="25" t="s">
        <v>149</v>
      </c>
      <c r="C38" s="25" t="s">
        <v>169</v>
      </c>
      <c r="D38" s="25" t="s">
        <v>206</v>
      </c>
      <c r="E38" s="25" t="s">
        <v>209</v>
      </c>
      <c r="F38" s="25" t="s">
        <v>135</v>
      </c>
      <c r="G38" s="25" t="str">
        <f>IF(OR(M38="挂起",M38="暂停",Q38="挂起",Q38="暂停",U38="挂起",U38="暂停",Y38="挂起",Y38="暂停"),"暂停","进行中")</f>
        <v>进行中</v>
      </c>
      <c r="H38" s="25" t="str">
        <f t="shared" si="1"/>
        <v>郑士旺</v>
      </c>
      <c r="I38" s="26">
        <f t="shared" si="2"/>
        <v>46230</v>
      </c>
      <c r="J38" s="26">
        <f t="shared" si="3"/>
        <v>46353</v>
      </c>
      <c r="K38" s="26"/>
      <c r="L38" s="25" t="s">
        <v>120</v>
      </c>
      <c r="M38" s="25" t="s">
        <v>121</v>
      </c>
      <c r="N38" s="26">
        <v>46230</v>
      </c>
      <c r="O38" s="26">
        <v>46241</v>
      </c>
      <c r="P38" s="25" t="s">
        <v>122</v>
      </c>
      <c r="Q38" s="25" t="s">
        <v>121</v>
      </c>
      <c r="R38" s="26">
        <v>46266</v>
      </c>
      <c r="S38" s="26">
        <v>46272</v>
      </c>
      <c r="T38" s="25" t="s">
        <v>123</v>
      </c>
      <c r="U38" s="25" t="s">
        <v>121</v>
      </c>
      <c r="V38" s="26">
        <v>46266</v>
      </c>
      <c r="W38" s="26">
        <v>46272</v>
      </c>
      <c r="X38" s="25" t="s">
        <v>124</v>
      </c>
      <c r="Y38" s="25" t="s">
        <v>157</v>
      </c>
      <c r="Z38" s="26">
        <v>46342</v>
      </c>
      <c r="AA38" s="26">
        <v>46353</v>
      </c>
      <c r="AB38" s="27">
        <f t="shared" si="4"/>
        <v>0.9</v>
      </c>
      <c r="AC38" s="25" t="str">
        <f>IF(G38="已完成","正常",IF(OR(G38="暂停",G38="挂起"),"暂停",IF(J38="","日期缺失",IF(J38&lt;_数据接口!$B$7,"已延期",IF(J38&lt;=_数据接口!$B$7+7,"临近到期","正常")))))</f>
        <v>正常</v>
      </c>
      <c r="AD38" s="25" t="s">
        <v>125</v>
      </c>
      <c r="AE38" s="25" t="s">
        <v>125</v>
      </c>
    </row>
    <row r="39" ht="17" customHeight="1" spans="1:31">
      <c r="A39" s="25" t="s">
        <v>210</v>
      </c>
      <c r="B39" s="25" t="s">
        <v>149</v>
      </c>
      <c r="C39" s="25" t="s">
        <v>169</v>
      </c>
      <c r="D39" s="25" t="s">
        <v>206</v>
      </c>
      <c r="E39" s="25" t="s">
        <v>211</v>
      </c>
      <c r="F39" s="25" t="s">
        <v>135</v>
      </c>
      <c r="G39" s="25" t="str">
        <f>IF(OR(M39="挂起",M39="暂停",Q39="挂起",Q39="暂停",U39="挂起",U39="暂停",Y39="挂起",Y39="暂停"),"暂停","进行中")</f>
        <v>进行中</v>
      </c>
      <c r="H39" s="25" t="str">
        <f t="shared" si="1"/>
        <v>郑士旺</v>
      </c>
      <c r="I39" s="26">
        <f t="shared" si="2"/>
        <v>46230</v>
      </c>
      <c r="J39" s="26">
        <f t="shared" si="3"/>
        <v>46353</v>
      </c>
      <c r="K39" s="26"/>
      <c r="L39" s="25" t="s">
        <v>120</v>
      </c>
      <c r="M39" s="25" t="s">
        <v>121</v>
      </c>
      <c r="N39" s="26">
        <v>46230</v>
      </c>
      <c r="O39" s="26">
        <v>46241</v>
      </c>
      <c r="P39" s="25" t="s">
        <v>122</v>
      </c>
      <c r="Q39" s="25" t="s">
        <v>121</v>
      </c>
      <c r="R39" s="26">
        <v>46266</v>
      </c>
      <c r="S39" s="26">
        <v>46272</v>
      </c>
      <c r="T39" s="25" t="s">
        <v>123</v>
      </c>
      <c r="U39" s="25" t="s">
        <v>121</v>
      </c>
      <c r="V39" s="26">
        <v>46266</v>
      </c>
      <c r="W39" s="26">
        <v>46272</v>
      </c>
      <c r="X39" s="25" t="s">
        <v>124</v>
      </c>
      <c r="Y39" s="25" t="s">
        <v>157</v>
      </c>
      <c r="Z39" s="26">
        <v>46342</v>
      </c>
      <c r="AA39" s="26">
        <v>46353</v>
      </c>
      <c r="AB39" s="27">
        <f t="shared" si="4"/>
        <v>0.9</v>
      </c>
      <c r="AC39" s="25" t="str">
        <f>IF(G39="已完成","正常",IF(OR(G39="暂停",G39="挂起"),"暂停",IF(J39="","日期缺失",IF(J39&lt;_数据接口!$B$7,"已延期",IF(J39&lt;=_数据接口!$B$7+7,"临近到期","正常")))))</f>
        <v>正常</v>
      </c>
      <c r="AD39" s="25" t="s">
        <v>125</v>
      </c>
      <c r="AE39" s="25" t="s">
        <v>125</v>
      </c>
    </row>
    <row r="40" ht="17" customHeight="1" spans="1:31">
      <c r="A40" s="25" t="s">
        <v>212</v>
      </c>
      <c r="B40" s="25" t="s">
        <v>149</v>
      </c>
      <c r="C40" s="25" t="s">
        <v>213</v>
      </c>
      <c r="D40" s="25" t="s">
        <v>214</v>
      </c>
      <c r="E40" s="25" t="s">
        <v>118</v>
      </c>
      <c r="F40" s="25" t="s">
        <v>119</v>
      </c>
      <c r="G40" s="25" t="str">
        <f t="shared" ref="G40:G49" si="5">IF(OR(M40="挂起",M40="暂停",Q40="挂起",Q40="暂停",U40="挂起",U40="暂停",Y40="挂起",Y40="暂停"),"暂停","已完成")</f>
        <v>已完成</v>
      </c>
      <c r="H40" s="25" t="str">
        <f t="shared" si="1"/>
        <v>郑士旺</v>
      </c>
      <c r="I40" s="26">
        <f t="shared" si="2"/>
        <v>46209</v>
      </c>
      <c r="J40" s="26">
        <f t="shared" si="3"/>
        <v>46261</v>
      </c>
      <c r="K40" s="26">
        <v>46261</v>
      </c>
      <c r="L40" s="25" t="s">
        <v>120</v>
      </c>
      <c r="M40" s="25" t="s">
        <v>121</v>
      </c>
      <c r="N40" s="26">
        <v>46209</v>
      </c>
      <c r="O40" s="26">
        <v>46213</v>
      </c>
      <c r="P40" s="25" t="s">
        <v>122</v>
      </c>
      <c r="Q40" s="25" t="s">
        <v>121</v>
      </c>
      <c r="R40" s="26">
        <v>46230</v>
      </c>
      <c r="S40" s="26">
        <v>46262</v>
      </c>
      <c r="T40" s="25" t="s">
        <v>123</v>
      </c>
      <c r="U40" s="25" t="s">
        <v>121</v>
      </c>
      <c r="V40" s="26">
        <v>46230</v>
      </c>
      <c r="W40" s="26">
        <v>46262</v>
      </c>
      <c r="X40" s="25" t="s">
        <v>124</v>
      </c>
      <c r="Y40" s="25" t="s">
        <v>121</v>
      </c>
      <c r="Z40" s="26">
        <v>46253</v>
      </c>
      <c r="AA40" s="26">
        <v>46269</v>
      </c>
      <c r="AB40" s="27">
        <f t="shared" si="4"/>
        <v>1</v>
      </c>
      <c r="AC40" s="25" t="str">
        <f>IF(G40="已完成","正常",IF(OR(G40="暂停",G40="挂起"),"暂停",IF(J40="","日期缺失",IF(J40&lt;_数据接口!$B$7,"已延期",IF(J40&lt;=_数据接口!$B$7+7,"临近到期","正常")))))</f>
        <v>正常</v>
      </c>
      <c r="AD40" s="25" t="s">
        <v>125</v>
      </c>
      <c r="AE40" s="25" t="s">
        <v>125</v>
      </c>
    </row>
    <row r="41" ht="17" customHeight="1" spans="1:31">
      <c r="A41" s="25" t="s">
        <v>215</v>
      </c>
      <c r="B41" s="25" t="s">
        <v>149</v>
      </c>
      <c r="C41" s="25" t="s">
        <v>213</v>
      </c>
      <c r="D41" s="25" t="s">
        <v>216</v>
      </c>
      <c r="E41" s="25" t="s">
        <v>118</v>
      </c>
      <c r="F41" s="25" t="s">
        <v>119</v>
      </c>
      <c r="G41" s="25" t="str">
        <f t="shared" si="5"/>
        <v>已完成</v>
      </c>
      <c r="H41" s="25" t="str">
        <f t="shared" si="1"/>
        <v>郑士旺</v>
      </c>
      <c r="I41" s="26">
        <f t="shared" si="2"/>
        <v>46209</v>
      </c>
      <c r="J41" s="26">
        <f t="shared" si="3"/>
        <v>46261</v>
      </c>
      <c r="K41" s="26">
        <v>46261</v>
      </c>
      <c r="L41" s="25" t="s">
        <v>120</v>
      </c>
      <c r="M41" s="25" t="s">
        <v>121</v>
      </c>
      <c r="N41" s="26">
        <v>46209</v>
      </c>
      <c r="O41" s="26">
        <v>46213</v>
      </c>
      <c r="P41" s="25" t="s">
        <v>122</v>
      </c>
      <c r="Q41" s="25" t="s">
        <v>121</v>
      </c>
      <c r="R41" s="26">
        <v>46230</v>
      </c>
      <c r="S41" s="26">
        <v>46262</v>
      </c>
      <c r="T41" s="25" t="s">
        <v>123</v>
      </c>
      <c r="U41" s="25" t="s">
        <v>121</v>
      </c>
      <c r="V41" s="26">
        <v>46230</v>
      </c>
      <c r="W41" s="26">
        <v>46262</v>
      </c>
      <c r="X41" s="25" t="s">
        <v>124</v>
      </c>
      <c r="Y41" s="25" t="s">
        <v>121</v>
      </c>
      <c r="Z41" s="26">
        <v>46253</v>
      </c>
      <c r="AA41" s="26">
        <v>46269</v>
      </c>
      <c r="AB41" s="27">
        <f t="shared" si="4"/>
        <v>1</v>
      </c>
      <c r="AC41" s="25" t="str">
        <f>IF(G41="已完成","正常",IF(OR(G41="暂停",G41="挂起"),"暂停",IF(J41="","日期缺失",IF(J41&lt;_数据接口!$B$7,"已延期",IF(J41&lt;=_数据接口!$B$7+7,"临近到期","正常")))))</f>
        <v>正常</v>
      </c>
      <c r="AD41" s="25" t="s">
        <v>125</v>
      </c>
      <c r="AE41" s="25" t="s">
        <v>125</v>
      </c>
    </row>
    <row r="42" ht="34" customHeight="1" spans="1:31">
      <c r="A42" s="25" t="s">
        <v>217</v>
      </c>
      <c r="B42" s="25" t="s">
        <v>149</v>
      </c>
      <c r="C42" s="25" t="s">
        <v>213</v>
      </c>
      <c r="D42" s="25" t="s">
        <v>218</v>
      </c>
      <c r="E42" s="25" t="s">
        <v>118</v>
      </c>
      <c r="F42" s="25" t="s">
        <v>119</v>
      </c>
      <c r="G42" s="25" t="str">
        <f t="shared" si="5"/>
        <v>已完成</v>
      </c>
      <c r="H42" s="25" t="str">
        <f t="shared" si="1"/>
        <v>郑士旺</v>
      </c>
      <c r="I42" s="26">
        <f t="shared" si="2"/>
        <v>46209</v>
      </c>
      <c r="J42" s="26">
        <f t="shared" si="3"/>
        <v>46261</v>
      </c>
      <c r="K42" s="26">
        <v>46261</v>
      </c>
      <c r="L42" s="25" t="s">
        <v>120</v>
      </c>
      <c r="M42" s="25" t="s">
        <v>121</v>
      </c>
      <c r="N42" s="26">
        <v>46209</v>
      </c>
      <c r="O42" s="26">
        <v>46213</v>
      </c>
      <c r="P42" s="25" t="s">
        <v>122</v>
      </c>
      <c r="Q42" s="25" t="s">
        <v>121</v>
      </c>
      <c r="R42" s="26">
        <v>46230</v>
      </c>
      <c r="S42" s="26">
        <v>46262</v>
      </c>
      <c r="T42" s="25" t="s">
        <v>123</v>
      </c>
      <c r="U42" s="25" t="s">
        <v>121</v>
      </c>
      <c r="V42" s="26">
        <v>46230</v>
      </c>
      <c r="W42" s="26">
        <v>46262</v>
      </c>
      <c r="X42" s="25" t="s">
        <v>124</v>
      </c>
      <c r="Y42" s="25" t="s">
        <v>121</v>
      </c>
      <c r="Z42" s="26">
        <v>46253</v>
      </c>
      <c r="AA42" s="26">
        <v>46269</v>
      </c>
      <c r="AB42" s="27">
        <f t="shared" si="4"/>
        <v>1</v>
      </c>
      <c r="AC42" s="25" t="str">
        <f>IF(G42="已完成","正常",IF(OR(G42="暂停",G42="挂起"),"暂停",IF(J42="","日期缺失",IF(J42&lt;_数据接口!$B$7,"已延期",IF(J42&lt;=_数据接口!$B$7+7,"临近到期","正常")))))</f>
        <v>正常</v>
      </c>
      <c r="AD42" s="25" t="s">
        <v>125</v>
      </c>
      <c r="AE42" s="25" t="s">
        <v>125</v>
      </c>
    </row>
    <row r="43" ht="17" customHeight="1" spans="1:31">
      <c r="A43" s="25" t="s">
        <v>219</v>
      </c>
      <c r="B43" s="25" t="s">
        <v>149</v>
      </c>
      <c r="C43" s="25" t="s">
        <v>220</v>
      </c>
      <c r="D43" s="25" t="s">
        <v>221</v>
      </c>
      <c r="E43" s="25" t="s">
        <v>118</v>
      </c>
      <c r="F43" s="25" t="s">
        <v>119</v>
      </c>
      <c r="G43" s="25" t="str">
        <f t="shared" si="5"/>
        <v>已完成</v>
      </c>
      <c r="H43" s="25" t="str">
        <f t="shared" si="1"/>
        <v>郑士旺</v>
      </c>
      <c r="I43" s="26">
        <f t="shared" si="2"/>
        <v>46209</v>
      </c>
      <c r="J43" s="26">
        <f t="shared" si="3"/>
        <v>46261</v>
      </c>
      <c r="K43" s="26">
        <v>46261</v>
      </c>
      <c r="L43" s="25" t="s">
        <v>120</v>
      </c>
      <c r="M43" s="25" t="s">
        <v>121</v>
      </c>
      <c r="N43" s="26">
        <v>46209</v>
      </c>
      <c r="O43" s="26">
        <v>46213</v>
      </c>
      <c r="P43" s="25" t="s">
        <v>122</v>
      </c>
      <c r="Q43" s="25" t="s">
        <v>121</v>
      </c>
      <c r="R43" s="26">
        <v>46230</v>
      </c>
      <c r="S43" s="26">
        <v>46262</v>
      </c>
      <c r="T43" s="25" t="s">
        <v>123</v>
      </c>
      <c r="U43" s="25" t="s">
        <v>121</v>
      </c>
      <c r="V43" s="26">
        <v>46230</v>
      </c>
      <c r="W43" s="26">
        <v>46262</v>
      </c>
      <c r="X43" s="25" t="s">
        <v>124</v>
      </c>
      <c r="Y43" s="25" t="s">
        <v>121</v>
      </c>
      <c r="Z43" s="26">
        <v>46253</v>
      </c>
      <c r="AA43" s="26">
        <v>46269</v>
      </c>
      <c r="AB43" s="27">
        <f t="shared" si="4"/>
        <v>1</v>
      </c>
      <c r="AC43" s="25" t="str">
        <f>IF(G43="已完成","正常",IF(OR(G43="暂停",G43="挂起"),"暂停",IF(J43="","日期缺失",IF(J43&lt;_数据接口!$B$7,"已延期",IF(J43&lt;=_数据接口!$B$7+7,"临近到期","正常")))))</f>
        <v>正常</v>
      </c>
      <c r="AD43" s="25" t="s">
        <v>125</v>
      </c>
      <c r="AE43" s="25" t="s">
        <v>125</v>
      </c>
    </row>
    <row r="44" ht="17" customHeight="1" spans="1:31">
      <c r="A44" s="25" t="s">
        <v>222</v>
      </c>
      <c r="B44" s="25" t="s">
        <v>149</v>
      </c>
      <c r="C44" s="25" t="s">
        <v>220</v>
      </c>
      <c r="D44" s="25" t="s">
        <v>223</v>
      </c>
      <c r="E44" s="25" t="s">
        <v>118</v>
      </c>
      <c r="F44" s="25" t="s">
        <v>119</v>
      </c>
      <c r="G44" s="25" t="str">
        <f t="shared" si="5"/>
        <v>已完成</v>
      </c>
      <c r="H44" s="25" t="str">
        <f t="shared" si="1"/>
        <v>郑士旺</v>
      </c>
      <c r="I44" s="26">
        <f t="shared" si="2"/>
        <v>46209</v>
      </c>
      <c r="J44" s="26">
        <f t="shared" si="3"/>
        <v>46261</v>
      </c>
      <c r="K44" s="26">
        <v>46261</v>
      </c>
      <c r="L44" s="25" t="s">
        <v>120</v>
      </c>
      <c r="M44" s="25" t="s">
        <v>121</v>
      </c>
      <c r="N44" s="26">
        <v>46209</v>
      </c>
      <c r="O44" s="26">
        <v>46213</v>
      </c>
      <c r="P44" s="25" t="s">
        <v>122</v>
      </c>
      <c r="Q44" s="25" t="s">
        <v>121</v>
      </c>
      <c r="R44" s="26">
        <v>46230</v>
      </c>
      <c r="S44" s="26">
        <v>46262</v>
      </c>
      <c r="T44" s="25" t="s">
        <v>123</v>
      </c>
      <c r="U44" s="25" t="s">
        <v>121</v>
      </c>
      <c r="V44" s="26">
        <v>46230</v>
      </c>
      <c r="W44" s="26">
        <v>46262</v>
      </c>
      <c r="X44" s="25" t="s">
        <v>124</v>
      </c>
      <c r="Y44" s="25" t="s">
        <v>121</v>
      </c>
      <c r="Z44" s="26">
        <v>46253</v>
      </c>
      <c r="AA44" s="26">
        <v>46269</v>
      </c>
      <c r="AB44" s="27">
        <f t="shared" si="4"/>
        <v>1</v>
      </c>
      <c r="AC44" s="25" t="str">
        <f>IF(G44="已完成","正常",IF(OR(G44="暂停",G44="挂起"),"暂停",IF(J44="","日期缺失",IF(J44&lt;_数据接口!$B$7,"已延期",IF(J44&lt;=_数据接口!$B$7+7,"临近到期","正常")))))</f>
        <v>正常</v>
      </c>
      <c r="AD44" s="25" t="s">
        <v>125</v>
      </c>
      <c r="AE44" s="25" t="s">
        <v>125</v>
      </c>
    </row>
    <row r="45" ht="17" customHeight="1" spans="1:31">
      <c r="A45" s="25" t="s">
        <v>224</v>
      </c>
      <c r="B45" s="25" t="s">
        <v>149</v>
      </c>
      <c r="C45" s="25" t="s">
        <v>220</v>
      </c>
      <c r="D45" s="25" t="s">
        <v>225</v>
      </c>
      <c r="E45" s="25" t="s">
        <v>118</v>
      </c>
      <c r="F45" s="25" t="s">
        <v>119</v>
      </c>
      <c r="G45" s="25" t="str">
        <f t="shared" si="5"/>
        <v>已完成</v>
      </c>
      <c r="H45" s="25" t="str">
        <f t="shared" si="1"/>
        <v>郑士旺</v>
      </c>
      <c r="I45" s="26">
        <f t="shared" si="2"/>
        <v>46209</v>
      </c>
      <c r="J45" s="26">
        <f t="shared" si="3"/>
        <v>46261</v>
      </c>
      <c r="K45" s="26">
        <v>46261</v>
      </c>
      <c r="L45" s="25" t="s">
        <v>120</v>
      </c>
      <c r="M45" s="25" t="s">
        <v>121</v>
      </c>
      <c r="N45" s="26">
        <v>46209</v>
      </c>
      <c r="O45" s="26">
        <v>46213</v>
      </c>
      <c r="P45" s="25" t="s">
        <v>122</v>
      </c>
      <c r="Q45" s="25" t="s">
        <v>121</v>
      </c>
      <c r="R45" s="26">
        <v>46230</v>
      </c>
      <c r="S45" s="26">
        <v>46262</v>
      </c>
      <c r="T45" s="25" t="s">
        <v>123</v>
      </c>
      <c r="U45" s="25" t="s">
        <v>121</v>
      </c>
      <c r="V45" s="26">
        <v>46230</v>
      </c>
      <c r="W45" s="26">
        <v>46262</v>
      </c>
      <c r="X45" s="25" t="s">
        <v>124</v>
      </c>
      <c r="Y45" s="25" t="s">
        <v>121</v>
      </c>
      <c r="Z45" s="26">
        <v>46253</v>
      </c>
      <c r="AA45" s="26">
        <v>46269</v>
      </c>
      <c r="AB45" s="27">
        <f t="shared" si="4"/>
        <v>1</v>
      </c>
      <c r="AC45" s="25" t="str">
        <f>IF(G45="已完成","正常",IF(OR(G45="暂停",G45="挂起"),"暂停",IF(J45="","日期缺失",IF(J45&lt;_数据接口!$B$7,"已延期",IF(J45&lt;=_数据接口!$B$7+7,"临近到期","正常")))))</f>
        <v>正常</v>
      </c>
      <c r="AD45" s="25" t="s">
        <v>125</v>
      </c>
      <c r="AE45" s="25" t="s">
        <v>125</v>
      </c>
    </row>
    <row r="46" ht="17" customHeight="1" spans="1:31">
      <c r="A46" s="25" t="s">
        <v>226</v>
      </c>
      <c r="B46" s="25" t="s">
        <v>149</v>
      </c>
      <c r="C46" s="25" t="s">
        <v>227</v>
      </c>
      <c r="D46" s="25" t="s">
        <v>228</v>
      </c>
      <c r="E46" s="25" t="s">
        <v>118</v>
      </c>
      <c r="F46" s="25" t="s">
        <v>135</v>
      </c>
      <c r="G46" s="25" t="str">
        <f t="shared" si="5"/>
        <v>已完成</v>
      </c>
      <c r="H46" s="25" t="str">
        <f t="shared" si="1"/>
        <v>郑士旺</v>
      </c>
      <c r="I46" s="26">
        <f t="shared" si="2"/>
        <v>46209</v>
      </c>
      <c r="J46" s="26">
        <f t="shared" si="3"/>
        <v>46269</v>
      </c>
      <c r="K46" s="26"/>
      <c r="L46" s="25" t="s">
        <v>120</v>
      </c>
      <c r="M46" s="25" t="s">
        <v>121</v>
      </c>
      <c r="N46" s="26">
        <v>46209</v>
      </c>
      <c r="O46" s="26">
        <v>46213</v>
      </c>
      <c r="P46" s="25" t="s">
        <v>122</v>
      </c>
      <c r="Q46" s="25" t="s">
        <v>121</v>
      </c>
      <c r="R46" s="26">
        <v>46230</v>
      </c>
      <c r="S46" s="26">
        <v>46262</v>
      </c>
      <c r="T46" s="25" t="s">
        <v>123</v>
      </c>
      <c r="U46" s="25" t="s">
        <v>121</v>
      </c>
      <c r="V46" s="26">
        <v>46230</v>
      </c>
      <c r="W46" s="26">
        <v>46262</v>
      </c>
      <c r="X46" s="25" t="s">
        <v>124</v>
      </c>
      <c r="Y46" s="25" t="s">
        <v>121</v>
      </c>
      <c r="Z46" s="26">
        <v>46253</v>
      </c>
      <c r="AA46" s="26">
        <v>46269</v>
      </c>
      <c r="AB46" s="27">
        <f t="shared" si="4"/>
        <v>1</v>
      </c>
      <c r="AC46" s="25" t="str">
        <f>IF(G46="已完成","正常",IF(OR(G46="暂停",G46="挂起"),"暂停",IF(J46="","日期缺失",IF(J46&lt;_数据接口!$B$7,"已延期",IF(J46&lt;=_数据接口!$B$7+7,"临近到期","正常")))))</f>
        <v>正常</v>
      </c>
      <c r="AD46" s="25" t="s">
        <v>125</v>
      </c>
      <c r="AE46" s="25" t="s">
        <v>125</v>
      </c>
    </row>
    <row r="47" ht="17" customHeight="1" spans="1:31">
      <c r="A47" s="25" t="s">
        <v>229</v>
      </c>
      <c r="B47" s="25" t="s">
        <v>149</v>
      </c>
      <c r="C47" s="25" t="s">
        <v>227</v>
      </c>
      <c r="D47" s="25" t="s">
        <v>230</v>
      </c>
      <c r="E47" s="25" t="s">
        <v>118</v>
      </c>
      <c r="F47" s="25" t="s">
        <v>135</v>
      </c>
      <c r="G47" s="25" t="str">
        <f t="shared" si="5"/>
        <v>已完成</v>
      </c>
      <c r="H47" s="25" t="str">
        <f t="shared" si="1"/>
        <v>郑士旺</v>
      </c>
      <c r="I47" s="26">
        <f t="shared" si="2"/>
        <v>46209</v>
      </c>
      <c r="J47" s="26">
        <f t="shared" si="3"/>
        <v>46269</v>
      </c>
      <c r="K47" s="26"/>
      <c r="L47" s="25" t="s">
        <v>120</v>
      </c>
      <c r="M47" s="25" t="s">
        <v>121</v>
      </c>
      <c r="N47" s="26">
        <v>46209</v>
      </c>
      <c r="O47" s="26">
        <v>46213</v>
      </c>
      <c r="P47" s="25" t="s">
        <v>122</v>
      </c>
      <c r="Q47" s="25" t="s">
        <v>121</v>
      </c>
      <c r="R47" s="26">
        <v>46230</v>
      </c>
      <c r="S47" s="26">
        <v>46262</v>
      </c>
      <c r="T47" s="25" t="s">
        <v>123</v>
      </c>
      <c r="U47" s="25" t="s">
        <v>121</v>
      </c>
      <c r="V47" s="26">
        <v>46230</v>
      </c>
      <c r="W47" s="26">
        <v>46262</v>
      </c>
      <c r="X47" s="25" t="s">
        <v>124</v>
      </c>
      <c r="Y47" s="25" t="s">
        <v>121</v>
      </c>
      <c r="Z47" s="26">
        <v>46253</v>
      </c>
      <c r="AA47" s="26">
        <v>46269</v>
      </c>
      <c r="AB47" s="27">
        <f t="shared" si="4"/>
        <v>1</v>
      </c>
      <c r="AC47" s="25" t="str">
        <f>IF(G47="已完成","正常",IF(OR(G47="暂停",G47="挂起"),"暂停",IF(J47="","日期缺失",IF(J47&lt;_数据接口!$B$7,"已延期",IF(J47&lt;=_数据接口!$B$7+7,"临近到期","正常")))))</f>
        <v>正常</v>
      </c>
      <c r="AD47" s="25" t="s">
        <v>125</v>
      </c>
      <c r="AE47" s="25" t="s">
        <v>125</v>
      </c>
    </row>
    <row r="48" ht="17" customHeight="1" spans="1:31">
      <c r="A48" s="25" t="s">
        <v>231</v>
      </c>
      <c r="B48" s="25" t="s">
        <v>149</v>
      </c>
      <c r="C48" s="25" t="s">
        <v>227</v>
      </c>
      <c r="D48" s="25" t="s">
        <v>232</v>
      </c>
      <c r="E48" s="25" t="s">
        <v>118</v>
      </c>
      <c r="F48" s="25" t="s">
        <v>135</v>
      </c>
      <c r="G48" s="25" t="str">
        <f t="shared" si="5"/>
        <v>已完成</v>
      </c>
      <c r="H48" s="25" t="str">
        <f t="shared" si="1"/>
        <v>郑士旺</v>
      </c>
      <c r="I48" s="26">
        <f t="shared" si="2"/>
        <v>46209</v>
      </c>
      <c r="J48" s="26">
        <f t="shared" si="3"/>
        <v>46269</v>
      </c>
      <c r="K48" s="26"/>
      <c r="L48" s="25" t="s">
        <v>120</v>
      </c>
      <c r="M48" s="25" t="s">
        <v>121</v>
      </c>
      <c r="N48" s="26">
        <v>46209</v>
      </c>
      <c r="O48" s="26">
        <v>46213</v>
      </c>
      <c r="P48" s="25" t="s">
        <v>122</v>
      </c>
      <c r="Q48" s="25" t="s">
        <v>121</v>
      </c>
      <c r="R48" s="26">
        <v>46230</v>
      </c>
      <c r="S48" s="26">
        <v>46262</v>
      </c>
      <c r="T48" s="25" t="s">
        <v>123</v>
      </c>
      <c r="U48" s="25" t="s">
        <v>121</v>
      </c>
      <c r="V48" s="26">
        <v>46230</v>
      </c>
      <c r="W48" s="26">
        <v>46262</v>
      </c>
      <c r="X48" s="25" t="s">
        <v>124</v>
      </c>
      <c r="Y48" s="25" t="s">
        <v>121</v>
      </c>
      <c r="Z48" s="26">
        <v>46253</v>
      </c>
      <c r="AA48" s="26">
        <v>46269</v>
      </c>
      <c r="AB48" s="27">
        <f t="shared" si="4"/>
        <v>1</v>
      </c>
      <c r="AC48" s="25" t="str">
        <f>IF(G48="已完成","正常",IF(OR(G48="暂停",G48="挂起"),"暂停",IF(J48="","日期缺失",IF(J48&lt;_数据接口!$B$7,"已延期",IF(J48&lt;=_数据接口!$B$7+7,"临近到期","正常")))))</f>
        <v>正常</v>
      </c>
      <c r="AD48" s="25" t="s">
        <v>125</v>
      </c>
      <c r="AE48" s="25" t="s">
        <v>125</v>
      </c>
    </row>
    <row r="49" ht="17" customHeight="1" spans="1:31">
      <c r="A49" s="25" t="s">
        <v>233</v>
      </c>
      <c r="B49" s="25" t="s">
        <v>149</v>
      </c>
      <c r="C49" s="25" t="s">
        <v>234</v>
      </c>
      <c r="D49" s="25" t="s">
        <v>235</v>
      </c>
      <c r="E49" s="25" t="s">
        <v>118</v>
      </c>
      <c r="F49" s="25" t="s">
        <v>135</v>
      </c>
      <c r="G49" s="25" t="str">
        <f t="shared" si="5"/>
        <v>已完成</v>
      </c>
      <c r="H49" s="25" t="str">
        <f t="shared" si="1"/>
        <v>郑士旺</v>
      </c>
      <c r="I49" s="26">
        <f t="shared" si="2"/>
        <v>46230</v>
      </c>
      <c r="J49" s="26">
        <f t="shared" si="3"/>
        <v>46353</v>
      </c>
      <c r="K49" s="26" t="s">
        <v>118</v>
      </c>
      <c r="L49" s="25" t="s">
        <v>120</v>
      </c>
      <c r="M49" s="25" t="s">
        <v>121</v>
      </c>
      <c r="N49" s="26">
        <v>46230</v>
      </c>
      <c r="O49" s="26">
        <v>46241</v>
      </c>
      <c r="P49" s="25" t="s">
        <v>122</v>
      </c>
      <c r="Q49" s="25" t="s">
        <v>121</v>
      </c>
      <c r="R49" s="26">
        <v>46307</v>
      </c>
      <c r="S49" s="26">
        <v>46339</v>
      </c>
      <c r="T49" s="25" t="s">
        <v>123</v>
      </c>
      <c r="U49" s="25" t="s">
        <v>121</v>
      </c>
      <c r="V49" s="26">
        <v>46307</v>
      </c>
      <c r="W49" s="26">
        <v>46339</v>
      </c>
      <c r="X49" s="25" t="s">
        <v>124</v>
      </c>
      <c r="Y49" s="25" t="s">
        <v>121</v>
      </c>
      <c r="Z49" s="26">
        <v>46342</v>
      </c>
      <c r="AA49" s="26">
        <v>46353</v>
      </c>
      <c r="AB49" s="27">
        <f t="shared" si="4"/>
        <v>1</v>
      </c>
      <c r="AC49" s="25" t="str">
        <f>IF(G49="已完成","正常",IF(OR(G49="暂停",G49="挂起"),"暂停",IF(J49="","日期缺失",IF(J49&lt;_数据接口!$B$7,"已延期",IF(J49&lt;=_数据接口!$B$7+7,"临近到期","正常")))))</f>
        <v>正常</v>
      </c>
      <c r="AD49" s="25" t="s">
        <v>125</v>
      </c>
      <c r="AE49" s="25" t="s">
        <v>125</v>
      </c>
    </row>
    <row r="50" ht="17" customHeight="1" spans="1:31">
      <c r="A50" s="25" t="s">
        <v>236</v>
      </c>
      <c r="B50" s="25" t="s">
        <v>149</v>
      </c>
      <c r="C50" s="25" t="s">
        <v>234</v>
      </c>
      <c r="D50" s="25" t="s">
        <v>237</v>
      </c>
      <c r="E50" s="25" t="s">
        <v>118</v>
      </c>
      <c r="F50" s="25" t="s">
        <v>135</v>
      </c>
      <c r="G50" s="25" t="str">
        <f>IF(OR(M50="挂起",M50="暂停",Q50="挂起",Q50="暂停",U50="挂起",U50="暂停",Y50="挂起",Y50="暂停"),"暂停","未开始")</f>
        <v>未开始</v>
      </c>
      <c r="H50" s="25" t="str">
        <f t="shared" si="1"/>
        <v>郑士旺</v>
      </c>
      <c r="I50" s="26">
        <f t="shared" si="2"/>
        <v>46230</v>
      </c>
      <c r="J50" s="26">
        <f t="shared" si="3"/>
        <v>46353</v>
      </c>
      <c r="K50" s="26"/>
      <c r="L50" s="25" t="s">
        <v>120</v>
      </c>
      <c r="M50" s="25" t="s">
        <v>23</v>
      </c>
      <c r="N50" s="26">
        <v>46230</v>
      </c>
      <c r="O50" s="26">
        <v>46241</v>
      </c>
      <c r="P50" s="25" t="s">
        <v>122</v>
      </c>
      <c r="Q50" s="25" t="s">
        <v>23</v>
      </c>
      <c r="R50" s="26">
        <v>46307</v>
      </c>
      <c r="S50" s="26">
        <v>46339</v>
      </c>
      <c r="T50" s="25" t="s">
        <v>123</v>
      </c>
      <c r="U50" s="25" t="s">
        <v>23</v>
      </c>
      <c r="V50" s="26">
        <v>46307</v>
      </c>
      <c r="W50" s="26">
        <v>46339</v>
      </c>
      <c r="X50" s="25" t="s">
        <v>124</v>
      </c>
      <c r="Y50" s="25" t="s">
        <v>23</v>
      </c>
      <c r="Z50" s="26">
        <v>46342</v>
      </c>
      <c r="AA50" s="26">
        <v>46353</v>
      </c>
      <c r="AB50" s="27">
        <f t="shared" si="4"/>
        <v>0</v>
      </c>
      <c r="AC50" s="25" t="str">
        <f>IF(G50="已完成","正常",IF(OR(G50="暂停",G50="挂起"),"暂停",IF(J50="","日期缺失",IF(J50&lt;_数据接口!$B$7,"已延期",IF(J50&lt;=_数据接口!$B$7+7,"临近到期","正常")))))</f>
        <v>正常</v>
      </c>
      <c r="AD50" s="25" t="s">
        <v>125</v>
      </c>
      <c r="AE50" s="25" t="s">
        <v>125</v>
      </c>
    </row>
    <row r="51" ht="17" customHeight="1" spans="1:31">
      <c r="A51" s="25" t="s">
        <v>238</v>
      </c>
      <c r="B51" s="25" t="s">
        <v>149</v>
      </c>
      <c r="C51" s="25" t="s">
        <v>239</v>
      </c>
      <c r="D51" s="25" t="s">
        <v>237</v>
      </c>
      <c r="E51" s="25" t="s">
        <v>118</v>
      </c>
      <c r="F51" s="25" t="s">
        <v>135</v>
      </c>
      <c r="G51" s="25" t="str">
        <f>IF(OR(M51="挂起",M51="暂停",Q51="挂起",Q51="暂停",U51="挂起",U51="暂停",Y51="挂起",Y51="暂停"),"暂停","未开始")</f>
        <v>未开始</v>
      </c>
      <c r="H51" s="25" t="str">
        <f t="shared" si="1"/>
        <v>郑士旺</v>
      </c>
      <c r="I51" s="26">
        <f t="shared" si="2"/>
        <v>46230</v>
      </c>
      <c r="J51" s="26">
        <f t="shared" si="3"/>
        <v>46261</v>
      </c>
      <c r="K51" s="26">
        <v>46261</v>
      </c>
      <c r="L51" s="25" t="s">
        <v>120</v>
      </c>
      <c r="M51" s="25" t="s">
        <v>23</v>
      </c>
      <c r="N51" s="26">
        <v>46230</v>
      </c>
      <c r="O51" s="26">
        <v>46241</v>
      </c>
      <c r="P51" s="25" t="s">
        <v>122</v>
      </c>
      <c r="Q51" s="25" t="s">
        <v>23</v>
      </c>
      <c r="R51" s="26">
        <v>46307</v>
      </c>
      <c r="S51" s="26">
        <v>46339</v>
      </c>
      <c r="T51" s="25" t="s">
        <v>123</v>
      </c>
      <c r="U51" s="25" t="s">
        <v>23</v>
      </c>
      <c r="V51" s="26">
        <v>46307</v>
      </c>
      <c r="W51" s="26">
        <v>46339</v>
      </c>
      <c r="X51" s="25" t="s">
        <v>124</v>
      </c>
      <c r="Y51" s="25" t="s">
        <v>23</v>
      </c>
      <c r="Z51" s="26">
        <v>46342</v>
      </c>
      <c r="AA51" s="26">
        <v>46353</v>
      </c>
      <c r="AB51" s="27">
        <f t="shared" si="4"/>
        <v>0</v>
      </c>
      <c r="AC51" s="25" t="str">
        <f>IF(G51="已完成","正常",IF(OR(G51="暂停",G51="挂起"),"暂停",IF(J51="","日期缺失",IF(J51&lt;_数据接口!$B$7,"已延期",IF(J51&lt;=_数据接口!$B$7+7,"临近到期","正常")))))</f>
        <v>已延期</v>
      </c>
      <c r="AD51" s="25" t="s">
        <v>125</v>
      </c>
      <c r="AE51" s="25" t="s">
        <v>125</v>
      </c>
    </row>
    <row r="52" ht="17" customHeight="1" spans="1:31">
      <c r="A52" s="25" t="s">
        <v>240</v>
      </c>
      <c r="B52" s="25" t="s">
        <v>149</v>
      </c>
      <c r="C52" s="25" t="s">
        <v>241</v>
      </c>
      <c r="D52" s="25" t="s">
        <v>242</v>
      </c>
      <c r="E52" s="25" t="s">
        <v>118</v>
      </c>
      <c r="F52" s="25" t="s">
        <v>135</v>
      </c>
      <c r="G52" s="25" t="str">
        <f>IF(OR(M52="挂起",M52="暂停",Q52="挂起",Q52="暂停",U52="挂起",U52="暂停",Y52="挂起",Y52="暂停"),"暂停","已完成")</f>
        <v>已完成</v>
      </c>
      <c r="H52" s="25" t="str">
        <f t="shared" si="1"/>
        <v>郑士旺</v>
      </c>
      <c r="I52" s="26">
        <f t="shared" si="2"/>
        <v>46230</v>
      </c>
      <c r="J52" s="26">
        <f t="shared" si="3"/>
        <v>46261</v>
      </c>
      <c r="K52" s="26">
        <v>46261</v>
      </c>
      <c r="L52" s="25" t="s">
        <v>120</v>
      </c>
      <c r="M52" s="25" t="s">
        <v>121</v>
      </c>
      <c r="N52" s="26">
        <v>46230</v>
      </c>
      <c r="O52" s="26">
        <v>46241</v>
      </c>
      <c r="P52" s="25" t="s">
        <v>122</v>
      </c>
      <c r="Q52" s="25" t="s">
        <v>121</v>
      </c>
      <c r="R52" s="26">
        <v>46307</v>
      </c>
      <c r="S52" s="26">
        <v>46339</v>
      </c>
      <c r="T52" s="25" t="s">
        <v>123</v>
      </c>
      <c r="U52" s="25" t="s">
        <v>121</v>
      </c>
      <c r="V52" s="26">
        <v>46307</v>
      </c>
      <c r="W52" s="26">
        <v>46339</v>
      </c>
      <c r="X52" s="25" t="s">
        <v>124</v>
      </c>
      <c r="Y52" s="25" t="s">
        <v>121</v>
      </c>
      <c r="Z52" s="26">
        <v>46342</v>
      </c>
      <c r="AA52" s="26">
        <v>46353</v>
      </c>
      <c r="AB52" s="27">
        <f t="shared" si="4"/>
        <v>1</v>
      </c>
      <c r="AC52" s="25" t="str">
        <f>IF(G52="已完成","正常",IF(OR(G52="暂停",G52="挂起"),"暂停",IF(J52="","日期缺失",IF(J52&lt;_数据接口!$B$7,"已延期",IF(J52&lt;=_数据接口!$B$7+7,"临近到期","正常")))))</f>
        <v>正常</v>
      </c>
      <c r="AD52" s="25" t="s">
        <v>125</v>
      </c>
      <c r="AE52" s="25" t="s">
        <v>125</v>
      </c>
    </row>
    <row r="53" ht="17" customHeight="1" spans="1:31">
      <c r="A53" s="25" t="s">
        <v>243</v>
      </c>
      <c r="B53" s="25" t="s">
        <v>149</v>
      </c>
      <c r="C53" s="25" t="s">
        <v>244</v>
      </c>
      <c r="D53" s="25" t="s">
        <v>245</v>
      </c>
      <c r="E53" s="25" t="s">
        <v>118</v>
      </c>
      <c r="F53" s="25" t="s">
        <v>119</v>
      </c>
      <c r="G53" s="25" t="str">
        <f>IF(OR(M53="挂起",M53="暂停",Q53="挂起",Q53="暂停",U53="挂起",U53="暂停",Y53="挂起",Y53="暂停"),"暂停","进行中")</f>
        <v>进行中</v>
      </c>
      <c r="H53" s="25" t="str">
        <f t="shared" si="1"/>
        <v>郑士旺</v>
      </c>
      <c r="I53" s="26">
        <f t="shared" si="2"/>
        <v>46202</v>
      </c>
      <c r="J53" s="26">
        <f t="shared" si="3"/>
        <v>46265</v>
      </c>
      <c r="K53" s="26" t="s">
        <v>118</v>
      </c>
      <c r="L53" s="25" t="s">
        <v>120</v>
      </c>
      <c r="M53" s="25" t="s">
        <v>121</v>
      </c>
      <c r="N53" s="26">
        <v>46202</v>
      </c>
      <c r="O53" s="26">
        <v>46206</v>
      </c>
      <c r="P53" s="25" t="s">
        <v>200</v>
      </c>
      <c r="Q53" s="25" t="s">
        <v>121</v>
      </c>
      <c r="R53" s="26">
        <v>46212</v>
      </c>
      <c r="S53" s="26">
        <v>46265</v>
      </c>
      <c r="T53" s="25" t="s">
        <v>123</v>
      </c>
      <c r="U53" s="25" t="s">
        <v>121</v>
      </c>
      <c r="V53" s="26">
        <v>46212</v>
      </c>
      <c r="W53" s="26">
        <v>46265</v>
      </c>
      <c r="X53" s="25" t="s">
        <v>124</v>
      </c>
      <c r="Y53" s="25" t="s">
        <v>157</v>
      </c>
      <c r="Z53" s="26">
        <v>46216</v>
      </c>
      <c r="AA53" s="26">
        <v>46234</v>
      </c>
      <c r="AB53" s="27">
        <f t="shared" si="4"/>
        <v>0.9</v>
      </c>
      <c r="AC53" s="25" t="str">
        <f>IF(G53="已完成","正常",IF(OR(G53="暂停",G53="挂起"),"暂停",IF(J53="","日期缺失",IF(J53&lt;_数据接口!$B$7,"已延期",IF(J53&lt;=_数据接口!$B$7+7,"临近到期","正常")))))</f>
        <v>已延期</v>
      </c>
      <c r="AD53" s="25" t="s">
        <v>125</v>
      </c>
      <c r="AE53" s="25" t="s">
        <v>125</v>
      </c>
    </row>
    <row r="54" ht="17" customHeight="1" spans="1:31">
      <c r="A54" s="25" t="s">
        <v>246</v>
      </c>
      <c r="B54" s="25" t="s">
        <v>149</v>
      </c>
      <c r="C54" s="25" t="s">
        <v>244</v>
      </c>
      <c r="D54" s="25" t="s">
        <v>247</v>
      </c>
      <c r="E54" s="25" t="s">
        <v>118</v>
      </c>
      <c r="F54" s="25" t="s">
        <v>119</v>
      </c>
      <c r="G54" s="25" t="str">
        <f>IF(OR(M54="挂起",M54="暂停",Q54="挂起",Q54="暂停",U54="挂起",U54="暂停",Y54="挂起",Y54="暂停"),"暂停","进行中")</f>
        <v>进行中</v>
      </c>
      <c r="H54" s="25" t="str">
        <f t="shared" si="1"/>
        <v>郑士旺</v>
      </c>
      <c r="I54" s="26">
        <f t="shared" si="2"/>
        <v>46202</v>
      </c>
      <c r="J54" s="26">
        <f t="shared" si="3"/>
        <v>46261</v>
      </c>
      <c r="K54" s="26">
        <v>46261</v>
      </c>
      <c r="L54" s="25" t="s">
        <v>120</v>
      </c>
      <c r="M54" s="25" t="s">
        <v>121</v>
      </c>
      <c r="N54" s="26">
        <v>46202</v>
      </c>
      <c r="O54" s="26">
        <v>46206</v>
      </c>
      <c r="P54" s="25" t="s">
        <v>200</v>
      </c>
      <c r="Q54" s="25" t="s">
        <v>121</v>
      </c>
      <c r="R54" s="26">
        <v>46212</v>
      </c>
      <c r="S54" s="26">
        <v>46265</v>
      </c>
      <c r="T54" s="25" t="s">
        <v>123</v>
      </c>
      <c r="U54" s="25" t="s">
        <v>121</v>
      </c>
      <c r="V54" s="26">
        <v>46212</v>
      </c>
      <c r="W54" s="26">
        <v>46265</v>
      </c>
      <c r="X54" s="25" t="s">
        <v>124</v>
      </c>
      <c r="Y54" s="25" t="s">
        <v>157</v>
      </c>
      <c r="Z54" s="26">
        <v>46216</v>
      </c>
      <c r="AA54" s="26">
        <v>46234</v>
      </c>
      <c r="AB54" s="27">
        <f t="shared" si="4"/>
        <v>0.9</v>
      </c>
      <c r="AC54" s="25" t="str">
        <f>IF(G54="已完成","正常",IF(OR(G54="暂停",G54="挂起"),"暂停",IF(J54="","日期缺失",IF(J54&lt;_数据接口!$B$7,"已延期",IF(J54&lt;=_数据接口!$B$7+7,"临近到期","正常")))))</f>
        <v>已延期</v>
      </c>
      <c r="AD54" s="25" t="s">
        <v>125</v>
      </c>
      <c r="AE54" s="25" t="s">
        <v>125</v>
      </c>
    </row>
    <row r="55" ht="17" customHeight="1" spans="1:31">
      <c r="A55" s="25" t="s">
        <v>248</v>
      </c>
      <c r="B55" s="25" t="s">
        <v>149</v>
      </c>
      <c r="C55" s="25" t="s">
        <v>244</v>
      </c>
      <c r="D55" s="25" t="s">
        <v>244</v>
      </c>
      <c r="E55" s="25" t="s">
        <v>118</v>
      </c>
      <c r="F55" s="25" t="s">
        <v>119</v>
      </c>
      <c r="G55" s="25" t="str">
        <f>IF(OR(M55="挂起",M55="暂停",Q55="挂起",Q55="暂停",U55="挂起",U55="暂停",Y55="挂起",Y55="暂停"),"暂停","进行中")</f>
        <v>进行中</v>
      </c>
      <c r="H55" s="25" t="str">
        <f t="shared" si="1"/>
        <v>郑士旺</v>
      </c>
      <c r="I55" s="26">
        <f t="shared" si="2"/>
        <v>46202</v>
      </c>
      <c r="J55" s="26">
        <f t="shared" si="3"/>
        <v>46261</v>
      </c>
      <c r="K55" s="26">
        <v>46261</v>
      </c>
      <c r="L55" s="25" t="s">
        <v>120</v>
      </c>
      <c r="M55" s="25" t="s">
        <v>121</v>
      </c>
      <c r="N55" s="26">
        <v>46202</v>
      </c>
      <c r="O55" s="26">
        <v>46206</v>
      </c>
      <c r="P55" s="25" t="s">
        <v>200</v>
      </c>
      <c r="Q55" s="25" t="s">
        <v>121</v>
      </c>
      <c r="R55" s="26">
        <v>46212</v>
      </c>
      <c r="S55" s="26">
        <v>46265</v>
      </c>
      <c r="T55" s="25" t="s">
        <v>123</v>
      </c>
      <c r="U55" s="25" t="s">
        <v>121</v>
      </c>
      <c r="V55" s="26">
        <v>46212</v>
      </c>
      <c r="W55" s="26">
        <v>46265</v>
      </c>
      <c r="X55" s="25" t="s">
        <v>124</v>
      </c>
      <c r="Y55" s="25" t="s">
        <v>157</v>
      </c>
      <c r="Z55" s="26">
        <v>46216</v>
      </c>
      <c r="AA55" s="26">
        <v>46234</v>
      </c>
      <c r="AB55" s="27">
        <f t="shared" si="4"/>
        <v>0.9</v>
      </c>
      <c r="AC55" s="25" t="str">
        <f>IF(G55="已完成","正常",IF(OR(G55="暂停",G55="挂起"),"暂停",IF(J55="","日期缺失",IF(J55&lt;_数据接口!$B$7,"已延期",IF(J55&lt;=_数据接口!$B$7+7,"临近到期","正常")))))</f>
        <v>已延期</v>
      </c>
      <c r="AD55" s="25" t="s">
        <v>125</v>
      </c>
      <c r="AE55" s="25" t="s">
        <v>125</v>
      </c>
    </row>
    <row r="56" ht="34" customHeight="1" spans="1:31">
      <c r="A56" s="25" t="s">
        <v>249</v>
      </c>
      <c r="B56" s="25" t="s">
        <v>149</v>
      </c>
      <c r="C56" s="25" t="s">
        <v>250</v>
      </c>
      <c r="D56" s="25" t="s">
        <v>251</v>
      </c>
      <c r="E56" s="25" t="s">
        <v>118</v>
      </c>
      <c r="F56" s="25" t="s">
        <v>135</v>
      </c>
      <c r="G56" s="25" t="str">
        <f>IF(OR(M56="挂起",M56="暂停",Q56="挂起",Q56="暂停",U56="挂起",U56="暂停",Y56="挂起",Y56="暂停"),"暂停","未开始")</f>
        <v>未开始</v>
      </c>
      <c r="H56" s="25" t="str">
        <f t="shared" si="1"/>
        <v>郑士旺</v>
      </c>
      <c r="I56" s="26">
        <f t="shared" si="2"/>
        <v>46223</v>
      </c>
      <c r="J56" s="26">
        <f t="shared" si="3"/>
        <v>46224</v>
      </c>
      <c r="K56" s="26">
        <v>46224</v>
      </c>
      <c r="L56" s="25" t="s">
        <v>120</v>
      </c>
      <c r="M56" s="25" t="s">
        <v>23</v>
      </c>
      <c r="N56" s="26">
        <v>46223</v>
      </c>
      <c r="O56" s="26">
        <v>46227</v>
      </c>
      <c r="P56" s="25" t="s">
        <v>122</v>
      </c>
      <c r="Q56" s="25" t="s">
        <v>23</v>
      </c>
      <c r="R56" s="26">
        <v>46272</v>
      </c>
      <c r="S56" s="26">
        <v>46304</v>
      </c>
      <c r="T56" s="25" t="s">
        <v>123</v>
      </c>
      <c r="U56" s="25" t="s">
        <v>23</v>
      </c>
      <c r="V56" s="26">
        <v>46272</v>
      </c>
      <c r="W56" s="26">
        <v>46304</v>
      </c>
      <c r="X56" s="25" t="s">
        <v>124</v>
      </c>
      <c r="Y56" s="25" t="s">
        <v>23</v>
      </c>
      <c r="Z56" s="26">
        <v>46307</v>
      </c>
      <c r="AA56" s="26">
        <v>46318</v>
      </c>
      <c r="AB56" s="27">
        <f t="shared" si="4"/>
        <v>0</v>
      </c>
      <c r="AC56" s="25" t="str">
        <f>IF(G56="已完成","正常",IF(OR(G56="暂停",G56="挂起"),"暂停",IF(J56="","日期缺失",IF(J56&lt;_数据接口!$B$7,"已延期",IF(J56&lt;=_数据接口!$B$7+7,"临近到期","正常")))))</f>
        <v>已延期</v>
      </c>
      <c r="AD56" s="25" t="s">
        <v>125</v>
      </c>
      <c r="AE56" s="25" t="s">
        <v>125</v>
      </c>
    </row>
    <row r="57" ht="34" customHeight="1" spans="1:31">
      <c r="A57" s="25" t="s">
        <v>252</v>
      </c>
      <c r="B57" s="25" t="s">
        <v>149</v>
      </c>
      <c r="C57" s="25" t="s">
        <v>250</v>
      </c>
      <c r="D57" s="25" t="s">
        <v>253</v>
      </c>
      <c r="E57" s="25" t="s">
        <v>118</v>
      </c>
      <c r="F57" s="25" t="s">
        <v>135</v>
      </c>
      <c r="G57" s="25" t="str">
        <f>IF(OR(M57="挂起",M57="暂停",Q57="挂起",Q57="暂停",U57="挂起",U57="暂停",Y57="挂起",Y57="暂停"),"暂停","未开始")</f>
        <v>未开始</v>
      </c>
      <c r="H57" s="25" t="str">
        <f t="shared" si="1"/>
        <v>郑士旺</v>
      </c>
      <c r="I57" s="26">
        <f t="shared" si="2"/>
        <v>46223</v>
      </c>
      <c r="J57" s="26">
        <f t="shared" si="3"/>
        <v>46224</v>
      </c>
      <c r="K57" s="26">
        <v>46224</v>
      </c>
      <c r="L57" s="25" t="s">
        <v>120</v>
      </c>
      <c r="M57" s="25" t="s">
        <v>23</v>
      </c>
      <c r="N57" s="26">
        <v>46223</v>
      </c>
      <c r="O57" s="26">
        <v>46227</v>
      </c>
      <c r="P57" s="25" t="s">
        <v>122</v>
      </c>
      <c r="Q57" s="25" t="s">
        <v>23</v>
      </c>
      <c r="R57" s="26">
        <v>46272</v>
      </c>
      <c r="S57" s="26">
        <v>46304</v>
      </c>
      <c r="T57" s="25" t="s">
        <v>123</v>
      </c>
      <c r="U57" s="25" t="s">
        <v>23</v>
      </c>
      <c r="V57" s="26">
        <v>46272</v>
      </c>
      <c r="W57" s="26">
        <v>46304</v>
      </c>
      <c r="X57" s="25" t="s">
        <v>124</v>
      </c>
      <c r="Y57" s="25" t="s">
        <v>23</v>
      </c>
      <c r="Z57" s="26">
        <v>46307</v>
      </c>
      <c r="AA57" s="26">
        <v>46318</v>
      </c>
      <c r="AB57" s="27">
        <f t="shared" si="4"/>
        <v>0</v>
      </c>
      <c r="AC57" s="25" t="str">
        <f>IF(G57="已完成","正常",IF(OR(G57="暂停",G57="挂起"),"暂停",IF(J57="","日期缺失",IF(J57&lt;_数据接口!$B$7,"已延期",IF(J57&lt;=_数据接口!$B$7+7,"临近到期","正常")))))</f>
        <v>已延期</v>
      </c>
      <c r="AD57" s="25" t="s">
        <v>125</v>
      </c>
      <c r="AE57" s="25" t="s">
        <v>125</v>
      </c>
    </row>
    <row r="58" ht="34" customHeight="1" spans="1:31">
      <c r="A58" s="25" t="s">
        <v>254</v>
      </c>
      <c r="B58" s="25" t="s">
        <v>149</v>
      </c>
      <c r="C58" s="25" t="s">
        <v>250</v>
      </c>
      <c r="D58" s="25" t="s">
        <v>255</v>
      </c>
      <c r="E58" s="25" t="s">
        <v>118</v>
      </c>
      <c r="F58" s="25" t="s">
        <v>135</v>
      </c>
      <c r="G58" s="25" t="str">
        <f>IF(OR(M58="挂起",M58="暂停",Q58="挂起",Q58="暂停",U58="挂起",U58="暂停",Y58="挂起",Y58="暂停"),"暂停","未开始")</f>
        <v>未开始</v>
      </c>
      <c r="H58" s="25" t="str">
        <f t="shared" si="1"/>
        <v>郑士旺</v>
      </c>
      <c r="I58" s="26">
        <f t="shared" si="2"/>
        <v>46223</v>
      </c>
      <c r="J58" s="26">
        <f t="shared" si="3"/>
        <v>46224</v>
      </c>
      <c r="K58" s="26">
        <v>46224</v>
      </c>
      <c r="L58" s="25" t="s">
        <v>120</v>
      </c>
      <c r="M58" s="25" t="s">
        <v>23</v>
      </c>
      <c r="N58" s="26">
        <v>46223</v>
      </c>
      <c r="O58" s="26">
        <v>46227</v>
      </c>
      <c r="P58" s="25" t="s">
        <v>122</v>
      </c>
      <c r="Q58" s="25" t="s">
        <v>23</v>
      </c>
      <c r="R58" s="26">
        <v>46272</v>
      </c>
      <c r="S58" s="26">
        <v>46304</v>
      </c>
      <c r="T58" s="25" t="s">
        <v>123</v>
      </c>
      <c r="U58" s="25" t="s">
        <v>23</v>
      </c>
      <c r="V58" s="26">
        <v>46272</v>
      </c>
      <c r="W58" s="26">
        <v>46304</v>
      </c>
      <c r="X58" s="25" t="s">
        <v>124</v>
      </c>
      <c r="Y58" s="25" t="s">
        <v>23</v>
      </c>
      <c r="Z58" s="26">
        <v>46307</v>
      </c>
      <c r="AA58" s="26">
        <v>46318</v>
      </c>
      <c r="AB58" s="27">
        <f t="shared" si="4"/>
        <v>0</v>
      </c>
      <c r="AC58" s="25" t="str">
        <f>IF(G58="已完成","正常",IF(OR(G58="暂停",G58="挂起"),"暂停",IF(J58="","日期缺失",IF(J58&lt;_数据接口!$B$7,"已延期",IF(J58&lt;=_数据接口!$B$7+7,"临近到期","正常")))))</f>
        <v>已延期</v>
      </c>
      <c r="AD58" s="25" t="s">
        <v>125</v>
      </c>
      <c r="AE58" s="25" t="s">
        <v>125</v>
      </c>
    </row>
    <row r="59" ht="17" customHeight="1" spans="1:31">
      <c r="A59" s="25" t="s">
        <v>256</v>
      </c>
      <c r="B59" s="25" t="s">
        <v>149</v>
      </c>
      <c r="C59" s="25" t="s">
        <v>250</v>
      </c>
      <c r="D59" s="25" t="s">
        <v>257</v>
      </c>
      <c r="E59" s="25" t="s">
        <v>118</v>
      </c>
      <c r="F59" s="25" t="s">
        <v>135</v>
      </c>
      <c r="G59" s="25" t="str">
        <f>IF(OR(M59="挂起",M59="暂停",Q59="挂起",Q59="暂停",U59="挂起",U59="暂停",Y59="挂起",Y59="暂停"),"暂停","未开始")</f>
        <v>未开始</v>
      </c>
      <c r="H59" s="25" t="str">
        <f t="shared" si="1"/>
        <v>郑士旺</v>
      </c>
      <c r="I59" s="26">
        <f t="shared" si="2"/>
        <v>46223</v>
      </c>
      <c r="J59" s="26">
        <f t="shared" si="3"/>
        <v>46318</v>
      </c>
      <c r="K59" s="26"/>
      <c r="L59" s="25" t="s">
        <v>120</v>
      </c>
      <c r="M59" s="25" t="s">
        <v>23</v>
      </c>
      <c r="N59" s="26">
        <v>46223</v>
      </c>
      <c r="O59" s="26">
        <v>46227</v>
      </c>
      <c r="P59" s="25" t="s">
        <v>122</v>
      </c>
      <c r="Q59" s="25" t="s">
        <v>23</v>
      </c>
      <c r="R59" s="26">
        <v>46272</v>
      </c>
      <c r="S59" s="26">
        <v>46304</v>
      </c>
      <c r="T59" s="25" t="s">
        <v>123</v>
      </c>
      <c r="U59" s="25" t="s">
        <v>23</v>
      </c>
      <c r="V59" s="26">
        <v>46272</v>
      </c>
      <c r="W59" s="26">
        <v>46304</v>
      </c>
      <c r="X59" s="25" t="s">
        <v>124</v>
      </c>
      <c r="Y59" s="25" t="s">
        <v>23</v>
      </c>
      <c r="Z59" s="26">
        <v>46307</v>
      </c>
      <c r="AA59" s="26">
        <v>46318</v>
      </c>
      <c r="AB59" s="27">
        <f t="shared" si="4"/>
        <v>0</v>
      </c>
      <c r="AC59" s="25" t="str">
        <f>IF(G59="已完成","正常",IF(OR(G59="暂停",G59="挂起"),"暂停",IF(J59="","日期缺失",IF(J59&lt;_数据接口!$B$7,"已延期",IF(J59&lt;=_数据接口!$B$7+7,"临近到期","正常")))))</f>
        <v>正常</v>
      </c>
      <c r="AD59" s="25" t="s">
        <v>125</v>
      </c>
      <c r="AE59" s="25" t="s">
        <v>125</v>
      </c>
    </row>
    <row r="60" ht="17" customHeight="1" spans="1:31">
      <c r="A60" s="25" t="s">
        <v>258</v>
      </c>
      <c r="B60" s="25" t="s">
        <v>149</v>
      </c>
      <c r="C60" s="25" t="s">
        <v>250</v>
      </c>
      <c r="D60" s="25" t="s">
        <v>259</v>
      </c>
      <c r="E60" s="25" t="s">
        <v>118</v>
      </c>
      <c r="F60" s="25" t="s">
        <v>135</v>
      </c>
      <c r="G60" s="25" t="str">
        <f>IF(OR(M60="挂起",M60="暂停",Q60="挂起",Q60="暂停",U60="挂起",U60="暂停",Y60="挂起",Y60="暂停"),"暂停","未开始")</f>
        <v>未开始</v>
      </c>
      <c r="H60" s="25" t="str">
        <f t="shared" si="1"/>
        <v>郑士旺</v>
      </c>
      <c r="I60" s="26">
        <f t="shared" si="2"/>
        <v>46223</v>
      </c>
      <c r="J60" s="26">
        <f t="shared" si="3"/>
        <v>46224</v>
      </c>
      <c r="K60" s="26">
        <v>46224</v>
      </c>
      <c r="L60" s="25" t="s">
        <v>120</v>
      </c>
      <c r="M60" s="25" t="s">
        <v>23</v>
      </c>
      <c r="N60" s="26">
        <v>46223</v>
      </c>
      <c r="O60" s="26">
        <v>46227</v>
      </c>
      <c r="P60" s="25" t="s">
        <v>122</v>
      </c>
      <c r="Q60" s="25" t="s">
        <v>23</v>
      </c>
      <c r="R60" s="26">
        <v>46272</v>
      </c>
      <c r="S60" s="26">
        <v>46304</v>
      </c>
      <c r="T60" s="25" t="s">
        <v>123</v>
      </c>
      <c r="U60" s="25" t="s">
        <v>23</v>
      </c>
      <c r="V60" s="26">
        <v>46272</v>
      </c>
      <c r="W60" s="26">
        <v>46304</v>
      </c>
      <c r="X60" s="25" t="s">
        <v>124</v>
      </c>
      <c r="Y60" s="25" t="s">
        <v>23</v>
      </c>
      <c r="Z60" s="26">
        <v>46307</v>
      </c>
      <c r="AA60" s="26">
        <v>46318</v>
      </c>
      <c r="AB60" s="27">
        <f t="shared" si="4"/>
        <v>0</v>
      </c>
      <c r="AC60" s="25" t="str">
        <f>IF(G60="已完成","正常",IF(OR(G60="暂停",G60="挂起"),"暂停",IF(J60="","日期缺失",IF(J60&lt;_数据接口!$B$7,"已延期",IF(J60&lt;=_数据接口!$B$7+7,"临近到期","正常")))))</f>
        <v>已延期</v>
      </c>
      <c r="AD60" s="25" t="s">
        <v>125</v>
      </c>
      <c r="AE60" s="25" t="s">
        <v>125</v>
      </c>
    </row>
    <row r="61" ht="17" customHeight="1" spans="1:31">
      <c r="A61" s="25" t="s">
        <v>260</v>
      </c>
      <c r="B61" s="25" t="s">
        <v>149</v>
      </c>
      <c r="C61" s="25" t="s">
        <v>261</v>
      </c>
      <c r="D61" s="25" t="s">
        <v>262</v>
      </c>
      <c r="E61" s="25" t="s">
        <v>118</v>
      </c>
      <c r="F61" s="25" t="s">
        <v>119</v>
      </c>
      <c r="G61" s="25" t="str">
        <f t="shared" ref="G61:G80" si="6">IF(OR(M61="挂起",M61="暂停",Q61="挂起",Q61="暂停",U61="挂起",U61="暂停",Y61="挂起",Y61="暂停"),"暂停","已完成")</f>
        <v>已完成</v>
      </c>
      <c r="H61" s="25" t="str">
        <f t="shared" si="1"/>
        <v>郑士旺</v>
      </c>
      <c r="I61" s="26">
        <f t="shared" si="2"/>
        <v>46195</v>
      </c>
      <c r="J61" s="26">
        <f t="shared" si="3"/>
        <v>46224</v>
      </c>
      <c r="K61" s="26">
        <v>46224</v>
      </c>
      <c r="L61" s="25" t="s">
        <v>120</v>
      </c>
      <c r="M61" s="25" t="s">
        <v>121</v>
      </c>
      <c r="N61" s="26" t="s">
        <v>118</v>
      </c>
      <c r="O61" s="26" t="s">
        <v>118</v>
      </c>
      <c r="P61" s="25" t="s">
        <v>122</v>
      </c>
      <c r="Q61" s="25" t="s">
        <v>121</v>
      </c>
      <c r="R61" s="26">
        <v>46195</v>
      </c>
      <c r="S61" s="26">
        <v>46206</v>
      </c>
      <c r="T61" s="25" t="s">
        <v>123</v>
      </c>
      <c r="U61" s="25" t="s">
        <v>121</v>
      </c>
      <c r="V61" s="26">
        <v>46195</v>
      </c>
      <c r="W61" s="26">
        <v>46206</v>
      </c>
      <c r="X61" s="25" t="s">
        <v>124</v>
      </c>
      <c r="Y61" s="25" t="s">
        <v>121</v>
      </c>
      <c r="Z61" s="26">
        <v>46202</v>
      </c>
      <c r="AA61" s="26">
        <v>46213</v>
      </c>
      <c r="AB61" s="27">
        <f t="shared" si="4"/>
        <v>1</v>
      </c>
      <c r="AC61" s="25" t="str">
        <f>IF(G61="已完成","正常",IF(OR(G61="暂停",G61="挂起"),"暂停",IF(J61="","日期缺失",IF(J61&lt;_数据接口!$B$7,"已延期",IF(J61&lt;=_数据接口!$B$7+7,"临近到期","正常")))))</f>
        <v>正常</v>
      </c>
      <c r="AD61" s="25" t="s">
        <v>125</v>
      </c>
      <c r="AE61" s="25" t="s">
        <v>125</v>
      </c>
    </row>
    <row r="62" ht="17" customHeight="1" spans="1:31">
      <c r="A62" s="25" t="s">
        <v>263</v>
      </c>
      <c r="B62" s="25" t="s">
        <v>149</v>
      </c>
      <c r="C62" s="25" t="s">
        <v>264</v>
      </c>
      <c r="D62" s="25" t="s">
        <v>265</v>
      </c>
      <c r="E62" s="25" t="s">
        <v>118</v>
      </c>
      <c r="F62" s="25" t="s">
        <v>119</v>
      </c>
      <c r="G62" s="25" t="str">
        <f t="shared" si="6"/>
        <v>已完成</v>
      </c>
      <c r="H62" s="25" t="str">
        <f t="shared" si="1"/>
        <v>郑士旺</v>
      </c>
      <c r="I62" s="26">
        <f t="shared" si="2"/>
        <v>46230</v>
      </c>
      <c r="J62" s="26">
        <f t="shared" si="3"/>
        <v>46318</v>
      </c>
      <c r="K62" s="26" t="s">
        <v>118</v>
      </c>
      <c r="L62" s="25" t="s">
        <v>120</v>
      </c>
      <c r="M62" s="25" t="s">
        <v>121</v>
      </c>
      <c r="N62" s="26">
        <v>46230</v>
      </c>
      <c r="O62" s="26">
        <v>46241</v>
      </c>
      <c r="P62" s="25" t="s">
        <v>122</v>
      </c>
      <c r="Q62" s="25" t="s">
        <v>121</v>
      </c>
      <c r="R62" s="26">
        <v>46230</v>
      </c>
      <c r="S62" s="26">
        <v>46241</v>
      </c>
      <c r="T62" s="25" t="s">
        <v>123</v>
      </c>
      <c r="U62" s="25" t="s">
        <v>121</v>
      </c>
      <c r="V62" s="26">
        <v>46230</v>
      </c>
      <c r="W62" s="26">
        <v>46241</v>
      </c>
      <c r="X62" s="25" t="s">
        <v>124</v>
      </c>
      <c r="Y62" s="25" t="s">
        <v>121</v>
      </c>
      <c r="Z62" s="26">
        <v>46307</v>
      </c>
      <c r="AA62" s="26">
        <v>46318</v>
      </c>
      <c r="AB62" s="27">
        <f t="shared" si="4"/>
        <v>1</v>
      </c>
      <c r="AC62" s="25" t="str">
        <f>IF(G62="已完成","正常",IF(OR(G62="暂停",G62="挂起"),"暂停",IF(J62="","日期缺失",IF(J62&lt;_数据接口!$B$7,"已延期",IF(J62&lt;=_数据接口!$B$7+7,"临近到期","正常")))))</f>
        <v>正常</v>
      </c>
      <c r="AD62" s="25" t="s">
        <v>125</v>
      </c>
      <c r="AE62" s="25" t="s">
        <v>125</v>
      </c>
    </row>
    <row r="63" ht="17" customHeight="1" spans="1:31">
      <c r="A63" s="25" t="s">
        <v>266</v>
      </c>
      <c r="B63" s="25" t="s">
        <v>149</v>
      </c>
      <c r="C63" s="25" t="s">
        <v>267</v>
      </c>
      <c r="D63" s="25" t="s">
        <v>268</v>
      </c>
      <c r="E63" s="25" t="s">
        <v>118</v>
      </c>
      <c r="F63" s="25" t="s">
        <v>119</v>
      </c>
      <c r="G63" s="25" t="str">
        <f t="shared" si="6"/>
        <v>已完成</v>
      </c>
      <c r="H63" s="25" t="str">
        <f t="shared" si="1"/>
        <v>郑士旺</v>
      </c>
      <c r="I63" s="26">
        <f t="shared" si="2"/>
        <v>46202</v>
      </c>
      <c r="J63" s="26">
        <f t="shared" si="3"/>
        <v>46261</v>
      </c>
      <c r="K63" s="26">
        <v>46261</v>
      </c>
      <c r="L63" s="25" t="s">
        <v>120</v>
      </c>
      <c r="M63" s="25" t="s">
        <v>121</v>
      </c>
      <c r="N63" s="26">
        <v>46202</v>
      </c>
      <c r="O63" s="26">
        <v>46206</v>
      </c>
      <c r="P63" s="25" t="s">
        <v>122</v>
      </c>
      <c r="Q63" s="25" t="s">
        <v>121</v>
      </c>
      <c r="R63" s="26">
        <v>46209</v>
      </c>
      <c r="S63" s="26">
        <v>46227</v>
      </c>
      <c r="T63" s="25" t="s">
        <v>123</v>
      </c>
      <c r="U63" s="25" t="s">
        <v>121</v>
      </c>
      <c r="V63" s="26">
        <v>46209</v>
      </c>
      <c r="W63" s="26">
        <v>46227</v>
      </c>
      <c r="X63" s="25" t="s">
        <v>124</v>
      </c>
      <c r="Y63" s="25" t="s">
        <v>121</v>
      </c>
      <c r="Z63" s="26">
        <v>46216</v>
      </c>
      <c r="AA63" s="26">
        <v>46234</v>
      </c>
      <c r="AB63" s="27">
        <f t="shared" si="4"/>
        <v>1</v>
      </c>
      <c r="AC63" s="25" t="str">
        <f>IF(G63="已完成","正常",IF(OR(G63="暂停",G63="挂起"),"暂停",IF(J63="","日期缺失",IF(J63&lt;_数据接口!$B$7,"已延期",IF(J63&lt;=_数据接口!$B$7+7,"临近到期","正常")))))</f>
        <v>正常</v>
      </c>
      <c r="AD63" s="25" t="s">
        <v>125</v>
      </c>
      <c r="AE63" s="25" t="s">
        <v>125</v>
      </c>
    </row>
    <row r="64" ht="17" customHeight="1" spans="1:31">
      <c r="A64" s="25" t="s">
        <v>269</v>
      </c>
      <c r="B64" s="25" t="s">
        <v>149</v>
      </c>
      <c r="C64" s="25" t="s">
        <v>267</v>
      </c>
      <c r="D64" s="25" t="s">
        <v>270</v>
      </c>
      <c r="E64" s="25" t="s">
        <v>118</v>
      </c>
      <c r="F64" s="25" t="s">
        <v>119</v>
      </c>
      <c r="G64" s="25" t="str">
        <f t="shared" si="6"/>
        <v>已完成</v>
      </c>
      <c r="H64" s="25" t="str">
        <f t="shared" si="1"/>
        <v>郑士旺</v>
      </c>
      <c r="I64" s="26">
        <f t="shared" si="2"/>
        <v>46202</v>
      </c>
      <c r="J64" s="26">
        <f t="shared" si="3"/>
        <v>46261</v>
      </c>
      <c r="K64" s="26">
        <v>46261</v>
      </c>
      <c r="L64" s="25" t="s">
        <v>120</v>
      </c>
      <c r="M64" s="25" t="s">
        <v>121</v>
      </c>
      <c r="N64" s="26">
        <v>46202</v>
      </c>
      <c r="O64" s="26">
        <v>46206</v>
      </c>
      <c r="P64" s="25" t="s">
        <v>122</v>
      </c>
      <c r="Q64" s="25" t="s">
        <v>121</v>
      </c>
      <c r="R64" s="26">
        <v>46209</v>
      </c>
      <c r="S64" s="26">
        <v>46227</v>
      </c>
      <c r="T64" s="25" t="s">
        <v>123</v>
      </c>
      <c r="U64" s="25" t="s">
        <v>121</v>
      </c>
      <c r="V64" s="26">
        <v>46209</v>
      </c>
      <c r="W64" s="26">
        <v>46227</v>
      </c>
      <c r="X64" s="25" t="s">
        <v>124</v>
      </c>
      <c r="Y64" s="25" t="s">
        <v>121</v>
      </c>
      <c r="Z64" s="26">
        <v>46216</v>
      </c>
      <c r="AA64" s="26">
        <v>46234</v>
      </c>
      <c r="AB64" s="27">
        <f t="shared" si="4"/>
        <v>1</v>
      </c>
      <c r="AC64" s="25" t="str">
        <f>IF(G64="已完成","正常",IF(OR(G64="暂停",G64="挂起"),"暂停",IF(J64="","日期缺失",IF(J64&lt;_数据接口!$B$7,"已延期",IF(J64&lt;=_数据接口!$B$7+7,"临近到期","正常")))))</f>
        <v>正常</v>
      </c>
      <c r="AD64" s="25" t="s">
        <v>125</v>
      </c>
      <c r="AE64" s="25" t="s">
        <v>125</v>
      </c>
    </row>
    <row r="65" ht="17" customHeight="1" spans="1:31">
      <c r="A65" s="25" t="s">
        <v>271</v>
      </c>
      <c r="B65" s="25" t="s">
        <v>149</v>
      </c>
      <c r="C65" s="25" t="s">
        <v>267</v>
      </c>
      <c r="D65" s="25" t="s">
        <v>272</v>
      </c>
      <c r="E65" s="25" t="s">
        <v>118</v>
      </c>
      <c r="F65" s="25" t="s">
        <v>119</v>
      </c>
      <c r="G65" s="25" t="str">
        <f t="shared" si="6"/>
        <v>已完成</v>
      </c>
      <c r="H65" s="25" t="str">
        <f t="shared" si="1"/>
        <v>郑士旺</v>
      </c>
      <c r="I65" s="26">
        <f t="shared" si="2"/>
        <v>46202</v>
      </c>
      <c r="J65" s="26">
        <f t="shared" si="3"/>
        <v>46261</v>
      </c>
      <c r="K65" s="26">
        <v>46261</v>
      </c>
      <c r="L65" s="25" t="s">
        <v>120</v>
      </c>
      <c r="M65" s="25" t="s">
        <v>121</v>
      </c>
      <c r="N65" s="26">
        <v>46202</v>
      </c>
      <c r="O65" s="26">
        <v>46206</v>
      </c>
      <c r="P65" s="25" t="s">
        <v>122</v>
      </c>
      <c r="Q65" s="25" t="s">
        <v>121</v>
      </c>
      <c r="R65" s="26">
        <v>46209</v>
      </c>
      <c r="S65" s="26">
        <v>46227</v>
      </c>
      <c r="T65" s="25" t="s">
        <v>123</v>
      </c>
      <c r="U65" s="25" t="s">
        <v>121</v>
      </c>
      <c r="V65" s="26">
        <v>46209</v>
      </c>
      <c r="W65" s="26">
        <v>46227</v>
      </c>
      <c r="X65" s="25" t="s">
        <v>124</v>
      </c>
      <c r="Y65" s="25" t="s">
        <v>121</v>
      </c>
      <c r="Z65" s="26">
        <v>46216</v>
      </c>
      <c r="AA65" s="26">
        <v>46234</v>
      </c>
      <c r="AB65" s="27">
        <f t="shared" si="4"/>
        <v>1</v>
      </c>
      <c r="AC65" s="25" t="str">
        <f>IF(G65="已完成","正常",IF(OR(G65="暂停",G65="挂起"),"暂停",IF(J65="","日期缺失",IF(J65&lt;_数据接口!$B$7,"已延期",IF(J65&lt;=_数据接口!$B$7+7,"临近到期","正常")))))</f>
        <v>正常</v>
      </c>
      <c r="AD65" s="25" t="s">
        <v>125</v>
      </c>
      <c r="AE65" s="25" t="s">
        <v>125</v>
      </c>
    </row>
    <row r="66" ht="17" customHeight="1" spans="1:31">
      <c r="A66" s="25" t="s">
        <v>273</v>
      </c>
      <c r="B66" s="25" t="s">
        <v>149</v>
      </c>
      <c r="C66" s="25" t="s">
        <v>274</v>
      </c>
      <c r="D66" s="25" t="s">
        <v>275</v>
      </c>
      <c r="E66" s="25" t="s">
        <v>118</v>
      </c>
      <c r="F66" s="25" t="s">
        <v>119</v>
      </c>
      <c r="G66" s="25" t="str">
        <f t="shared" si="6"/>
        <v>已完成</v>
      </c>
      <c r="H66" s="25" t="str">
        <f t="shared" si="1"/>
        <v>郑士旺</v>
      </c>
      <c r="I66" s="26">
        <f t="shared" si="2"/>
        <v>46202</v>
      </c>
      <c r="J66" s="26">
        <f t="shared" si="3"/>
        <v>46261</v>
      </c>
      <c r="K66" s="26">
        <v>46261</v>
      </c>
      <c r="L66" s="25" t="s">
        <v>120</v>
      </c>
      <c r="M66" s="25" t="s">
        <v>121</v>
      </c>
      <c r="N66" s="26">
        <v>46202</v>
      </c>
      <c r="O66" s="26">
        <v>46206</v>
      </c>
      <c r="P66" s="25" t="s">
        <v>122</v>
      </c>
      <c r="Q66" s="25" t="s">
        <v>121</v>
      </c>
      <c r="R66" s="26">
        <v>46209</v>
      </c>
      <c r="S66" s="26">
        <v>46227</v>
      </c>
      <c r="T66" s="25" t="s">
        <v>123</v>
      </c>
      <c r="U66" s="25" t="s">
        <v>121</v>
      </c>
      <c r="V66" s="26">
        <v>46209</v>
      </c>
      <c r="W66" s="26">
        <v>46227</v>
      </c>
      <c r="X66" s="25" t="s">
        <v>124</v>
      </c>
      <c r="Y66" s="25" t="s">
        <v>121</v>
      </c>
      <c r="Z66" s="26">
        <v>46216</v>
      </c>
      <c r="AA66" s="26">
        <v>46234</v>
      </c>
      <c r="AB66" s="27">
        <f t="shared" si="4"/>
        <v>1</v>
      </c>
      <c r="AC66" s="25" t="str">
        <f>IF(G66="已完成","正常",IF(OR(G66="暂停",G66="挂起"),"暂停",IF(J66="","日期缺失",IF(J66&lt;_数据接口!$B$7,"已延期",IF(J66&lt;=_数据接口!$B$7+7,"临近到期","正常")))))</f>
        <v>正常</v>
      </c>
      <c r="AD66" s="25" t="s">
        <v>125</v>
      </c>
      <c r="AE66" s="25" t="s">
        <v>125</v>
      </c>
    </row>
    <row r="67" ht="17" customHeight="1" spans="1:31">
      <c r="A67" s="25" t="s">
        <v>276</v>
      </c>
      <c r="B67" s="25" t="s">
        <v>149</v>
      </c>
      <c r="C67" s="25" t="s">
        <v>274</v>
      </c>
      <c r="D67" s="25" t="s">
        <v>275</v>
      </c>
      <c r="E67" s="25" t="s">
        <v>118</v>
      </c>
      <c r="F67" s="25" t="s">
        <v>119</v>
      </c>
      <c r="G67" s="25" t="str">
        <f t="shared" si="6"/>
        <v>已完成</v>
      </c>
      <c r="H67" s="25" t="str">
        <f t="shared" si="1"/>
        <v>郑士旺</v>
      </c>
      <c r="I67" s="26">
        <f t="shared" si="2"/>
        <v>46202</v>
      </c>
      <c r="J67" s="26">
        <f t="shared" si="3"/>
        <v>46261</v>
      </c>
      <c r="K67" s="26">
        <v>46261</v>
      </c>
      <c r="L67" s="25" t="s">
        <v>120</v>
      </c>
      <c r="M67" s="25" t="s">
        <v>121</v>
      </c>
      <c r="N67" s="26">
        <v>46202</v>
      </c>
      <c r="O67" s="26">
        <v>46206</v>
      </c>
      <c r="P67" s="25" t="s">
        <v>122</v>
      </c>
      <c r="Q67" s="25" t="s">
        <v>121</v>
      </c>
      <c r="R67" s="26">
        <v>46209</v>
      </c>
      <c r="S67" s="26">
        <v>46227</v>
      </c>
      <c r="T67" s="25" t="s">
        <v>123</v>
      </c>
      <c r="U67" s="25" t="s">
        <v>121</v>
      </c>
      <c r="V67" s="26">
        <v>46209</v>
      </c>
      <c r="W67" s="26">
        <v>46227</v>
      </c>
      <c r="X67" s="25" t="s">
        <v>124</v>
      </c>
      <c r="Y67" s="25" t="s">
        <v>121</v>
      </c>
      <c r="Z67" s="26">
        <v>46216</v>
      </c>
      <c r="AA67" s="26">
        <v>46234</v>
      </c>
      <c r="AB67" s="27">
        <f t="shared" si="4"/>
        <v>1</v>
      </c>
      <c r="AC67" s="25" t="str">
        <f>IF(G67="已完成","正常",IF(OR(G67="暂停",G67="挂起"),"暂停",IF(J67="","日期缺失",IF(J67&lt;_数据接口!$B$7,"已延期",IF(J67&lt;=_数据接口!$B$7+7,"临近到期","正常")))))</f>
        <v>正常</v>
      </c>
      <c r="AD67" s="25" t="s">
        <v>125</v>
      </c>
      <c r="AE67" s="25" t="s">
        <v>125</v>
      </c>
    </row>
    <row r="68" ht="17" customHeight="1" spans="1:31">
      <c r="A68" s="25" t="s">
        <v>277</v>
      </c>
      <c r="B68" s="25" t="s">
        <v>149</v>
      </c>
      <c r="C68" s="25" t="s">
        <v>274</v>
      </c>
      <c r="D68" s="25" t="s">
        <v>278</v>
      </c>
      <c r="E68" s="25" t="s">
        <v>118</v>
      </c>
      <c r="F68" s="25" t="s">
        <v>119</v>
      </c>
      <c r="G68" s="25" t="str">
        <f t="shared" si="6"/>
        <v>已完成</v>
      </c>
      <c r="H68" s="25" t="str">
        <f t="shared" ref="H68:H131" si="7">IF(L68&lt;&gt;"",L68,IF(P68&lt;&gt;"",P68,IF(T68&lt;&gt;"",T68,X68)))</f>
        <v>郑士旺</v>
      </c>
      <c r="I68" s="26">
        <f t="shared" ref="I68:I131" si="8">IF(COUNT(N68,R68,V68,Z68)=0,"",MIN(N68,R68,V68,Z68))</f>
        <v>46202</v>
      </c>
      <c r="J68" s="26">
        <f t="shared" ref="J68:J131" si="9">IF(ISNUMBER(K68),K68,IF(COUNT(O68,S68,W68,AA68)=0,"",MAX(O68,S68,W68,AA68)))</f>
        <v>46261</v>
      </c>
      <c r="K68" s="26">
        <v>46261</v>
      </c>
      <c r="L68" s="25" t="s">
        <v>120</v>
      </c>
      <c r="M68" s="25" t="s">
        <v>121</v>
      </c>
      <c r="N68" s="26">
        <v>46202</v>
      </c>
      <c r="O68" s="26">
        <v>46206</v>
      </c>
      <c r="P68" s="25" t="s">
        <v>122</v>
      </c>
      <c r="Q68" s="25" t="s">
        <v>121</v>
      </c>
      <c r="R68" s="26">
        <v>46209</v>
      </c>
      <c r="S68" s="26">
        <v>46227</v>
      </c>
      <c r="T68" s="25" t="s">
        <v>123</v>
      </c>
      <c r="U68" s="25" t="s">
        <v>121</v>
      </c>
      <c r="V68" s="26">
        <v>46209</v>
      </c>
      <c r="W68" s="26">
        <v>46227</v>
      </c>
      <c r="X68" s="25" t="s">
        <v>124</v>
      </c>
      <c r="Y68" s="25" t="s">
        <v>121</v>
      </c>
      <c r="Z68" s="26">
        <v>46216</v>
      </c>
      <c r="AA68" s="26">
        <v>46234</v>
      </c>
      <c r="AB68" s="27">
        <f t="shared" ref="AB68:AB131" si="10">(IF(M68="已完成",1,IF(M68="进行中",0.5,0))*15%+IF(Q68="已完成",1,IF(Q68="进行中",0.5,0))*35%+IF(U68="已完成",1,IF(U68="进行中",0.5,0))*30%+IF(Y68="已完成",1,IF(Y68="进行中",0.5,0))*20%)</f>
        <v>1</v>
      </c>
      <c r="AC68" s="25" t="str">
        <f>IF(G68="已完成","正常",IF(OR(G68="暂停",G68="挂起"),"暂停",IF(J68="","日期缺失",IF(J68&lt;_数据接口!$B$7,"已延期",IF(J68&lt;=_数据接口!$B$7+7,"临近到期","正常")))))</f>
        <v>正常</v>
      </c>
      <c r="AD68" s="25" t="s">
        <v>125</v>
      </c>
      <c r="AE68" s="25" t="s">
        <v>125</v>
      </c>
    </row>
    <row r="69" ht="17" customHeight="1" spans="1:31">
      <c r="A69" s="25" t="s">
        <v>279</v>
      </c>
      <c r="B69" s="25" t="s">
        <v>149</v>
      </c>
      <c r="C69" s="25" t="s">
        <v>274</v>
      </c>
      <c r="D69" s="25" t="s">
        <v>278</v>
      </c>
      <c r="E69" s="25" t="s">
        <v>118</v>
      </c>
      <c r="F69" s="25" t="s">
        <v>119</v>
      </c>
      <c r="G69" s="25" t="str">
        <f t="shared" si="6"/>
        <v>已完成</v>
      </c>
      <c r="H69" s="25" t="str">
        <f t="shared" si="7"/>
        <v>郑士旺</v>
      </c>
      <c r="I69" s="26">
        <f t="shared" si="8"/>
        <v>46202</v>
      </c>
      <c r="J69" s="26">
        <f t="shared" si="9"/>
        <v>46261</v>
      </c>
      <c r="K69" s="26">
        <v>46261</v>
      </c>
      <c r="L69" s="25" t="s">
        <v>120</v>
      </c>
      <c r="M69" s="25" t="s">
        <v>121</v>
      </c>
      <c r="N69" s="26">
        <v>46202</v>
      </c>
      <c r="O69" s="26">
        <v>46206</v>
      </c>
      <c r="P69" s="25" t="s">
        <v>122</v>
      </c>
      <c r="Q69" s="25" t="s">
        <v>121</v>
      </c>
      <c r="R69" s="26">
        <v>46209</v>
      </c>
      <c r="S69" s="26">
        <v>46227</v>
      </c>
      <c r="T69" s="25" t="s">
        <v>123</v>
      </c>
      <c r="U69" s="25" t="s">
        <v>121</v>
      </c>
      <c r="V69" s="26">
        <v>46209</v>
      </c>
      <c r="W69" s="26">
        <v>46227</v>
      </c>
      <c r="X69" s="25" t="s">
        <v>124</v>
      </c>
      <c r="Y69" s="25" t="s">
        <v>121</v>
      </c>
      <c r="Z69" s="26">
        <v>46216</v>
      </c>
      <c r="AA69" s="26">
        <v>46234</v>
      </c>
      <c r="AB69" s="27">
        <f t="shared" si="10"/>
        <v>1</v>
      </c>
      <c r="AC69" s="25" t="str">
        <f>IF(G69="已完成","正常",IF(OR(G69="暂停",G69="挂起"),"暂停",IF(J69="","日期缺失",IF(J69&lt;_数据接口!$B$7,"已延期",IF(J69&lt;=_数据接口!$B$7+7,"临近到期","正常")))))</f>
        <v>正常</v>
      </c>
      <c r="AD69" s="25" t="s">
        <v>125</v>
      </c>
      <c r="AE69" s="25" t="s">
        <v>125</v>
      </c>
    </row>
    <row r="70" ht="17" customHeight="1" spans="1:31">
      <c r="A70" s="25" t="s">
        <v>280</v>
      </c>
      <c r="B70" s="25" t="s">
        <v>149</v>
      </c>
      <c r="C70" s="25" t="s">
        <v>274</v>
      </c>
      <c r="D70" s="25" t="s">
        <v>278</v>
      </c>
      <c r="E70" s="25" t="s">
        <v>118</v>
      </c>
      <c r="F70" s="25" t="s">
        <v>119</v>
      </c>
      <c r="G70" s="25" t="str">
        <f t="shared" si="6"/>
        <v>已完成</v>
      </c>
      <c r="H70" s="25" t="str">
        <f t="shared" si="7"/>
        <v>郑士旺</v>
      </c>
      <c r="I70" s="26">
        <f t="shared" si="8"/>
        <v>46202</v>
      </c>
      <c r="J70" s="26">
        <f t="shared" si="9"/>
        <v>46261</v>
      </c>
      <c r="K70" s="26">
        <v>46261</v>
      </c>
      <c r="L70" s="25" t="s">
        <v>120</v>
      </c>
      <c r="M70" s="25" t="s">
        <v>121</v>
      </c>
      <c r="N70" s="26">
        <v>46202</v>
      </c>
      <c r="O70" s="26">
        <v>46206</v>
      </c>
      <c r="P70" s="25" t="s">
        <v>122</v>
      </c>
      <c r="Q70" s="25" t="s">
        <v>121</v>
      </c>
      <c r="R70" s="26">
        <v>46209</v>
      </c>
      <c r="S70" s="26">
        <v>46227</v>
      </c>
      <c r="T70" s="25" t="s">
        <v>123</v>
      </c>
      <c r="U70" s="25" t="s">
        <v>121</v>
      </c>
      <c r="V70" s="26">
        <v>46209</v>
      </c>
      <c r="W70" s="26">
        <v>46227</v>
      </c>
      <c r="X70" s="25" t="s">
        <v>124</v>
      </c>
      <c r="Y70" s="25" t="s">
        <v>121</v>
      </c>
      <c r="Z70" s="26">
        <v>46216</v>
      </c>
      <c r="AA70" s="26">
        <v>46234</v>
      </c>
      <c r="AB70" s="27">
        <f t="shared" si="10"/>
        <v>1</v>
      </c>
      <c r="AC70" s="25" t="str">
        <f>IF(G70="已完成","正常",IF(OR(G70="暂停",G70="挂起"),"暂停",IF(J70="","日期缺失",IF(J70&lt;_数据接口!$B$7,"已延期",IF(J70&lt;=_数据接口!$B$7+7,"临近到期","正常")))))</f>
        <v>正常</v>
      </c>
      <c r="AD70" s="25" t="s">
        <v>125</v>
      </c>
      <c r="AE70" s="25" t="s">
        <v>125</v>
      </c>
    </row>
    <row r="71" ht="17" customHeight="1" spans="1:31">
      <c r="A71" s="25" t="s">
        <v>281</v>
      </c>
      <c r="B71" s="25" t="s">
        <v>149</v>
      </c>
      <c r="C71" s="25" t="s">
        <v>274</v>
      </c>
      <c r="D71" s="25" t="s">
        <v>278</v>
      </c>
      <c r="E71" s="25" t="s">
        <v>118</v>
      </c>
      <c r="F71" s="25" t="s">
        <v>119</v>
      </c>
      <c r="G71" s="25" t="str">
        <f t="shared" si="6"/>
        <v>已完成</v>
      </c>
      <c r="H71" s="25" t="str">
        <f t="shared" si="7"/>
        <v>郑士旺</v>
      </c>
      <c r="I71" s="26">
        <f t="shared" si="8"/>
        <v>46202</v>
      </c>
      <c r="J71" s="26">
        <f t="shared" si="9"/>
        <v>46261</v>
      </c>
      <c r="K71" s="26">
        <v>46261</v>
      </c>
      <c r="L71" s="25" t="s">
        <v>120</v>
      </c>
      <c r="M71" s="25" t="s">
        <v>121</v>
      </c>
      <c r="N71" s="26">
        <v>46202</v>
      </c>
      <c r="O71" s="26">
        <v>46206</v>
      </c>
      <c r="P71" s="25" t="s">
        <v>122</v>
      </c>
      <c r="Q71" s="25" t="s">
        <v>121</v>
      </c>
      <c r="R71" s="26">
        <v>46209</v>
      </c>
      <c r="S71" s="26">
        <v>46227</v>
      </c>
      <c r="T71" s="25" t="s">
        <v>123</v>
      </c>
      <c r="U71" s="25" t="s">
        <v>121</v>
      </c>
      <c r="V71" s="26">
        <v>46209</v>
      </c>
      <c r="W71" s="26">
        <v>46227</v>
      </c>
      <c r="X71" s="25" t="s">
        <v>124</v>
      </c>
      <c r="Y71" s="25" t="s">
        <v>121</v>
      </c>
      <c r="Z71" s="26">
        <v>46216</v>
      </c>
      <c r="AA71" s="26">
        <v>46234</v>
      </c>
      <c r="AB71" s="27">
        <f t="shared" si="10"/>
        <v>1</v>
      </c>
      <c r="AC71" s="25" t="str">
        <f>IF(G71="已完成","正常",IF(OR(G71="暂停",G71="挂起"),"暂停",IF(J71="","日期缺失",IF(J71&lt;_数据接口!$B$7,"已延期",IF(J71&lt;=_数据接口!$B$7+7,"临近到期","正常")))))</f>
        <v>正常</v>
      </c>
      <c r="AD71" s="25" t="s">
        <v>125</v>
      </c>
      <c r="AE71" s="25" t="s">
        <v>125</v>
      </c>
    </row>
    <row r="72" ht="17" customHeight="1" spans="1:31">
      <c r="A72" s="25" t="s">
        <v>282</v>
      </c>
      <c r="B72" s="25" t="s">
        <v>149</v>
      </c>
      <c r="C72" s="25" t="s">
        <v>283</v>
      </c>
      <c r="D72" s="25" t="s">
        <v>284</v>
      </c>
      <c r="E72" s="25" t="s">
        <v>118</v>
      </c>
      <c r="F72" s="25" t="s">
        <v>119</v>
      </c>
      <c r="G72" s="25" t="str">
        <f t="shared" si="6"/>
        <v>已完成</v>
      </c>
      <c r="H72" s="25" t="str">
        <f t="shared" si="7"/>
        <v>郑士旺</v>
      </c>
      <c r="I72" s="26">
        <f t="shared" si="8"/>
        <v>46195</v>
      </c>
      <c r="J72" s="26">
        <f t="shared" si="9"/>
        <v>46224</v>
      </c>
      <c r="K72" s="26">
        <v>46224</v>
      </c>
      <c r="L72" s="25" t="s">
        <v>120</v>
      </c>
      <c r="M72" s="25" t="s">
        <v>121</v>
      </c>
      <c r="N72" s="26" t="s">
        <v>118</v>
      </c>
      <c r="O72" s="26" t="s">
        <v>118</v>
      </c>
      <c r="P72" s="25" t="s">
        <v>122</v>
      </c>
      <c r="Q72" s="25" t="s">
        <v>121</v>
      </c>
      <c r="R72" s="26">
        <v>46195</v>
      </c>
      <c r="S72" s="26">
        <v>46206</v>
      </c>
      <c r="T72" s="25" t="s">
        <v>123</v>
      </c>
      <c r="U72" s="25" t="s">
        <v>121</v>
      </c>
      <c r="V72" s="26">
        <v>46195</v>
      </c>
      <c r="W72" s="26">
        <v>46206</v>
      </c>
      <c r="X72" s="25" t="s">
        <v>124</v>
      </c>
      <c r="Y72" s="25" t="s">
        <v>121</v>
      </c>
      <c r="Z72" s="26">
        <v>46216</v>
      </c>
      <c r="AA72" s="26">
        <v>46234</v>
      </c>
      <c r="AB72" s="27">
        <f t="shared" si="10"/>
        <v>1</v>
      </c>
      <c r="AC72" s="25" t="str">
        <f>IF(G72="已完成","正常",IF(OR(G72="暂停",G72="挂起"),"暂停",IF(J72="","日期缺失",IF(J72&lt;_数据接口!$B$7,"已延期",IF(J72&lt;=_数据接口!$B$7+7,"临近到期","正常")))))</f>
        <v>正常</v>
      </c>
      <c r="AD72" s="25" t="s">
        <v>125</v>
      </c>
      <c r="AE72" s="25" t="s">
        <v>125</v>
      </c>
    </row>
    <row r="73" ht="17" customHeight="1" spans="1:31">
      <c r="A73" s="25" t="s">
        <v>285</v>
      </c>
      <c r="B73" s="25" t="s">
        <v>149</v>
      </c>
      <c r="C73" s="25" t="s">
        <v>283</v>
      </c>
      <c r="D73" s="25" t="s">
        <v>286</v>
      </c>
      <c r="E73" s="25" t="s">
        <v>118</v>
      </c>
      <c r="F73" s="25" t="s">
        <v>119</v>
      </c>
      <c r="G73" s="25" t="str">
        <f t="shared" si="6"/>
        <v>已完成</v>
      </c>
      <c r="H73" s="25" t="str">
        <f t="shared" si="7"/>
        <v>郑士旺</v>
      </c>
      <c r="I73" s="26">
        <f t="shared" si="8"/>
        <v>46195</v>
      </c>
      <c r="J73" s="26">
        <f t="shared" si="9"/>
        <v>46224</v>
      </c>
      <c r="K73" s="26">
        <v>46224</v>
      </c>
      <c r="L73" s="25" t="s">
        <v>120</v>
      </c>
      <c r="M73" s="25" t="s">
        <v>121</v>
      </c>
      <c r="N73" s="26" t="s">
        <v>118</v>
      </c>
      <c r="O73" s="26" t="s">
        <v>118</v>
      </c>
      <c r="P73" s="25" t="s">
        <v>122</v>
      </c>
      <c r="Q73" s="25" t="s">
        <v>121</v>
      </c>
      <c r="R73" s="26">
        <v>46195</v>
      </c>
      <c r="S73" s="26">
        <v>46206</v>
      </c>
      <c r="T73" s="25" t="s">
        <v>123</v>
      </c>
      <c r="U73" s="25" t="s">
        <v>121</v>
      </c>
      <c r="V73" s="26">
        <v>46195</v>
      </c>
      <c r="W73" s="26">
        <v>46206</v>
      </c>
      <c r="X73" s="25" t="s">
        <v>124</v>
      </c>
      <c r="Y73" s="25" t="s">
        <v>121</v>
      </c>
      <c r="Z73" s="26">
        <v>46202</v>
      </c>
      <c r="AA73" s="26">
        <v>46213</v>
      </c>
      <c r="AB73" s="27">
        <f t="shared" si="10"/>
        <v>1</v>
      </c>
      <c r="AC73" s="25" t="str">
        <f>IF(G73="已完成","正常",IF(OR(G73="暂停",G73="挂起"),"暂停",IF(J73="","日期缺失",IF(J73&lt;_数据接口!$B$7,"已延期",IF(J73&lt;=_数据接口!$B$7+7,"临近到期","正常")))))</f>
        <v>正常</v>
      </c>
      <c r="AD73" s="25" t="s">
        <v>125</v>
      </c>
      <c r="AE73" s="25" t="s">
        <v>125</v>
      </c>
    </row>
    <row r="74" ht="17" customHeight="1" spans="1:31">
      <c r="A74" s="25" t="s">
        <v>287</v>
      </c>
      <c r="B74" s="25" t="s">
        <v>149</v>
      </c>
      <c r="C74" s="25" t="s">
        <v>288</v>
      </c>
      <c r="D74" s="25" t="s">
        <v>118</v>
      </c>
      <c r="E74" s="25" t="s">
        <v>118</v>
      </c>
      <c r="F74" s="25" t="s">
        <v>119</v>
      </c>
      <c r="G74" s="25" t="str">
        <f t="shared" si="6"/>
        <v>已完成</v>
      </c>
      <c r="H74" s="25" t="str">
        <f t="shared" si="7"/>
        <v>郑士旺</v>
      </c>
      <c r="I74" s="26">
        <f t="shared" si="8"/>
        <v>46195</v>
      </c>
      <c r="J74" s="26">
        <f t="shared" si="9"/>
        <v>46224</v>
      </c>
      <c r="K74" s="26">
        <v>46224</v>
      </c>
      <c r="L74" s="25" t="s">
        <v>120</v>
      </c>
      <c r="M74" s="25" t="s">
        <v>121</v>
      </c>
      <c r="N74" s="26" t="s">
        <v>118</v>
      </c>
      <c r="O74" s="26" t="s">
        <v>118</v>
      </c>
      <c r="P74" s="25" t="s">
        <v>122</v>
      </c>
      <c r="Q74" s="25" t="s">
        <v>121</v>
      </c>
      <c r="R74" s="26">
        <v>46195</v>
      </c>
      <c r="S74" s="26">
        <v>46206</v>
      </c>
      <c r="T74" s="25" t="s">
        <v>123</v>
      </c>
      <c r="U74" s="25" t="s">
        <v>121</v>
      </c>
      <c r="V74" s="26">
        <v>46195</v>
      </c>
      <c r="W74" s="26">
        <v>46206</v>
      </c>
      <c r="X74" s="25" t="s">
        <v>124</v>
      </c>
      <c r="Y74" s="25" t="s">
        <v>121</v>
      </c>
      <c r="Z74" s="26">
        <v>46202</v>
      </c>
      <c r="AA74" s="26">
        <v>46213</v>
      </c>
      <c r="AB74" s="27">
        <f t="shared" si="10"/>
        <v>1</v>
      </c>
      <c r="AC74" s="25" t="str">
        <f>IF(G74="已完成","正常",IF(OR(G74="暂停",G74="挂起"),"暂停",IF(J74="","日期缺失",IF(J74&lt;_数据接口!$B$7,"已延期",IF(J74&lt;=_数据接口!$B$7+7,"临近到期","正常")))))</f>
        <v>正常</v>
      </c>
      <c r="AD74" s="25" t="s">
        <v>125</v>
      </c>
      <c r="AE74" s="25" t="s">
        <v>125</v>
      </c>
    </row>
    <row r="75" ht="17" customHeight="1" spans="1:31">
      <c r="A75" s="25" t="s">
        <v>289</v>
      </c>
      <c r="B75" s="25" t="s">
        <v>149</v>
      </c>
      <c r="C75" s="25" t="s">
        <v>290</v>
      </c>
      <c r="D75" s="25" t="s">
        <v>291</v>
      </c>
      <c r="E75" s="25" t="s">
        <v>118</v>
      </c>
      <c r="F75" s="25" t="s">
        <v>119</v>
      </c>
      <c r="G75" s="25" t="str">
        <f t="shared" si="6"/>
        <v>已完成</v>
      </c>
      <c r="H75" s="25" t="str">
        <f t="shared" si="7"/>
        <v>郑士旺</v>
      </c>
      <c r="I75" s="26">
        <f t="shared" si="8"/>
        <v>46202</v>
      </c>
      <c r="J75" s="26">
        <f t="shared" si="9"/>
        <v>46234</v>
      </c>
      <c r="K75" s="26" t="s">
        <v>118</v>
      </c>
      <c r="L75" s="25" t="s">
        <v>120</v>
      </c>
      <c r="M75" s="25" t="s">
        <v>121</v>
      </c>
      <c r="N75" s="26">
        <v>46202</v>
      </c>
      <c r="O75" s="26">
        <v>46206</v>
      </c>
      <c r="P75" s="25" t="s">
        <v>122</v>
      </c>
      <c r="Q75" s="25" t="s">
        <v>121</v>
      </c>
      <c r="R75" s="26">
        <v>46209</v>
      </c>
      <c r="S75" s="26">
        <v>46225</v>
      </c>
      <c r="T75" s="25" t="s">
        <v>123</v>
      </c>
      <c r="U75" s="25" t="s">
        <v>121</v>
      </c>
      <c r="V75" s="26">
        <v>46209</v>
      </c>
      <c r="W75" s="26">
        <v>46225</v>
      </c>
      <c r="X75" s="25" t="s">
        <v>124</v>
      </c>
      <c r="Y75" s="25" t="s">
        <v>121</v>
      </c>
      <c r="Z75" s="26">
        <v>46216</v>
      </c>
      <c r="AA75" s="26">
        <v>46234</v>
      </c>
      <c r="AB75" s="27">
        <f t="shared" si="10"/>
        <v>1</v>
      </c>
      <c r="AC75" s="25" t="str">
        <f>IF(G75="已完成","正常",IF(OR(G75="暂停",G75="挂起"),"暂停",IF(J75="","日期缺失",IF(J75&lt;_数据接口!$B$7,"已延期",IF(J75&lt;=_数据接口!$B$7+7,"临近到期","正常")))))</f>
        <v>正常</v>
      </c>
      <c r="AD75" s="25" t="s">
        <v>125</v>
      </c>
      <c r="AE75" s="25" t="s">
        <v>125</v>
      </c>
    </row>
    <row r="76" ht="17" customHeight="1" spans="1:31">
      <c r="A76" s="25" t="s">
        <v>292</v>
      </c>
      <c r="B76" s="25" t="s">
        <v>149</v>
      </c>
      <c r="C76" s="25" t="s">
        <v>293</v>
      </c>
      <c r="D76" s="25" t="s">
        <v>294</v>
      </c>
      <c r="E76" s="25" t="s">
        <v>118</v>
      </c>
      <c r="F76" s="25" t="s">
        <v>119</v>
      </c>
      <c r="G76" s="25" t="str">
        <f t="shared" si="6"/>
        <v>已完成</v>
      </c>
      <c r="H76" s="25" t="str">
        <f t="shared" si="7"/>
        <v>郑士旺</v>
      </c>
      <c r="I76" s="26">
        <f t="shared" si="8"/>
        <v>46202</v>
      </c>
      <c r="J76" s="26">
        <f t="shared" si="9"/>
        <v>46224</v>
      </c>
      <c r="K76" s="26">
        <v>46224</v>
      </c>
      <c r="L76" s="25" t="s">
        <v>120</v>
      </c>
      <c r="M76" s="25" t="s">
        <v>121</v>
      </c>
      <c r="N76" s="26">
        <v>46202</v>
      </c>
      <c r="O76" s="26">
        <v>46206</v>
      </c>
      <c r="P76" s="25" t="s">
        <v>122</v>
      </c>
      <c r="Q76" s="25" t="s">
        <v>121</v>
      </c>
      <c r="R76" s="26">
        <v>46227</v>
      </c>
      <c r="S76" s="26">
        <v>46227</v>
      </c>
      <c r="T76" s="25" t="s">
        <v>123</v>
      </c>
      <c r="U76" s="25" t="s">
        <v>121</v>
      </c>
      <c r="V76" s="26">
        <v>46227</v>
      </c>
      <c r="W76" s="26">
        <v>46227</v>
      </c>
      <c r="X76" s="25" t="s">
        <v>124</v>
      </c>
      <c r="Y76" s="25" t="s">
        <v>121</v>
      </c>
      <c r="Z76" s="26">
        <v>46216</v>
      </c>
      <c r="AA76" s="26">
        <v>46234</v>
      </c>
      <c r="AB76" s="27">
        <f t="shared" si="10"/>
        <v>1</v>
      </c>
      <c r="AC76" s="25" t="str">
        <f>IF(G76="已完成","正常",IF(OR(G76="暂停",G76="挂起"),"暂停",IF(J76="","日期缺失",IF(J76&lt;_数据接口!$B$7,"已延期",IF(J76&lt;=_数据接口!$B$7+7,"临近到期","正常")))))</f>
        <v>正常</v>
      </c>
      <c r="AD76" s="25" t="s">
        <v>125</v>
      </c>
      <c r="AE76" s="25" t="s">
        <v>125</v>
      </c>
    </row>
    <row r="77" ht="17" customHeight="1" spans="1:31">
      <c r="A77" s="25" t="s">
        <v>295</v>
      </c>
      <c r="B77" s="25" t="s">
        <v>149</v>
      </c>
      <c r="C77" s="25" t="s">
        <v>293</v>
      </c>
      <c r="D77" s="25" t="s">
        <v>296</v>
      </c>
      <c r="E77" s="25" t="s">
        <v>118</v>
      </c>
      <c r="F77" s="25" t="s">
        <v>119</v>
      </c>
      <c r="G77" s="25" t="str">
        <f t="shared" si="6"/>
        <v>已完成</v>
      </c>
      <c r="H77" s="25" t="str">
        <f t="shared" si="7"/>
        <v>郑士旺</v>
      </c>
      <c r="I77" s="26">
        <f t="shared" si="8"/>
        <v>46202</v>
      </c>
      <c r="J77" s="26">
        <f t="shared" si="9"/>
        <v>46224</v>
      </c>
      <c r="K77" s="26">
        <v>46224</v>
      </c>
      <c r="L77" s="25" t="s">
        <v>120</v>
      </c>
      <c r="M77" s="25" t="s">
        <v>121</v>
      </c>
      <c r="N77" s="26">
        <v>46202</v>
      </c>
      <c r="O77" s="26">
        <v>46206</v>
      </c>
      <c r="P77" s="25" t="s">
        <v>122</v>
      </c>
      <c r="Q77" s="25" t="s">
        <v>121</v>
      </c>
      <c r="R77" s="26">
        <v>46227</v>
      </c>
      <c r="S77" s="26">
        <v>46227</v>
      </c>
      <c r="T77" s="25" t="s">
        <v>123</v>
      </c>
      <c r="U77" s="25" t="s">
        <v>121</v>
      </c>
      <c r="V77" s="26">
        <v>46227</v>
      </c>
      <c r="W77" s="26">
        <v>46227</v>
      </c>
      <c r="X77" s="25" t="s">
        <v>124</v>
      </c>
      <c r="Y77" s="25" t="s">
        <v>121</v>
      </c>
      <c r="Z77" s="26">
        <v>46216</v>
      </c>
      <c r="AA77" s="26">
        <v>46234</v>
      </c>
      <c r="AB77" s="27">
        <f t="shared" si="10"/>
        <v>1</v>
      </c>
      <c r="AC77" s="25" t="str">
        <f>IF(G77="已完成","正常",IF(OR(G77="暂停",G77="挂起"),"暂停",IF(J77="","日期缺失",IF(J77&lt;_数据接口!$B$7,"已延期",IF(J77&lt;=_数据接口!$B$7+7,"临近到期","正常")))))</f>
        <v>正常</v>
      </c>
      <c r="AD77" s="25" t="s">
        <v>125</v>
      </c>
      <c r="AE77" s="25" t="s">
        <v>125</v>
      </c>
    </row>
    <row r="78" ht="17" customHeight="1" spans="1:31">
      <c r="A78" s="25" t="s">
        <v>297</v>
      </c>
      <c r="B78" s="25" t="s">
        <v>149</v>
      </c>
      <c r="C78" s="25" t="s">
        <v>293</v>
      </c>
      <c r="D78" s="25" t="s">
        <v>298</v>
      </c>
      <c r="E78" s="25" t="s">
        <v>118</v>
      </c>
      <c r="F78" s="25" t="s">
        <v>119</v>
      </c>
      <c r="G78" s="25" t="str">
        <f t="shared" si="6"/>
        <v>已完成</v>
      </c>
      <c r="H78" s="25" t="str">
        <f t="shared" si="7"/>
        <v>郑士旺</v>
      </c>
      <c r="I78" s="26">
        <f t="shared" si="8"/>
        <v>46202</v>
      </c>
      <c r="J78" s="26">
        <f t="shared" si="9"/>
        <v>46224</v>
      </c>
      <c r="K78" s="26">
        <v>46224</v>
      </c>
      <c r="L78" s="25" t="s">
        <v>120</v>
      </c>
      <c r="M78" s="25" t="s">
        <v>121</v>
      </c>
      <c r="N78" s="26">
        <v>46202</v>
      </c>
      <c r="O78" s="26">
        <v>46206</v>
      </c>
      <c r="P78" s="25" t="s">
        <v>122</v>
      </c>
      <c r="Q78" s="25" t="s">
        <v>121</v>
      </c>
      <c r="R78" s="26">
        <v>46227</v>
      </c>
      <c r="S78" s="26">
        <v>46227</v>
      </c>
      <c r="T78" s="25" t="s">
        <v>123</v>
      </c>
      <c r="U78" s="25" t="s">
        <v>121</v>
      </c>
      <c r="V78" s="26">
        <v>46227</v>
      </c>
      <c r="W78" s="26">
        <v>46227</v>
      </c>
      <c r="X78" s="25" t="s">
        <v>124</v>
      </c>
      <c r="Y78" s="25" t="s">
        <v>121</v>
      </c>
      <c r="Z78" s="26">
        <v>46216</v>
      </c>
      <c r="AA78" s="26">
        <v>46234</v>
      </c>
      <c r="AB78" s="27">
        <f t="shared" si="10"/>
        <v>1</v>
      </c>
      <c r="AC78" s="25" t="str">
        <f>IF(G78="已完成","正常",IF(OR(G78="暂停",G78="挂起"),"暂停",IF(J78="","日期缺失",IF(J78&lt;_数据接口!$B$7,"已延期",IF(J78&lt;=_数据接口!$B$7+7,"临近到期","正常")))))</f>
        <v>正常</v>
      </c>
      <c r="AD78" s="25" t="s">
        <v>125</v>
      </c>
      <c r="AE78" s="25" t="s">
        <v>125</v>
      </c>
    </row>
    <row r="79" ht="17" customHeight="1" spans="1:31">
      <c r="A79" s="25" t="s">
        <v>299</v>
      </c>
      <c r="B79" s="25" t="s">
        <v>149</v>
      </c>
      <c r="C79" s="25" t="s">
        <v>293</v>
      </c>
      <c r="D79" s="25" t="s">
        <v>300</v>
      </c>
      <c r="E79" s="25" t="s">
        <v>118</v>
      </c>
      <c r="F79" s="25" t="s">
        <v>119</v>
      </c>
      <c r="G79" s="25" t="str">
        <f t="shared" si="6"/>
        <v>已完成</v>
      </c>
      <c r="H79" s="25" t="str">
        <f t="shared" si="7"/>
        <v>郑士旺</v>
      </c>
      <c r="I79" s="26">
        <f t="shared" si="8"/>
        <v>46202</v>
      </c>
      <c r="J79" s="26">
        <f t="shared" si="9"/>
        <v>46224</v>
      </c>
      <c r="K79" s="26">
        <v>46224</v>
      </c>
      <c r="L79" s="25" t="s">
        <v>120</v>
      </c>
      <c r="M79" s="25" t="s">
        <v>121</v>
      </c>
      <c r="N79" s="26">
        <v>46202</v>
      </c>
      <c r="O79" s="26">
        <v>46206</v>
      </c>
      <c r="P79" s="25" t="s">
        <v>122</v>
      </c>
      <c r="Q79" s="25" t="s">
        <v>121</v>
      </c>
      <c r="R79" s="26">
        <v>46227</v>
      </c>
      <c r="S79" s="26">
        <v>46227</v>
      </c>
      <c r="T79" s="25" t="s">
        <v>123</v>
      </c>
      <c r="U79" s="25" t="s">
        <v>121</v>
      </c>
      <c r="V79" s="26">
        <v>46227</v>
      </c>
      <c r="W79" s="26">
        <v>46227</v>
      </c>
      <c r="X79" s="25" t="s">
        <v>124</v>
      </c>
      <c r="Y79" s="25" t="s">
        <v>121</v>
      </c>
      <c r="Z79" s="26">
        <v>46216</v>
      </c>
      <c r="AA79" s="26">
        <v>46234</v>
      </c>
      <c r="AB79" s="27">
        <f t="shared" si="10"/>
        <v>1</v>
      </c>
      <c r="AC79" s="25" t="str">
        <f>IF(G79="已完成","正常",IF(OR(G79="暂停",G79="挂起"),"暂停",IF(J79="","日期缺失",IF(J79&lt;_数据接口!$B$7,"已延期",IF(J79&lt;=_数据接口!$B$7+7,"临近到期","正常")))))</f>
        <v>正常</v>
      </c>
      <c r="AD79" s="25" t="s">
        <v>125</v>
      </c>
      <c r="AE79" s="25" t="s">
        <v>125</v>
      </c>
    </row>
    <row r="80" ht="17" customHeight="1" spans="1:31">
      <c r="A80" s="25" t="s">
        <v>301</v>
      </c>
      <c r="B80" s="25" t="s">
        <v>149</v>
      </c>
      <c r="C80" s="25" t="s">
        <v>293</v>
      </c>
      <c r="D80" s="25" t="s">
        <v>302</v>
      </c>
      <c r="E80" s="25" t="s">
        <v>118</v>
      </c>
      <c r="F80" s="25" t="s">
        <v>119</v>
      </c>
      <c r="G80" s="25" t="str">
        <f t="shared" si="6"/>
        <v>已完成</v>
      </c>
      <c r="H80" s="25" t="str">
        <f t="shared" si="7"/>
        <v>郑士旺</v>
      </c>
      <c r="I80" s="26">
        <f t="shared" si="8"/>
        <v>46202</v>
      </c>
      <c r="J80" s="26">
        <f t="shared" si="9"/>
        <v>46224</v>
      </c>
      <c r="K80" s="26">
        <v>46224</v>
      </c>
      <c r="L80" s="25" t="s">
        <v>120</v>
      </c>
      <c r="M80" s="25" t="s">
        <v>121</v>
      </c>
      <c r="N80" s="26">
        <v>46202</v>
      </c>
      <c r="O80" s="26">
        <v>46206</v>
      </c>
      <c r="P80" s="25" t="s">
        <v>122</v>
      </c>
      <c r="Q80" s="25" t="s">
        <v>121</v>
      </c>
      <c r="R80" s="26">
        <v>46227</v>
      </c>
      <c r="S80" s="26">
        <v>46227</v>
      </c>
      <c r="T80" s="25" t="s">
        <v>123</v>
      </c>
      <c r="U80" s="25" t="s">
        <v>121</v>
      </c>
      <c r="V80" s="26">
        <v>46227</v>
      </c>
      <c r="W80" s="26">
        <v>46227</v>
      </c>
      <c r="X80" s="25" t="s">
        <v>124</v>
      </c>
      <c r="Y80" s="25" t="s">
        <v>121</v>
      </c>
      <c r="Z80" s="26">
        <v>46216</v>
      </c>
      <c r="AA80" s="26">
        <v>46234</v>
      </c>
      <c r="AB80" s="27">
        <f t="shared" si="10"/>
        <v>1</v>
      </c>
      <c r="AC80" s="25" t="str">
        <f>IF(G80="已完成","正常",IF(OR(G80="暂停",G80="挂起"),"暂停",IF(J80="","日期缺失",IF(J80&lt;_数据接口!$B$7,"已延期",IF(J80&lt;=_数据接口!$B$7+7,"临近到期","正常")))))</f>
        <v>正常</v>
      </c>
      <c r="AD80" s="25" t="s">
        <v>125</v>
      </c>
      <c r="AE80" s="25" t="s">
        <v>125</v>
      </c>
    </row>
    <row r="81" ht="17" customHeight="1" spans="1:31">
      <c r="A81" s="25" t="s">
        <v>303</v>
      </c>
      <c r="B81" s="25" t="s">
        <v>304</v>
      </c>
      <c r="C81" s="25" t="s">
        <v>305</v>
      </c>
      <c r="D81" s="25" t="s">
        <v>306</v>
      </c>
      <c r="E81" s="25" t="s">
        <v>118</v>
      </c>
      <c r="F81" s="25" t="s">
        <v>135</v>
      </c>
      <c r="G81" s="25" t="str">
        <f>IF(OR(M81="挂起",M81="暂停",Q81="挂起",Q81="暂停",U81="挂起",U81="暂停",Y81="挂起",Y81="暂停"),"暂停","进行中")</f>
        <v>进行中</v>
      </c>
      <c r="H81" s="25" t="str">
        <f t="shared" si="7"/>
        <v>郑士旺</v>
      </c>
      <c r="I81" s="26">
        <f t="shared" si="8"/>
        <v>46223</v>
      </c>
      <c r="J81" s="26">
        <f t="shared" si="9"/>
        <v>46318</v>
      </c>
      <c r="K81" s="26"/>
      <c r="L81" s="25" t="s">
        <v>120</v>
      </c>
      <c r="M81" s="25" t="s">
        <v>121</v>
      </c>
      <c r="N81" s="26">
        <v>46223</v>
      </c>
      <c r="O81" s="26">
        <v>46227</v>
      </c>
      <c r="P81" s="25" t="s">
        <v>122</v>
      </c>
      <c r="Q81" s="25" t="s">
        <v>157</v>
      </c>
      <c r="R81" s="26">
        <v>46272</v>
      </c>
      <c r="S81" s="26">
        <v>46279</v>
      </c>
      <c r="T81" s="25" t="s">
        <v>123</v>
      </c>
      <c r="U81" s="25" t="s">
        <v>157</v>
      </c>
      <c r="V81" s="26">
        <v>46272</v>
      </c>
      <c r="W81" s="26">
        <v>46279</v>
      </c>
      <c r="X81" s="25" t="s">
        <v>124</v>
      </c>
      <c r="Y81" s="25" t="s">
        <v>23</v>
      </c>
      <c r="Z81" s="26">
        <v>46307</v>
      </c>
      <c r="AA81" s="26">
        <v>46318</v>
      </c>
      <c r="AB81" s="27">
        <f t="shared" si="10"/>
        <v>0.475</v>
      </c>
      <c r="AC81" s="25" t="str">
        <f>IF(G81="已完成","正常",IF(OR(G81="暂停",G81="挂起"),"暂停",IF(J81="","日期缺失",IF(J81&lt;_数据接口!$B$7,"已延期",IF(J81&lt;=_数据接口!$B$7+7,"临近到期","正常")))))</f>
        <v>正常</v>
      </c>
      <c r="AD81" s="25" t="s">
        <v>125</v>
      </c>
      <c r="AE81" s="25" t="s">
        <v>125</v>
      </c>
    </row>
    <row r="82" ht="17" customHeight="1" spans="1:31">
      <c r="A82" s="25" t="s">
        <v>307</v>
      </c>
      <c r="B82" s="25" t="s">
        <v>304</v>
      </c>
      <c r="C82" s="25" t="s">
        <v>305</v>
      </c>
      <c r="D82" s="25" t="s">
        <v>308</v>
      </c>
      <c r="E82" s="25" t="s">
        <v>118</v>
      </c>
      <c r="F82" s="25" t="s">
        <v>135</v>
      </c>
      <c r="G82" s="25" t="str">
        <f>IF(OR(M82="挂起",M82="暂停",Q82="挂起",Q82="暂停",U82="挂起",U82="暂停",Y82="挂起",Y82="暂停"),"暂停","进行中")</f>
        <v>进行中</v>
      </c>
      <c r="H82" s="25" t="str">
        <f t="shared" si="7"/>
        <v>郑士旺</v>
      </c>
      <c r="I82" s="26">
        <f t="shared" si="8"/>
        <v>46223</v>
      </c>
      <c r="J82" s="26">
        <f t="shared" si="9"/>
        <v>46318</v>
      </c>
      <c r="K82" s="26"/>
      <c r="L82" s="25" t="s">
        <v>120</v>
      </c>
      <c r="M82" s="25" t="s">
        <v>121</v>
      </c>
      <c r="N82" s="26">
        <v>46223</v>
      </c>
      <c r="O82" s="26">
        <v>46227</v>
      </c>
      <c r="P82" s="25" t="s">
        <v>122</v>
      </c>
      <c r="Q82" s="25" t="s">
        <v>157</v>
      </c>
      <c r="R82" s="26">
        <v>46272</v>
      </c>
      <c r="S82" s="26">
        <v>46279</v>
      </c>
      <c r="T82" s="25" t="s">
        <v>123</v>
      </c>
      <c r="U82" s="25" t="s">
        <v>157</v>
      </c>
      <c r="V82" s="26">
        <v>46272</v>
      </c>
      <c r="W82" s="26">
        <v>46279</v>
      </c>
      <c r="X82" s="25" t="s">
        <v>124</v>
      </c>
      <c r="Y82" s="25" t="s">
        <v>23</v>
      </c>
      <c r="Z82" s="26">
        <v>46307</v>
      </c>
      <c r="AA82" s="26">
        <v>46318</v>
      </c>
      <c r="AB82" s="27">
        <f t="shared" si="10"/>
        <v>0.475</v>
      </c>
      <c r="AC82" s="25" t="str">
        <f>IF(G82="已完成","正常",IF(OR(G82="暂停",G82="挂起"),"暂停",IF(J82="","日期缺失",IF(J82&lt;_数据接口!$B$7,"已延期",IF(J82&lt;=_数据接口!$B$7+7,"临近到期","正常")))))</f>
        <v>正常</v>
      </c>
      <c r="AD82" s="25" t="s">
        <v>125</v>
      </c>
      <c r="AE82" s="25" t="s">
        <v>125</v>
      </c>
    </row>
    <row r="83" ht="17" customHeight="1" spans="1:31">
      <c r="A83" s="25" t="s">
        <v>309</v>
      </c>
      <c r="B83" s="25" t="s">
        <v>304</v>
      </c>
      <c r="C83" s="25" t="s">
        <v>305</v>
      </c>
      <c r="D83" s="25" t="s">
        <v>310</v>
      </c>
      <c r="E83" s="25" t="s">
        <v>118</v>
      </c>
      <c r="F83" s="25" t="s">
        <v>135</v>
      </c>
      <c r="G83" s="25" t="str">
        <f>IF(OR(M83="挂起",M83="暂停",Q83="挂起",Q83="暂停",U83="挂起",U83="暂停",Y83="挂起",Y83="暂停"),"暂停","进行中")</f>
        <v>进行中</v>
      </c>
      <c r="H83" s="25" t="str">
        <f t="shared" si="7"/>
        <v>郑士旺</v>
      </c>
      <c r="I83" s="26">
        <f t="shared" si="8"/>
        <v>46223</v>
      </c>
      <c r="J83" s="26">
        <f t="shared" si="9"/>
        <v>46261</v>
      </c>
      <c r="K83" s="26">
        <v>46261</v>
      </c>
      <c r="L83" s="25" t="s">
        <v>120</v>
      </c>
      <c r="M83" s="25" t="s">
        <v>121</v>
      </c>
      <c r="N83" s="26">
        <v>46223</v>
      </c>
      <c r="O83" s="26">
        <v>46227</v>
      </c>
      <c r="P83" s="25" t="s">
        <v>122</v>
      </c>
      <c r="Q83" s="25" t="s">
        <v>157</v>
      </c>
      <c r="R83" s="26">
        <v>46272</v>
      </c>
      <c r="S83" s="26">
        <v>46279</v>
      </c>
      <c r="T83" s="25" t="s">
        <v>123</v>
      </c>
      <c r="U83" s="25" t="s">
        <v>157</v>
      </c>
      <c r="V83" s="26">
        <v>46272</v>
      </c>
      <c r="W83" s="26">
        <v>46279</v>
      </c>
      <c r="X83" s="25" t="s">
        <v>124</v>
      </c>
      <c r="Y83" s="25" t="s">
        <v>23</v>
      </c>
      <c r="Z83" s="26">
        <v>46307</v>
      </c>
      <c r="AA83" s="26">
        <v>46318</v>
      </c>
      <c r="AB83" s="27">
        <f t="shared" si="10"/>
        <v>0.475</v>
      </c>
      <c r="AC83" s="25" t="str">
        <f>IF(G83="已完成","正常",IF(OR(G83="暂停",G83="挂起"),"暂停",IF(J83="","日期缺失",IF(J83&lt;_数据接口!$B$7,"已延期",IF(J83&lt;=_数据接口!$B$7+7,"临近到期","正常")))))</f>
        <v>已延期</v>
      </c>
      <c r="AD83" s="25" t="s">
        <v>125</v>
      </c>
      <c r="AE83" s="25" t="s">
        <v>125</v>
      </c>
    </row>
    <row r="84" ht="17" customHeight="1" spans="1:31">
      <c r="A84" s="25" t="s">
        <v>311</v>
      </c>
      <c r="B84" s="25" t="s">
        <v>304</v>
      </c>
      <c r="C84" s="25" t="s">
        <v>312</v>
      </c>
      <c r="D84" s="25" t="s">
        <v>313</v>
      </c>
      <c r="E84" s="25" t="s">
        <v>118</v>
      </c>
      <c r="F84" s="25" t="s">
        <v>135</v>
      </c>
      <c r="G84" s="25" t="str">
        <f t="shared" ref="G84:G97" si="11">IF(OR(M84="挂起",M84="暂停",Q84="挂起",Q84="暂停",U84="挂起",U84="暂停",Y84="挂起",Y84="暂停"),"暂停","未开始")</f>
        <v>未开始</v>
      </c>
      <c r="H84" s="25" t="str">
        <f t="shared" si="7"/>
        <v>郑士旺</v>
      </c>
      <c r="I84" s="26">
        <f t="shared" si="8"/>
        <v>46230</v>
      </c>
      <c r="J84" s="26">
        <f t="shared" si="9"/>
        <v>46353</v>
      </c>
      <c r="K84" s="26"/>
      <c r="L84" s="25" t="s">
        <v>120</v>
      </c>
      <c r="M84" s="25" t="s">
        <v>23</v>
      </c>
      <c r="N84" s="26">
        <v>46230</v>
      </c>
      <c r="O84" s="26">
        <v>46241</v>
      </c>
      <c r="P84" s="25" t="s">
        <v>122</v>
      </c>
      <c r="Q84" s="25" t="s">
        <v>23</v>
      </c>
      <c r="R84" s="26">
        <v>46307</v>
      </c>
      <c r="S84" s="26">
        <v>46339</v>
      </c>
      <c r="T84" s="25" t="s">
        <v>123</v>
      </c>
      <c r="U84" s="25" t="s">
        <v>23</v>
      </c>
      <c r="V84" s="26">
        <v>46307</v>
      </c>
      <c r="W84" s="26">
        <v>46339</v>
      </c>
      <c r="X84" s="25" t="s">
        <v>124</v>
      </c>
      <c r="Y84" s="25" t="s">
        <v>23</v>
      </c>
      <c r="Z84" s="26">
        <v>46342</v>
      </c>
      <c r="AA84" s="26">
        <v>46353</v>
      </c>
      <c r="AB84" s="27">
        <f t="shared" si="10"/>
        <v>0</v>
      </c>
      <c r="AC84" s="25" t="str">
        <f>IF(G84="已完成","正常",IF(OR(G84="暂停",G84="挂起"),"暂停",IF(J84="","日期缺失",IF(J84&lt;_数据接口!$B$7,"已延期",IF(J84&lt;=_数据接口!$B$7+7,"临近到期","正常")))))</f>
        <v>正常</v>
      </c>
      <c r="AD84" s="25" t="s">
        <v>125</v>
      </c>
      <c r="AE84" s="25" t="s">
        <v>125</v>
      </c>
    </row>
    <row r="85" ht="17" customHeight="1" spans="1:31">
      <c r="A85" s="25" t="s">
        <v>314</v>
      </c>
      <c r="B85" s="25" t="s">
        <v>304</v>
      </c>
      <c r="C85" s="25" t="s">
        <v>312</v>
      </c>
      <c r="D85" s="25" t="s">
        <v>315</v>
      </c>
      <c r="E85" s="25" t="s">
        <v>118</v>
      </c>
      <c r="F85" s="25" t="s">
        <v>135</v>
      </c>
      <c r="G85" s="25" t="str">
        <f t="shared" si="11"/>
        <v>未开始</v>
      </c>
      <c r="H85" s="25" t="str">
        <f t="shared" si="7"/>
        <v>郑士旺</v>
      </c>
      <c r="I85" s="26">
        <f t="shared" si="8"/>
        <v>46230</v>
      </c>
      <c r="J85" s="26">
        <f t="shared" si="9"/>
        <v>46224</v>
      </c>
      <c r="K85" s="26">
        <v>46224</v>
      </c>
      <c r="L85" s="25" t="s">
        <v>120</v>
      </c>
      <c r="M85" s="25" t="s">
        <v>23</v>
      </c>
      <c r="N85" s="26">
        <v>46230</v>
      </c>
      <c r="O85" s="26">
        <v>46241</v>
      </c>
      <c r="P85" s="25" t="s">
        <v>122</v>
      </c>
      <c r="Q85" s="25" t="s">
        <v>23</v>
      </c>
      <c r="R85" s="26">
        <v>46307</v>
      </c>
      <c r="S85" s="26">
        <v>46339</v>
      </c>
      <c r="T85" s="25" t="s">
        <v>123</v>
      </c>
      <c r="U85" s="25" t="s">
        <v>23</v>
      </c>
      <c r="V85" s="26">
        <v>46307</v>
      </c>
      <c r="W85" s="26">
        <v>46339</v>
      </c>
      <c r="X85" s="25" t="s">
        <v>124</v>
      </c>
      <c r="Y85" s="25" t="s">
        <v>23</v>
      </c>
      <c r="Z85" s="26">
        <v>46342</v>
      </c>
      <c r="AA85" s="26">
        <v>46353</v>
      </c>
      <c r="AB85" s="27">
        <f t="shared" si="10"/>
        <v>0</v>
      </c>
      <c r="AC85" s="25" t="str">
        <f>IF(G85="已完成","正常",IF(OR(G85="暂停",G85="挂起"),"暂停",IF(J85="","日期缺失",IF(J85&lt;_数据接口!$B$7,"已延期",IF(J85&lt;=_数据接口!$B$7+7,"临近到期","正常")))))</f>
        <v>已延期</v>
      </c>
      <c r="AD85" s="25" t="s">
        <v>125</v>
      </c>
      <c r="AE85" s="25" t="s">
        <v>125</v>
      </c>
    </row>
    <row r="86" ht="17" customHeight="1" spans="1:31">
      <c r="A86" s="25" t="s">
        <v>316</v>
      </c>
      <c r="B86" s="25" t="s">
        <v>304</v>
      </c>
      <c r="C86" s="25" t="s">
        <v>317</v>
      </c>
      <c r="D86" s="25" t="s">
        <v>313</v>
      </c>
      <c r="E86" s="25" t="s">
        <v>118</v>
      </c>
      <c r="F86" s="25" t="s">
        <v>135</v>
      </c>
      <c r="G86" s="25" t="str">
        <f t="shared" si="11"/>
        <v>未开始</v>
      </c>
      <c r="H86" s="25" t="str">
        <f t="shared" si="7"/>
        <v>郑士旺</v>
      </c>
      <c r="I86" s="26">
        <f t="shared" si="8"/>
        <v>46230</v>
      </c>
      <c r="J86" s="26">
        <f t="shared" si="9"/>
        <v>46224</v>
      </c>
      <c r="K86" s="26">
        <v>46224</v>
      </c>
      <c r="L86" s="25" t="s">
        <v>120</v>
      </c>
      <c r="M86" s="25" t="s">
        <v>23</v>
      </c>
      <c r="N86" s="26">
        <v>46230</v>
      </c>
      <c r="O86" s="26">
        <v>46241</v>
      </c>
      <c r="P86" s="25" t="s">
        <v>122</v>
      </c>
      <c r="Q86" s="25" t="s">
        <v>23</v>
      </c>
      <c r="R86" s="26">
        <v>46307</v>
      </c>
      <c r="S86" s="26">
        <v>46339</v>
      </c>
      <c r="T86" s="25" t="s">
        <v>123</v>
      </c>
      <c r="U86" s="25" t="s">
        <v>23</v>
      </c>
      <c r="V86" s="26">
        <v>46307</v>
      </c>
      <c r="W86" s="26">
        <v>46339</v>
      </c>
      <c r="X86" s="25" t="s">
        <v>124</v>
      </c>
      <c r="Y86" s="25" t="s">
        <v>23</v>
      </c>
      <c r="Z86" s="26">
        <v>46342</v>
      </c>
      <c r="AA86" s="26">
        <v>46353</v>
      </c>
      <c r="AB86" s="27">
        <f t="shared" si="10"/>
        <v>0</v>
      </c>
      <c r="AC86" s="25" t="str">
        <f>IF(G86="已完成","正常",IF(OR(G86="暂停",G86="挂起"),"暂停",IF(J86="","日期缺失",IF(J86&lt;_数据接口!$B$7,"已延期",IF(J86&lt;=_数据接口!$B$7+7,"临近到期","正常")))))</f>
        <v>已延期</v>
      </c>
      <c r="AD86" s="25" t="s">
        <v>125</v>
      </c>
      <c r="AE86" s="25" t="s">
        <v>125</v>
      </c>
    </row>
    <row r="87" ht="17" customHeight="1" spans="1:31">
      <c r="A87" s="25" t="s">
        <v>318</v>
      </c>
      <c r="B87" s="25" t="s">
        <v>304</v>
      </c>
      <c r="C87" s="25" t="s">
        <v>317</v>
      </c>
      <c r="D87" s="25" t="s">
        <v>319</v>
      </c>
      <c r="E87" s="25" t="s">
        <v>118</v>
      </c>
      <c r="F87" s="25" t="s">
        <v>135</v>
      </c>
      <c r="G87" s="25" t="str">
        <f t="shared" si="11"/>
        <v>未开始</v>
      </c>
      <c r="H87" s="25" t="str">
        <f t="shared" si="7"/>
        <v>郑士旺</v>
      </c>
      <c r="I87" s="26">
        <f t="shared" si="8"/>
        <v>46230</v>
      </c>
      <c r="J87" s="26">
        <f t="shared" si="9"/>
        <v>46224</v>
      </c>
      <c r="K87" s="26">
        <v>46224</v>
      </c>
      <c r="L87" s="25" t="s">
        <v>120</v>
      </c>
      <c r="M87" s="25" t="s">
        <v>23</v>
      </c>
      <c r="N87" s="26">
        <v>46230</v>
      </c>
      <c r="O87" s="26">
        <v>46241</v>
      </c>
      <c r="P87" s="25" t="s">
        <v>122</v>
      </c>
      <c r="Q87" s="25" t="s">
        <v>23</v>
      </c>
      <c r="R87" s="26">
        <v>46307</v>
      </c>
      <c r="S87" s="26">
        <v>46339</v>
      </c>
      <c r="T87" s="25" t="s">
        <v>123</v>
      </c>
      <c r="U87" s="25" t="s">
        <v>23</v>
      </c>
      <c r="V87" s="26">
        <v>46307</v>
      </c>
      <c r="W87" s="26">
        <v>46339</v>
      </c>
      <c r="X87" s="25" t="s">
        <v>124</v>
      </c>
      <c r="Y87" s="25" t="s">
        <v>23</v>
      </c>
      <c r="Z87" s="26">
        <v>46342</v>
      </c>
      <c r="AA87" s="26">
        <v>46353</v>
      </c>
      <c r="AB87" s="27">
        <f t="shared" si="10"/>
        <v>0</v>
      </c>
      <c r="AC87" s="25" t="str">
        <f>IF(G87="已完成","正常",IF(OR(G87="暂停",G87="挂起"),"暂停",IF(J87="","日期缺失",IF(J87&lt;_数据接口!$B$7,"已延期",IF(J87&lt;=_数据接口!$B$7+7,"临近到期","正常")))))</f>
        <v>已延期</v>
      </c>
      <c r="AD87" s="25" t="s">
        <v>125</v>
      </c>
      <c r="AE87" s="25" t="s">
        <v>125</v>
      </c>
    </row>
    <row r="88" ht="17" customHeight="1" spans="1:31">
      <c r="A88" s="25" t="s">
        <v>320</v>
      </c>
      <c r="B88" s="25" t="s">
        <v>304</v>
      </c>
      <c r="C88" s="25" t="s">
        <v>321</v>
      </c>
      <c r="D88" s="25" t="s">
        <v>313</v>
      </c>
      <c r="E88" s="25" t="s">
        <v>118</v>
      </c>
      <c r="F88" s="25" t="s">
        <v>135</v>
      </c>
      <c r="G88" s="25" t="str">
        <f t="shared" si="11"/>
        <v>未开始</v>
      </c>
      <c r="H88" s="25" t="str">
        <f t="shared" si="7"/>
        <v>郑士旺</v>
      </c>
      <c r="I88" s="26">
        <f t="shared" si="8"/>
        <v>46230</v>
      </c>
      <c r="J88" s="26">
        <f t="shared" si="9"/>
        <v>46224</v>
      </c>
      <c r="K88" s="26">
        <v>46224</v>
      </c>
      <c r="L88" s="25" t="s">
        <v>120</v>
      </c>
      <c r="M88" s="25" t="s">
        <v>23</v>
      </c>
      <c r="N88" s="26">
        <v>46230</v>
      </c>
      <c r="O88" s="26">
        <v>46241</v>
      </c>
      <c r="P88" s="25" t="s">
        <v>200</v>
      </c>
      <c r="Q88" s="25" t="s">
        <v>23</v>
      </c>
      <c r="R88" s="26">
        <v>46293</v>
      </c>
      <c r="S88" s="26">
        <v>46311</v>
      </c>
      <c r="T88" s="25" t="s">
        <v>200</v>
      </c>
      <c r="U88" s="25" t="s">
        <v>23</v>
      </c>
      <c r="V88" s="26">
        <v>46293</v>
      </c>
      <c r="W88" s="26">
        <v>46311</v>
      </c>
      <c r="X88" s="25" t="s">
        <v>124</v>
      </c>
      <c r="Y88" s="25" t="s">
        <v>23</v>
      </c>
      <c r="Z88" s="26">
        <v>46342</v>
      </c>
      <c r="AA88" s="26">
        <v>46353</v>
      </c>
      <c r="AB88" s="27">
        <f t="shared" si="10"/>
        <v>0</v>
      </c>
      <c r="AC88" s="25" t="str">
        <f>IF(G88="已完成","正常",IF(OR(G88="暂停",G88="挂起"),"暂停",IF(J88="","日期缺失",IF(J88&lt;_数据接口!$B$7,"已延期",IF(J88&lt;=_数据接口!$B$7+7,"临近到期","正常")))))</f>
        <v>已延期</v>
      </c>
      <c r="AD88" s="25" t="s">
        <v>125</v>
      </c>
      <c r="AE88" s="25" t="s">
        <v>125</v>
      </c>
    </row>
    <row r="89" ht="17" customHeight="1" spans="1:31">
      <c r="A89" s="25" t="s">
        <v>322</v>
      </c>
      <c r="B89" s="25" t="s">
        <v>304</v>
      </c>
      <c r="C89" s="25" t="s">
        <v>321</v>
      </c>
      <c r="D89" s="25" t="s">
        <v>315</v>
      </c>
      <c r="E89" s="25" t="s">
        <v>118</v>
      </c>
      <c r="F89" s="25" t="s">
        <v>135</v>
      </c>
      <c r="G89" s="25" t="str">
        <f t="shared" si="11"/>
        <v>未开始</v>
      </c>
      <c r="H89" s="25" t="str">
        <f t="shared" si="7"/>
        <v>郑士旺</v>
      </c>
      <c r="I89" s="26">
        <f t="shared" si="8"/>
        <v>46230</v>
      </c>
      <c r="J89" s="26">
        <f t="shared" si="9"/>
        <v>46224</v>
      </c>
      <c r="K89" s="26">
        <v>46224</v>
      </c>
      <c r="L89" s="25" t="s">
        <v>120</v>
      </c>
      <c r="M89" s="25" t="s">
        <v>23</v>
      </c>
      <c r="N89" s="26">
        <v>46230</v>
      </c>
      <c r="O89" s="26">
        <v>46241</v>
      </c>
      <c r="P89" s="25" t="s">
        <v>200</v>
      </c>
      <c r="Q89" s="25" t="s">
        <v>23</v>
      </c>
      <c r="R89" s="26">
        <v>46293</v>
      </c>
      <c r="S89" s="26">
        <v>46311</v>
      </c>
      <c r="T89" s="25" t="s">
        <v>123</v>
      </c>
      <c r="U89" s="25" t="s">
        <v>23</v>
      </c>
      <c r="V89" s="26">
        <v>46293</v>
      </c>
      <c r="W89" s="26">
        <v>46311</v>
      </c>
      <c r="X89" s="25" t="s">
        <v>124</v>
      </c>
      <c r="Y89" s="25" t="s">
        <v>23</v>
      </c>
      <c r="Z89" s="26">
        <v>46342</v>
      </c>
      <c r="AA89" s="26">
        <v>46353</v>
      </c>
      <c r="AB89" s="27">
        <f t="shared" si="10"/>
        <v>0</v>
      </c>
      <c r="AC89" s="25" t="str">
        <f>IF(G89="已完成","正常",IF(OR(G89="暂停",G89="挂起"),"暂停",IF(J89="","日期缺失",IF(J89&lt;_数据接口!$B$7,"已延期",IF(J89&lt;=_数据接口!$B$7+7,"临近到期","正常")))))</f>
        <v>已延期</v>
      </c>
      <c r="AD89" s="25" t="s">
        <v>125</v>
      </c>
      <c r="AE89" s="25" t="s">
        <v>125</v>
      </c>
    </row>
    <row r="90" ht="17" customHeight="1" spans="1:31">
      <c r="A90" s="25" t="s">
        <v>323</v>
      </c>
      <c r="B90" s="25" t="s">
        <v>304</v>
      </c>
      <c r="C90" s="25" t="s">
        <v>324</v>
      </c>
      <c r="D90" s="25" t="s">
        <v>313</v>
      </c>
      <c r="E90" s="25" t="s">
        <v>118</v>
      </c>
      <c r="F90" s="25" t="s">
        <v>135</v>
      </c>
      <c r="G90" s="25" t="str">
        <f t="shared" si="11"/>
        <v>未开始</v>
      </c>
      <c r="H90" s="25" t="str">
        <f t="shared" si="7"/>
        <v>郑士旺</v>
      </c>
      <c r="I90" s="26">
        <f t="shared" si="8"/>
        <v>46230</v>
      </c>
      <c r="J90" s="26">
        <f t="shared" si="9"/>
        <v>46224</v>
      </c>
      <c r="K90" s="26">
        <v>46224</v>
      </c>
      <c r="L90" s="25" t="s">
        <v>120</v>
      </c>
      <c r="M90" s="25" t="s">
        <v>23</v>
      </c>
      <c r="N90" s="26">
        <v>46230</v>
      </c>
      <c r="O90" s="26">
        <v>46241</v>
      </c>
      <c r="P90" s="25" t="s">
        <v>200</v>
      </c>
      <c r="Q90" s="25" t="s">
        <v>23</v>
      </c>
      <c r="R90" s="26">
        <v>46293</v>
      </c>
      <c r="S90" s="26">
        <v>46311</v>
      </c>
      <c r="T90" s="25" t="s">
        <v>200</v>
      </c>
      <c r="U90" s="25" t="s">
        <v>23</v>
      </c>
      <c r="V90" s="26">
        <v>46293</v>
      </c>
      <c r="W90" s="26">
        <v>46311</v>
      </c>
      <c r="X90" s="25" t="s">
        <v>124</v>
      </c>
      <c r="Y90" s="25" t="s">
        <v>23</v>
      </c>
      <c r="Z90" s="26">
        <v>46342</v>
      </c>
      <c r="AA90" s="26">
        <v>46353</v>
      </c>
      <c r="AB90" s="27">
        <f t="shared" si="10"/>
        <v>0</v>
      </c>
      <c r="AC90" s="25" t="str">
        <f>IF(G90="已完成","正常",IF(OR(G90="暂停",G90="挂起"),"暂停",IF(J90="","日期缺失",IF(J90&lt;_数据接口!$B$7,"已延期",IF(J90&lt;=_数据接口!$B$7+7,"临近到期","正常")))))</f>
        <v>已延期</v>
      </c>
      <c r="AD90" s="25" t="s">
        <v>125</v>
      </c>
      <c r="AE90" s="25" t="s">
        <v>125</v>
      </c>
    </row>
    <row r="91" ht="17" customHeight="1" spans="1:31">
      <c r="A91" s="25" t="s">
        <v>325</v>
      </c>
      <c r="B91" s="25" t="s">
        <v>304</v>
      </c>
      <c r="C91" s="25" t="s">
        <v>324</v>
      </c>
      <c r="D91" s="25" t="s">
        <v>315</v>
      </c>
      <c r="E91" s="25" t="s">
        <v>118</v>
      </c>
      <c r="F91" s="25" t="s">
        <v>135</v>
      </c>
      <c r="G91" s="25" t="str">
        <f t="shared" si="11"/>
        <v>未开始</v>
      </c>
      <c r="H91" s="25" t="str">
        <f t="shared" si="7"/>
        <v>郑士旺</v>
      </c>
      <c r="I91" s="26">
        <f t="shared" si="8"/>
        <v>46230</v>
      </c>
      <c r="J91" s="26">
        <f t="shared" si="9"/>
        <v>46353</v>
      </c>
      <c r="K91" s="26"/>
      <c r="L91" s="25" t="s">
        <v>120</v>
      </c>
      <c r="M91" s="25" t="s">
        <v>23</v>
      </c>
      <c r="N91" s="26">
        <v>46230</v>
      </c>
      <c r="O91" s="26">
        <v>46241</v>
      </c>
      <c r="P91" s="25" t="s">
        <v>200</v>
      </c>
      <c r="Q91" s="25" t="s">
        <v>23</v>
      </c>
      <c r="R91" s="26">
        <v>46293</v>
      </c>
      <c r="S91" s="26">
        <v>46311</v>
      </c>
      <c r="T91" s="25" t="s">
        <v>200</v>
      </c>
      <c r="U91" s="25" t="s">
        <v>23</v>
      </c>
      <c r="V91" s="26">
        <v>46293</v>
      </c>
      <c r="W91" s="26">
        <v>46311</v>
      </c>
      <c r="X91" s="25" t="s">
        <v>124</v>
      </c>
      <c r="Y91" s="25" t="s">
        <v>23</v>
      </c>
      <c r="Z91" s="26">
        <v>46342</v>
      </c>
      <c r="AA91" s="26">
        <v>46353</v>
      </c>
      <c r="AB91" s="27">
        <f t="shared" si="10"/>
        <v>0</v>
      </c>
      <c r="AC91" s="25" t="str">
        <f>IF(G91="已完成","正常",IF(OR(G91="暂停",G91="挂起"),"暂停",IF(J91="","日期缺失",IF(J91&lt;_数据接口!$B$7,"已延期",IF(J91&lt;=_数据接口!$B$7+7,"临近到期","正常")))))</f>
        <v>正常</v>
      </c>
      <c r="AD91" s="25" t="s">
        <v>125</v>
      </c>
      <c r="AE91" s="25" t="s">
        <v>125</v>
      </c>
    </row>
    <row r="92" ht="17" customHeight="1" spans="1:31">
      <c r="A92" s="25" t="s">
        <v>326</v>
      </c>
      <c r="B92" s="25" t="s">
        <v>304</v>
      </c>
      <c r="C92" s="25" t="s">
        <v>327</v>
      </c>
      <c r="D92" s="25" t="s">
        <v>328</v>
      </c>
      <c r="E92" s="25" t="s">
        <v>118</v>
      </c>
      <c r="F92" s="25" t="s">
        <v>135</v>
      </c>
      <c r="G92" s="25" t="str">
        <f t="shared" si="11"/>
        <v>未开始</v>
      </c>
      <c r="H92" s="25" t="str">
        <f t="shared" si="7"/>
        <v>郑士旺</v>
      </c>
      <c r="I92" s="26">
        <f t="shared" si="8"/>
        <v>46230</v>
      </c>
      <c r="J92" s="26">
        <f t="shared" si="9"/>
        <v>46353</v>
      </c>
      <c r="K92" s="26"/>
      <c r="L92" s="25" t="s">
        <v>120</v>
      </c>
      <c r="M92" s="25" t="s">
        <v>23</v>
      </c>
      <c r="N92" s="26">
        <v>46230</v>
      </c>
      <c r="O92" s="26">
        <v>46241</v>
      </c>
      <c r="P92" s="25" t="s">
        <v>122</v>
      </c>
      <c r="Q92" s="25" t="s">
        <v>23</v>
      </c>
      <c r="R92" s="26">
        <v>46307</v>
      </c>
      <c r="S92" s="26">
        <v>46339</v>
      </c>
      <c r="T92" s="25" t="s">
        <v>123</v>
      </c>
      <c r="U92" s="25" t="s">
        <v>23</v>
      </c>
      <c r="V92" s="26">
        <v>46307</v>
      </c>
      <c r="W92" s="26">
        <v>46339</v>
      </c>
      <c r="X92" s="25" t="s">
        <v>124</v>
      </c>
      <c r="Y92" s="25" t="s">
        <v>23</v>
      </c>
      <c r="Z92" s="26">
        <v>46342</v>
      </c>
      <c r="AA92" s="26">
        <v>46353</v>
      </c>
      <c r="AB92" s="27">
        <f t="shared" si="10"/>
        <v>0</v>
      </c>
      <c r="AC92" s="25" t="str">
        <f>IF(G92="已完成","正常",IF(OR(G92="暂停",G92="挂起"),"暂停",IF(J92="","日期缺失",IF(J92&lt;_数据接口!$B$7,"已延期",IF(J92&lt;=_数据接口!$B$7+7,"临近到期","正常")))))</f>
        <v>正常</v>
      </c>
      <c r="AD92" s="25" t="s">
        <v>125</v>
      </c>
      <c r="AE92" s="25" t="s">
        <v>125</v>
      </c>
    </row>
    <row r="93" ht="17" customHeight="1" spans="1:31">
      <c r="A93" s="25" t="s">
        <v>329</v>
      </c>
      <c r="B93" s="25" t="s">
        <v>304</v>
      </c>
      <c r="C93" s="25" t="s">
        <v>327</v>
      </c>
      <c r="D93" s="25" t="s">
        <v>330</v>
      </c>
      <c r="E93" s="25" t="s">
        <v>118</v>
      </c>
      <c r="F93" s="25" t="s">
        <v>135</v>
      </c>
      <c r="G93" s="25" t="str">
        <f t="shared" si="11"/>
        <v>未开始</v>
      </c>
      <c r="H93" s="25" t="str">
        <f t="shared" si="7"/>
        <v>郑士旺</v>
      </c>
      <c r="I93" s="26">
        <f t="shared" si="8"/>
        <v>46230</v>
      </c>
      <c r="J93" s="26">
        <f t="shared" si="9"/>
        <v>46353</v>
      </c>
      <c r="K93" s="26"/>
      <c r="L93" s="25" t="s">
        <v>120</v>
      </c>
      <c r="M93" s="25" t="s">
        <v>23</v>
      </c>
      <c r="N93" s="26">
        <v>46230</v>
      </c>
      <c r="O93" s="26">
        <v>46241</v>
      </c>
      <c r="P93" s="25" t="s">
        <v>122</v>
      </c>
      <c r="Q93" s="25" t="s">
        <v>23</v>
      </c>
      <c r="R93" s="26">
        <v>46307</v>
      </c>
      <c r="S93" s="26">
        <v>46339</v>
      </c>
      <c r="T93" s="25" t="s">
        <v>123</v>
      </c>
      <c r="U93" s="25" t="s">
        <v>23</v>
      </c>
      <c r="V93" s="26">
        <v>46307</v>
      </c>
      <c r="W93" s="26">
        <v>46339</v>
      </c>
      <c r="X93" s="25" t="s">
        <v>124</v>
      </c>
      <c r="Y93" s="25" t="s">
        <v>23</v>
      </c>
      <c r="Z93" s="26">
        <v>46342</v>
      </c>
      <c r="AA93" s="26">
        <v>46353</v>
      </c>
      <c r="AB93" s="27">
        <f t="shared" si="10"/>
        <v>0</v>
      </c>
      <c r="AC93" s="25" t="str">
        <f>IF(G93="已完成","正常",IF(OR(G93="暂停",G93="挂起"),"暂停",IF(J93="","日期缺失",IF(J93&lt;_数据接口!$B$7,"已延期",IF(J93&lt;=_数据接口!$B$7+7,"临近到期","正常")))))</f>
        <v>正常</v>
      </c>
      <c r="AD93" s="25" t="s">
        <v>125</v>
      </c>
      <c r="AE93" s="25" t="s">
        <v>125</v>
      </c>
    </row>
    <row r="94" ht="34" customHeight="1" spans="1:31">
      <c r="A94" s="25" t="s">
        <v>331</v>
      </c>
      <c r="B94" s="25" t="s">
        <v>304</v>
      </c>
      <c r="C94" s="25" t="s">
        <v>327</v>
      </c>
      <c r="D94" s="25" t="s">
        <v>332</v>
      </c>
      <c r="E94" s="25" t="s">
        <v>118</v>
      </c>
      <c r="F94" s="25" t="s">
        <v>135</v>
      </c>
      <c r="G94" s="25" t="str">
        <f t="shared" si="11"/>
        <v>未开始</v>
      </c>
      <c r="H94" s="25" t="str">
        <f t="shared" si="7"/>
        <v>郑士旺</v>
      </c>
      <c r="I94" s="26">
        <f t="shared" si="8"/>
        <v>46230</v>
      </c>
      <c r="J94" s="26">
        <f t="shared" si="9"/>
        <v>46353</v>
      </c>
      <c r="K94" s="26"/>
      <c r="L94" s="25" t="s">
        <v>120</v>
      </c>
      <c r="M94" s="25" t="s">
        <v>23</v>
      </c>
      <c r="N94" s="26">
        <v>46230</v>
      </c>
      <c r="O94" s="26">
        <v>46241</v>
      </c>
      <c r="P94" s="25" t="s">
        <v>122</v>
      </c>
      <c r="Q94" s="25" t="s">
        <v>23</v>
      </c>
      <c r="R94" s="26">
        <v>46307</v>
      </c>
      <c r="S94" s="26">
        <v>46339</v>
      </c>
      <c r="T94" s="25" t="s">
        <v>123</v>
      </c>
      <c r="U94" s="25" t="s">
        <v>23</v>
      </c>
      <c r="V94" s="26">
        <v>46307</v>
      </c>
      <c r="W94" s="26">
        <v>46339</v>
      </c>
      <c r="X94" s="25" t="s">
        <v>124</v>
      </c>
      <c r="Y94" s="25" t="s">
        <v>23</v>
      </c>
      <c r="Z94" s="26">
        <v>46342</v>
      </c>
      <c r="AA94" s="26">
        <v>46353</v>
      </c>
      <c r="AB94" s="27">
        <f t="shared" si="10"/>
        <v>0</v>
      </c>
      <c r="AC94" s="25" t="str">
        <f>IF(G94="已完成","正常",IF(OR(G94="暂停",G94="挂起"),"暂停",IF(J94="","日期缺失",IF(J94&lt;_数据接口!$B$7,"已延期",IF(J94&lt;=_数据接口!$B$7+7,"临近到期","正常")))))</f>
        <v>正常</v>
      </c>
      <c r="AD94" s="25" t="s">
        <v>125</v>
      </c>
      <c r="AE94" s="25" t="s">
        <v>125</v>
      </c>
    </row>
    <row r="95" ht="34" customHeight="1" spans="1:31">
      <c r="A95" s="25" t="s">
        <v>333</v>
      </c>
      <c r="B95" s="25" t="s">
        <v>304</v>
      </c>
      <c r="C95" s="25" t="s">
        <v>327</v>
      </c>
      <c r="D95" s="25" t="s">
        <v>334</v>
      </c>
      <c r="E95" s="25" t="s">
        <v>118</v>
      </c>
      <c r="F95" s="25" t="s">
        <v>135</v>
      </c>
      <c r="G95" s="25" t="str">
        <f t="shared" si="11"/>
        <v>未开始</v>
      </c>
      <c r="H95" s="25" t="str">
        <f t="shared" si="7"/>
        <v>郑士旺</v>
      </c>
      <c r="I95" s="26">
        <f t="shared" si="8"/>
        <v>46230</v>
      </c>
      <c r="J95" s="26">
        <f t="shared" si="9"/>
        <v>46353</v>
      </c>
      <c r="K95" s="26"/>
      <c r="L95" s="25" t="s">
        <v>120</v>
      </c>
      <c r="M95" s="25" t="s">
        <v>23</v>
      </c>
      <c r="N95" s="26">
        <v>46230</v>
      </c>
      <c r="O95" s="26">
        <v>46241</v>
      </c>
      <c r="P95" s="25" t="s">
        <v>122</v>
      </c>
      <c r="Q95" s="25" t="s">
        <v>23</v>
      </c>
      <c r="R95" s="26">
        <v>46307</v>
      </c>
      <c r="S95" s="26">
        <v>46339</v>
      </c>
      <c r="T95" s="25" t="s">
        <v>123</v>
      </c>
      <c r="U95" s="25" t="s">
        <v>23</v>
      </c>
      <c r="V95" s="26">
        <v>46307</v>
      </c>
      <c r="W95" s="26">
        <v>46339</v>
      </c>
      <c r="X95" s="25" t="s">
        <v>124</v>
      </c>
      <c r="Y95" s="25" t="s">
        <v>23</v>
      </c>
      <c r="Z95" s="26">
        <v>46342</v>
      </c>
      <c r="AA95" s="26">
        <v>46353</v>
      </c>
      <c r="AB95" s="27">
        <f t="shared" si="10"/>
        <v>0</v>
      </c>
      <c r="AC95" s="25" t="str">
        <f>IF(G95="已完成","正常",IF(OR(G95="暂停",G95="挂起"),"暂停",IF(J95="","日期缺失",IF(J95&lt;_数据接口!$B$7,"已延期",IF(J95&lt;=_数据接口!$B$7+7,"临近到期","正常")))))</f>
        <v>正常</v>
      </c>
      <c r="AD95" s="25" t="s">
        <v>125</v>
      </c>
      <c r="AE95" s="25" t="s">
        <v>125</v>
      </c>
    </row>
    <row r="96" ht="34" customHeight="1" spans="1:31">
      <c r="A96" s="25" t="s">
        <v>335</v>
      </c>
      <c r="B96" s="25" t="s">
        <v>304</v>
      </c>
      <c r="C96" s="25" t="s">
        <v>336</v>
      </c>
      <c r="D96" s="25" t="s">
        <v>313</v>
      </c>
      <c r="E96" s="25" t="s">
        <v>118</v>
      </c>
      <c r="F96" s="25" t="s">
        <v>135</v>
      </c>
      <c r="G96" s="25" t="str">
        <f t="shared" si="11"/>
        <v>未开始</v>
      </c>
      <c r="H96" s="25" t="str">
        <f t="shared" si="7"/>
        <v>郑士旺</v>
      </c>
      <c r="I96" s="26">
        <f t="shared" si="8"/>
        <v>46230</v>
      </c>
      <c r="J96" s="26">
        <f t="shared" si="9"/>
        <v>46353</v>
      </c>
      <c r="K96" s="26"/>
      <c r="L96" s="25" t="s">
        <v>120</v>
      </c>
      <c r="M96" s="25" t="s">
        <v>23</v>
      </c>
      <c r="N96" s="26">
        <v>46230</v>
      </c>
      <c r="O96" s="26">
        <v>46241</v>
      </c>
      <c r="P96" s="25" t="s">
        <v>122</v>
      </c>
      <c r="Q96" s="25" t="s">
        <v>23</v>
      </c>
      <c r="R96" s="26">
        <v>46307</v>
      </c>
      <c r="S96" s="26">
        <v>46339</v>
      </c>
      <c r="T96" s="25" t="s">
        <v>123</v>
      </c>
      <c r="U96" s="25" t="s">
        <v>23</v>
      </c>
      <c r="V96" s="26">
        <v>46307</v>
      </c>
      <c r="W96" s="26">
        <v>46339</v>
      </c>
      <c r="X96" s="25" t="s">
        <v>124</v>
      </c>
      <c r="Y96" s="25" t="s">
        <v>23</v>
      </c>
      <c r="Z96" s="26">
        <v>46342</v>
      </c>
      <c r="AA96" s="26">
        <v>46353</v>
      </c>
      <c r="AB96" s="27">
        <f t="shared" si="10"/>
        <v>0</v>
      </c>
      <c r="AC96" s="25" t="str">
        <f>IF(G96="已完成","正常",IF(OR(G96="暂停",G96="挂起"),"暂停",IF(J96="","日期缺失",IF(J96&lt;_数据接口!$B$7,"已延期",IF(J96&lt;=_数据接口!$B$7+7,"临近到期","正常")))))</f>
        <v>正常</v>
      </c>
      <c r="AD96" s="25" t="s">
        <v>125</v>
      </c>
      <c r="AE96" s="25" t="s">
        <v>125</v>
      </c>
    </row>
    <row r="97" ht="34" customHeight="1" spans="1:31">
      <c r="A97" s="25" t="s">
        <v>337</v>
      </c>
      <c r="B97" s="25" t="s">
        <v>304</v>
      </c>
      <c r="C97" s="25" t="s">
        <v>336</v>
      </c>
      <c r="D97" s="25" t="s">
        <v>315</v>
      </c>
      <c r="E97" s="25" t="s">
        <v>118</v>
      </c>
      <c r="F97" s="25" t="s">
        <v>135</v>
      </c>
      <c r="G97" s="25" t="str">
        <f t="shared" si="11"/>
        <v>未开始</v>
      </c>
      <c r="H97" s="25" t="str">
        <f t="shared" si="7"/>
        <v>郑士旺</v>
      </c>
      <c r="I97" s="26">
        <f t="shared" si="8"/>
        <v>46230</v>
      </c>
      <c r="J97" s="26">
        <f t="shared" si="9"/>
        <v>46353</v>
      </c>
      <c r="K97" s="26"/>
      <c r="L97" s="25" t="s">
        <v>120</v>
      </c>
      <c r="M97" s="25" t="s">
        <v>23</v>
      </c>
      <c r="N97" s="26">
        <v>46230</v>
      </c>
      <c r="O97" s="26">
        <v>46241</v>
      </c>
      <c r="P97" s="25" t="s">
        <v>122</v>
      </c>
      <c r="Q97" s="25" t="s">
        <v>23</v>
      </c>
      <c r="R97" s="26">
        <v>46307</v>
      </c>
      <c r="S97" s="26">
        <v>46339</v>
      </c>
      <c r="T97" s="25" t="s">
        <v>123</v>
      </c>
      <c r="U97" s="25" t="s">
        <v>23</v>
      </c>
      <c r="V97" s="26">
        <v>46307</v>
      </c>
      <c r="W97" s="26">
        <v>46339</v>
      </c>
      <c r="X97" s="25" t="s">
        <v>124</v>
      </c>
      <c r="Y97" s="25" t="s">
        <v>23</v>
      </c>
      <c r="Z97" s="26">
        <v>46342</v>
      </c>
      <c r="AA97" s="26">
        <v>46353</v>
      </c>
      <c r="AB97" s="27">
        <f t="shared" si="10"/>
        <v>0</v>
      </c>
      <c r="AC97" s="25" t="str">
        <f>IF(G97="已完成","正常",IF(OR(G97="暂停",G97="挂起"),"暂停",IF(J97="","日期缺失",IF(J97&lt;_数据接口!$B$7,"已延期",IF(J97&lt;=_数据接口!$B$7+7,"临近到期","正常")))))</f>
        <v>正常</v>
      </c>
      <c r="AD97" s="25" t="s">
        <v>125</v>
      </c>
      <c r="AE97" s="25" t="s">
        <v>125</v>
      </c>
    </row>
    <row r="98" ht="17" customHeight="1" spans="1:31">
      <c r="A98" s="25" t="s">
        <v>338</v>
      </c>
      <c r="B98" s="25" t="s">
        <v>304</v>
      </c>
      <c r="C98" s="25" t="s">
        <v>339</v>
      </c>
      <c r="D98" s="25" t="s">
        <v>340</v>
      </c>
      <c r="E98" s="25" t="s">
        <v>118</v>
      </c>
      <c r="F98" s="25" t="s">
        <v>119</v>
      </c>
      <c r="G98" s="25" t="str">
        <f>IF(OR(M98="挂起",M98="暂停",Q98="挂起",Q98="暂停",U98="挂起",U98="暂停",Y98="挂起",Y98="暂停"),"暂停","进行中")</f>
        <v>进行中</v>
      </c>
      <c r="H98" s="25" t="str">
        <f t="shared" si="7"/>
        <v>郑士旺</v>
      </c>
      <c r="I98" s="26">
        <f t="shared" si="8"/>
        <v>46202</v>
      </c>
      <c r="J98" s="26">
        <f t="shared" si="9"/>
        <v>46273</v>
      </c>
      <c r="K98" s="26"/>
      <c r="L98" s="25" t="s">
        <v>120</v>
      </c>
      <c r="M98" s="25" t="s">
        <v>121</v>
      </c>
      <c r="N98" s="26">
        <v>46202</v>
      </c>
      <c r="O98" s="26">
        <v>46206</v>
      </c>
      <c r="P98" s="25" t="s">
        <v>200</v>
      </c>
      <c r="Q98" s="25" t="s">
        <v>121</v>
      </c>
      <c r="R98" s="26">
        <v>46265</v>
      </c>
      <c r="S98" s="26">
        <v>46273</v>
      </c>
      <c r="T98" s="25" t="s">
        <v>200</v>
      </c>
      <c r="U98" s="25" t="s">
        <v>121</v>
      </c>
      <c r="V98" s="26">
        <v>46265</v>
      </c>
      <c r="W98" s="26">
        <v>46273</v>
      </c>
      <c r="X98" s="25" t="s">
        <v>124</v>
      </c>
      <c r="Y98" s="25" t="s">
        <v>157</v>
      </c>
      <c r="Z98" s="26">
        <v>46216</v>
      </c>
      <c r="AA98" s="26">
        <v>46234</v>
      </c>
      <c r="AB98" s="27">
        <f t="shared" si="10"/>
        <v>0.9</v>
      </c>
      <c r="AC98" s="25" t="str">
        <f>IF(G98="已完成","正常",IF(OR(G98="暂停",G98="挂起"),"暂停",IF(J98="","日期缺失",IF(J98&lt;_数据接口!$B$7,"已延期",IF(J98&lt;=_数据接口!$B$7+7,"临近到期","正常")))))</f>
        <v>已延期</v>
      </c>
      <c r="AD98" s="25" t="s">
        <v>125</v>
      </c>
      <c r="AE98" s="25" t="s">
        <v>125</v>
      </c>
    </row>
    <row r="99" ht="17" customHeight="1" spans="1:31">
      <c r="A99" s="25" t="s">
        <v>341</v>
      </c>
      <c r="B99" s="25" t="s">
        <v>304</v>
      </c>
      <c r="C99" s="25" t="s">
        <v>342</v>
      </c>
      <c r="D99" s="25" t="s">
        <v>343</v>
      </c>
      <c r="E99" s="25" t="s">
        <v>118</v>
      </c>
      <c r="F99" s="25" t="s">
        <v>119</v>
      </c>
      <c r="G99" s="25" t="str">
        <f t="shared" ref="G99:G113" si="12">IF(OR(M99="挂起",M99="暂停",Q99="挂起",Q99="暂停",U99="挂起",U99="暂停",Y99="挂起",Y99="暂停"),"暂停","已完成")</f>
        <v>已完成</v>
      </c>
      <c r="H99" s="25" t="str">
        <f t="shared" si="7"/>
        <v>郑士旺</v>
      </c>
      <c r="I99" s="26">
        <f t="shared" si="8"/>
        <v>46202</v>
      </c>
      <c r="J99" s="26">
        <f t="shared" si="9"/>
        <v>46261</v>
      </c>
      <c r="K99" s="26">
        <v>46261</v>
      </c>
      <c r="L99" s="25" t="s">
        <v>120</v>
      </c>
      <c r="M99" s="25" t="s">
        <v>121</v>
      </c>
      <c r="N99" s="26">
        <v>46202</v>
      </c>
      <c r="O99" s="26">
        <v>46206</v>
      </c>
      <c r="P99" s="25" t="s">
        <v>122</v>
      </c>
      <c r="Q99" s="25" t="s">
        <v>121</v>
      </c>
      <c r="R99" s="26">
        <v>46209</v>
      </c>
      <c r="S99" s="26">
        <v>46225</v>
      </c>
      <c r="T99" s="25" t="s">
        <v>123</v>
      </c>
      <c r="U99" s="25" t="s">
        <v>121</v>
      </c>
      <c r="V99" s="26">
        <v>46209</v>
      </c>
      <c r="W99" s="26">
        <v>46225</v>
      </c>
      <c r="X99" s="25" t="s">
        <v>124</v>
      </c>
      <c r="Y99" s="25" t="s">
        <v>121</v>
      </c>
      <c r="Z99" s="26">
        <v>46216</v>
      </c>
      <c r="AA99" s="26">
        <v>46234</v>
      </c>
      <c r="AB99" s="27">
        <f t="shared" si="10"/>
        <v>1</v>
      </c>
      <c r="AC99" s="25" t="str">
        <f>IF(G99="已完成","正常",IF(OR(G99="暂停",G99="挂起"),"暂停",IF(J99="","日期缺失",IF(J99&lt;_数据接口!$B$7,"已延期",IF(J99&lt;=_数据接口!$B$7+7,"临近到期","正常")))))</f>
        <v>正常</v>
      </c>
      <c r="AD99" s="25" t="s">
        <v>125</v>
      </c>
      <c r="AE99" s="25" t="s">
        <v>125</v>
      </c>
    </row>
    <row r="100" ht="17" customHeight="1" spans="1:31">
      <c r="A100" s="25" t="s">
        <v>344</v>
      </c>
      <c r="B100" s="25" t="s">
        <v>304</v>
      </c>
      <c r="C100" s="25" t="s">
        <v>345</v>
      </c>
      <c r="D100" s="25" t="s">
        <v>346</v>
      </c>
      <c r="E100" s="25" t="s">
        <v>118</v>
      </c>
      <c r="F100" s="25" t="s">
        <v>119</v>
      </c>
      <c r="G100" s="25" t="str">
        <f t="shared" si="12"/>
        <v>已完成</v>
      </c>
      <c r="H100" s="25" t="str">
        <f t="shared" si="7"/>
        <v>郑士旺</v>
      </c>
      <c r="I100" s="26">
        <f t="shared" si="8"/>
        <v>46202</v>
      </c>
      <c r="J100" s="26">
        <f t="shared" si="9"/>
        <v>46234</v>
      </c>
      <c r="K100" s="26"/>
      <c r="L100" s="25" t="s">
        <v>120</v>
      </c>
      <c r="M100" s="25" t="s">
        <v>121</v>
      </c>
      <c r="N100" s="26">
        <v>46202</v>
      </c>
      <c r="O100" s="26">
        <v>46206</v>
      </c>
      <c r="P100" s="25" t="s">
        <v>122</v>
      </c>
      <c r="Q100" s="25" t="s">
        <v>121</v>
      </c>
      <c r="R100" s="26">
        <v>46227</v>
      </c>
      <c r="S100" s="26">
        <v>46227</v>
      </c>
      <c r="T100" s="25" t="s">
        <v>123</v>
      </c>
      <c r="U100" s="25" t="s">
        <v>121</v>
      </c>
      <c r="V100" s="26">
        <v>46227</v>
      </c>
      <c r="W100" s="26">
        <v>46227</v>
      </c>
      <c r="X100" s="25" t="s">
        <v>124</v>
      </c>
      <c r="Y100" s="25" t="s">
        <v>121</v>
      </c>
      <c r="Z100" s="26">
        <v>46216</v>
      </c>
      <c r="AA100" s="26">
        <v>46234</v>
      </c>
      <c r="AB100" s="27">
        <f t="shared" si="10"/>
        <v>1</v>
      </c>
      <c r="AC100" s="25" t="str">
        <f>IF(G100="已完成","正常",IF(OR(G100="暂停",G100="挂起"),"暂停",IF(J100="","日期缺失",IF(J100&lt;_数据接口!$B$7,"已延期",IF(J100&lt;=_数据接口!$B$7+7,"临近到期","正常")))))</f>
        <v>正常</v>
      </c>
      <c r="AD100" s="25" t="s">
        <v>125</v>
      </c>
      <c r="AE100" s="25" t="s">
        <v>125</v>
      </c>
    </row>
    <row r="101" ht="17" customHeight="1" spans="1:31">
      <c r="A101" s="25" t="s">
        <v>347</v>
      </c>
      <c r="B101" s="25" t="s">
        <v>304</v>
      </c>
      <c r="C101" s="25" t="s">
        <v>348</v>
      </c>
      <c r="D101" s="25" t="s">
        <v>349</v>
      </c>
      <c r="E101" s="25" t="s">
        <v>118</v>
      </c>
      <c r="F101" s="25" t="s">
        <v>119</v>
      </c>
      <c r="G101" s="25" t="str">
        <f t="shared" si="12"/>
        <v>已完成</v>
      </c>
      <c r="H101" s="25" t="str">
        <f t="shared" si="7"/>
        <v>郑士旺</v>
      </c>
      <c r="I101" s="26">
        <f t="shared" si="8"/>
        <v>46202</v>
      </c>
      <c r="J101" s="26">
        <f t="shared" si="9"/>
        <v>46224</v>
      </c>
      <c r="K101" s="26">
        <v>46224</v>
      </c>
      <c r="L101" s="25" t="s">
        <v>120</v>
      </c>
      <c r="M101" s="25" t="s">
        <v>121</v>
      </c>
      <c r="N101" s="26">
        <v>46202</v>
      </c>
      <c r="O101" s="26">
        <v>46206</v>
      </c>
      <c r="P101" s="25" t="s">
        <v>122</v>
      </c>
      <c r="Q101" s="25" t="s">
        <v>121</v>
      </c>
      <c r="R101" s="26">
        <v>46227</v>
      </c>
      <c r="S101" s="26">
        <v>46227</v>
      </c>
      <c r="T101" s="25" t="s">
        <v>123</v>
      </c>
      <c r="U101" s="25" t="s">
        <v>121</v>
      </c>
      <c r="V101" s="26">
        <v>46227</v>
      </c>
      <c r="W101" s="26">
        <v>46227</v>
      </c>
      <c r="X101" s="25" t="s">
        <v>124</v>
      </c>
      <c r="Y101" s="25" t="s">
        <v>121</v>
      </c>
      <c r="Z101" s="26">
        <v>46216</v>
      </c>
      <c r="AA101" s="26">
        <v>46234</v>
      </c>
      <c r="AB101" s="27">
        <f t="shared" si="10"/>
        <v>1</v>
      </c>
      <c r="AC101" s="25" t="str">
        <f>IF(G101="已完成","正常",IF(OR(G101="暂停",G101="挂起"),"暂停",IF(J101="","日期缺失",IF(J101&lt;_数据接口!$B$7,"已延期",IF(J101&lt;=_数据接口!$B$7+7,"临近到期","正常")))))</f>
        <v>正常</v>
      </c>
      <c r="AD101" s="25" t="s">
        <v>125</v>
      </c>
      <c r="AE101" s="25" t="s">
        <v>125</v>
      </c>
    </row>
    <row r="102" ht="17" customHeight="1" spans="1:31">
      <c r="A102" s="25" t="s">
        <v>350</v>
      </c>
      <c r="B102" s="25" t="s">
        <v>304</v>
      </c>
      <c r="C102" s="25" t="s">
        <v>348</v>
      </c>
      <c r="D102" s="25" t="s">
        <v>351</v>
      </c>
      <c r="E102" s="25" t="s">
        <v>118</v>
      </c>
      <c r="F102" s="25" t="s">
        <v>119</v>
      </c>
      <c r="G102" s="25" t="str">
        <f t="shared" si="12"/>
        <v>已完成</v>
      </c>
      <c r="H102" s="25" t="str">
        <f t="shared" si="7"/>
        <v>郑士旺</v>
      </c>
      <c r="I102" s="26">
        <f t="shared" si="8"/>
        <v>46202</v>
      </c>
      <c r="J102" s="26">
        <f t="shared" si="9"/>
        <v>46224</v>
      </c>
      <c r="K102" s="26">
        <v>46224</v>
      </c>
      <c r="L102" s="25" t="s">
        <v>120</v>
      </c>
      <c r="M102" s="25" t="s">
        <v>121</v>
      </c>
      <c r="N102" s="26">
        <v>46202</v>
      </c>
      <c r="O102" s="26">
        <v>46206</v>
      </c>
      <c r="P102" s="25" t="s">
        <v>122</v>
      </c>
      <c r="Q102" s="25" t="s">
        <v>121</v>
      </c>
      <c r="R102" s="26">
        <v>46227</v>
      </c>
      <c r="S102" s="26">
        <v>46227</v>
      </c>
      <c r="T102" s="25" t="s">
        <v>123</v>
      </c>
      <c r="U102" s="25" t="s">
        <v>121</v>
      </c>
      <c r="V102" s="26">
        <v>46227</v>
      </c>
      <c r="W102" s="26">
        <v>46227</v>
      </c>
      <c r="X102" s="25" t="s">
        <v>124</v>
      </c>
      <c r="Y102" s="25" t="s">
        <v>121</v>
      </c>
      <c r="Z102" s="26">
        <v>46216</v>
      </c>
      <c r="AA102" s="26">
        <v>46234</v>
      </c>
      <c r="AB102" s="27">
        <f t="shared" si="10"/>
        <v>1</v>
      </c>
      <c r="AC102" s="25" t="str">
        <f>IF(G102="已完成","正常",IF(OR(G102="暂停",G102="挂起"),"暂停",IF(J102="","日期缺失",IF(J102&lt;_数据接口!$B$7,"已延期",IF(J102&lt;=_数据接口!$B$7+7,"临近到期","正常")))))</f>
        <v>正常</v>
      </c>
      <c r="AD102" s="25" t="s">
        <v>125</v>
      </c>
      <c r="AE102" s="25" t="s">
        <v>125</v>
      </c>
    </row>
    <row r="103" ht="34" customHeight="1" spans="1:31">
      <c r="A103" s="25" t="s">
        <v>352</v>
      </c>
      <c r="B103" s="25" t="s">
        <v>353</v>
      </c>
      <c r="C103" s="25" t="s">
        <v>354</v>
      </c>
      <c r="D103" s="25" t="s">
        <v>355</v>
      </c>
      <c r="E103" s="25" t="s">
        <v>118</v>
      </c>
      <c r="F103" s="25" t="s">
        <v>119</v>
      </c>
      <c r="G103" s="25" t="str">
        <f t="shared" si="12"/>
        <v>已完成</v>
      </c>
      <c r="H103" s="25" t="str">
        <f t="shared" si="7"/>
        <v>郑士旺</v>
      </c>
      <c r="I103" s="26">
        <f t="shared" si="8"/>
        <v>46209</v>
      </c>
      <c r="J103" s="26">
        <f t="shared" si="9"/>
        <v>46224</v>
      </c>
      <c r="K103" s="26">
        <v>46224</v>
      </c>
      <c r="L103" s="25" t="s">
        <v>120</v>
      </c>
      <c r="M103" s="25" t="s">
        <v>121</v>
      </c>
      <c r="N103" s="26">
        <v>46209</v>
      </c>
      <c r="O103" s="26">
        <v>46213</v>
      </c>
      <c r="P103" s="25" t="s">
        <v>122</v>
      </c>
      <c r="Q103" s="25" t="s">
        <v>121</v>
      </c>
      <c r="R103" s="26">
        <v>46230</v>
      </c>
      <c r="S103" s="26">
        <v>46262</v>
      </c>
      <c r="T103" s="25" t="s">
        <v>123</v>
      </c>
      <c r="U103" s="25" t="s">
        <v>121</v>
      </c>
      <c r="V103" s="26">
        <v>46230</v>
      </c>
      <c r="W103" s="26">
        <v>46262</v>
      </c>
      <c r="X103" s="25" t="s">
        <v>124</v>
      </c>
      <c r="Y103" s="25" t="s">
        <v>121</v>
      </c>
      <c r="Z103" s="26">
        <v>46253</v>
      </c>
      <c r="AA103" s="26">
        <v>46269</v>
      </c>
      <c r="AB103" s="27">
        <f t="shared" si="10"/>
        <v>1</v>
      </c>
      <c r="AC103" s="25" t="str">
        <f>IF(G103="已完成","正常",IF(OR(G103="暂停",G103="挂起"),"暂停",IF(J103="","日期缺失",IF(J103&lt;_数据接口!$B$7,"已延期",IF(J103&lt;=_数据接口!$B$7+7,"临近到期","正常")))))</f>
        <v>正常</v>
      </c>
      <c r="AD103" s="25" t="s">
        <v>125</v>
      </c>
      <c r="AE103" s="25" t="s">
        <v>125</v>
      </c>
    </row>
    <row r="104" ht="17" customHeight="1" spans="1:31">
      <c r="A104" s="25" t="s">
        <v>356</v>
      </c>
      <c r="B104" s="25" t="s">
        <v>353</v>
      </c>
      <c r="C104" s="25" t="s">
        <v>354</v>
      </c>
      <c r="D104" s="25" t="s">
        <v>357</v>
      </c>
      <c r="E104" s="25" t="s">
        <v>118</v>
      </c>
      <c r="F104" s="25" t="s">
        <v>119</v>
      </c>
      <c r="G104" s="25" t="str">
        <f t="shared" si="12"/>
        <v>已完成</v>
      </c>
      <c r="H104" s="25" t="str">
        <f t="shared" si="7"/>
        <v>郑士旺</v>
      </c>
      <c r="I104" s="26">
        <f t="shared" si="8"/>
        <v>46209</v>
      </c>
      <c r="J104" s="26">
        <f t="shared" si="9"/>
        <v>46224</v>
      </c>
      <c r="K104" s="26">
        <v>46224</v>
      </c>
      <c r="L104" s="25" t="s">
        <v>120</v>
      </c>
      <c r="M104" s="25" t="s">
        <v>121</v>
      </c>
      <c r="N104" s="26">
        <v>46209</v>
      </c>
      <c r="O104" s="26">
        <v>46213</v>
      </c>
      <c r="P104" s="25" t="s">
        <v>122</v>
      </c>
      <c r="Q104" s="25" t="s">
        <v>121</v>
      </c>
      <c r="R104" s="26">
        <v>46230</v>
      </c>
      <c r="S104" s="26">
        <v>46262</v>
      </c>
      <c r="T104" s="25" t="s">
        <v>123</v>
      </c>
      <c r="U104" s="25" t="s">
        <v>121</v>
      </c>
      <c r="V104" s="26">
        <v>46230</v>
      </c>
      <c r="W104" s="26">
        <v>46262</v>
      </c>
      <c r="X104" s="25" t="s">
        <v>124</v>
      </c>
      <c r="Y104" s="25" t="s">
        <v>121</v>
      </c>
      <c r="Z104" s="26">
        <v>46253</v>
      </c>
      <c r="AA104" s="26">
        <v>46269</v>
      </c>
      <c r="AB104" s="27">
        <f t="shared" si="10"/>
        <v>1</v>
      </c>
      <c r="AC104" s="25" t="str">
        <f>IF(G104="已完成","正常",IF(OR(G104="暂停",G104="挂起"),"暂停",IF(J104="","日期缺失",IF(J104&lt;_数据接口!$B$7,"已延期",IF(J104&lt;=_数据接口!$B$7+7,"临近到期","正常")))))</f>
        <v>正常</v>
      </c>
      <c r="AD104" s="25" t="s">
        <v>125</v>
      </c>
      <c r="AE104" s="25" t="s">
        <v>125</v>
      </c>
    </row>
    <row r="105" ht="17" customHeight="1" spans="1:31">
      <c r="A105" s="25" t="s">
        <v>358</v>
      </c>
      <c r="B105" s="25" t="s">
        <v>353</v>
      </c>
      <c r="C105" s="25" t="s">
        <v>354</v>
      </c>
      <c r="D105" s="25" t="s">
        <v>359</v>
      </c>
      <c r="E105" s="25" t="s">
        <v>118</v>
      </c>
      <c r="F105" s="25" t="s">
        <v>119</v>
      </c>
      <c r="G105" s="25" t="str">
        <f t="shared" si="12"/>
        <v>已完成</v>
      </c>
      <c r="H105" s="25" t="str">
        <f t="shared" si="7"/>
        <v>郑士旺</v>
      </c>
      <c r="I105" s="26">
        <f t="shared" si="8"/>
        <v>46209</v>
      </c>
      <c r="J105" s="26">
        <f t="shared" si="9"/>
        <v>46224</v>
      </c>
      <c r="K105" s="26">
        <v>46224</v>
      </c>
      <c r="L105" s="25" t="s">
        <v>120</v>
      </c>
      <c r="M105" s="25" t="s">
        <v>121</v>
      </c>
      <c r="N105" s="26">
        <v>46209</v>
      </c>
      <c r="O105" s="26">
        <v>46213</v>
      </c>
      <c r="P105" s="25" t="s">
        <v>122</v>
      </c>
      <c r="Q105" s="25" t="s">
        <v>121</v>
      </c>
      <c r="R105" s="26">
        <v>46230</v>
      </c>
      <c r="S105" s="26">
        <v>46262</v>
      </c>
      <c r="T105" s="25" t="s">
        <v>123</v>
      </c>
      <c r="U105" s="25" t="s">
        <v>121</v>
      </c>
      <c r="V105" s="26">
        <v>46230</v>
      </c>
      <c r="W105" s="26">
        <v>46262</v>
      </c>
      <c r="X105" s="25" t="s">
        <v>124</v>
      </c>
      <c r="Y105" s="25" t="s">
        <v>121</v>
      </c>
      <c r="Z105" s="26">
        <v>46253</v>
      </c>
      <c r="AA105" s="26">
        <v>46269</v>
      </c>
      <c r="AB105" s="27">
        <f t="shared" si="10"/>
        <v>1</v>
      </c>
      <c r="AC105" s="25" t="str">
        <f>IF(G105="已完成","正常",IF(OR(G105="暂停",G105="挂起"),"暂停",IF(J105="","日期缺失",IF(J105&lt;_数据接口!$B$7,"已延期",IF(J105&lt;=_数据接口!$B$7+7,"临近到期","正常")))))</f>
        <v>正常</v>
      </c>
      <c r="AD105" s="25" t="s">
        <v>125</v>
      </c>
      <c r="AE105" s="25" t="s">
        <v>125</v>
      </c>
    </row>
    <row r="106" ht="17" customHeight="1" spans="1:31">
      <c r="A106" s="25" t="s">
        <v>360</v>
      </c>
      <c r="B106" s="25" t="s">
        <v>353</v>
      </c>
      <c r="C106" s="25" t="s">
        <v>354</v>
      </c>
      <c r="D106" s="25" t="s">
        <v>361</v>
      </c>
      <c r="E106" s="25" t="s">
        <v>118</v>
      </c>
      <c r="F106" s="25" t="s">
        <v>119</v>
      </c>
      <c r="G106" s="25" t="str">
        <f t="shared" si="12"/>
        <v>已完成</v>
      </c>
      <c r="H106" s="25" t="str">
        <f t="shared" si="7"/>
        <v>郑士旺</v>
      </c>
      <c r="I106" s="26">
        <f t="shared" si="8"/>
        <v>46209</v>
      </c>
      <c r="J106" s="26">
        <f t="shared" si="9"/>
        <v>46224</v>
      </c>
      <c r="K106" s="26">
        <v>46224</v>
      </c>
      <c r="L106" s="25" t="s">
        <v>120</v>
      </c>
      <c r="M106" s="25" t="s">
        <v>121</v>
      </c>
      <c r="N106" s="26">
        <v>46209</v>
      </c>
      <c r="O106" s="26">
        <v>46213</v>
      </c>
      <c r="P106" s="25" t="s">
        <v>122</v>
      </c>
      <c r="Q106" s="25" t="s">
        <v>121</v>
      </c>
      <c r="R106" s="26">
        <v>46230</v>
      </c>
      <c r="S106" s="26">
        <v>46262</v>
      </c>
      <c r="T106" s="25" t="s">
        <v>123</v>
      </c>
      <c r="U106" s="25" t="s">
        <v>121</v>
      </c>
      <c r="V106" s="26">
        <v>46230</v>
      </c>
      <c r="W106" s="26">
        <v>46262</v>
      </c>
      <c r="X106" s="25" t="s">
        <v>124</v>
      </c>
      <c r="Y106" s="25" t="s">
        <v>121</v>
      </c>
      <c r="Z106" s="26">
        <v>46253</v>
      </c>
      <c r="AA106" s="26">
        <v>46269</v>
      </c>
      <c r="AB106" s="27">
        <f t="shared" si="10"/>
        <v>1</v>
      </c>
      <c r="AC106" s="25" t="str">
        <f>IF(G106="已完成","正常",IF(OR(G106="暂停",G106="挂起"),"暂停",IF(J106="","日期缺失",IF(J106&lt;_数据接口!$B$7,"已延期",IF(J106&lt;=_数据接口!$B$7+7,"临近到期","正常")))))</f>
        <v>正常</v>
      </c>
      <c r="AD106" s="25" t="s">
        <v>125</v>
      </c>
      <c r="AE106" s="25" t="s">
        <v>125</v>
      </c>
    </row>
    <row r="107" ht="17" customHeight="1" spans="1:31">
      <c r="A107" s="25" t="s">
        <v>362</v>
      </c>
      <c r="B107" s="25" t="s">
        <v>363</v>
      </c>
      <c r="C107" s="25" t="s">
        <v>364</v>
      </c>
      <c r="D107" s="25" t="s">
        <v>118</v>
      </c>
      <c r="E107" s="25" t="s">
        <v>118</v>
      </c>
      <c r="F107" s="25" t="s">
        <v>119</v>
      </c>
      <c r="G107" s="25" t="str">
        <f t="shared" si="12"/>
        <v>已完成</v>
      </c>
      <c r="H107" s="25" t="str">
        <f t="shared" si="7"/>
        <v>郑士旺</v>
      </c>
      <c r="I107" s="26">
        <f t="shared" si="8"/>
        <v>46209</v>
      </c>
      <c r="J107" s="26">
        <f t="shared" si="9"/>
        <v>46269</v>
      </c>
      <c r="K107" s="26" t="s">
        <v>118</v>
      </c>
      <c r="L107" s="25" t="s">
        <v>120</v>
      </c>
      <c r="M107" s="25" t="s">
        <v>121</v>
      </c>
      <c r="N107" s="26">
        <v>46209</v>
      </c>
      <c r="O107" s="26">
        <v>46213</v>
      </c>
      <c r="P107" s="25" t="s">
        <v>122</v>
      </c>
      <c r="Q107" s="25" t="s">
        <v>121</v>
      </c>
      <c r="R107" s="26">
        <v>46230</v>
      </c>
      <c r="S107" s="26">
        <v>46262</v>
      </c>
      <c r="T107" s="25" t="s">
        <v>123</v>
      </c>
      <c r="U107" s="25" t="s">
        <v>121</v>
      </c>
      <c r="V107" s="26">
        <v>46230</v>
      </c>
      <c r="W107" s="26">
        <v>46262</v>
      </c>
      <c r="X107" s="25" t="s">
        <v>124</v>
      </c>
      <c r="Y107" s="25" t="s">
        <v>121</v>
      </c>
      <c r="Z107" s="26">
        <v>46253</v>
      </c>
      <c r="AA107" s="26">
        <v>46269</v>
      </c>
      <c r="AB107" s="27">
        <f t="shared" si="10"/>
        <v>1</v>
      </c>
      <c r="AC107" s="25" t="str">
        <f>IF(G107="已完成","正常",IF(OR(G107="暂停",G107="挂起"),"暂停",IF(J107="","日期缺失",IF(J107&lt;_数据接口!$B$7,"已延期",IF(J107&lt;=_数据接口!$B$7+7,"临近到期","正常")))))</f>
        <v>正常</v>
      </c>
      <c r="AD107" s="25" t="s">
        <v>125</v>
      </c>
      <c r="AE107" s="25" t="s">
        <v>125</v>
      </c>
    </row>
    <row r="108" ht="17" customHeight="1" spans="1:31">
      <c r="A108" s="25" t="s">
        <v>365</v>
      </c>
      <c r="B108" s="25" t="s">
        <v>363</v>
      </c>
      <c r="C108" s="25" t="s">
        <v>366</v>
      </c>
      <c r="D108" s="25" t="s">
        <v>118</v>
      </c>
      <c r="E108" s="25" t="s">
        <v>118</v>
      </c>
      <c r="F108" s="25" t="s">
        <v>119</v>
      </c>
      <c r="G108" s="25" t="str">
        <f t="shared" si="12"/>
        <v>已完成</v>
      </c>
      <c r="H108" s="25" t="str">
        <f t="shared" si="7"/>
        <v>郑士旺</v>
      </c>
      <c r="I108" s="26">
        <f t="shared" si="8"/>
        <v>46209</v>
      </c>
      <c r="J108" s="26">
        <f t="shared" si="9"/>
        <v>46269</v>
      </c>
      <c r="K108" s="26" t="s">
        <v>118</v>
      </c>
      <c r="L108" s="25" t="s">
        <v>120</v>
      </c>
      <c r="M108" s="25" t="s">
        <v>121</v>
      </c>
      <c r="N108" s="26">
        <v>46209</v>
      </c>
      <c r="O108" s="26">
        <v>46213</v>
      </c>
      <c r="P108" s="25" t="s">
        <v>122</v>
      </c>
      <c r="Q108" s="25" t="s">
        <v>121</v>
      </c>
      <c r="R108" s="26">
        <v>46230</v>
      </c>
      <c r="S108" s="26">
        <v>46262</v>
      </c>
      <c r="T108" s="25" t="s">
        <v>123</v>
      </c>
      <c r="U108" s="25" t="s">
        <v>121</v>
      </c>
      <c r="V108" s="26">
        <v>46230</v>
      </c>
      <c r="W108" s="26">
        <v>46262</v>
      </c>
      <c r="X108" s="25" t="s">
        <v>124</v>
      </c>
      <c r="Y108" s="25" t="s">
        <v>121</v>
      </c>
      <c r="Z108" s="26">
        <v>46253</v>
      </c>
      <c r="AA108" s="26">
        <v>46269</v>
      </c>
      <c r="AB108" s="27">
        <f t="shared" si="10"/>
        <v>1</v>
      </c>
      <c r="AC108" s="25" t="str">
        <f>IF(G108="已完成","正常",IF(OR(G108="暂停",G108="挂起"),"暂停",IF(J108="","日期缺失",IF(J108&lt;_数据接口!$B$7,"已延期",IF(J108&lt;=_数据接口!$B$7+7,"临近到期","正常")))))</f>
        <v>正常</v>
      </c>
      <c r="AD108" s="25" t="s">
        <v>125</v>
      </c>
      <c r="AE108" s="25" t="s">
        <v>125</v>
      </c>
    </row>
    <row r="109" ht="17" customHeight="1" spans="1:31">
      <c r="A109" s="25" t="s">
        <v>367</v>
      </c>
      <c r="B109" s="25" t="s">
        <v>363</v>
      </c>
      <c r="C109" s="25" t="s">
        <v>368</v>
      </c>
      <c r="D109" s="25" t="s">
        <v>118</v>
      </c>
      <c r="E109" s="25" t="s">
        <v>118</v>
      </c>
      <c r="F109" s="25" t="s">
        <v>119</v>
      </c>
      <c r="G109" s="25" t="str">
        <f t="shared" si="12"/>
        <v>已完成</v>
      </c>
      <c r="H109" s="25" t="str">
        <f t="shared" si="7"/>
        <v>郑士旺</v>
      </c>
      <c r="I109" s="26">
        <f t="shared" si="8"/>
        <v>46209</v>
      </c>
      <c r="J109" s="26">
        <f t="shared" si="9"/>
        <v>46269</v>
      </c>
      <c r="K109" s="26" t="s">
        <v>118</v>
      </c>
      <c r="L109" s="25" t="s">
        <v>120</v>
      </c>
      <c r="M109" s="25" t="s">
        <v>121</v>
      </c>
      <c r="N109" s="26">
        <v>46209</v>
      </c>
      <c r="O109" s="26">
        <v>46213</v>
      </c>
      <c r="P109" s="25" t="s">
        <v>122</v>
      </c>
      <c r="Q109" s="25" t="s">
        <v>121</v>
      </c>
      <c r="R109" s="26">
        <v>46230</v>
      </c>
      <c r="S109" s="26">
        <v>46262</v>
      </c>
      <c r="T109" s="25" t="s">
        <v>123</v>
      </c>
      <c r="U109" s="25" t="s">
        <v>121</v>
      </c>
      <c r="V109" s="26">
        <v>46230</v>
      </c>
      <c r="W109" s="26">
        <v>46262</v>
      </c>
      <c r="X109" s="25" t="s">
        <v>124</v>
      </c>
      <c r="Y109" s="25" t="s">
        <v>121</v>
      </c>
      <c r="Z109" s="26">
        <v>46253</v>
      </c>
      <c r="AA109" s="26">
        <v>46269</v>
      </c>
      <c r="AB109" s="27">
        <f t="shared" si="10"/>
        <v>1</v>
      </c>
      <c r="AC109" s="25" t="str">
        <f>IF(G109="已完成","正常",IF(OR(G109="暂停",G109="挂起"),"暂停",IF(J109="","日期缺失",IF(J109&lt;_数据接口!$B$7,"已延期",IF(J109&lt;=_数据接口!$B$7+7,"临近到期","正常")))))</f>
        <v>正常</v>
      </c>
      <c r="AD109" s="25" t="s">
        <v>125</v>
      </c>
      <c r="AE109" s="25" t="s">
        <v>125</v>
      </c>
    </row>
    <row r="110" ht="17" customHeight="1" spans="1:31">
      <c r="A110" s="25" t="s">
        <v>369</v>
      </c>
      <c r="B110" s="25" t="s">
        <v>363</v>
      </c>
      <c r="C110" s="25" t="s">
        <v>370</v>
      </c>
      <c r="D110" s="25" t="s">
        <v>118</v>
      </c>
      <c r="E110" s="25" t="s">
        <v>118</v>
      </c>
      <c r="F110" s="25" t="s">
        <v>119</v>
      </c>
      <c r="G110" s="25" t="str">
        <f t="shared" si="12"/>
        <v>已完成</v>
      </c>
      <c r="H110" s="25" t="str">
        <f t="shared" si="7"/>
        <v>郑士旺</v>
      </c>
      <c r="I110" s="26">
        <f t="shared" si="8"/>
        <v>46209</v>
      </c>
      <c r="J110" s="26">
        <f t="shared" si="9"/>
        <v>46269</v>
      </c>
      <c r="K110" s="26" t="s">
        <v>118</v>
      </c>
      <c r="L110" s="25" t="s">
        <v>120</v>
      </c>
      <c r="M110" s="25" t="s">
        <v>121</v>
      </c>
      <c r="N110" s="26">
        <v>46209</v>
      </c>
      <c r="O110" s="26">
        <v>46213</v>
      </c>
      <c r="P110" s="25" t="s">
        <v>122</v>
      </c>
      <c r="Q110" s="25" t="s">
        <v>121</v>
      </c>
      <c r="R110" s="26">
        <v>46230</v>
      </c>
      <c r="S110" s="26">
        <v>46262</v>
      </c>
      <c r="T110" s="25" t="s">
        <v>123</v>
      </c>
      <c r="U110" s="25" t="s">
        <v>121</v>
      </c>
      <c r="V110" s="26">
        <v>46230</v>
      </c>
      <c r="W110" s="26">
        <v>46262</v>
      </c>
      <c r="X110" s="25" t="s">
        <v>124</v>
      </c>
      <c r="Y110" s="25" t="s">
        <v>121</v>
      </c>
      <c r="Z110" s="26">
        <v>46253</v>
      </c>
      <c r="AA110" s="26">
        <v>46269</v>
      </c>
      <c r="AB110" s="27">
        <f t="shared" si="10"/>
        <v>1</v>
      </c>
      <c r="AC110" s="25" t="str">
        <f>IF(G110="已完成","正常",IF(OR(G110="暂停",G110="挂起"),"暂停",IF(J110="","日期缺失",IF(J110&lt;_数据接口!$B$7,"已延期",IF(J110&lt;=_数据接口!$B$7+7,"临近到期","正常")))))</f>
        <v>正常</v>
      </c>
      <c r="AD110" s="25" t="s">
        <v>125</v>
      </c>
      <c r="AE110" s="25" t="s">
        <v>125</v>
      </c>
    </row>
    <row r="111" ht="17" customHeight="1" spans="1:31">
      <c r="A111" s="25" t="s">
        <v>371</v>
      </c>
      <c r="B111" s="25" t="s">
        <v>363</v>
      </c>
      <c r="C111" s="25" t="s">
        <v>372</v>
      </c>
      <c r="D111" s="25" t="s">
        <v>118</v>
      </c>
      <c r="E111" s="25" t="s">
        <v>118</v>
      </c>
      <c r="F111" s="25" t="s">
        <v>119</v>
      </c>
      <c r="G111" s="25" t="str">
        <f t="shared" si="12"/>
        <v>已完成</v>
      </c>
      <c r="H111" s="25" t="str">
        <f t="shared" si="7"/>
        <v>郑士旺</v>
      </c>
      <c r="I111" s="26">
        <f t="shared" si="8"/>
        <v>46209</v>
      </c>
      <c r="J111" s="26">
        <f t="shared" si="9"/>
        <v>46269</v>
      </c>
      <c r="K111" s="26" t="s">
        <v>118</v>
      </c>
      <c r="L111" s="25" t="s">
        <v>120</v>
      </c>
      <c r="M111" s="25" t="s">
        <v>121</v>
      </c>
      <c r="N111" s="26">
        <v>46209</v>
      </c>
      <c r="O111" s="26">
        <v>46213</v>
      </c>
      <c r="P111" s="25" t="s">
        <v>122</v>
      </c>
      <c r="Q111" s="25" t="s">
        <v>121</v>
      </c>
      <c r="R111" s="26">
        <v>46230</v>
      </c>
      <c r="S111" s="26">
        <v>46262</v>
      </c>
      <c r="T111" s="25" t="s">
        <v>123</v>
      </c>
      <c r="U111" s="25" t="s">
        <v>121</v>
      </c>
      <c r="V111" s="26">
        <v>46230</v>
      </c>
      <c r="W111" s="26">
        <v>46262</v>
      </c>
      <c r="X111" s="25" t="s">
        <v>124</v>
      </c>
      <c r="Y111" s="25" t="s">
        <v>121</v>
      </c>
      <c r="Z111" s="26">
        <v>46253</v>
      </c>
      <c r="AA111" s="26">
        <v>46269</v>
      </c>
      <c r="AB111" s="27">
        <f t="shared" si="10"/>
        <v>1</v>
      </c>
      <c r="AC111" s="25" t="str">
        <f>IF(G111="已完成","正常",IF(OR(G111="暂停",G111="挂起"),"暂停",IF(J111="","日期缺失",IF(J111&lt;_数据接口!$B$7,"已延期",IF(J111&lt;=_数据接口!$B$7+7,"临近到期","正常")))))</f>
        <v>正常</v>
      </c>
      <c r="AD111" s="25" t="s">
        <v>125</v>
      </c>
      <c r="AE111" s="25" t="s">
        <v>125</v>
      </c>
    </row>
    <row r="112" ht="17" customHeight="1" spans="1:31">
      <c r="A112" s="25" t="s">
        <v>373</v>
      </c>
      <c r="B112" s="25" t="s">
        <v>363</v>
      </c>
      <c r="C112" s="25" t="s">
        <v>374</v>
      </c>
      <c r="D112" s="25" t="s">
        <v>118</v>
      </c>
      <c r="E112" s="25" t="s">
        <v>118</v>
      </c>
      <c r="F112" s="25" t="s">
        <v>119</v>
      </c>
      <c r="G112" s="25" t="str">
        <f t="shared" si="12"/>
        <v>已完成</v>
      </c>
      <c r="H112" s="25" t="str">
        <f t="shared" si="7"/>
        <v>郑士旺</v>
      </c>
      <c r="I112" s="26">
        <f t="shared" si="8"/>
        <v>46209</v>
      </c>
      <c r="J112" s="26">
        <f t="shared" si="9"/>
        <v>46269</v>
      </c>
      <c r="K112" s="26" t="s">
        <v>118</v>
      </c>
      <c r="L112" s="25" t="s">
        <v>120</v>
      </c>
      <c r="M112" s="25" t="s">
        <v>121</v>
      </c>
      <c r="N112" s="26">
        <v>46209</v>
      </c>
      <c r="O112" s="26">
        <v>46213</v>
      </c>
      <c r="P112" s="25" t="s">
        <v>122</v>
      </c>
      <c r="Q112" s="25" t="s">
        <v>121</v>
      </c>
      <c r="R112" s="26">
        <v>46230</v>
      </c>
      <c r="S112" s="26">
        <v>46262</v>
      </c>
      <c r="T112" s="25" t="s">
        <v>123</v>
      </c>
      <c r="U112" s="25" t="s">
        <v>121</v>
      </c>
      <c r="V112" s="26">
        <v>46230</v>
      </c>
      <c r="W112" s="26">
        <v>46262</v>
      </c>
      <c r="X112" s="25" t="s">
        <v>124</v>
      </c>
      <c r="Y112" s="25" t="s">
        <v>121</v>
      </c>
      <c r="Z112" s="26">
        <v>46253</v>
      </c>
      <c r="AA112" s="26">
        <v>46269</v>
      </c>
      <c r="AB112" s="27">
        <f t="shared" si="10"/>
        <v>1</v>
      </c>
      <c r="AC112" s="25" t="str">
        <f>IF(G112="已完成","正常",IF(OR(G112="暂停",G112="挂起"),"暂停",IF(J112="","日期缺失",IF(J112&lt;_数据接口!$B$7,"已延期",IF(J112&lt;=_数据接口!$B$7+7,"临近到期","正常")))))</f>
        <v>正常</v>
      </c>
      <c r="AD112" s="25" t="s">
        <v>125</v>
      </c>
      <c r="AE112" s="25" t="s">
        <v>125</v>
      </c>
    </row>
    <row r="113" ht="17" customHeight="1" spans="1:31">
      <c r="A113" s="25" t="s">
        <v>375</v>
      </c>
      <c r="B113" s="25" t="s">
        <v>363</v>
      </c>
      <c r="C113" s="25" t="s">
        <v>376</v>
      </c>
      <c r="D113" s="25" t="s">
        <v>118</v>
      </c>
      <c r="E113" s="25" t="s">
        <v>118</v>
      </c>
      <c r="F113" s="25" t="s">
        <v>135</v>
      </c>
      <c r="G113" s="25" t="str">
        <f t="shared" si="12"/>
        <v>已完成</v>
      </c>
      <c r="H113" s="25" t="str">
        <f t="shared" si="7"/>
        <v>郑士旺</v>
      </c>
      <c r="I113" s="26">
        <f t="shared" si="8"/>
        <v>46209</v>
      </c>
      <c r="J113" s="26">
        <f t="shared" si="9"/>
        <v>46269</v>
      </c>
      <c r="K113" s="26" t="s">
        <v>118</v>
      </c>
      <c r="L113" s="25" t="s">
        <v>120</v>
      </c>
      <c r="M113" s="25" t="s">
        <v>121</v>
      </c>
      <c r="N113" s="26">
        <v>46209</v>
      </c>
      <c r="O113" s="26">
        <v>46213</v>
      </c>
      <c r="P113" s="25" t="s">
        <v>122</v>
      </c>
      <c r="Q113" s="25" t="s">
        <v>121</v>
      </c>
      <c r="R113" s="26">
        <v>46230</v>
      </c>
      <c r="S113" s="26">
        <v>46262</v>
      </c>
      <c r="T113" s="25" t="s">
        <v>123</v>
      </c>
      <c r="U113" s="25" t="s">
        <v>121</v>
      </c>
      <c r="V113" s="26">
        <v>46230</v>
      </c>
      <c r="W113" s="26">
        <v>46262</v>
      </c>
      <c r="X113" s="25" t="s">
        <v>124</v>
      </c>
      <c r="Y113" s="25" t="s">
        <v>121</v>
      </c>
      <c r="Z113" s="26">
        <v>46253</v>
      </c>
      <c r="AA113" s="26">
        <v>46269</v>
      </c>
      <c r="AB113" s="27">
        <f t="shared" si="10"/>
        <v>1</v>
      </c>
      <c r="AC113" s="25" t="str">
        <f>IF(G113="已完成","正常",IF(OR(G113="暂停",G113="挂起"),"暂停",IF(J113="","日期缺失",IF(J113&lt;_数据接口!$B$7,"已延期",IF(J113&lt;=_数据接口!$B$7+7,"临近到期","正常")))))</f>
        <v>正常</v>
      </c>
      <c r="AD113" s="25" t="s">
        <v>125</v>
      </c>
      <c r="AE113" s="25" t="s">
        <v>125</v>
      </c>
    </row>
    <row r="114" ht="17" customHeight="1" spans="1:31">
      <c r="A114" s="25" t="s">
        <v>377</v>
      </c>
      <c r="B114" s="25" t="s">
        <v>363</v>
      </c>
      <c r="C114" s="25" t="s">
        <v>378</v>
      </c>
      <c r="D114" s="25" t="s">
        <v>118</v>
      </c>
      <c r="E114" s="25" t="s">
        <v>118</v>
      </c>
      <c r="F114" s="25" t="s">
        <v>118</v>
      </c>
      <c r="G114" s="25" t="str">
        <f t="shared" ref="G114:G119" si="13">IF(OR(M114="挂起",M114="暂停",Q114="挂起",Q114="暂停",U114="挂起",U114="暂停",Y114="挂起",Y114="暂停"),"暂停","暂停")</f>
        <v>暂停</v>
      </c>
      <c r="H114" s="25" t="str">
        <f t="shared" si="7"/>
        <v>/</v>
      </c>
      <c r="I114" s="26" t="str">
        <f t="shared" si="8"/>
        <v/>
      </c>
      <c r="J114" s="26" t="str">
        <f t="shared" si="9"/>
        <v/>
      </c>
      <c r="K114" s="26"/>
      <c r="L114" s="25" t="s">
        <v>118</v>
      </c>
      <c r="M114" s="25" t="s">
        <v>118</v>
      </c>
      <c r="N114" s="26" t="s">
        <v>118</v>
      </c>
      <c r="O114" s="26" t="s">
        <v>118</v>
      </c>
      <c r="P114" s="25" t="s">
        <v>118</v>
      </c>
      <c r="Q114" s="25" t="s">
        <v>118</v>
      </c>
      <c r="R114" s="26" t="s">
        <v>118</v>
      </c>
      <c r="S114" s="26" t="s">
        <v>118</v>
      </c>
      <c r="T114" s="25" t="s">
        <v>118</v>
      </c>
      <c r="U114" s="25" t="s">
        <v>118</v>
      </c>
      <c r="V114" s="26" t="s">
        <v>118</v>
      </c>
      <c r="W114" s="26" t="s">
        <v>118</v>
      </c>
      <c r="X114" s="25" t="s">
        <v>118</v>
      </c>
      <c r="Y114" s="25" t="s">
        <v>118</v>
      </c>
      <c r="Z114" s="26" t="s">
        <v>118</v>
      </c>
      <c r="AA114" s="26" t="s">
        <v>118</v>
      </c>
      <c r="AB114" s="27">
        <f t="shared" si="10"/>
        <v>0</v>
      </c>
      <c r="AC114" s="25" t="str">
        <f>IF(G114="已完成","正常",IF(OR(G114="暂停",G114="挂起"),"暂停",IF(J114="","日期缺失",IF(J114&lt;_数据接口!$B$7,"已延期",IF(J114&lt;=_数据接口!$B$7+7,"临近到期","正常")))))</f>
        <v>暂停</v>
      </c>
      <c r="AD114" s="25" t="s">
        <v>125</v>
      </c>
      <c r="AE114" s="25" t="s">
        <v>125</v>
      </c>
    </row>
    <row r="115" ht="17" customHeight="1" spans="1:31">
      <c r="A115" s="25" t="s">
        <v>379</v>
      </c>
      <c r="B115" s="25" t="s">
        <v>363</v>
      </c>
      <c r="C115" s="25" t="s">
        <v>380</v>
      </c>
      <c r="D115" s="25" t="s">
        <v>118</v>
      </c>
      <c r="E115" s="25" t="s">
        <v>118</v>
      </c>
      <c r="F115" s="25" t="s">
        <v>118</v>
      </c>
      <c r="G115" s="25" t="str">
        <f t="shared" si="13"/>
        <v>暂停</v>
      </c>
      <c r="H115" s="25" t="str">
        <f t="shared" si="7"/>
        <v>/</v>
      </c>
      <c r="I115" s="26" t="str">
        <f t="shared" si="8"/>
        <v/>
      </c>
      <c r="J115" s="26" t="str">
        <f t="shared" si="9"/>
        <v/>
      </c>
      <c r="K115" s="26"/>
      <c r="L115" s="25" t="s">
        <v>118</v>
      </c>
      <c r="M115" s="25" t="s">
        <v>118</v>
      </c>
      <c r="N115" s="26" t="s">
        <v>118</v>
      </c>
      <c r="O115" s="26" t="s">
        <v>118</v>
      </c>
      <c r="P115" s="25" t="s">
        <v>118</v>
      </c>
      <c r="Q115" s="25" t="s">
        <v>118</v>
      </c>
      <c r="R115" s="26" t="s">
        <v>118</v>
      </c>
      <c r="S115" s="26" t="s">
        <v>118</v>
      </c>
      <c r="T115" s="25" t="s">
        <v>118</v>
      </c>
      <c r="U115" s="25" t="s">
        <v>118</v>
      </c>
      <c r="V115" s="26" t="s">
        <v>118</v>
      </c>
      <c r="W115" s="26" t="s">
        <v>118</v>
      </c>
      <c r="X115" s="25" t="s">
        <v>118</v>
      </c>
      <c r="Y115" s="25" t="s">
        <v>118</v>
      </c>
      <c r="Z115" s="26" t="s">
        <v>118</v>
      </c>
      <c r="AA115" s="26" t="s">
        <v>118</v>
      </c>
      <c r="AB115" s="27">
        <f t="shared" si="10"/>
        <v>0</v>
      </c>
      <c r="AC115" s="25" t="str">
        <f>IF(G115="已完成","正常",IF(OR(G115="暂停",G115="挂起"),"暂停",IF(J115="","日期缺失",IF(J115&lt;_数据接口!$B$7,"已延期",IF(J115&lt;=_数据接口!$B$7+7,"临近到期","正常")))))</f>
        <v>暂停</v>
      </c>
      <c r="AD115" s="25" t="s">
        <v>125</v>
      </c>
      <c r="AE115" s="25" t="s">
        <v>125</v>
      </c>
    </row>
    <row r="116" ht="17" customHeight="1" spans="1:31">
      <c r="A116" s="25" t="s">
        <v>381</v>
      </c>
      <c r="B116" s="25" t="s">
        <v>363</v>
      </c>
      <c r="C116" s="25" t="s">
        <v>382</v>
      </c>
      <c r="D116" s="25" t="s">
        <v>118</v>
      </c>
      <c r="E116" s="25" t="s">
        <v>118</v>
      </c>
      <c r="F116" s="25" t="s">
        <v>118</v>
      </c>
      <c r="G116" s="25" t="str">
        <f t="shared" si="13"/>
        <v>暂停</v>
      </c>
      <c r="H116" s="25" t="str">
        <f t="shared" si="7"/>
        <v>/</v>
      </c>
      <c r="I116" s="26" t="str">
        <f t="shared" si="8"/>
        <v/>
      </c>
      <c r="J116" s="26" t="str">
        <f t="shared" si="9"/>
        <v/>
      </c>
      <c r="K116" s="26"/>
      <c r="L116" s="25" t="s">
        <v>118</v>
      </c>
      <c r="M116" s="25" t="s">
        <v>118</v>
      </c>
      <c r="N116" s="26" t="s">
        <v>118</v>
      </c>
      <c r="O116" s="26" t="s">
        <v>118</v>
      </c>
      <c r="P116" s="25" t="s">
        <v>118</v>
      </c>
      <c r="Q116" s="25" t="s">
        <v>118</v>
      </c>
      <c r="R116" s="26" t="s">
        <v>118</v>
      </c>
      <c r="S116" s="26" t="s">
        <v>118</v>
      </c>
      <c r="T116" s="25" t="s">
        <v>118</v>
      </c>
      <c r="U116" s="25" t="s">
        <v>118</v>
      </c>
      <c r="V116" s="26" t="s">
        <v>118</v>
      </c>
      <c r="W116" s="26" t="s">
        <v>118</v>
      </c>
      <c r="X116" s="25" t="s">
        <v>118</v>
      </c>
      <c r="Y116" s="25" t="s">
        <v>118</v>
      </c>
      <c r="Z116" s="26" t="s">
        <v>118</v>
      </c>
      <c r="AA116" s="26" t="s">
        <v>118</v>
      </c>
      <c r="AB116" s="27">
        <f t="shared" si="10"/>
        <v>0</v>
      </c>
      <c r="AC116" s="25" t="str">
        <f>IF(G116="已完成","正常",IF(OR(G116="暂停",G116="挂起"),"暂停",IF(J116="","日期缺失",IF(J116&lt;_数据接口!$B$7,"已延期",IF(J116&lt;=_数据接口!$B$7+7,"临近到期","正常")))))</f>
        <v>暂停</v>
      </c>
      <c r="AD116" s="25" t="s">
        <v>125</v>
      </c>
      <c r="AE116" s="25" t="s">
        <v>125</v>
      </c>
    </row>
    <row r="117" ht="17" customHeight="1" spans="1:31">
      <c r="A117" s="25" t="s">
        <v>383</v>
      </c>
      <c r="B117" s="25" t="s">
        <v>363</v>
      </c>
      <c r="C117" s="25" t="s">
        <v>384</v>
      </c>
      <c r="D117" s="25" t="s">
        <v>118</v>
      </c>
      <c r="E117" s="25" t="s">
        <v>118</v>
      </c>
      <c r="F117" s="25" t="s">
        <v>118</v>
      </c>
      <c r="G117" s="25" t="str">
        <f t="shared" si="13"/>
        <v>暂停</v>
      </c>
      <c r="H117" s="25" t="str">
        <f t="shared" si="7"/>
        <v>/</v>
      </c>
      <c r="I117" s="26" t="str">
        <f t="shared" si="8"/>
        <v/>
      </c>
      <c r="J117" s="26" t="str">
        <f t="shared" si="9"/>
        <v/>
      </c>
      <c r="K117" s="26"/>
      <c r="L117" s="25" t="s">
        <v>118</v>
      </c>
      <c r="M117" s="25" t="s">
        <v>118</v>
      </c>
      <c r="N117" s="26" t="s">
        <v>118</v>
      </c>
      <c r="O117" s="26" t="s">
        <v>118</v>
      </c>
      <c r="P117" s="25" t="s">
        <v>118</v>
      </c>
      <c r="Q117" s="25" t="s">
        <v>118</v>
      </c>
      <c r="R117" s="26" t="s">
        <v>118</v>
      </c>
      <c r="S117" s="26" t="s">
        <v>118</v>
      </c>
      <c r="T117" s="25" t="s">
        <v>118</v>
      </c>
      <c r="U117" s="25" t="s">
        <v>118</v>
      </c>
      <c r="V117" s="26" t="s">
        <v>118</v>
      </c>
      <c r="W117" s="26" t="s">
        <v>118</v>
      </c>
      <c r="X117" s="25" t="s">
        <v>118</v>
      </c>
      <c r="Y117" s="25" t="s">
        <v>118</v>
      </c>
      <c r="Z117" s="26" t="s">
        <v>118</v>
      </c>
      <c r="AA117" s="26" t="s">
        <v>118</v>
      </c>
      <c r="AB117" s="27">
        <f t="shared" si="10"/>
        <v>0</v>
      </c>
      <c r="AC117" s="25" t="str">
        <f>IF(G117="已完成","正常",IF(OR(G117="暂停",G117="挂起"),"暂停",IF(J117="","日期缺失",IF(J117&lt;_数据接口!$B$7,"已延期",IF(J117&lt;=_数据接口!$B$7+7,"临近到期","正常")))))</f>
        <v>暂停</v>
      </c>
      <c r="AD117" s="25" t="s">
        <v>125</v>
      </c>
      <c r="AE117" s="25" t="s">
        <v>125</v>
      </c>
    </row>
    <row r="118" ht="17" customHeight="1" spans="1:31">
      <c r="A118" s="25" t="s">
        <v>385</v>
      </c>
      <c r="B118" s="25" t="s">
        <v>363</v>
      </c>
      <c r="C118" s="25" t="s">
        <v>386</v>
      </c>
      <c r="D118" s="25" t="s">
        <v>118</v>
      </c>
      <c r="E118" s="25" t="s">
        <v>118</v>
      </c>
      <c r="F118" s="25" t="s">
        <v>118</v>
      </c>
      <c r="G118" s="25" t="str">
        <f t="shared" si="13"/>
        <v>暂停</v>
      </c>
      <c r="H118" s="25" t="str">
        <f t="shared" si="7"/>
        <v>/</v>
      </c>
      <c r="I118" s="26" t="str">
        <f t="shared" si="8"/>
        <v/>
      </c>
      <c r="J118" s="26" t="str">
        <f t="shared" si="9"/>
        <v/>
      </c>
      <c r="K118" s="26"/>
      <c r="L118" s="25" t="s">
        <v>118</v>
      </c>
      <c r="M118" s="25" t="s">
        <v>118</v>
      </c>
      <c r="N118" s="26" t="s">
        <v>118</v>
      </c>
      <c r="O118" s="26" t="s">
        <v>118</v>
      </c>
      <c r="P118" s="25" t="s">
        <v>118</v>
      </c>
      <c r="Q118" s="25" t="s">
        <v>118</v>
      </c>
      <c r="R118" s="26" t="s">
        <v>118</v>
      </c>
      <c r="S118" s="26" t="s">
        <v>118</v>
      </c>
      <c r="T118" s="25" t="s">
        <v>118</v>
      </c>
      <c r="U118" s="25" t="s">
        <v>118</v>
      </c>
      <c r="V118" s="26" t="s">
        <v>118</v>
      </c>
      <c r="W118" s="26" t="s">
        <v>118</v>
      </c>
      <c r="X118" s="25" t="s">
        <v>118</v>
      </c>
      <c r="Y118" s="25" t="s">
        <v>118</v>
      </c>
      <c r="Z118" s="26" t="s">
        <v>118</v>
      </c>
      <c r="AA118" s="26" t="s">
        <v>118</v>
      </c>
      <c r="AB118" s="27">
        <f t="shared" si="10"/>
        <v>0</v>
      </c>
      <c r="AC118" s="25" t="str">
        <f>IF(G118="已完成","正常",IF(OR(G118="暂停",G118="挂起"),"暂停",IF(J118="","日期缺失",IF(J118&lt;_数据接口!$B$7,"已延期",IF(J118&lt;=_数据接口!$B$7+7,"临近到期","正常")))))</f>
        <v>暂停</v>
      </c>
      <c r="AD118" s="25" t="s">
        <v>125</v>
      </c>
      <c r="AE118" s="25" t="s">
        <v>125</v>
      </c>
    </row>
    <row r="119" ht="17" customHeight="1" spans="1:31">
      <c r="A119" s="25" t="s">
        <v>387</v>
      </c>
      <c r="B119" s="25" t="s">
        <v>363</v>
      </c>
      <c r="C119" s="25" t="s">
        <v>388</v>
      </c>
      <c r="D119" s="25" t="s">
        <v>118</v>
      </c>
      <c r="E119" s="25" t="s">
        <v>118</v>
      </c>
      <c r="F119" s="25" t="s">
        <v>118</v>
      </c>
      <c r="G119" s="25" t="str">
        <f t="shared" si="13"/>
        <v>暂停</v>
      </c>
      <c r="H119" s="25" t="str">
        <f t="shared" si="7"/>
        <v>/</v>
      </c>
      <c r="I119" s="26" t="str">
        <f t="shared" si="8"/>
        <v/>
      </c>
      <c r="J119" s="26" t="str">
        <f t="shared" si="9"/>
        <v/>
      </c>
      <c r="K119" s="26"/>
      <c r="L119" s="25" t="s">
        <v>118</v>
      </c>
      <c r="M119" s="25" t="s">
        <v>118</v>
      </c>
      <c r="N119" s="26" t="s">
        <v>118</v>
      </c>
      <c r="O119" s="26" t="s">
        <v>118</v>
      </c>
      <c r="P119" s="25" t="s">
        <v>118</v>
      </c>
      <c r="Q119" s="25" t="s">
        <v>118</v>
      </c>
      <c r="R119" s="26" t="s">
        <v>118</v>
      </c>
      <c r="S119" s="26" t="s">
        <v>118</v>
      </c>
      <c r="T119" s="25" t="s">
        <v>118</v>
      </c>
      <c r="U119" s="25" t="s">
        <v>118</v>
      </c>
      <c r="V119" s="26" t="s">
        <v>118</v>
      </c>
      <c r="W119" s="26" t="s">
        <v>118</v>
      </c>
      <c r="X119" s="25" t="s">
        <v>118</v>
      </c>
      <c r="Y119" s="25" t="s">
        <v>118</v>
      </c>
      <c r="Z119" s="26" t="s">
        <v>118</v>
      </c>
      <c r="AA119" s="26" t="s">
        <v>118</v>
      </c>
      <c r="AB119" s="27">
        <f t="shared" si="10"/>
        <v>0</v>
      </c>
      <c r="AC119" s="25" t="str">
        <f>IF(G119="已完成","正常",IF(OR(G119="暂停",G119="挂起"),"暂停",IF(J119="","日期缺失",IF(J119&lt;_数据接口!$B$7,"已延期",IF(J119&lt;=_数据接口!$B$7+7,"临近到期","正常")))))</f>
        <v>暂停</v>
      </c>
      <c r="AD119" s="25" t="s">
        <v>125</v>
      </c>
      <c r="AE119" s="25" t="s">
        <v>125</v>
      </c>
    </row>
    <row r="120" ht="17" customHeight="1" spans="1:31">
      <c r="A120" s="25" t="s">
        <v>389</v>
      </c>
      <c r="B120" s="25" t="s">
        <v>390</v>
      </c>
      <c r="C120" s="25" t="s">
        <v>391</v>
      </c>
      <c r="D120" s="25" t="s">
        <v>118</v>
      </c>
      <c r="E120" s="25" t="s">
        <v>118</v>
      </c>
      <c r="F120" s="25" t="s">
        <v>119</v>
      </c>
      <c r="G120" s="25" t="str">
        <f t="shared" ref="G120:G128" si="14">IF(OR(M120="挂起",M120="暂停",Q120="挂起",Q120="暂停",U120="挂起",U120="暂停",Y120="挂起",Y120="暂停"),"暂停","已完成")</f>
        <v>已完成</v>
      </c>
      <c r="H120" s="25" t="str">
        <f t="shared" si="7"/>
        <v>郑士旺</v>
      </c>
      <c r="I120" s="26">
        <f t="shared" si="8"/>
        <v>46230</v>
      </c>
      <c r="J120" s="26">
        <f t="shared" si="9"/>
        <v>46269</v>
      </c>
      <c r="K120" s="26" t="s">
        <v>118</v>
      </c>
      <c r="L120" s="25" t="s">
        <v>120</v>
      </c>
      <c r="M120" s="25" t="s">
        <v>121</v>
      </c>
      <c r="N120" s="26" t="s">
        <v>118</v>
      </c>
      <c r="O120" s="26" t="s">
        <v>118</v>
      </c>
      <c r="P120" s="25" t="s">
        <v>122</v>
      </c>
      <c r="Q120" s="25" t="s">
        <v>121</v>
      </c>
      <c r="R120" s="26">
        <v>46230</v>
      </c>
      <c r="S120" s="26">
        <v>46262</v>
      </c>
      <c r="T120" s="25" t="s">
        <v>123</v>
      </c>
      <c r="U120" s="25" t="s">
        <v>121</v>
      </c>
      <c r="V120" s="26">
        <v>46230</v>
      </c>
      <c r="W120" s="26">
        <v>46262</v>
      </c>
      <c r="X120" s="25" t="s">
        <v>124</v>
      </c>
      <c r="Y120" s="25" t="s">
        <v>121</v>
      </c>
      <c r="Z120" s="26">
        <v>46253</v>
      </c>
      <c r="AA120" s="26">
        <v>46269</v>
      </c>
      <c r="AB120" s="27">
        <f t="shared" si="10"/>
        <v>1</v>
      </c>
      <c r="AC120" s="25" t="str">
        <f>IF(G120="已完成","正常",IF(OR(G120="暂停",G120="挂起"),"暂停",IF(J120="","日期缺失",IF(J120&lt;_数据接口!$B$7,"已延期",IF(J120&lt;=_数据接口!$B$7+7,"临近到期","正常")))))</f>
        <v>正常</v>
      </c>
      <c r="AD120" s="25" t="s">
        <v>125</v>
      </c>
      <c r="AE120" s="25" t="s">
        <v>125</v>
      </c>
    </row>
    <row r="121" ht="17" customHeight="1" spans="1:31">
      <c r="A121" s="25" t="s">
        <v>392</v>
      </c>
      <c r="B121" s="25" t="s">
        <v>390</v>
      </c>
      <c r="C121" s="25" t="s">
        <v>393</v>
      </c>
      <c r="D121" s="25" t="s">
        <v>118</v>
      </c>
      <c r="E121" s="25" t="s">
        <v>118</v>
      </c>
      <c r="F121" s="25" t="s">
        <v>119</v>
      </c>
      <c r="G121" s="25" t="str">
        <f t="shared" si="14"/>
        <v>已完成</v>
      </c>
      <c r="H121" s="25" t="str">
        <f t="shared" si="7"/>
        <v>郑士旺</v>
      </c>
      <c r="I121" s="26">
        <f t="shared" si="8"/>
        <v>46230</v>
      </c>
      <c r="J121" s="26">
        <f t="shared" si="9"/>
        <v>46269</v>
      </c>
      <c r="K121" s="26" t="s">
        <v>118</v>
      </c>
      <c r="L121" s="25" t="s">
        <v>120</v>
      </c>
      <c r="M121" s="25" t="s">
        <v>121</v>
      </c>
      <c r="N121" s="26" t="s">
        <v>118</v>
      </c>
      <c r="O121" s="26" t="s">
        <v>118</v>
      </c>
      <c r="P121" s="25" t="s">
        <v>122</v>
      </c>
      <c r="Q121" s="25" t="s">
        <v>121</v>
      </c>
      <c r="R121" s="26">
        <v>46230</v>
      </c>
      <c r="S121" s="26">
        <v>46262</v>
      </c>
      <c r="T121" s="25" t="s">
        <v>123</v>
      </c>
      <c r="U121" s="25" t="s">
        <v>121</v>
      </c>
      <c r="V121" s="26">
        <v>46230</v>
      </c>
      <c r="W121" s="26">
        <v>46262</v>
      </c>
      <c r="X121" s="25" t="s">
        <v>124</v>
      </c>
      <c r="Y121" s="25" t="s">
        <v>121</v>
      </c>
      <c r="Z121" s="26">
        <v>46253</v>
      </c>
      <c r="AA121" s="26">
        <v>46269</v>
      </c>
      <c r="AB121" s="27">
        <f t="shared" si="10"/>
        <v>1</v>
      </c>
      <c r="AC121" s="25" t="str">
        <f>IF(G121="已完成","正常",IF(OR(G121="暂停",G121="挂起"),"暂停",IF(J121="","日期缺失",IF(J121&lt;_数据接口!$B$7,"已延期",IF(J121&lt;=_数据接口!$B$7+7,"临近到期","正常")))))</f>
        <v>正常</v>
      </c>
      <c r="AD121" s="25" t="s">
        <v>125</v>
      </c>
      <c r="AE121" s="25" t="s">
        <v>125</v>
      </c>
    </row>
    <row r="122" ht="17" customHeight="1" spans="1:31">
      <c r="A122" s="25" t="s">
        <v>394</v>
      </c>
      <c r="B122" s="25" t="s">
        <v>390</v>
      </c>
      <c r="C122" s="25" t="s">
        <v>395</v>
      </c>
      <c r="D122" s="25" t="s">
        <v>118</v>
      </c>
      <c r="E122" s="25" t="s">
        <v>118</v>
      </c>
      <c r="F122" s="25" t="s">
        <v>119</v>
      </c>
      <c r="G122" s="25" t="str">
        <f t="shared" si="14"/>
        <v>已完成</v>
      </c>
      <c r="H122" s="25" t="str">
        <f t="shared" si="7"/>
        <v>郑士旺</v>
      </c>
      <c r="I122" s="26">
        <f t="shared" si="8"/>
        <v>46230</v>
      </c>
      <c r="J122" s="26">
        <f t="shared" si="9"/>
        <v>46269</v>
      </c>
      <c r="K122" s="26" t="s">
        <v>118</v>
      </c>
      <c r="L122" s="25" t="s">
        <v>120</v>
      </c>
      <c r="M122" s="25" t="s">
        <v>121</v>
      </c>
      <c r="N122" s="26" t="s">
        <v>118</v>
      </c>
      <c r="O122" s="26" t="s">
        <v>118</v>
      </c>
      <c r="P122" s="25" t="s">
        <v>122</v>
      </c>
      <c r="Q122" s="25" t="s">
        <v>121</v>
      </c>
      <c r="R122" s="26">
        <v>46230</v>
      </c>
      <c r="S122" s="26">
        <v>46262</v>
      </c>
      <c r="T122" s="25" t="s">
        <v>123</v>
      </c>
      <c r="U122" s="25" t="s">
        <v>121</v>
      </c>
      <c r="V122" s="26">
        <v>46230</v>
      </c>
      <c r="W122" s="26">
        <v>46262</v>
      </c>
      <c r="X122" s="25" t="s">
        <v>124</v>
      </c>
      <c r="Y122" s="25" t="s">
        <v>121</v>
      </c>
      <c r="Z122" s="26">
        <v>46253</v>
      </c>
      <c r="AA122" s="26">
        <v>46269</v>
      </c>
      <c r="AB122" s="27">
        <f t="shared" si="10"/>
        <v>1</v>
      </c>
      <c r="AC122" s="25" t="str">
        <f>IF(G122="已完成","正常",IF(OR(G122="暂停",G122="挂起"),"暂停",IF(J122="","日期缺失",IF(J122&lt;_数据接口!$B$7,"已延期",IF(J122&lt;=_数据接口!$B$7+7,"临近到期","正常")))))</f>
        <v>正常</v>
      </c>
      <c r="AD122" s="25" t="s">
        <v>125</v>
      </c>
      <c r="AE122" s="25" t="s">
        <v>125</v>
      </c>
    </row>
    <row r="123" ht="17" customHeight="1" spans="1:31">
      <c r="A123" s="25" t="s">
        <v>396</v>
      </c>
      <c r="B123" s="25" t="s">
        <v>390</v>
      </c>
      <c r="C123" s="25" t="s">
        <v>397</v>
      </c>
      <c r="D123" s="25" t="s">
        <v>118</v>
      </c>
      <c r="E123" s="25" t="s">
        <v>118</v>
      </c>
      <c r="F123" s="25" t="s">
        <v>119</v>
      </c>
      <c r="G123" s="25" t="str">
        <f t="shared" si="14"/>
        <v>已完成</v>
      </c>
      <c r="H123" s="25" t="str">
        <f t="shared" si="7"/>
        <v>郑士旺</v>
      </c>
      <c r="I123" s="26">
        <f t="shared" si="8"/>
        <v>46230</v>
      </c>
      <c r="J123" s="26">
        <f t="shared" si="9"/>
        <v>46269</v>
      </c>
      <c r="K123" s="26" t="s">
        <v>118</v>
      </c>
      <c r="L123" s="25" t="s">
        <v>120</v>
      </c>
      <c r="M123" s="25" t="s">
        <v>121</v>
      </c>
      <c r="N123" s="26" t="s">
        <v>118</v>
      </c>
      <c r="O123" s="26" t="s">
        <v>118</v>
      </c>
      <c r="P123" s="25" t="s">
        <v>122</v>
      </c>
      <c r="Q123" s="25" t="s">
        <v>121</v>
      </c>
      <c r="R123" s="26">
        <v>46230</v>
      </c>
      <c r="S123" s="26">
        <v>46262</v>
      </c>
      <c r="T123" s="25" t="s">
        <v>123</v>
      </c>
      <c r="U123" s="25" t="s">
        <v>121</v>
      </c>
      <c r="V123" s="26">
        <v>46230</v>
      </c>
      <c r="W123" s="26">
        <v>46262</v>
      </c>
      <c r="X123" s="25" t="s">
        <v>124</v>
      </c>
      <c r="Y123" s="25" t="s">
        <v>121</v>
      </c>
      <c r="Z123" s="26">
        <v>46253</v>
      </c>
      <c r="AA123" s="26">
        <v>46269</v>
      </c>
      <c r="AB123" s="27">
        <f t="shared" si="10"/>
        <v>1</v>
      </c>
      <c r="AC123" s="25" t="str">
        <f>IF(G123="已完成","正常",IF(OR(G123="暂停",G123="挂起"),"暂停",IF(J123="","日期缺失",IF(J123&lt;_数据接口!$B$7,"已延期",IF(J123&lt;=_数据接口!$B$7+7,"临近到期","正常")))))</f>
        <v>正常</v>
      </c>
      <c r="AD123" s="25" t="s">
        <v>125</v>
      </c>
      <c r="AE123" s="25" t="s">
        <v>125</v>
      </c>
    </row>
    <row r="124" ht="17" customHeight="1" spans="1:31">
      <c r="A124" s="25" t="s">
        <v>398</v>
      </c>
      <c r="B124" s="25" t="s">
        <v>399</v>
      </c>
      <c r="C124" s="25" t="s">
        <v>400</v>
      </c>
      <c r="D124" s="25" t="s">
        <v>401</v>
      </c>
      <c r="E124" s="25" t="s">
        <v>118</v>
      </c>
      <c r="F124" s="25" t="s">
        <v>135</v>
      </c>
      <c r="G124" s="25" t="str">
        <f t="shared" si="14"/>
        <v>已完成</v>
      </c>
      <c r="H124" s="25" t="str">
        <f t="shared" si="7"/>
        <v>郑士旺</v>
      </c>
      <c r="I124" s="26">
        <f t="shared" si="8"/>
        <v>46216</v>
      </c>
      <c r="J124" s="26">
        <f t="shared" si="9"/>
        <v>46261</v>
      </c>
      <c r="K124" s="26">
        <v>46261</v>
      </c>
      <c r="L124" s="25" t="s">
        <v>120</v>
      </c>
      <c r="M124" s="25" t="s">
        <v>121</v>
      </c>
      <c r="N124" s="26">
        <v>46216</v>
      </c>
      <c r="O124" s="26">
        <v>46220</v>
      </c>
      <c r="P124" s="25" t="s">
        <v>122</v>
      </c>
      <c r="Q124" s="25" t="s">
        <v>121</v>
      </c>
      <c r="R124" s="26">
        <v>46265</v>
      </c>
      <c r="S124" s="26">
        <v>46269</v>
      </c>
      <c r="T124" s="25" t="s">
        <v>123</v>
      </c>
      <c r="U124" s="25" t="s">
        <v>121</v>
      </c>
      <c r="V124" s="26">
        <v>46265</v>
      </c>
      <c r="W124" s="26">
        <v>46269</v>
      </c>
      <c r="X124" s="25" t="s">
        <v>124</v>
      </c>
      <c r="Y124" s="25" t="s">
        <v>121</v>
      </c>
      <c r="Z124" s="26">
        <v>46272</v>
      </c>
      <c r="AA124" s="26">
        <v>46276</v>
      </c>
      <c r="AB124" s="27">
        <f t="shared" si="10"/>
        <v>1</v>
      </c>
      <c r="AC124" s="25" t="str">
        <f>IF(G124="已完成","正常",IF(OR(G124="暂停",G124="挂起"),"暂停",IF(J124="","日期缺失",IF(J124&lt;_数据接口!$B$7,"已延期",IF(J124&lt;=_数据接口!$B$7+7,"临近到期","正常")))))</f>
        <v>正常</v>
      </c>
      <c r="AD124" s="25" t="s">
        <v>125</v>
      </c>
      <c r="AE124" s="25" t="s">
        <v>125</v>
      </c>
    </row>
    <row r="125" ht="17" customHeight="1" spans="1:31">
      <c r="A125" s="25" t="s">
        <v>402</v>
      </c>
      <c r="B125" s="25" t="s">
        <v>399</v>
      </c>
      <c r="C125" s="25" t="s">
        <v>400</v>
      </c>
      <c r="D125" s="25" t="s">
        <v>403</v>
      </c>
      <c r="E125" s="25" t="s">
        <v>118</v>
      </c>
      <c r="F125" s="25" t="s">
        <v>135</v>
      </c>
      <c r="G125" s="25" t="str">
        <f t="shared" si="14"/>
        <v>已完成</v>
      </c>
      <c r="H125" s="25" t="str">
        <f t="shared" si="7"/>
        <v>郑士旺</v>
      </c>
      <c r="I125" s="26">
        <f t="shared" si="8"/>
        <v>46216</v>
      </c>
      <c r="J125" s="26">
        <f t="shared" si="9"/>
        <v>46261</v>
      </c>
      <c r="K125" s="26">
        <v>46261</v>
      </c>
      <c r="L125" s="25" t="s">
        <v>120</v>
      </c>
      <c r="M125" s="25" t="s">
        <v>121</v>
      </c>
      <c r="N125" s="26">
        <v>46216</v>
      </c>
      <c r="O125" s="26">
        <v>46220</v>
      </c>
      <c r="P125" s="25" t="s">
        <v>122</v>
      </c>
      <c r="Q125" s="25" t="s">
        <v>121</v>
      </c>
      <c r="R125" s="26">
        <v>46265</v>
      </c>
      <c r="S125" s="26">
        <v>46269</v>
      </c>
      <c r="T125" s="25" t="s">
        <v>123</v>
      </c>
      <c r="U125" s="25" t="s">
        <v>121</v>
      </c>
      <c r="V125" s="26">
        <v>46265</v>
      </c>
      <c r="W125" s="26">
        <v>46269</v>
      </c>
      <c r="X125" s="25" t="s">
        <v>124</v>
      </c>
      <c r="Y125" s="25" t="s">
        <v>121</v>
      </c>
      <c r="Z125" s="26">
        <v>46272</v>
      </c>
      <c r="AA125" s="26">
        <v>46276</v>
      </c>
      <c r="AB125" s="27">
        <f t="shared" si="10"/>
        <v>1</v>
      </c>
      <c r="AC125" s="25" t="str">
        <f>IF(G125="已完成","正常",IF(OR(G125="暂停",G125="挂起"),"暂停",IF(J125="","日期缺失",IF(J125&lt;_数据接口!$B$7,"已延期",IF(J125&lt;=_数据接口!$B$7+7,"临近到期","正常")))))</f>
        <v>正常</v>
      </c>
      <c r="AD125" s="25" t="s">
        <v>125</v>
      </c>
      <c r="AE125" s="25" t="s">
        <v>125</v>
      </c>
    </row>
    <row r="126" ht="17" customHeight="1" spans="1:31">
      <c r="A126" s="25" t="s">
        <v>404</v>
      </c>
      <c r="B126" s="25" t="s">
        <v>399</v>
      </c>
      <c r="C126" s="25" t="s">
        <v>400</v>
      </c>
      <c r="D126" s="25" t="s">
        <v>405</v>
      </c>
      <c r="E126" s="25" t="s">
        <v>118</v>
      </c>
      <c r="F126" s="25" t="s">
        <v>135</v>
      </c>
      <c r="G126" s="25" t="str">
        <f t="shared" si="14"/>
        <v>已完成</v>
      </c>
      <c r="H126" s="25" t="str">
        <f t="shared" si="7"/>
        <v>郑士旺</v>
      </c>
      <c r="I126" s="26">
        <f t="shared" si="8"/>
        <v>46216</v>
      </c>
      <c r="J126" s="26">
        <f t="shared" si="9"/>
        <v>46261</v>
      </c>
      <c r="K126" s="26">
        <v>46261</v>
      </c>
      <c r="L126" s="25" t="s">
        <v>120</v>
      </c>
      <c r="M126" s="25" t="s">
        <v>121</v>
      </c>
      <c r="N126" s="26">
        <v>46216</v>
      </c>
      <c r="O126" s="26">
        <v>46220</v>
      </c>
      <c r="P126" s="25" t="s">
        <v>122</v>
      </c>
      <c r="Q126" s="25" t="s">
        <v>121</v>
      </c>
      <c r="R126" s="26">
        <v>46265</v>
      </c>
      <c r="S126" s="26">
        <v>46269</v>
      </c>
      <c r="T126" s="25" t="s">
        <v>123</v>
      </c>
      <c r="U126" s="25" t="s">
        <v>121</v>
      </c>
      <c r="V126" s="26">
        <v>46265</v>
      </c>
      <c r="W126" s="26">
        <v>46269</v>
      </c>
      <c r="X126" s="25" t="s">
        <v>124</v>
      </c>
      <c r="Y126" s="25" t="s">
        <v>121</v>
      </c>
      <c r="Z126" s="26">
        <v>46272</v>
      </c>
      <c r="AA126" s="26">
        <v>46276</v>
      </c>
      <c r="AB126" s="27">
        <f t="shared" si="10"/>
        <v>1</v>
      </c>
      <c r="AC126" s="25" t="str">
        <f>IF(G126="已完成","正常",IF(OR(G126="暂停",G126="挂起"),"暂停",IF(J126="","日期缺失",IF(J126&lt;_数据接口!$B$7,"已延期",IF(J126&lt;=_数据接口!$B$7+7,"临近到期","正常")))))</f>
        <v>正常</v>
      </c>
      <c r="AD126" s="25" t="s">
        <v>125</v>
      </c>
      <c r="AE126" s="25" t="s">
        <v>125</v>
      </c>
    </row>
    <row r="127" ht="17" customHeight="1" spans="1:31">
      <c r="A127" s="25" t="s">
        <v>406</v>
      </c>
      <c r="B127" s="25" t="s">
        <v>399</v>
      </c>
      <c r="C127" s="25" t="s">
        <v>400</v>
      </c>
      <c r="D127" s="25" t="s">
        <v>407</v>
      </c>
      <c r="E127" s="25" t="s">
        <v>118</v>
      </c>
      <c r="F127" s="25" t="s">
        <v>135</v>
      </c>
      <c r="G127" s="25" t="str">
        <f t="shared" si="14"/>
        <v>已完成</v>
      </c>
      <c r="H127" s="25" t="str">
        <f t="shared" si="7"/>
        <v>郑士旺</v>
      </c>
      <c r="I127" s="26">
        <f t="shared" si="8"/>
        <v>46216</v>
      </c>
      <c r="J127" s="26">
        <f t="shared" si="9"/>
        <v>46261</v>
      </c>
      <c r="K127" s="26">
        <v>46261</v>
      </c>
      <c r="L127" s="25" t="s">
        <v>120</v>
      </c>
      <c r="M127" s="25" t="s">
        <v>121</v>
      </c>
      <c r="N127" s="26">
        <v>46216</v>
      </c>
      <c r="O127" s="26">
        <v>46220</v>
      </c>
      <c r="P127" s="25" t="s">
        <v>122</v>
      </c>
      <c r="Q127" s="25" t="s">
        <v>121</v>
      </c>
      <c r="R127" s="26">
        <v>46265</v>
      </c>
      <c r="S127" s="26">
        <v>46269</v>
      </c>
      <c r="T127" s="25" t="s">
        <v>123</v>
      </c>
      <c r="U127" s="25" t="s">
        <v>121</v>
      </c>
      <c r="V127" s="26">
        <v>46265</v>
      </c>
      <c r="W127" s="26">
        <v>46269</v>
      </c>
      <c r="X127" s="25" t="s">
        <v>124</v>
      </c>
      <c r="Y127" s="25" t="s">
        <v>121</v>
      </c>
      <c r="Z127" s="26">
        <v>46272</v>
      </c>
      <c r="AA127" s="26">
        <v>46276</v>
      </c>
      <c r="AB127" s="27">
        <f t="shared" si="10"/>
        <v>1</v>
      </c>
      <c r="AC127" s="25" t="str">
        <f>IF(G127="已完成","正常",IF(OR(G127="暂停",G127="挂起"),"暂停",IF(J127="","日期缺失",IF(J127&lt;_数据接口!$B$7,"已延期",IF(J127&lt;=_数据接口!$B$7+7,"临近到期","正常")))))</f>
        <v>正常</v>
      </c>
      <c r="AD127" s="25" t="s">
        <v>125</v>
      </c>
      <c r="AE127" s="25" t="s">
        <v>125</v>
      </c>
    </row>
    <row r="128" ht="17" customHeight="1" spans="1:31">
      <c r="A128" s="25" t="s">
        <v>408</v>
      </c>
      <c r="B128" s="25" t="s">
        <v>399</v>
      </c>
      <c r="C128" s="25" t="s">
        <v>400</v>
      </c>
      <c r="D128" s="25" t="s">
        <v>409</v>
      </c>
      <c r="E128" s="25" t="s">
        <v>118</v>
      </c>
      <c r="F128" s="25" t="s">
        <v>135</v>
      </c>
      <c r="G128" s="25" t="str">
        <f t="shared" si="14"/>
        <v>已完成</v>
      </c>
      <c r="H128" s="25" t="str">
        <f t="shared" si="7"/>
        <v>郑士旺</v>
      </c>
      <c r="I128" s="26">
        <f t="shared" si="8"/>
        <v>46216</v>
      </c>
      <c r="J128" s="26">
        <f t="shared" si="9"/>
        <v>46261</v>
      </c>
      <c r="K128" s="26">
        <v>46261</v>
      </c>
      <c r="L128" s="25" t="s">
        <v>120</v>
      </c>
      <c r="M128" s="25" t="s">
        <v>121</v>
      </c>
      <c r="N128" s="26">
        <v>46216</v>
      </c>
      <c r="O128" s="26">
        <v>46220</v>
      </c>
      <c r="P128" s="25" t="s">
        <v>122</v>
      </c>
      <c r="Q128" s="25" t="s">
        <v>121</v>
      </c>
      <c r="R128" s="26">
        <v>46265</v>
      </c>
      <c r="S128" s="26">
        <v>46269</v>
      </c>
      <c r="T128" s="25" t="s">
        <v>123</v>
      </c>
      <c r="U128" s="25" t="s">
        <v>121</v>
      </c>
      <c r="V128" s="26">
        <v>46265</v>
      </c>
      <c r="W128" s="26">
        <v>46269</v>
      </c>
      <c r="X128" s="25" t="s">
        <v>124</v>
      </c>
      <c r="Y128" s="25" t="s">
        <v>121</v>
      </c>
      <c r="Z128" s="26">
        <v>46272</v>
      </c>
      <c r="AA128" s="26">
        <v>46276</v>
      </c>
      <c r="AB128" s="27">
        <f t="shared" si="10"/>
        <v>1</v>
      </c>
      <c r="AC128" s="25" t="str">
        <f>IF(G128="已完成","正常",IF(OR(G128="暂停",G128="挂起"),"暂停",IF(J128="","日期缺失",IF(J128&lt;_数据接口!$B$7,"已延期",IF(J128&lt;=_数据接口!$B$7+7,"临近到期","正常")))))</f>
        <v>正常</v>
      </c>
      <c r="AD128" s="25" t="s">
        <v>125</v>
      </c>
      <c r="AE128" s="25" t="s">
        <v>125</v>
      </c>
    </row>
    <row r="129" ht="17" customHeight="1" spans="1:31">
      <c r="A129" s="25" t="s">
        <v>410</v>
      </c>
      <c r="B129" s="25" t="s">
        <v>399</v>
      </c>
      <c r="C129" s="25" t="s">
        <v>400</v>
      </c>
      <c r="D129" s="25" t="s">
        <v>411</v>
      </c>
      <c r="E129" s="25" t="s">
        <v>118</v>
      </c>
      <c r="F129" s="25" t="s">
        <v>135</v>
      </c>
      <c r="G129" s="25" t="str">
        <f t="shared" ref="G129:G140" si="15">IF(OR(M129="挂起",M129="暂停",Q129="挂起",Q129="暂停",U129="挂起",U129="暂停",Y129="挂起",Y129="暂停"),"暂停","未开始")</f>
        <v>未开始</v>
      </c>
      <c r="H129" s="25" t="str">
        <f t="shared" si="7"/>
        <v>郑士旺</v>
      </c>
      <c r="I129" s="26">
        <f t="shared" si="8"/>
        <v>46230</v>
      </c>
      <c r="J129" s="26">
        <f t="shared" si="9"/>
        <v>46353</v>
      </c>
      <c r="K129" s="26"/>
      <c r="L129" s="25" t="s">
        <v>120</v>
      </c>
      <c r="M129" s="25" t="s">
        <v>23</v>
      </c>
      <c r="N129" s="26">
        <v>46230</v>
      </c>
      <c r="O129" s="26">
        <v>46241</v>
      </c>
      <c r="P129" s="25" t="s">
        <v>122</v>
      </c>
      <c r="Q129" s="25" t="s">
        <v>23</v>
      </c>
      <c r="R129" s="26">
        <v>46307</v>
      </c>
      <c r="S129" s="26">
        <v>46339</v>
      </c>
      <c r="T129" s="25" t="s">
        <v>123</v>
      </c>
      <c r="U129" s="25" t="s">
        <v>23</v>
      </c>
      <c r="V129" s="26">
        <v>46307</v>
      </c>
      <c r="W129" s="26">
        <v>46339</v>
      </c>
      <c r="X129" s="25" t="s">
        <v>124</v>
      </c>
      <c r="Y129" s="25" t="s">
        <v>23</v>
      </c>
      <c r="Z129" s="26">
        <v>46342</v>
      </c>
      <c r="AA129" s="26">
        <v>46353</v>
      </c>
      <c r="AB129" s="27">
        <f t="shared" si="10"/>
        <v>0</v>
      </c>
      <c r="AC129" s="25" t="str">
        <f>IF(G129="已完成","正常",IF(OR(G129="暂停",G129="挂起"),"暂停",IF(J129="","日期缺失",IF(J129&lt;_数据接口!$B$7,"已延期",IF(J129&lt;=_数据接口!$B$7+7,"临近到期","正常")))))</f>
        <v>正常</v>
      </c>
      <c r="AD129" s="25" t="s">
        <v>125</v>
      </c>
      <c r="AE129" s="25" t="s">
        <v>125</v>
      </c>
    </row>
    <row r="130" ht="17" customHeight="1" spans="1:31">
      <c r="A130" s="25" t="s">
        <v>412</v>
      </c>
      <c r="B130" s="25" t="s">
        <v>399</v>
      </c>
      <c r="C130" s="25" t="s">
        <v>400</v>
      </c>
      <c r="D130" s="25" t="s">
        <v>413</v>
      </c>
      <c r="E130" s="25" t="s">
        <v>118</v>
      </c>
      <c r="F130" s="25" t="s">
        <v>135</v>
      </c>
      <c r="G130" s="25" t="str">
        <f t="shared" si="15"/>
        <v>未开始</v>
      </c>
      <c r="H130" s="25" t="str">
        <f t="shared" si="7"/>
        <v>郑士旺</v>
      </c>
      <c r="I130" s="26">
        <f t="shared" si="8"/>
        <v>46230</v>
      </c>
      <c r="J130" s="26">
        <f t="shared" si="9"/>
        <v>46261</v>
      </c>
      <c r="K130" s="26">
        <v>46261</v>
      </c>
      <c r="L130" s="25" t="s">
        <v>120</v>
      </c>
      <c r="M130" s="25" t="s">
        <v>23</v>
      </c>
      <c r="N130" s="26">
        <v>46230</v>
      </c>
      <c r="O130" s="26">
        <v>46241</v>
      </c>
      <c r="P130" s="25" t="s">
        <v>122</v>
      </c>
      <c r="Q130" s="25" t="s">
        <v>23</v>
      </c>
      <c r="R130" s="26">
        <v>46307</v>
      </c>
      <c r="S130" s="26">
        <v>46339</v>
      </c>
      <c r="T130" s="25" t="s">
        <v>123</v>
      </c>
      <c r="U130" s="25" t="s">
        <v>23</v>
      </c>
      <c r="V130" s="26">
        <v>46307</v>
      </c>
      <c r="W130" s="26">
        <v>46339</v>
      </c>
      <c r="X130" s="25" t="s">
        <v>124</v>
      </c>
      <c r="Y130" s="25" t="s">
        <v>23</v>
      </c>
      <c r="Z130" s="26">
        <v>46342</v>
      </c>
      <c r="AA130" s="26">
        <v>46353</v>
      </c>
      <c r="AB130" s="27">
        <f t="shared" si="10"/>
        <v>0</v>
      </c>
      <c r="AC130" s="25" t="str">
        <f>IF(G130="已完成","正常",IF(OR(G130="暂停",G130="挂起"),"暂停",IF(J130="","日期缺失",IF(J130&lt;_数据接口!$B$7,"已延期",IF(J130&lt;=_数据接口!$B$7+7,"临近到期","正常")))))</f>
        <v>已延期</v>
      </c>
      <c r="AD130" s="25" t="s">
        <v>125</v>
      </c>
      <c r="AE130" s="25" t="s">
        <v>125</v>
      </c>
    </row>
    <row r="131" ht="17" customHeight="1" spans="1:31">
      <c r="A131" s="25" t="s">
        <v>414</v>
      </c>
      <c r="B131" s="25" t="s">
        <v>399</v>
      </c>
      <c r="C131" s="25" t="s">
        <v>400</v>
      </c>
      <c r="D131" s="25" t="s">
        <v>415</v>
      </c>
      <c r="E131" s="25" t="s">
        <v>118</v>
      </c>
      <c r="F131" s="25" t="s">
        <v>135</v>
      </c>
      <c r="G131" s="25" t="str">
        <f t="shared" si="15"/>
        <v>未开始</v>
      </c>
      <c r="H131" s="25" t="str">
        <f t="shared" si="7"/>
        <v>郑士旺</v>
      </c>
      <c r="I131" s="26">
        <f t="shared" si="8"/>
        <v>46230</v>
      </c>
      <c r="J131" s="26">
        <f t="shared" si="9"/>
        <v>46261</v>
      </c>
      <c r="K131" s="26">
        <v>46261</v>
      </c>
      <c r="L131" s="25" t="s">
        <v>120</v>
      </c>
      <c r="M131" s="25" t="s">
        <v>23</v>
      </c>
      <c r="N131" s="26">
        <v>46230</v>
      </c>
      <c r="O131" s="26">
        <v>46241</v>
      </c>
      <c r="P131" s="25" t="s">
        <v>200</v>
      </c>
      <c r="Q131" s="25" t="s">
        <v>23</v>
      </c>
      <c r="R131" s="26">
        <v>46307</v>
      </c>
      <c r="S131" s="26">
        <v>46339</v>
      </c>
      <c r="T131" s="25" t="s">
        <v>200</v>
      </c>
      <c r="U131" s="25" t="s">
        <v>23</v>
      </c>
      <c r="V131" s="26">
        <v>46307</v>
      </c>
      <c r="W131" s="26">
        <v>46339</v>
      </c>
      <c r="X131" s="25" t="s">
        <v>124</v>
      </c>
      <c r="Y131" s="25" t="s">
        <v>23</v>
      </c>
      <c r="Z131" s="26">
        <v>46342</v>
      </c>
      <c r="AA131" s="26">
        <v>46353</v>
      </c>
      <c r="AB131" s="27">
        <f t="shared" si="10"/>
        <v>0</v>
      </c>
      <c r="AC131" s="25" t="str">
        <f>IF(G131="已完成","正常",IF(OR(G131="暂停",G131="挂起"),"暂停",IF(J131="","日期缺失",IF(J131&lt;_数据接口!$B$7,"已延期",IF(J131&lt;=_数据接口!$B$7+7,"临近到期","正常")))))</f>
        <v>已延期</v>
      </c>
      <c r="AD131" s="25" t="s">
        <v>125</v>
      </c>
      <c r="AE131" s="25" t="s">
        <v>125</v>
      </c>
    </row>
    <row r="132" ht="17" customHeight="1" spans="1:31">
      <c r="A132" s="25" t="s">
        <v>416</v>
      </c>
      <c r="B132" s="25" t="s">
        <v>399</v>
      </c>
      <c r="C132" s="25" t="s">
        <v>400</v>
      </c>
      <c r="D132" s="25" t="s">
        <v>417</v>
      </c>
      <c r="E132" s="25" t="s">
        <v>118</v>
      </c>
      <c r="F132" s="25" t="s">
        <v>135</v>
      </c>
      <c r="G132" s="25" t="str">
        <f t="shared" si="15"/>
        <v>未开始</v>
      </c>
      <c r="H132" s="25" t="str">
        <f t="shared" ref="H132:H148" si="16">IF(L132&lt;&gt;"",L132,IF(P132&lt;&gt;"",P132,IF(T132&lt;&gt;"",T132,X132)))</f>
        <v>郑士旺</v>
      </c>
      <c r="I132" s="26">
        <f t="shared" ref="I132:I148" si="17">IF(COUNT(N132,R132,V132,Z132)=0,"",MIN(N132,R132,V132,Z132))</f>
        <v>46230</v>
      </c>
      <c r="J132" s="26">
        <f t="shared" ref="J132:J148" si="18">IF(ISNUMBER(K132),K132,IF(COUNT(O132,S132,W132,AA132)=0,"",MAX(O132,S132,W132,AA132)))</f>
        <v>46353</v>
      </c>
      <c r="K132" s="26"/>
      <c r="L132" s="25" t="s">
        <v>120</v>
      </c>
      <c r="M132" s="25" t="s">
        <v>23</v>
      </c>
      <c r="N132" s="26">
        <v>46230</v>
      </c>
      <c r="O132" s="26">
        <v>46241</v>
      </c>
      <c r="P132" s="25" t="s">
        <v>200</v>
      </c>
      <c r="Q132" s="25" t="s">
        <v>23</v>
      </c>
      <c r="R132" s="26">
        <v>46307</v>
      </c>
      <c r="S132" s="26">
        <v>46339</v>
      </c>
      <c r="T132" s="25" t="s">
        <v>200</v>
      </c>
      <c r="U132" s="25" t="s">
        <v>23</v>
      </c>
      <c r="V132" s="26">
        <v>46307</v>
      </c>
      <c r="W132" s="26">
        <v>46339</v>
      </c>
      <c r="X132" s="25" t="s">
        <v>124</v>
      </c>
      <c r="Y132" s="25" t="s">
        <v>23</v>
      </c>
      <c r="Z132" s="26">
        <v>46342</v>
      </c>
      <c r="AA132" s="26">
        <v>46353</v>
      </c>
      <c r="AB132" s="27">
        <f t="shared" ref="AB132:AB148" si="19">(IF(M132="已完成",1,IF(M132="进行中",0.5,0))*15%+IF(Q132="已完成",1,IF(Q132="进行中",0.5,0))*35%+IF(U132="已完成",1,IF(U132="进行中",0.5,0))*30%+IF(Y132="已完成",1,IF(Y132="进行中",0.5,0))*20%)</f>
        <v>0</v>
      </c>
      <c r="AC132" s="25" t="str">
        <f>IF(G132="已完成","正常",IF(OR(G132="暂停",G132="挂起"),"暂停",IF(J132="","日期缺失",IF(J132&lt;_数据接口!$B$7,"已延期",IF(J132&lt;=_数据接口!$B$7+7,"临近到期","正常")))))</f>
        <v>正常</v>
      </c>
      <c r="AD132" s="25" t="s">
        <v>125</v>
      </c>
      <c r="AE132" s="25" t="s">
        <v>125</v>
      </c>
    </row>
    <row r="133" ht="17" customHeight="1" spans="1:31">
      <c r="A133" s="25" t="s">
        <v>418</v>
      </c>
      <c r="B133" s="25" t="s">
        <v>399</v>
      </c>
      <c r="C133" s="25" t="s">
        <v>400</v>
      </c>
      <c r="D133" s="25" t="s">
        <v>419</v>
      </c>
      <c r="E133" s="25" t="s">
        <v>118</v>
      </c>
      <c r="F133" s="25" t="s">
        <v>135</v>
      </c>
      <c r="G133" s="25" t="str">
        <f t="shared" si="15"/>
        <v>未开始</v>
      </c>
      <c r="H133" s="25" t="str">
        <f t="shared" si="16"/>
        <v>郑士旺</v>
      </c>
      <c r="I133" s="26">
        <f t="shared" si="17"/>
        <v>46230</v>
      </c>
      <c r="J133" s="26">
        <f t="shared" si="18"/>
        <v>46353</v>
      </c>
      <c r="K133" s="26"/>
      <c r="L133" s="25" t="s">
        <v>120</v>
      </c>
      <c r="M133" s="25" t="s">
        <v>23</v>
      </c>
      <c r="N133" s="26">
        <v>46230</v>
      </c>
      <c r="O133" s="26">
        <v>46241</v>
      </c>
      <c r="P133" s="25" t="s">
        <v>122</v>
      </c>
      <c r="Q133" s="25" t="s">
        <v>23</v>
      </c>
      <c r="R133" s="26">
        <v>46307</v>
      </c>
      <c r="S133" s="26">
        <v>46339</v>
      </c>
      <c r="T133" s="25" t="s">
        <v>123</v>
      </c>
      <c r="U133" s="25" t="s">
        <v>23</v>
      </c>
      <c r="V133" s="26">
        <v>46307</v>
      </c>
      <c r="W133" s="26">
        <v>46339</v>
      </c>
      <c r="X133" s="25" t="s">
        <v>124</v>
      </c>
      <c r="Y133" s="25" t="s">
        <v>23</v>
      </c>
      <c r="Z133" s="26">
        <v>46342</v>
      </c>
      <c r="AA133" s="26">
        <v>46353</v>
      </c>
      <c r="AB133" s="27">
        <f t="shared" si="19"/>
        <v>0</v>
      </c>
      <c r="AC133" s="25" t="str">
        <f>IF(G133="已完成","正常",IF(OR(G133="暂停",G133="挂起"),"暂停",IF(J133="","日期缺失",IF(J133&lt;_数据接口!$B$7,"已延期",IF(J133&lt;=_数据接口!$B$7+7,"临近到期","正常")))))</f>
        <v>正常</v>
      </c>
      <c r="AD133" s="25" t="s">
        <v>125</v>
      </c>
      <c r="AE133" s="25" t="s">
        <v>125</v>
      </c>
    </row>
    <row r="134" ht="17" customHeight="1" spans="1:31">
      <c r="A134" s="25" t="s">
        <v>420</v>
      </c>
      <c r="B134" s="25" t="s">
        <v>399</v>
      </c>
      <c r="C134" s="25" t="s">
        <v>400</v>
      </c>
      <c r="D134" s="25" t="s">
        <v>421</v>
      </c>
      <c r="E134" s="25" t="s">
        <v>118</v>
      </c>
      <c r="F134" s="25" t="s">
        <v>135</v>
      </c>
      <c r="G134" s="25" t="str">
        <f t="shared" si="15"/>
        <v>未开始</v>
      </c>
      <c r="H134" s="25" t="str">
        <f t="shared" si="16"/>
        <v>郑士旺</v>
      </c>
      <c r="I134" s="26">
        <f t="shared" si="17"/>
        <v>46230</v>
      </c>
      <c r="J134" s="26">
        <f t="shared" si="18"/>
        <v>46353</v>
      </c>
      <c r="K134" s="26"/>
      <c r="L134" s="25" t="s">
        <v>120</v>
      </c>
      <c r="M134" s="25" t="s">
        <v>23</v>
      </c>
      <c r="N134" s="26">
        <v>46230</v>
      </c>
      <c r="O134" s="26">
        <v>46241</v>
      </c>
      <c r="P134" s="25" t="s">
        <v>122</v>
      </c>
      <c r="Q134" s="25" t="s">
        <v>23</v>
      </c>
      <c r="R134" s="26">
        <v>46307</v>
      </c>
      <c r="S134" s="26">
        <v>46339</v>
      </c>
      <c r="T134" s="25" t="s">
        <v>123</v>
      </c>
      <c r="U134" s="25" t="s">
        <v>23</v>
      </c>
      <c r="V134" s="26">
        <v>46307</v>
      </c>
      <c r="W134" s="26">
        <v>46339</v>
      </c>
      <c r="X134" s="25" t="s">
        <v>124</v>
      </c>
      <c r="Y134" s="25" t="s">
        <v>23</v>
      </c>
      <c r="Z134" s="26">
        <v>46342</v>
      </c>
      <c r="AA134" s="26">
        <v>46353</v>
      </c>
      <c r="AB134" s="27">
        <f t="shared" si="19"/>
        <v>0</v>
      </c>
      <c r="AC134" s="25" t="str">
        <f>IF(G134="已完成","正常",IF(OR(G134="暂停",G134="挂起"),"暂停",IF(J134="","日期缺失",IF(J134&lt;_数据接口!$B$7,"已延期",IF(J134&lt;=_数据接口!$B$7+7,"临近到期","正常")))))</f>
        <v>正常</v>
      </c>
      <c r="AD134" s="25" t="s">
        <v>125</v>
      </c>
      <c r="AE134" s="25" t="s">
        <v>125</v>
      </c>
    </row>
    <row r="135" ht="17" customHeight="1" spans="1:31">
      <c r="A135" s="25" t="s">
        <v>422</v>
      </c>
      <c r="B135" s="25" t="s">
        <v>399</v>
      </c>
      <c r="C135" s="25" t="s">
        <v>400</v>
      </c>
      <c r="D135" s="25" t="s">
        <v>207</v>
      </c>
      <c r="E135" s="25" t="s">
        <v>118</v>
      </c>
      <c r="F135" s="25" t="s">
        <v>135</v>
      </c>
      <c r="G135" s="25" t="str">
        <f t="shared" si="15"/>
        <v>未开始</v>
      </c>
      <c r="H135" s="25" t="str">
        <f t="shared" si="16"/>
        <v>郑士旺</v>
      </c>
      <c r="I135" s="26">
        <f t="shared" si="17"/>
        <v>46230</v>
      </c>
      <c r="J135" s="26">
        <f t="shared" si="18"/>
        <v>46353</v>
      </c>
      <c r="K135" s="26"/>
      <c r="L135" s="25" t="s">
        <v>120</v>
      </c>
      <c r="M135" s="25" t="s">
        <v>23</v>
      </c>
      <c r="N135" s="26">
        <v>46230</v>
      </c>
      <c r="O135" s="26">
        <v>46241</v>
      </c>
      <c r="P135" s="25" t="s">
        <v>122</v>
      </c>
      <c r="Q135" s="25" t="s">
        <v>23</v>
      </c>
      <c r="R135" s="26">
        <v>46307</v>
      </c>
      <c r="S135" s="26">
        <v>46339</v>
      </c>
      <c r="T135" s="25" t="s">
        <v>123</v>
      </c>
      <c r="U135" s="25" t="s">
        <v>23</v>
      </c>
      <c r="V135" s="26">
        <v>46307</v>
      </c>
      <c r="W135" s="26">
        <v>46339</v>
      </c>
      <c r="X135" s="25" t="s">
        <v>124</v>
      </c>
      <c r="Y135" s="25" t="s">
        <v>23</v>
      </c>
      <c r="Z135" s="26">
        <v>46342</v>
      </c>
      <c r="AA135" s="26">
        <v>46353</v>
      </c>
      <c r="AB135" s="27">
        <f t="shared" si="19"/>
        <v>0</v>
      </c>
      <c r="AC135" s="25" t="str">
        <f>IF(G135="已完成","正常",IF(OR(G135="暂停",G135="挂起"),"暂停",IF(J135="","日期缺失",IF(J135&lt;_数据接口!$B$7,"已延期",IF(J135&lt;=_数据接口!$B$7+7,"临近到期","正常")))))</f>
        <v>正常</v>
      </c>
      <c r="AD135" s="25" t="s">
        <v>125</v>
      </c>
      <c r="AE135" s="25" t="s">
        <v>125</v>
      </c>
    </row>
    <row r="136" ht="17" customHeight="1" spans="1:31">
      <c r="A136" s="25" t="s">
        <v>423</v>
      </c>
      <c r="B136" s="25" t="s">
        <v>399</v>
      </c>
      <c r="C136" s="25" t="s">
        <v>400</v>
      </c>
      <c r="D136" s="25" t="s">
        <v>211</v>
      </c>
      <c r="E136" s="25" t="s">
        <v>118</v>
      </c>
      <c r="F136" s="25" t="s">
        <v>135</v>
      </c>
      <c r="G136" s="25" t="str">
        <f t="shared" si="15"/>
        <v>未开始</v>
      </c>
      <c r="H136" s="25" t="str">
        <f t="shared" si="16"/>
        <v>郑士旺</v>
      </c>
      <c r="I136" s="26">
        <f t="shared" si="17"/>
        <v>46230</v>
      </c>
      <c r="J136" s="26">
        <f t="shared" si="18"/>
        <v>46353</v>
      </c>
      <c r="K136" s="26"/>
      <c r="L136" s="25" t="s">
        <v>120</v>
      </c>
      <c r="M136" s="25" t="s">
        <v>23</v>
      </c>
      <c r="N136" s="26">
        <v>46230</v>
      </c>
      <c r="O136" s="26">
        <v>46241</v>
      </c>
      <c r="P136" s="25" t="s">
        <v>122</v>
      </c>
      <c r="Q136" s="25" t="s">
        <v>23</v>
      </c>
      <c r="R136" s="26">
        <v>46307</v>
      </c>
      <c r="S136" s="26">
        <v>46339</v>
      </c>
      <c r="T136" s="25" t="s">
        <v>123</v>
      </c>
      <c r="U136" s="25" t="s">
        <v>23</v>
      </c>
      <c r="V136" s="26">
        <v>46307</v>
      </c>
      <c r="W136" s="26">
        <v>46339</v>
      </c>
      <c r="X136" s="25" t="s">
        <v>124</v>
      </c>
      <c r="Y136" s="25" t="s">
        <v>23</v>
      </c>
      <c r="Z136" s="26">
        <v>46342</v>
      </c>
      <c r="AA136" s="26">
        <v>46353</v>
      </c>
      <c r="AB136" s="27">
        <f t="shared" si="19"/>
        <v>0</v>
      </c>
      <c r="AC136" s="25" t="str">
        <f>IF(G136="已完成","正常",IF(OR(G136="暂停",G136="挂起"),"暂停",IF(J136="","日期缺失",IF(J136&lt;_数据接口!$B$7,"已延期",IF(J136&lt;=_数据接口!$B$7+7,"临近到期","正常")))))</f>
        <v>正常</v>
      </c>
      <c r="AD136" s="25" t="s">
        <v>125</v>
      </c>
      <c r="AE136" s="25" t="s">
        <v>125</v>
      </c>
    </row>
    <row r="137" ht="17" customHeight="1" spans="1:31">
      <c r="A137" s="25" t="s">
        <v>424</v>
      </c>
      <c r="B137" s="25" t="s">
        <v>399</v>
      </c>
      <c r="C137" s="25" t="s">
        <v>400</v>
      </c>
      <c r="D137" s="25" t="s">
        <v>425</v>
      </c>
      <c r="E137" s="25" t="s">
        <v>118</v>
      </c>
      <c r="F137" s="25" t="s">
        <v>135</v>
      </c>
      <c r="G137" s="25" t="str">
        <f t="shared" si="15"/>
        <v>未开始</v>
      </c>
      <c r="H137" s="25" t="str">
        <f t="shared" si="16"/>
        <v>郑士旺</v>
      </c>
      <c r="I137" s="26">
        <f t="shared" si="17"/>
        <v>46230</v>
      </c>
      <c r="J137" s="26">
        <f t="shared" si="18"/>
        <v>46353</v>
      </c>
      <c r="K137" s="26"/>
      <c r="L137" s="25" t="s">
        <v>120</v>
      </c>
      <c r="M137" s="25" t="s">
        <v>23</v>
      </c>
      <c r="N137" s="26">
        <v>46230</v>
      </c>
      <c r="O137" s="26">
        <v>46241</v>
      </c>
      <c r="P137" s="25" t="s">
        <v>122</v>
      </c>
      <c r="Q137" s="25" t="s">
        <v>23</v>
      </c>
      <c r="R137" s="26">
        <v>46307</v>
      </c>
      <c r="S137" s="26">
        <v>46339</v>
      </c>
      <c r="T137" s="25" t="s">
        <v>123</v>
      </c>
      <c r="U137" s="25" t="s">
        <v>23</v>
      </c>
      <c r="V137" s="26">
        <v>46307</v>
      </c>
      <c r="W137" s="26">
        <v>46339</v>
      </c>
      <c r="X137" s="25" t="s">
        <v>124</v>
      </c>
      <c r="Y137" s="25" t="s">
        <v>23</v>
      </c>
      <c r="Z137" s="26">
        <v>46342</v>
      </c>
      <c r="AA137" s="26">
        <v>46353</v>
      </c>
      <c r="AB137" s="27">
        <f t="shared" si="19"/>
        <v>0</v>
      </c>
      <c r="AC137" s="25" t="str">
        <f>IF(G137="已完成","正常",IF(OR(G137="暂停",G137="挂起"),"暂停",IF(J137="","日期缺失",IF(J137&lt;_数据接口!$B$7,"已延期",IF(J137&lt;=_数据接口!$B$7+7,"临近到期","正常")))))</f>
        <v>正常</v>
      </c>
      <c r="AD137" s="25" t="s">
        <v>125</v>
      </c>
      <c r="AE137" s="25" t="s">
        <v>125</v>
      </c>
    </row>
    <row r="138" ht="17" customHeight="1" spans="1:31">
      <c r="A138" s="25" t="s">
        <v>426</v>
      </c>
      <c r="B138" s="25" t="s">
        <v>399</v>
      </c>
      <c r="C138" s="25" t="s">
        <v>400</v>
      </c>
      <c r="D138" s="25" t="s">
        <v>182</v>
      </c>
      <c r="E138" s="25" t="s">
        <v>118</v>
      </c>
      <c r="F138" s="25" t="s">
        <v>135</v>
      </c>
      <c r="G138" s="25" t="str">
        <f t="shared" si="15"/>
        <v>未开始</v>
      </c>
      <c r="H138" s="25" t="str">
        <f t="shared" si="16"/>
        <v>郑士旺</v>
      </c>
      <c r="I138" s="26">
        <f t="shared" si="17"/>
        <v>46230</v>
      </c>
      <c r="J138" s="26">
        <f t="shared" si="18"/>
        <v>46353</v>
      </c>
      <c r="K138" s="26"/>
      <c r="L138" s="25" t="s">
        <v>120</v>
      </c>
      <c r="M138" s="25" t="s">
        <v>23</v>
      </c>
      <c r="N138" s="26">
        <v>46230</v>
      </c>
      <c r="O138" s="26">
        <v>46241</v>
      </c>
      <c r="P138" s="25" t="s">
        <v>122</v>
      </c>
      <c r="Q138" s="25" t="s">
        <v>23</v>
      </c>
      <c r="R138" s="26">
        <v>46307</v>
      </c>
      <c r="S138" s="26">
        <v>46339</v>
      </c>
      <c r="T138" s="25" t="s">
        <v>123</v>
      </c>
      <c r="U138" s="25" t="s">
        <v>23</v>
      </c>
      <c r="V138" s="26">
        <v>46307</v>
      </c>
      <c r="W138" s="26">
        <v>46339</v>
      </c>
      <c r="X138" s="25" t="s">
        <v>124</v>
      </c>
      <c r="Y138" s="25" t="s">
        <v>23</v>
      </c>
      <c r="Z138" s="26">
        <v>46342</v>
      </c>
      <c r="AA138" s="26">
        <v>46353</v>
      </c>
      <c r="AB138" s="27">
        <f t="shared" si="19"/>
        <v>0</v>
      </c>
      <c r="AC138" s="25" t="str">
        <f>IF(G138="已完成","正常",IF(OR(G138="暂停",G138="挂起"),"暂停",IF(J138="","日期缺失",IF(J138&lt;_数据接口!$B$7,"已延期",IF(J138&lt;=_数据接口!$B$7+7,"临近到期","正常")))))</f>
        <v>正常</v>
      </c>
      <c r="AD138" s="25" t="s">
        <v>125</v>
      </c>
      <c r="AE138" s="25" t="s">
        <v>125</v>
      </c>
    </row>
    <row r="139" ht="17" customHeight="1" spans="1:31">
      <c r="A139" s="25" t="s">
        <v>427</v>
      </c>
      <c r="B139" s="25" t="s">
        <v>399</v>
      </c>
      <c r="C139" s="25" t="s">
        <v>400</v>
      </c>
      <c r="D139" s="25" t="s">
        <v>187</v>
      </c>
      <c r="E139" s="25" t="s">
        <v>118</v>
      </c>
      <c r="F139" s="25" t="s">
        <v>135</v>
      </c>
      <c r="G139" s="25" t="str">
        <f t="shared" si="15"/>
        <v>未开始</v>
      </c>
      <c r="H139" s="25" t="str">
        <f t="shared" si="16"/>
        <v>郑士旺</v>
      </c>
      <c r="I139" s="26">
        <f t="shared" si="17"/>
        <v>46230</v>
      </c>
      <c r="J139" s="26">
        <f t="shared" si="18"/>
        <v>46353</v>
      </c>
      <c r="K139" s="26"/>
      <c r="L139" s="25" t="s">
        <v>120</v>
      </c>
      <c r="M139" s="25" t="s">
        <v>23</v>
      </c>
      <c r="N139" s="26">
        <v>46230</v>
      </c>
      <c r="O139" s="26">
        <v>46241</v>
      </c>
      <c r="P139" s="25" t="s">
        <v>122</v>
      </c>
      <c r="Q139" s="25" t="s">
        <v>23</v>
      </c>
      <c r="R139" s="26">
        <v>46307</v>
      </c>
      <c r="S139" s="26">
        <v>46339</v>
      </c>
      <c r="T139" s="25" t="s">
        <v>123</v>
      </c>
      <c r="U139" s="25" t="s">
        <v>23</v>
      </c>
      <c r="V139" s="26">
        <v>46307</v>
      </c>
      <c r="W139" s="26">
        <v>46339</v>
      </c>
      <c r="X139" s="25" t="s">
        <v>124</v>
      </c>
      <c r="Y139" s="25" t="s">
        <v>23</v>
      </c>
      <c r="Z139" s="26">
        <v>46342</v>
      </c>
      <c r="AA139" s="26">
        <v>46353</v>
      </c>
      <c r="AB139" s="27">
        <f t="shared" si="19"/>
        <v>0</v>
      </c>
      <c r="AC139" s="25" t="str">
        <f>IF(G139="已完成","正常",IF(OR(G139="暂停",G139="挂起"),"暂停",IF(J139="","日期缺失",IF(J139&lt;_数据接口!$B$7,"已延期",IF(J139&lt;=_数据接口!$B$7+7,"临近到期","正常")))))</f>
        <v>正常</v>
      </c>
      <c r="AD139" s="25" t="s">
        <v>125</v>
      </c>
      <c r="AE139" s="25" t="s">
        <v>125</v>
      </c>
    </row>
    <row r="140" ht="17" customHeight="1" spans="1:31">
      <c r="A140" s="25" t="s">
        <v>428</v>
      </c>
      <c r="B140" s="25" t="s">
        <v>399</v>
      </c>
      <c r="C140" s="25" t="s">
        <v>400</v>
      </c>
      <c r="D140" s="25" t="s">
        <v>429</v>
      </c>
      <c r="E140" s="25" t="s">
        <v>118</v>
      </c>
      <c r="F140" s="25" t="s">
        <v>135</v>
      </c>
      <c r="G140" s="25" t="str">
        <f t="shared" si="15"/>
        <v>未开始</v>
      </c>
      <c r="H140" s="25" t="str">
        <f t="shared" si="16"/>
        <v>郑士旺</v>
      </c>
      <c r="I140" s="26">
        <f t="shared" si="17"/>
        <v>46230</v>
      </c>
      <c r="J140" s="26">
        <f t="shared" si="18"/>
        <v>46353</v>
      </c>
      <c r="K140" s="26"/>
      <c r="L140" s="25" t="s">
        <v>120</v>
      </c>
      <c r="M140" s="25" t="s">
        <v>23</v>
      </c>
      <c r="N140" s="26">
        <v>46230</v>
      </c>
      <c r="O140" s="26">
        <v>46241</v>
      </c>
      <c r="P140" s="25" t="s">
        <v>200</v>
      </c>
      <c r="Q140" s="25" t="s">
        <v>23</v>
      </c>
      <c r="R140" s="26">
        <v>46307</v>
      </c>
      <c r="S140" s="26">
        <v>46339</v>
      </c>
      <c r="T140" s="25" t="s">
        <v>200</v>
      </c>
      <c r="U140" s="25" t="s">
        <v>23</v>
      </c>
      <c r="V140" s="26">
        <v>46307</v>
      </c>
      <c r="W140" s="26">
        <v>46339</v>
      </c>
      <c r="X140" s="25" t="s">
        <v>124</v>
      </c>
      <c r="Y140" s="25" t="s">
        <v>23</v>
      </c>
      <c r="Z140" s="26">
        <v>46342</v>
      </c>
      <c r="AA140" s="26">
        <v>46353</v>
      </c>
      <c r="AB140" s="27">
        <f t="shared" si="19"/>
        <v>0</v>
      </c>
      <c r="AC140" s="25" t="str">
        <f>IF(G140="已完成","正常",IF(OR(G140="暂停",G140="挂起"),"暂停",IF(J140="","日期缺失",IF(J140&lt;_数据接口!$B$7,"已延期",IF(J140&lt;=_数据接口!$B$7+7,"临近到期","正常")))))</f>
        <v>正常</v>
      </c>
      <c r="AD140" s="25" t="s">
        <v>125</v>
      </c>
      <c r="AE140" s="25" t="s">
        <v>125</v>
      </c>
    </row>
    <row r="141" ht="17" customHeight="1" spans="1:31">
      <c r="A141" s="25" t="s">
        <v>430</v>
      </c>
      <c r="B141" s="25" t="s">
        <v>399</v>
      </c>
      <c r="C141" s="25" t="s">
        <v>400</v>
      </c>
      <c r="D141" s="25" t="s">
        <v>216</v>
      </c>
      <c r="E141" s="25" t="s">
        <v>118</v>
      </c>
      <c r="F141" s="25" t="s">
        <v>135</v>
      </c>
      <c r="G141" s="25" t="str">
        <f>IF(OR(M141="挂起",M141="暂停",Q141="挂起",Q141="暂停",U141="挂起",U141="暂停",Y141="挂起",Y141="暂停"),"暂停","已完成")</f>
        <v>已完成</v>
      </c>
      <c r="H141" s="25" t="str">
        <f t="shared" si="16"/>
        <v>郑士旺</v>
      </c>
      <c r="I141" s="26">
        <f t="shared" si="17"/>
        <v>46209</v>
      </c>
      <c r="J141" s="26">
        <f t="shared" si="18"/>
        <v>46261</v>
      </c>
      <c r="K141" s="26">
        <v>46261</v>
      </c>
      <c r="L141" s="25" t="s">
        <v>120</v>
      </c>
      <c r="M141" s="25" t="s">
        <v>121</v>
      </c>
      <c r="N141" s="26">
        <v>46209</v>
      </c>
      <c r="O141" s="26">
        <v>46213</v>
      </c>
      <c r="P141" s="25" t="s">
        <v>122</v>
      </c>
      <c r="Q141" s="25" t="s">
        <v>121</v>
      </c>
      <c r="R141" s="26">
        <v>46230</v>
      </c>
      <c r="S141" s="26">
        <v>46262</v>
      </c>
      <c r="T141" s="25" t="s">
        <v>123</v>
      </c>
      <c r="U141" s="25" t="s">
        <v>121</v>
      </c>
      <c r="V141" s="26">
        <v>46230</v>
      </c>
      <c r="W141" s="26">
        <v>46262</v>
      </c>
      <c r="X141" s="25" t="s">
        <v>124</v>
      </c>
      <c r="Y141" s="25" t="s">
        <v>121</v>
      </c>
      <c r="Z141" s="26">
        <v>46342</v>
      </c>
      <c r="AA141" s="26">
        <v>46353</v>
      </c>
      <c r="AB141" s="27">
        <f t="shared" si="19"/>
        <v>1</v>
      </c>
      <c r="AC141" s="25" t="str">
        <f>IF(G141="已完成","正常",IF(OR(G141="暂停",G141="挂起"),"暂停",IF(J141="","日期缺失",IF(J141&lt;_数据接口!$B$7,"已延期",IF(J141&lt;=_数据接口!$B$7+7,"临近到期","正常")))))</f>
        <v>正常</v>
      </c>
      <c r="AD141" s="25" t="s">
        <v>125</v>
      </c>
      <c r="AE141" s="25" t="s">
        <v>125</v>
      </c>
    </row>
    <row r="142" ht="17" customHeight="1" spans="1:31">
      <c r="A142" s="25" t="s">
        <v>431</v>
      </c>
      <c r="B142" s="25" t="s">
        <v>399</v>
      </c>
      <c r="C142" s="25" t="s">
        <v>400</v>
      </c>
      <c r="D142" s="25" t="s">
        <v>223</v>
      </c>
      <c r="E142" s="25" t="s">
        <v>118</v>
      </c>
      <c r="F142" s="25" t="s">
        <v>135</v>
      </c>
      <c r="G142" s="25" t="str">
        <f>IF(OR(M142="挂起",M142="暂停",Q142="挂起",Q142="暂停",U142="挂起",U142="暂停",Y142="挂起",Y142="暂停"),"暂停","已完成")</f>
        <v>已完成</v>
      </c>
      <c r="H142" s="25" t="str">
        <f t="shared" si="16"/>
        <v>郑士旺</v>
      </c>
      <c r="I142" s="26">
        <f t="shared" si="17"/>
        <v>46209</v>
      </c>
      <c r="J142" s="26">
        <f t="shared" si="18"/>
        <v>46261</v>
      </c>
      <c r="K142" s="26">
        <v>46261</v>
      </c>
      <c r="L142" s="25" t="s">
        <v>120</v>
      </c>
      <c r="M142" s="25" t="s">
        <v>121</v>
      </c>
      <c r="N142" s="26">
        <v>46209</v>
      </c>
      <c r="O142" s="26">
        <v>46213</v>
      </c>
      <c r="P142" s="25" t="s">
        <v>122</v>
      </c>
      <c r="Q142" s="25" t="s">
        <v>121</v>
      </c>
      <c r="R142" s="26">
        <v>46230</v>
      </c>
      <c r="S142" s="26">
        <v>46262</v>
      </c>
      <c r="T142" s="25" t="s">
        <v>123</v>
      </c>
      <c r="U142" s="25" t="s">
        <v>121</v>
      </c>
      <c r="V142" s="26">
        <v>46230</v>
      </c>
      <c r="W142" s="26">
        <v>46262</v>
      </c>
      <c r="X142" s="25" t="s">
        <v>124</v>
      </c>
      <c r="Y142" s="25" t="s">
        <v>121</v>
      </c>
      <c r="Z142" s="26">
        <v>46342</v>
      </c>
      <c r="AA142" s="26">
        <v>46353</v>
      </c>
      <c r="AB142" s="27">
        <f t="shared" si="19"/>
        <v>1</v>
      </c>
      <c r="AC142" s="25" t="str">
        <f>IF(G142="已完成","正常",IF(OR(G142="暂停",G142="挂起"),"暂停",IF(J142="","日期缺失",IF(J142&lt;_数据接口!$B$7,"已延期",IF(J142&lt;=_数据接口!$B$7+7,"临近到期","正常")))))</f>
        <v>正常</v>
      </c>
      <c r="AD142" s="25" t="s">
        <v>125</v>
      </c>
      <c r="AE142" s="25" t="s">
        <v>125</v>
      </c>
    </row>
    <row r="143" ht="17" customHeight="1" spans="1:31">
      <c r="A143" s="25" t="s">
        <v>432</v>
      </c>
      <c r="B143" s="25" t="s">
        <v>399</v>
      </c>
      <c r="C143" s="25" t="s">
        <v>400</v>
      </c>
      <c r="D143" s="25" t="s">
        <v>230</v>
      </c>
      <c r="E143" s="25" t="s">
        <v>118</v>
      </c>
      <c r="F143" s="25" t="s">
        <v>135</v>
      </c>
      <c r="G143" s="25" t="str">
        <f>IF(OR(M143="挂起",M143="暂停",Q143="挂起",Q143="暂停",U143="挂起",U143="暂停",Y143="挂起",Y143="暂停"),"暂停","已完成")</f>
        <v>已完成</v>
      </c>
      <c r="H143" s="25" t="str">
        <f t="shared" si="16"/>
        <v>郑士旺</v>
      </c>
      <c r="I143" s="26">
        <f t="shared" si="17"/>
        <v>46209</v>
      </c>
      <c r="J143" s="26">
        <f t="shared" si="18"/>
        <v>46353</v>
      </c>
      <c r="K143" s="26"/>
      <c r="L143" s="25" t="s">
        <v>120</v>
      </c>
      <c r="M143" s="25" t="s">
        <v>121</v>
      </c>
      <c r="N143" s="26">
        <v>46209</v>
      </c>
      <c r="O143" s="26">
        <v>46213</v>
      </c>
      <c r="P143" s="25" t="s">
        <v>122</v>
      </c>
      <c r="Q143" s="25" t="s">
        <v>121</v>
      </c>
      <c r="R143" s="26">
        <v>46230</v>
      </c>
      <c r="S143" s="26">
        <v>46262</v>
      </c>
      <c r="T143" s="25" t="s">
        <v>123</v>
      </c>
      <c r="U143" s="25" t="s">
        <v>121</v>
      </c>
      <c r="V143" s="26">
        <v>46230</v>
      </c>
      <c r="W143" s="26">
        <v>46262</v>
      </c>
      <c r="X143" s="25" t="s">
        <v>124</v>
      </c>
      <c r="Y143" s="25" t="s">
        <v>121</v>
      </c>
      <c r="Z143" s="26">
        <v>46342</v>
      </c>
      <c r="AA143" s="26">
        <v>46353</v>
      </c>
      <c r="AB143" s="27">
        <f t="shared" si="19"/>
        <v>1</v>
      </c>
      <c r="AC143" s="25" t="str">
        <f>IF(G143="已完成","正常",IF(OR(G143="暂停",G143="挂起"),"暂停",IF(J143="","日期缺失",IF(J143&lt;_数据接口!$B$7,"已延期",IF(J143&lt;=_数据接口!$B$7+7,"临近到期","正常")))))</f>
        <v>正常</v>
      </c>
      <c r="AD143" s="25" t="s">
        <v>125</v>
      </c>
      <c r="AE143" s="25" t="s">
        <v>125</v>
      </c>
    </row>
    <row r="144" ht="17" customHeight="1" spans="1:31">
      <c r="A144" s="25" t="s">
        <v>433</v>
      </c>
      <c r="B144" s="25" t="s">
        <v>399</v>
      </c>
      <c r="C144" s="25" t="s">
        <v>400</v>
      </c>
      <c r="D144" s="25" t="s">
        <v>434</v>
      </c>
      <c r="E144" s="25" t="s">
        <v>118</v>
      </c>
      <c r="F144" s="25" t="s">
        <v>135</v>
      </c>
      <c r="G144" s="25" t="str">
        <f>IF(OR(M144="挂起",M144="暂停",Q144="挂起",Q144="暂停",U144="挂起",U144="暂停",Y144="挂起",Y144="暂停"),"暂停","未开始")</f>
        <v>未开始</v>
      </c>
      <c r="H144" s="25" t="str">
        <f t="shared" si="16"/>
        <v>郑士旺</v>
      </c>
      <c r="I144" s="26">
        <f t="shared" si="17"/>
        <v>46223</v>
      </c>
      <c r="J144" s="26">
        <f t="shared" si="18"/>
        <v>46318</v>
      </c>
      <c r="K144" s="26"/>
      <c r="L144" s="25" t="s">
        <v>120</v>
      </c>
      <c r="M144" s="25" t="s">
        <v>23</v>
      </c>
      <c r="N144" s="26">
        <v>46223</v>
      </c>
      <c r="O144" s="26">
        <v>46227</v>
      </c>
      <c r="P144" s="25" t="s">
        <v>122</v>
      </c>
      <c r="Q144" s="25" t="s">
        <v>23</v>
      </c>
      <c r="R144" s="26">
        <v>46272</v>
      </c>
      <c r="S144" s="26">
        <v>46304</v>
      </c>
      <c r="T144" s="25" t="s">
        <v>123</v>
      </c>
      <c r="U144" s="25" t="s">
        <v>23</v>
      </c>
      <c r="V144" s="26">
        <v>46272</v>
      </c>
      <c r="W144" s="26">
        <v>46304</v>
      </c>
      <c r="X144" s="25" t="s">
        <v>124</v>
      </c>
      <c r="Y144" s="25" t="s">
        <v>23</v>
      </c>
      <c r="Z144" s="26">
        <v>46307</v>
      </c>
      <c r="AA144" s="26">
        <v>46318</v>
      </c>
      <c r="AB144" s="27">
        <f t="shared" si="19"/>
        <v>0</v>
      </c>
      <c r="AC144" s="25" t="str">
        <f>IF(G144="已完成","正常",IF(OR(G144="暂停",G144="挂起"),"暂停",IF(J144="","日期缺失",IF(J144&lt;_数据接口!$B$7,"已延期",IF(J144&lt;=_数据接口!$B$7+7,"临近到期","正常")))))</f>
        <v>正常</v>
      </c>
      <c r="AD144" s="25" t="s">
        <v>125</v>
      </c>
      <c r="AE144" s="25" t="s">
        <v>125</v>
      </c>
    </row>
    <row r="145" ht="17" customHeight="1" spans="1:31">
      <c r="A145" s="25" t="s">
        <v>435</v>
      </c>
      <c r="B145" s="25" t="s">
        <v>399</v>
      </c>
      <c r="C145" s="25" t="s">
        <v>436</v>
      </c>
      <c r="D145" s="25" t="s">
        <v>209</v>
      </c>
      <c r="E145" s="25" t="s">
        <v>118</v>
      </c>
      <c r="F145" s="25" t="s">
        <v>135</v>
      </c>
      <c r="G145" s="25" t="str">
        <f>IF(OR(M145="挂起",M145="暂停",Q145="挂起",Q145="暂停",U145="挂起",U145="暂停",Y145="挂起",Y145="暂停"),"暂停","未开始")</f>
        <v>未开始</v>
      </c>
      <c r="H145" s="25" t="str">
        <f t="shared" si="16"/>
        <v>郑士旺</v>
      </c>
      <c r="I145" s="26">
        <f t="shared" si="17"/>
        <v>46230</v>
      </c>
      <c r="J145" s="26">
        <f t="shared" si="18"/>
        <v>46353</v>
      </c>
      <c r="K145" s="26"/>
      <c r="L145" s="25" t="s">
        <v>120</v>
      </c>
      <c r="M145" s="25" t="s">
        <v>23</v>
      </c>
      <c r="N145" s="26">
        <v>46230</v>
      </c>
      <c r="O145" s="26">
        <v>46241</v>
      </c>
      <c r="P145" s="25" t="s">
        <v>122</v>
      </c>
      <c r="Q145" s="25" t="s">
        <v>23</v>
      </c>
      <c r="R145" s="26">
        <v>46307</v>
      </c>
      <c r="S145" s="26">
        <v>46339</v>
      </c>
      <c r="T145" s="25" t="s">
        <v>123</v>
      </c>
      <c r="U145" s="25" t="s">
        <v>23</v>
      </c>
      <c r="V145" s="26">
        <v>46307</v>
      </c>
      <c r="W145" s="26">
        <v>46339</v>
      </c>
      <c r="X145" s="25" t="s">
        <v>124</v>
      </c>
      <c r="Y145" s="25" t="s">
        <v>23</v>
      </c>
      <c r="Z145" s="26">
        <v>46342</v>
      </c>
      <c r="AA145" s="26">
        <v>46353</v>
      </c>
      <c r="AB145" s="27">
        <f t="shared" si="19"/>
        <v>0</v>
      </c>
      <c r="AC145" s="25" t="str">
        <f>IF(G145="已完成","正常",IF(OR(G145="暂停",G145="挂起"),"暂停",IF(J145="","日期缺失",IF(J145&lt;_数据接口!$B$7,"已延期",IF(J145&lt;=_数据接口!$B$7+7,"临近到期","正常")))))</f>
        <v>正常</v>
      </c>
      <c r="AD145" s="25" t="s">
        <v>125</v>
      </c>
      <c r="AE145" s="25" t="s">
        <v>125</v>
      </c>
    </row>
    <row r="146" ht="17" customHeight="1" spans="1:31">
      <c r="A146" s="25" t="s">
        <v>437</v>
      </c>
      <c r="B146" s="25" t="s">
        <v>399</v>
      </c>
      <c r="C146" s="25" t="s">
        <v>436</v>
      </c>
      <c r="D146" s="25" t="s">
        <v>213</v>
      </c>
      <c r="E146" s="25" t="s">
        <v>438</v>
      </c>
      <c r="F146" s="25" t="s">
        <v>119</v>
      </c>
      <c r="G146" s="25" t="str">
        <f>IF(OR(M146="挂起",M146="暂停",Q146="挂起",Q146="暂停",U146="挂起",U146="暂停",Y146="挂起",Y146="暂停"),"暂停","已完成")</f>
        <v>已完成</v>
      </c>
      <c r="H146" s="25" t="str">
        <f t="shared" si="16"/>
        <v>郑士旺</v>
      </c>
      <c r="I146" s="26">
        <f t="shared" si="17"/>
        <v>46209</v>
      </c>
      <c r="J146" s="26">
        <f t="shared" si="18"/>
        <v>46261</v>
      </c>
      <c r="K146" s="26">
        <v>46261</v>
      </c>
      <c r="L146" s="25" t="s">
        <v>120</v>
      </c>
      <c r="M146" s="25" t="s">
        <v>121</v>
      </c>
      <c r="N146" s="26">
        <v>46209</v>
      </c>
      <c r="O146" s="26">
        <v>46213</v>
      </c>
      <c r="P146" s="25" t="s">
        <v>122</v>
      </c>
      <c r="Q146" s="25" t="s">
        <v>121</v>
      </c>
      <c r="R146" s="26">
        <v>46237</v>
      </c>
      <c r="S146" s="26">
        <v>46252</v>
      </c>
      <c r="T146" s="25" t="s">
        <v>123</v>
      </c>
      <c r="U146" s="25" t="s">
        <v>121</v>
      </c>
      <c r="V146" s="26">
        <v>46237</v>
      </c>
      <c r="W146" s="26">
        <v>46252</v>
      </c>
      <c r="X146" s="25" t="s">
        <v>124</v>
      </c>
      <c r="Y146" s="25" t="s">
        <v>121</v>
      </c>
      <c r="Z146" s="26">
        <v>46251</v>
      </c>
      <c r="AA146" s="26">
        <v>46269</v>
      </c>
      <c r="AB146" s="27">
        <f t="shared" si="19"/>
        <v>1</v>
      </c>
      <c r="AC146" s="25" t="str">
        <f>IF(G146="已完成","正常",IF(OR(G146="暂停",G146="挂起"),"暂停",IF(J146="","日期缺失",IF(J146&lt;_数据接口!$B$7,"已延期",IF(J146&lt;=_数据接口!$B$7+7,"临近到期","正常")))))</f>
        <v>正常</v>
      </c>
      <c r="AD146" s="25" t="s">
        <v>125</v>
      </c>
      <c r="AE146" s="25" t="s">
        <v>125</v>
      </c>
    </row>
    <row r="147" ht="17" customHeight="1" spans="1:31">
      <c r="A147" s="25" t="s">
        <v>439</v>
      </c>
      <c r="B147" s="25" t="s">
        <v>399</v>
      </c>
      <c r="C147" s="25" t="s">
        <v>436</v>
      </c>
      <c r="D147" s="25" t="s">
        <v>220</v>
      </c>
      <c r="E147" s="25" t="s">
        <v>438</v>
      </c>
      <c r="F147" s="25" t="s">
        <v>119</v>
      </c>
      <c r="G147" s="25" t="str">
        <f>IF(OR(M147="挂起",M147="暂停",Q147="挂起",Q147="暂停",U147="挂起",U147="暂停",Y147="挂起",Y147="暂停"),"暂停","已完成")</f>
        <v>已完成</v>
      </c>
      <c r="H147" s="25" t="str">
        <f t="shared" si="16"/>
        <v>郑士旺</v>
      </c>
      <c r="I147" s="26">
        <f t="shared" si="17"/>
        <v>46209</v>
      </c>
      <c r="J147" s="26">
        <f t="shared" si="18"/>
        <v>46261</v>
      </c>
      <c r="K147" s="26">
        <v>46261</v>
      </c>
      <c r="L147" s="25" t="s">
        <v>120</v>
      </c>
      <c r="M147" s="25" t="s">
        <v>121</v>
      </c>
      <c r="N147" s="26">
        <v>46209</v>
      </c>
      <c r="O147" s="26">
        <v>46213</v>
      </c>
      <c r="P147" s="25" t="s">
        <v>122</v>
      </c>
      <c r="Q147" s="25" t="s">
        <v>121</v>
      </c>
      <c r="R147" s="26">
        <v>46237</v>
      </c>
      <c r="S147" s="26">
        <v>46252</v>
      </c>
      <c r="T147" s="25" t="s">
        <v>123</v>
      </c>
      <c r="U147" s="25" t="s">
        <v>121</v>
      </c>
      <c r="V147" s="26">
        <v>46237</v>
      </c>
      <c r="W147" s="26">
        <v>46252</v>
      </c>
      <c r="X147" s="25" t="s">
        <v>124</v>
      </c>
      <c r="Y147" s="25" t="s">
        <v>121</v>
      </c>
      <c r="Z147" s="26">
        <v>46251</v>
      </c>
      <c r="AA147" s="26">
        <v>46269</v>
      </c>
      <c r="AB147" s="27">
        <f t="shared" si="19"/>
        <v>1</v>
      </c>
      <c r="AC147" s="25" t="str">
        <f>IF(G147="已完成","正常",IF(OR(G147="暂停",G147="挂起"),"暂停",IF(J147="","日期缺失",IF(J147&lt;_数据接口!$B$7,"已延期",IF(J147&lt;=_数据接口!$B$7+7,"临近到期","正常")))))</f>
        <v>正常</v>
      </c>
      <c r="AD147" s="25" t="s">
        <v>125</v>
      </c>
      <c r="AE147" s="25" t="s">
        <v>125</v>
      </c>
    </row>
    <row r="148" ht="17" customHeight="1" spans="1:31">
      <c r="A148" s="25" t="s">
        <v>440</v>
      </c>
      <c r="B148" s="25" t="s">
        <v>399</v>
      </c>
      <c r="C148" s="25" t="s">
        <v>436</v>
      </c>
      <c r="D148" s="25" t="s">
        <v>227</v>
      </c>
      <c r="E148" s="25" t="s">
        <v>438</v>
      </c>
      <c r="F148" s="25" t="s">
        <v>135</v>
      </c>
      <c r="G148" s="25" t="str">
        <f>IF(OR(M148="挂起",M148="暂停",Q148="挂起",Q148="暂停",U148="挂起",U148="暂停",Y148="挂起",Y148="暂停"),"暂停","已完成")</f>
        <v>已完成</v>
      </c>
      <c r="H148" s="25" t="str">
        <f t="shared" si="16"/>
        <v>郑士旺</v>
      </c>
      <c r="I148" s="26">
        <f t="shared" si="17"/>
        <v>46209</v>
      </c>
      <c r="J148" s="26">
        <f t="shared" si="18"/>
        <v>46269</v>
      </c>
      <c r="K148" s="26"/>
      <c r="L148" s="25" t="s">
        <v>120</v>
      </c>
      <c r="M148" s="25" t="s">
        <v>121</v>
      </c>
      <c r="N148" s="26">
        <v>46209</v>
      </c>
      <c r="O148" s="26">
        <v>46213</v>
      </c>
      <c r="P148" s="25" t="s">
        <v>122</v>
      </c>
      <c r="Q148" s="25" t="s">
        <v>121</v>
      </c>
      <c r="R148" s="26">
        <v>46237</v>
      </c>
      <c r="S148" s="26">
        <v>46252</v>
      </c>
      <c r="T148" s="25" t="s">
        <v>123</v>
      </c>
      <c r="U148" s="25" t="s">
        <v>121</v>
      </c>
      <c r="V148" s="26">
        <v>46237</v>
      </c>
      <c r="W148" s="26">
        <v>46252</v>
      </c>
      <c r="X148" s="25" t="s">
        <v>124</v>
      </c>
      <c r="Y148" s="25" t="s">
        <v>121</v>
      </c>
      <c r="Z148" s="26">
        <v>46251</v>
      </c>
      <c r="AA148" s="26">
        <v>46269</v>
      </c>
      <c r="AB148" s="27">
        <f t="shared" si="19"/>
        <v>1</v>
      </c>
      <c r="AC148" s="25" t="str">
        <f>IF(G148="已完成","正常",IF(OR(G148="暂停",G148="挂起"),"暂停",IF(J148="","日期缺失",IF(J148&lt;_数据接口!$B$7,"已延期",IF(J148&lt;=_数据接口!$B$7+7,"临近到期","正常")))))</f>
        <v>正常</v>
      </c>
      <c r="AD148" s="25"/>
      <c r="AE148" s="25"/>
    </row>
  </sheetData>
  <mergeCells count="2">
    <mergeCell ref="A1:AE1"/>
    <mergeCell ref="A2:AE2"/>
  </mergeCells>
  <dataValidations count="1">
    <dataValidation type="list" sqref="G4:G132 M4:M132 Q4:Q132 U4:U132 Y4:Y132">
      <formula1>"未开始,进行中,已完成,暂停"</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9BD5"/>
  </sheetPr>
  <dimension ref="A1:L157"/>
  <sheetViews>
    <sheetView showGridLines="0" workbookViewId="0">
      <pane ySplit="15" topLeftCell="A16" activePane="bottomLeft" state="frozen"/>
      <selection/>
      <selection pane="bottomLeft" activeCell="A1" sqref="A1:L1"/>
    </sheetView>
  </sheetViews>
  <sheetFormatPr defaultColWidth="9" defaultRowHeight="16.8"/>
  <cols>
    <col min="1" max="1" width="14" customWidth="1"/>
    <col min="2" max="2" width="11" customWidth="1"/>
    <col min="3" max="3" width="28" customWidth="1"/>
    <col min="4" max="4" width="13" customWidth="1"/>
    <col min="8" max="8" width="14" customWidth="1"/>
    <col min="9" max="9" width="13" customWidth="1"/>
    <col min="10" max="10" width="28" customWidth="1"/>
    <col min="11" max="11" width="24" customWidth="1"/>
    <col min="12" max="12" width="13" hidden="1" customWidth="1"/>
  </cols>
  <sheetData>
    <row r="1" ht="28" customHeight="1" spans="1:12">
      <c r="A1" s="2" t="s">
        <v>441</v>
      </c>
      <c r="B1" s="3"/>
      <c r="C1" s="3"/>
      <c r="D1" s="3"/>
      <c r="E1" s="3"/>
      <c r="F1" s="3"/>
      <c r="G1" s="3"/>
      <c r="H1" s="3"/>
      <c r="I1" s="3"/>
      <c r="J1" s="3"/>
      <c r="K1" s="3"/>
      <c r="L1" s="4"/>
    </row>
    <row r="2" ht="22" customHeight="1" spans="1:12">
      <c r="A2" s="5" t="s">
        <v>442</v>
      </c>
      <c r="B2" s="3"/>
      <c r="C2" s="3"/>
      <c r="D2" s="3"/>
      <c r="E2" s="3"/>
      <c r="F2" s="3"/>
      <c r="G2" s="3"/>
      <c r="H2" s="3"/>
      <c r="I2" s="3"/>
      <c r="J2" s="3"/>
      <c r="K2" s="3"/>
      <c r="L2" s="4"/>
    </row>
    <row r="3" spans="1:12">
      <c r="A3" s="6"/>
      <c r="B3" s="6"/>
      <c r="C3" s="6"/>
      <c r="D3" s="6"/>
      <c r="E3" s="6"/>
      <c r="F3" s="6"/>
      <c r="G3" s="6"/>
      <c r="H3" s="6"/>
      <c r="I3" s="6"/>
      <c r="J3" s="6"/>
      <c r="K3" s="6"/>
      <c r="L3" s="6"/>
    </row>
    <row r="4" ht="28" customHeight="1" spans="1:12">
      <c r="A4" s="7" t="s">
        <v>443</v>
      </c>
      <c r="B4" s="7" t="s">
        <v>444</v>
      </c>
      <c r="C4" s="7" t="s">
        <v>445</v>
      </c>
      <c r="D4" s="7" t="s">
        <v>446</v>
      </c>
      <c r="E4" s="7" t="s">
        <v>447</v>
      </c>
      <c r="F4" s="7" t="s">
        <v>448</v>
      </c>
      <c r="G4" s="7" t="s">
        <v>449</v>
      </c>
      <c r="H4" s="7" t="s">
        <v>450</v>
      </c>
      <c r="I4" s="7" t="s">
        <v>451</v>
      </c>
      <c r="J4" s="7" t="s">
        <v>452</v>
      </c>
      <c r="K4" s="7" t="s">
        <v>453</v>
      </c>
      <c r="L4" s="7" t="s">
        <v>113</v>
      </c>
    </row>
    <row r="5" spans="1:12">
      <c r="A5" s="8" t="s">
        <v>454</v>
      </c>
      <c r="B5" s="8" t="s">
        <v>455</v>
      </c>
      <c r="C5" s="8">
        <v>125</v>
      </c>
      <c r="D5" s="8">
        <v>125</v>
      </c>
      <c r="E5" s="9">
        <v>46195</v>
      </c>
      <c r="F5" s="9">
        <v>46339</v>
      </c>
      <c r="G5" s="10">
        <v>40</v>
      </c>
      <c r="H5" s="16">
        <v>840</v>
      </c>
      <c r="I5" s="11">
        <v>1</v>
      </c>
      <c r="J5" s="8" t="s">
        <v>456</v>
      </c>
      <c r="K5" s="8" t="s">
        <v>457</v>
      </c>
      <c r="L5" s="10"/>
    </row>
    <row r="6" spans="1:12">
      <c r="A6" s="8" t="s">
        <v>200</v>
      </c>
      <c r="B6" s="8" t="s">
        <v>458</v>
      </c>
      <c r="C6" s="8">
        <v>14</v>
      </c>
      <c r="D6" s="8">
        <v>14</v>
      </c>
      <c r="E6" s="9">
        <v>46212</v>
      </c>
      <c r="F6" s="9">
        <v>46339</v>
      </c>
      <c r="G6" s="10">
        <v>40</v>
      </c>
      <c r="H6" s="16">
        <v>720</v>
      </c>
      <c r="I6" s="11">
        <v>0.947368421052632</v>
      </c>
      <c r="J6" s="8" t="s">
        <v>456</v>
      </c>
      <c r="K6" s="8" t="s">
        <v>457</v>
      </c>
      <c r="L6" s="10"/>
    </row>
    <row r="7" spans="1:12">
      <c r="A7" s="8" t="s">
        <v>459</v>
      </c>
      <c r="B7" s="8" t="s">
        <v>455</v>
      </c>
      <c r="C7" s="8">
        <v>125</v>
      </c>
      <c r="D7" s="8">
        <v>125</v>
      </c>
      <c r="E7" s="9">
        <v>46195</v>
      </c>
      <c r="F7" s="9">
        <v>46339</v>
      </c>
      <c r="G7" s="10">
        <v>40</v>
      </c>
      <c r="H7" s="16">
        <v>840</v>
      </c>
      <c r="I7" s="11">
        <v>1</v>
      </c>
      <c r="J7" s="8" t="s">
        <v>456</v>
      </c>
      <c r="K7" s="8" t="s">
        <v>457</v>
      </c>
      <c r="L7" s="10"/>
    </row>
    <row r="8" spans="1:12">
      <c r="A8" s="8" t="s">
        <v>124</v>
      </c>
      <c r="B8" s="8" t="s">
        <v>460</v>
      </c>
      <c r="C8" s="8">
        <v>139</v>
      </c>
      <c r="D8" s="8">
        <v>139</v>
      </c>
      <c r="E8" s="9">
        <v>46202</v>
      </c>
      <c r="F8" s="9">
        <v>46353</v>
      </c>
      <c r="G8" s="10">
        <v>40</v>
      </c>
      <c r="H8" s="16">
        <v>520</v>
      </c>
      <c r="I8" s="11">
        <v>0.590909090909091</v>
      </c>
      <c r="J8" s="8" t="s">
        <v>461</v>
      </c>
      <c r="K8" s="8" t="s">
        <v>462</v>
      </c>
      <c r="L8" s="10"/>
    </row>
    <row r="9" spans="1:12">
      <c r="A9" s="8" t="s">
        <v>123</v>
      </c>
      <c r="B9" s="8" t="s">
        <v>463</v>
      </c>
      <c r="C9" s="8">
        <v>129</v>
      </c>
      <c r="D9" s="8">
        <v>129</v>
      </c>
      <c r="E9" s="9">
        <v>46195</v>
      </c>
      <c r="F9" s="9">
        <v>46339</v>
      </c>
      <c r="G9" s="10">
        <v>40</v>
      </c>
      <c r="H9" s="16">
        <v>840</v>
      </c>
      <c r="I9" s="11">
        <v>1</v>
      </c>
      <c r="J9" s="8" t="s">
        <v>456</v>
      </c>
      <c r="K9" s="8" t="s">
        <v>457</v>
      </c>
      <c r="L9" s="10"/>
    </row>
    <row r="10" spans="1:12">
      <c r="A10" s="8" t="s">
        <v>120</v>
      </c>
      <c r="B10" s="8" t="s">
        <v>464</v>
      </c>
      <c r="C10" s="8">
        <v>139</v>
      </c>
      <c r="D10" s="8">
        <v>139</v>
      </c>
      <c r="E10" s="9">
        <v>46202</v>
      </c>
      <c r="F10" s="9">
        <v>46241</v>
      </c>
      <c r="G10" s="10">
        <v>40</v>
      </c>
      <c r="H10" s="16">
        <v>240</v>
      </c>
      <c r="I10" s="11">
        <v>1</v>
      </c>
      <c r="J10" s="8" t="s">
        <v>456</v>
      </c>
      <c r="K10" s="8" t="s">
        <v>457</v>
      </c>
      <c r="L10" s="10"/>
    </row>
    <row r="13" ht="17.6" customHeight="1" spans="1:12">
      <c r="A13" s="17" t="s">
        <v>465</v>
      </c>
    </row>
    <row r="14" spans="1:12">
      <c r="A14" s="18" t="s">
        <v>466</v>
      </c>
      <c r="B14" s="3"/>
      <c r="C14" s="3"/>
      <c r="D14" s="3"/>
      <c r="E14" s="3"/>
      <c r="F14" s="3"/>
      <c r="G14" s="3"/>
      <c r="H14" s="3"/>
      <c r="I14" s="3"/>
      <c r="J14" s="3"/>
      <c r="K14" s="4"/>
    </row>
    <row r="15" ht="28" customHeight="1" spans="1:12">
      <c r="A15" s="7" t="s">
        <v>443</v>
      </c>
      <c r="B15" s="7" t="s">
        <v>467</v>
      </c>
      <c r="C15" s="7" t="s">
        <v>468</v>
      </c>
      <c r="D15" s="7" t="s">
        <v>469</v>
      </c>
      <c r="E15" s="7" t="s">
        <v>445</v>
      </c>
      <c r="F15" s="7" t="s">
        <v>470</v>
      </c>
      <c r="G15" s="7" t="s">
        <v>451</v>
      </c>
      <c r="H15" s="7" t="s">
        <v>452</v>
      </c>
      <c r="I15" s="7" t="s">
        <v>471</v>
      </c>
      <c r="J15" s="3"/>
      <c r="K15" s="4"/>
    </row>
    <row r="16" ht="48" customHeight="1" spans="1:12">
      <c r="A16" s="19" t="s">
        <v>454</v>
      </c>
      <c r="B16" s="9">
        <v>46195</v>
      </c>
      <c r="C16" s="9">
        <v>46201</v>
      </c>
      <c r="D16" s="8" t="s">
        <v>472</v>
      </c>
      <c r="E16" s="8">
        <v>4</v>
      </c>
      <c r="F16" s="16">
        <v>40</v>
      </c>
      <c r="G16" s="11">
        <v>1</v>
      </c>
      <c r="H16" s="8" t="s">
        <v>456</v>
      </c>
      <c r="I16" s="8" t="s">
        <v>473</v>
      </c>
      <c r="J16" s="3"/>
      <c r="K16" s="4"/>
      <c r="L16" s="6" t="s">
        <v>454</v>
      </c>
    </row>
    <row r="17" ht="48" customHeight="1" spans="1:12">
      <c r="A17" s="20"/>
      <c r="B17" s="9">
        <v>46202</v>
      </c>
      <c r="C17" s="9">
        <v>46208</v>
      </c>
      <c r="D17" s="8" t="s">
        <v>472</v>
      </c>
      <c r="E17" s="8">
        <v>4</v>
      </c>
      <c r="F17" s="16">
        <v>40</v>
      </c>
      <c r="G17" s="11">
        <v>1</v>
      </c>
      <c r="H17" s="8" t="s">
        <v>456</v>
      </c>
      <c r="I17" s="8" t="s">
        <v>473</v>
      </c>
      <c r="J17" s="3"/>
      <c r="K17" s="4"/>
      <c r="L17" s="6" t="s">
        <v>454</v>
      </c>
    </row>
    <row r="18" ht="48" customHeight="1" spans="1:12">
      <c r="A18" s="20"/>
      <c r="B18" s="9">
        <v>46209</v>
      </c>
      <c r="C18" s="9">
        <v>46215</v>
      </c>
      <c r="D18" s="8" t="s">
        <v>472</v>
      </c>
      <c r="E18" s="8">
        <v>22</v>
      </c>
      <c r="F18" s="16">
        <v>40</v>
      </c>
      <c r="G18" s="11">
        <v>1</v>
      </c>
      <c r="H18" s="8" t="s">
        <v>456</v>
      </c>
      <c r="I18" s="8" t="s">
        <v>474</v>
      </c>
      <c r="J18" s="3"/>
      <c r="K18" s="4"/>
      <c r="L18" s="6" t="s">
        <v>454</v>
      </c>
    </row>
    <row r="19" ht="48" customHeight="1" spans="1:12">
      <c r="A19" s="20"/>
      <c r="B19" s="9">
        <v>46216</v>
      </c>
      <c r="C19" s="9">
        <v>46222</v>
      </c>
      <c r="D19" s="8" t="s">
        <v>472</v>
      </c>
      <c r="E19" s="8">
        <v>22</v>
      </c>
      <c r="F19" s="16">
        <v>40</v>
      </c>
      <c r="G19" s="11">
        <v>1</v>
      </c>
      <c r="H19" s="8" t="s">
        <v>456</v>
      </c>
      <c r="I19" s="8" t="s">
        <v>474</v>
      </c>
      <c r="J19" s="3"/>
      <c r="K19" s="4"/>
      <c r="L19" s="6" t="s">
        <v>454</v>
      </c>
    </row>
    <row r="20" ht="48" customHeight="1" spans="1:12">
      <c r="A20" s="20"/>
      <c r="B20" s="9">
        <v>46223</v>
      </c>
      <c r="C20" s="9">
        <v>46229</v>
      </c>
      <c r="D20" s="8" t="s">
        <v>472</v>
      </c>
      <c r="E20" s="8">
        <v>30</v>
      </c>
      <c r="F20" s="16">
        <v>40</v>
      </c>
      <c r="G20" s="11">
        <v>1</v>
      </c>
      <c r="H20" s="8" t="s">
        <v>456</v>
      </c>
      <c r="I20" s="8" t="s">
        <v>475</v>
      </c>
      <c r="J20" s="3"/>
      <c r="K20" s="4"/>
      <c r="L20" s="6" t="s">
        <v>454</v>
      </c>
    </row>
    <row r="21" ht="48" customHeight="1" spans="1:12">
      <c r="A21" s="20"/>
      <c r="B21" s="9">
        <v>46230</v>
      </c>
      <c r="C21" s="9">
        <v>46236</v>
      </c>
      <c r="D21" s="8" t="s">
        <v>472</v>
      </c>
      <c r="E21" s="8">
        <v>28</v>
      </c>
      <c r="F21" s="16">
        <v>40</v>
      </c>
      <c r="G21" s="11">
        <v>1</v>
      </c>
      <c r="H21" s="8" t="s">
        <v>456</v>
      </c>
      <c r="I21" s="8" t="s">
        <v>476</v>
      </c>
      <c r="J21" s="3"/>
      <c r="K21" s="4"/>
      <c r="L21" s="6" t="s">
        <v>454</v>
      </c>
    </row>
    <row r="22" ht="48" customHeight="1" spans="1:12">
      <c r="A22" s="20"/>
      <c r="B22" s="9">
        <v>46237</v>
      </c>
      <c r="C22" s="9">
        <v>46243</v>
      </c>
      <c r="D22" s="8" t="s">
        <v>472</v>
      </c>
      <c r="E22" s="8">
        <v>31</v>
      </c>
      <c r="F22" s="16">
        <v>40</v>
      </c>
      <c r="G22" s="11">
        <v>1</v>
      </c>
      <c r="H22" s="8" t="s">
        <v>456</v>
      </c>
      <c r="I22" s="8" t="s">
        <v>477</v>
      </c>
      <c r="J22" s="3"/>
      <c r="K22" s="4"/>
      <c r="L22" s="6" t="s">
        <v>454</v>
      </c>
    </row>
    <row r="23" ht="48" customHeight="1" spans="1:12">
      <c r="A23" s="20"/>
      <c r="B23" s="9">
        <v>46244</v>
      </c>
      <c r="C23" s="9">
        <v>46250</v>
      </c>
      <c r="D23" s="8" t="s">
        <v>472</v>
      </c>
      <c r="E23" s="8">
        <v>30</v>
      </c>
      <c r="F23" s="16">
        <v>40</v>
      </c>
      <c r="G23" s="11">
        <v>1</v>
      </c>
      <c r="H23" s="8" t="s">
        <v>456</v>
      </c>
      <c r="I23" s="8" t="s">
        <v>478</v>
      </c>
      <c r="J23" s="3"/>
      <c r="K23" s="4"/>
      <c r="L23" s="6" t="s">
        <v>454</v>
      </c>
    </row>
    <row r="24" ht="48" customHeight="1" spans="1:12">
      <c r="A24" s="20"/>
      <c r="B24" s="9">
        <v>46251</v>
      </c>
      <c r="C24" s="9">
        <v>46257</v>
      </c>
      <c r="D24" s="8" t="s">
        <v>472</v>
      </c>
      <c r="E24" s="8">
        <v>30</v>
      </c>
      <c r="F24" s="16">
        <v>40</v>
      </c>
      <c r="G24" s="11">
        <v>1</v>
      </c>
      <c r="H24" s="8" t="s">
        <v>456</v>
      </c>
      <c r="I24" s="8" t="s">
        <v>478</v>
      </c>
      <c r="J24" s="3"/>
      <c r="K24" s="4"/>
      <c r="L24" s="6" t="s">
        <v>454</v>
      </c>
    </row>
    <row r="25" ht="48" customHeight="1" spans="1:12">
      <c r="A25" s="20"/>
      <c r="B25" s="9">
        <v>46258</v>
      </c>
      <c r="C25" s="9">
        <v>46264</v>
      </c>
      <c r="D25" s="8" t="s">
        <v>472</v>
      </c>
      <c r="E25" s="8">
        <v>27</v>
      </c>
      <c r="F25" s="16">
        <v>40</v>
      </c>
      <c r="G25" s="11">
        <v>1</v>
      </c>
      <c r="H25" s="8" t="s">
        <v>456</v>
      </c>
      <c r="I25" s="8" t="s">
        <v>479</v>
      </c>
      <c r="J25" s="3"/>
      <c r="K25" s="4"/>
      <c r="L25" s="6" t="s">
        <v>454</v>
      </c>
    </row>
    <row r="26" ht="48" customHeight="1" spans="1:12">
      <c r="A26" s="20"/>
      <c r="B26" s="9">
        <v>46265</v>
      </c>
      <c r="C26" s="9">
        <v>46271</v>
      </c>
      <c r="D26" s="8" t="s">
        <v>472</v>
      </c>
      <c r="E26" s="8">
        <v>13</v>
      </c>
      <c r="F26" s="16">
        <v>40</v>
      </c>
      <c r="G26" s="11">
        <v>1</v>
      </c>
      <c r="H26" s="8" t="s">
        <v>456</v>
      </c>
      <c r="I26" s="8" t="s">
        <v>480</v>
      </c>
      <c r="J26" s="3"/>
      <c r="K26" s="4"/>
      <c r="L26" s="6" t="s">
        <v>454</v>
      </c>
    </row>
    <row r="27" ht="48" customHeight="1" spans="1:12">
      <c r="A27" s="20"/>
      <c r="B27" s="9">
        <v>46272</v>
      </c>
      <c r="C27" s="9">
        <v>46278</v>
      </c>
      <c r="D27" s="8" t="s">
        <v>472</v>
      </c>
      <c r="E27" s="8">
        <v>23</v>
      </c>
      <c r="F27" s="16">
        <v>40</v>
      </c>
      <c r="G27" s="11">
        <v>1</v>
      </c>
      <c r="H27" s="8" t="s">
        <v>456</v>
      </c>
      <c r="I27" s="8" t="s">
        <v>481</v>
      </c>
      <c r="J27" s="3"/>
      <c r="K27" s="4"/>
      <c r="L27" s="6" t="s">
        <v>454</v>
      </c>
    </row>
    <row r="28" ht="48" customHeight="1" spans="1:12">
      <c r="A28" s="20"/>
      <c r="B28" s="9">
        <v>46279</v>
      </c>
      <c r="C28" s="9">
        <v>46285</v>
      </c>
      <c r="D28" s="8" t="s">
        <v>472</v>
      </c>
      <c r="E28" s="8">
        <v>15</v>
      </c>
      <c r="F28" s="16">
        <v>40</v>
      </c>
      <c r="G28" s="11">
        <v>1</v>
      </c>
      <c r="H28" s="8" t="s">
        <v>456</v>
      </c>
      <c r="I28" s="8" t="s">
        <v>482</v>
      </c>
      <c r="J28" s="3"/>
      <c r="K28" s="4"/>
      <c r="L28" s="6" t="s">
        <v>454</v>
      </c>
    </row>
    <row r="29" ht="48" customHeight="1" spans="1:12">
      <c r="A29" s="20"/>
      <c r="B29" s="9">
        <v>46286</v>
      </c>
      <c r="C29" s="9">
        <v>46292</v>
      </c>
      <c r="D29" s="8" t="s">
        <v>472</v>
      </c>
      <c r="E29" s="8">
        <v>7</v>
      </c>
      <c r="F29" s="16">
        <v>40</v>
      </c>
      <c r="G29" s="11">
        <v>1</v>
      </c>
      <c r="H29" s="8" t="s">
        <v>456</v>
      </c>
      <c r="I29" s="8" t="s">
        <v>483</v>
      </c>
      <c r="J29" s="3"/>
      <c r="K29" s="4"/>
      <c r="L29" s="6" t="s">
        <v>454</v>
      </c>
    </row>
    <row r="30" ht="48" customHeight="1" spans="1:12">
      <c r="A30" s="20"/>
      <c r="B30" s="9">
        <v>46293</v>
      </c>
      <c r="C30" s="9">
        <v>46299</v>
      </c>
      <c r="D30" s="8" t="s">
        <v>472</v>
      </c>
      <c r="E30" s="8">
        <v>7</v>
      </c>
      <c r="F30" s="16">
        <v>40</v>
      </c>
      <c r="G30" s="11">
        <v>1</v>
      </c>
      <c r="H30" s="8" t="s">
        <v>456</v>
      </c>
      <c r="I30" s="8" t="s">
        <v>483</v>
      </c>
      <c r="J30" s="3"/>
      <c r="K30" s="4"/>
      <c r="L30" s="6" t="s">
        <v>454</v>
      </c>
    </row>
    <row r="31" ht="48" customHeight="1" spans="1:12">
      <c r="A31" s="20"/>
      <c r="B31" s="9">
        <v>46300</v>
      </c>
      <c r="C31" s="9">
        <v>46306</v>
      </c>
      <c r="D31" s="8" t="s">
        <v>472</v>
      </c>
      <c r="E31" s="8">
        <v>7</v>
      </c>
      <c r="F31" s="16">
        <v>40</v>
      </c>
      <c r="G31" s="11">
        <v>1</v>
      </c>
      <c r="H31" s="8" t="s">
        <v>456</v>
      </c>
      <c r="I31" s="8" t="s">
        <v>483</v>
      </c>
      <c r="J31" s="3"/>
      <c r="K31" s="4"/>
      <c r="L31" s="6" t="s">
        <v>454</v>
      </c>
    </row>
    <row r="32" ht="48" customHeight="1" spans="1:12">
      <c r="A32" s="20"/>
      <c r="B32" s="9">
        <v>46307</v>
      </c>
      <c r="C32" s="9">
        <v>46313</v>
      </c>
      <c r="D32" s="8" t="s">
        <v>472</v>
      </c>
      <c r="E32" s="8">
        <v>32</v>
      </c>
      <c r="F32" s="16">
        <v>40</v>
      </c>
      <c r="G32" s="11">
        <v>1</v>
      </c>
      <c r="H32" s="8" t="s">
        <v>456</v>
      </c>
      <c r="I32" s="8" t="s">
        <v>484</v>
      </c>
      <c r="J32" s="3"/>
      <c r="K32" s="4"/>
      <c r="L32" s="6" t="s">
        <v>454</v>
      </c>
    </row>
    <row r="33" ht="48" customHeight="1" spans="1:12">
      <c r="A33" s="20"/>
      <c r="B33" s="9">
        <v>46314</v>
      </c>
      <c r="C33" s="9">
        <v>46320</v>
      </c>
      <c r="D33" s="8" t="s">
        <v>472</v>
      </c>
      <c r="E33" s="8">
        <v>32</v>
      </c>
      <c r="F33" s="16">
        <v>40</v>
      </c>
      <c r="G33" s="11">
        <v>1</v>
      </c>
      <c r="H33" s="8" t="s">
        <v>456</v>
      </c>
      <c r="I33" s="8" t="s">
        <v>484</v>
      </c>
      <c r="J33" s="3"/>
      <c r="K33" s="4"/>
      <c r="L33" s="6" t="s">
        <v>454</v>
      </c>
    </row>
    <row r="34" ht="48" customHeight="1" spans="1:12">
      <c r="A34" s="20"/>
      <c r="B34" s="9">
        <v>46321</v>
      </c>
      <c r="C34" s="9">
        <v>46327</v>
      </c>
      <c r="D34" s="8" t="s">
        <v>472</v>
      </c>
      <c r="E34" s="8">
        <v>32</v>
      </c>
      <c r="F34" s="16">
        <v>40</v>
      </c>
      <c r="G34" s="11">
        <v>1</v>
      </c>
      <c r="H34" s="8" t="s">
        <v>456</v>
      </c>
      <c r="I34" s="8" t="s">
        <v>484</v>
      </c>
      <c r="J34" s="3"/>
      <c r="K34" s="4"/>
      <c r="L34" s="6" t="s">
        <v>454</v>
      </c>
    </row>
    <row r="35" ht="48" customHeight="1" spans="1:12">
      <c r="A35" s="20"/>
      <c r="B35" s="9">
        <v>46328</v>
      </c>
      <c r="C35" s="9">
        <v>46334</v>
      </c>
      <c r="D35" s="8" t="s">
        <v>472</v>
      </c>
      <c r="E35" s="8">
        <v>32</v>
      </c>
      <c r="F35" s="16">
        <v>40</v>
      </c>
      <c r="G35" s="11">
        <v>1</v>
      </c>
      <c r="H35" s="8" t="s">
        <v>456</v>
      </c>
      <c r="I35" s="8" t="s">
        <v>484</v>
      </c>
      <c r="J35" s="3"/>
      <c r="K35" s="4"/>
      <c r="L35" s="6" t="s">
        <v>454</v>
      </c>
    </row>
    <row r="36" ht="48" customHeight="1" spans="1:12">
      <c r="A36" s="20"/>
      <c r="B36" s="9">
        <v>46335</v>
      </c>
      <c r="C36" s="9">
        <v>46341</v>
      </c>
      <c r="D36" s="8" t="s">
        <v>472</v>
      </c>
      <c r="E36" s="8">
        <v>32</v>
      </c>
      <c r="F36" s="16">
        <v>40</v>
      </c>
      <c r="G36" s="11">
        <v>1</v>
      </c>
      <c r="H36" s="8" t="s">
        <v>456</v>
      </c>
      <c r="I36" s="8" t="s">
        <v>484</v>
      </c>
      <c r="J36" s="3"/>
      <c r="K36" s="4"/>
      <c r="L36" s="6" t="s">
        <v>454</v>
      </c>
    </row>
    <row r="37" ht="20" customHeight="1" spans="1:12">
      <c r="A37" s="20"/>
      <c r="B37" s="9">
        <v>46342</v>
      </c>
      <c r="C37" s="9">
        <v>46348</v>
      </c>
      <c r="D37" s="8" t="s">
        <v>485</v>
      </c>
      <c r="E37" s="8">
        <v>0</v>
      </c>
      <c r="F37" s="16">
        <v>0</v>
      </c>
      <c r="G37" s="11">
        <v>0</v>
      </c>
      <c r="H37" s="8" t="s">
        <v>486</v>
      </c>
      <c r="I37" s="8" t="s">
        <v>487</v>
      </c>
      <c r="J37" s="3"/>
      <c r="K37" s="4"/>
      <c r="L37" s="6" t="s">
        <v>454</v>
      </c>
    </row>
    <row r="38" ht="20" customHeight="1" spans="1:12">
      <c r="A38" s="21"/>
      <c r="B38" s="9">
        <v>46349</v>
      </c>
      <c r="C38" s="9">
        <v>46355</v>
      </c>
      <c r="D38" s="8" t="s">
        <v>485</v>
      </c>
      <c r="E38" s="8">
        <v>0</v>
      </c>
      <c r="F38" s="16">
        <v>0</v>
      </c>
      <c r="G38" s="11">
        <v>0</v>
      </c>
      <c r="H38" s="8" t="s">
        <v>486</v>
      </c>
      <c r="I38" s="8" t="s">
        <v>487</v>
      </c>
      <c r="J38" s="3"/>
      <c r="K38" s="4"/>
      <c r="L38" s="6" t="s">
        <v>454</v>
      </c>
    </row>
    <row r="39" ht="20" customHeight="1" spans="1:12">
      <c r="A39" s="19" t="s">
        <v>200</v>
      </c>
      <c r="B39" s="9">
        <v>46195</v>
      </c>
      <c r="C39" s="9">
        <v>46201</v>
      </c>
      <c r="D39" s="8" t="s">
        <v>485</v>
      </c>
      <c r="E39" s="8">
        <v>0</v>
      </c>
      <c r="F39" s="16">
        <v>0</v>
      </c>
      <c r="G39" s="11">
        <v>0</v>
      </c>
      <c r="H39" s="8" t="s">
        <v>486</v>
      </c>
      <c r="I39" s="8" t="s">
        <v>487</v>
      </c>
      <c r="J39" s="3"/>
      <c r="K39" s="4"/>
      <c r="L39" s="6" t="s">
        <v>200</v>
      </c>
    </row>
    <row r="40" ht="20" customHeight="1" spans="1:12">
      <c r="A40" s="20"/>
      <c r="B40" s="9">
        <v>46202</v>
      </c>
      <c r="C40" s="9">
        <v>46208</v>
      </c>
      <c r="D40" s="8" t="s">
        <v>485</v>
      </c>
      <c r="E40" s="8">
        <v>0</v>
      </c>
      <c r="F40" s="16">
        <v>0</v>
      </c>
      <c r="G40" s="11">
        <v>0</v>
      </c>
      <c r="H40" s="8" t="s">
        <v>486</v>
      </c>
      <c r="I40" s="8" t="s">
        <v>487</v>
      </c>
      <c r="J40" s="3"/>
      <c r="K40" s="4"/>
      <c r="L40" s="6" t="s">
        <v>200</v>
      </c>
    </row>
    <row r="41" ht="48" customHeight="1" spans="1:12">
      <c r="A41" s="20"/>
      <c r="B41" s="9">
        <v>46209</v>
      </c>
      <c r="C41" s="9">
        <v>46215</v>
      </c>
      <c r="D41" s="8" t="s">
        <v>472</v>
      </c>
      <c r="E41" s="8">
        <v>3</v>
      </c>
      <c r="F41" s="16">
        <v>40</v>
      </c>
      <c r="G41" s="11">
        <v>1</v>
      </c>
      <c r="H41" s="8" t="s">
        <v>456</v>
      </c>
      <c r="I41" s="8" t="s">
        <v>488</v>
      </c>
      <c r="J41" s="3"/>
      <c r="K41" s="4"/>
      <c r="L41" s="6" t="s">
        <v>200</v>
      </c>
    </row>
    <row r="42" ht="48" customHeight="1" spans="1:12">
      <c r="A42" s="20"/>
      <c r="B42" s="9">
        <v>46216</v>
      </c>
      <c r="C42" s="9">
        <v>46222</v>
      </c>
      <c r="D42" s="8" t="s">
        <v>472</v>
      </c>
      <c r="E42" s="8">
        <v>3</v>
      </c>
      <c r="F42" s="16">
        <v>40</v>
      </c>
      <c r="G42" s="11">
        <v>1</v>
      </c>
      <c r="H42" s="8" t="s">
        <v>456</v>
      </c>
      <c r="I42" s="8" t="s">
        <v>488</v>
      </c>
      <c r="J42" s="3"/>
      <c r="K42" s="4"/>
      <c r="L42" s="6" t="s">
        <v>200</v>
      </c>
    </row>
    <row r="43" ht="48" customHeight="1" spans="1:12">
      <c r="A43" s="20"/>
      <c r="B43" s="9">
        <v>46223</v>
      </c>
      <c r="C43" s="9">
        <v>46229</v>
      </c>
      <c r="D43" s="8" t="s">
        <v>472</v>
      </c>
      <c r="E43" s="8">
        <v>3</v>
      </c>
      <c r="F43" s="16">
        <v>40</v>
      </c>
      <c r="G43" s="11">
        <v>1</v>
      </c>
      <c r="H43" s="8" t="s">
        <v>456</v>
      </c>
      <c r="I43" s="8" t="s">
        <v>488</v>
      </c>
      <c r="J43" s="3"/>
      <c r="K43" s="4"/>
      <c r="L43" s="6" t="s">
        <v>200</v>
      </c>
    </row>
    <row r="44" ht="48" customHeight="1" spans="1:12">
      <c r="A44" s="20"/>
      <c r="B44" s="9">
        <v>46230</v>
      </c>
      <c r="C44" s="9">
        <v>46236</v>
      </c>
      <c r="D44" s="8" t="s">
        <v>472</v>
      </c>
      <c r="E44" s="8">
        <v>3</v>
      </c>
      <c r="F44" s="16">
        <v>40</v>
      </c>
      <c r="G44" s="11">
        <v>1</v>
      </c>
      <c r="H44" s="8" t="s">
        <v>456</v>
      </c>
      <c r="I44" s="8" t="s">
        <v>488</v>
      </c>
      <c r="J44" s="3"/>
      <c r="K44" s="4"/>
      <c r="L44" s="6" t="s">
        <v>200</v>
      </c>
    </row>
    <row r="45" ht="48" customHeight="1" spans="1:12">
      <c r="A45" s="20"/>
      <c r="B45" s="9">
        <v>46237</v>
      </c>
      <c r="C45" s="9">
        <v>46243</v>
      </c>
      <c r="D45" s="8" t="s">
        <v>472</v>
      </c>
      <c r="E45" s="8">
        <v>3</v>
      </c>
      <c r="F45" s="16">
        <v>40</v>
      </c>
      <c r="G45" s="11">
        <v>1</v>
      </c>
      <c r="H45" s="8" t="s">
        <v>456</v>
      </c>
      <c r="I45" s="8" t="s">
        <v>488</v>
      </c>
      <c r="J45" s="3"/>
      <c r="K45" s="4"/>
      <c r="L45" s="6" t="s">
        <v>200</v>
      </c>
    </row>
    <row r="46" ht="48" customHeight="1" spans="1:12">
      <c r="A46" s="20"/>
      <c r="B46" s="9">
        <v>46244</v>
      </c>
      <c r="C46" s="9">
        <v>46250</v>
      </c>
      <c r="D46" s="8" t="s">
        <v>472</v>
      </c>
      <c r="E46" s="8">
        <v>3</v>
      </c>
      <c r="F46" s="16">
        <v>40</v>
      </c>
      <c r="G46" s="11">
        <v>1</v>
      </c>
      <c r="H46" s="8" t="s">
        <v>456</v>
      </c>
      <c r="I46" s="8" t="s">
        <v>488</v>
      </c>
      <c r="J46" s="3"/>
      <c r="K46" s="4"/>
      <c r="L46" s="6" t="s">
        <v>200</v>
      </c>
    </row>
    <row r="47" ht="48" customHeight="1" spans="1:12">
      <c r="A47" s="20"/>
      <c r="B47" s="9">
        <v>46251</v>
      </c>
      <c r="C47" s="9">
        <v>46257</v>
      </c>
      <c r="D47" s="8" t="s">
        <v>472</v>
      </c>
      <c r="E47" s="8">
        <v>3</v>
      </c>
      <c r="F47" s="16">
        <v>40</v>
      </c>
      <c r="G47" s="11">
        <v>1</v>
      </c>
      <c r="H47" s="8" t="s">
        <v>456</v>
      </c>
      <c r="I47" s="8" t="s">
        <v>488</v>
      </c>
      <c r="J47" s="3"/>
      <c r="K47" s="4"/>
      <c r="L47" s="6" t="s">
        <v>200</v>
      </c>
    </row>
    <row r="48" ht="48" customHeight="1" spans="1:12">
      <c r="A48" s="20"/>
      <c r="B48" s="9">
        <v>46258</v>
      </c>
      <c r="C48" s="9">
        <v>46264</v>
      </c>
      <c r="D48" s="8" t="s">
        <v>472</v>
      </c>
      <c r="E48" s="8">
        <v>3</v>
      </c>
      <c r="F48" s="16">
        <v>40</v>
      </c>
      <c r="G48" s="11">
        <v>1</v>
      </c>
      <c r="H48" s="8" t="s">
        <v>456</v>
      </c>
      <c r="I48" s="8" t="s">
        <v>488</v>
      </c>
      <c r="J48" s="3"/>
      <c r="K48" s="4"/>
      <c r="L48" s="6" t="s">
        <v>200</v>
      </c>
    </row>
    <row r="49" ht="48" customHeight="1" spans="1:12">
      <c r="A49" s="20"/>
      <c r="B49" s="9">
        <v>46265</v>
      </c>
      <c r="C49" s="9">
        <v>46271</v>
      </c>
      <c r="D49" s="8" t="s">
        <v>472</v>
      </c>
      <c r="E49" s="8">
        <v>4</v>
      </c>
      <c r="F49" s="16">
        <v>40</v>
      </c>
      <c r="G49" s="11">
        <v>1</v>
      </c>
      <c r="H49" s="8" t="s">
        <v>456</v>
      </c>
      <c r="I49" s="8" t="s">
        <v>489</v>
      </c>
      <c r="J49" s="3"/>
      <c r="K49" s="4"/>
      <c r="L49" s="6" t="s">
        <v>200</v>
      </c>
    </row>
    <row r="50" ht="48" customHeight="1" spans="1:12">
      <c r="A50" s="20"/>
      <c r="B50" s="9">
        <v>46272</v>
      </c>
      <c r="C50" s="9">
        <v>46278</v>
      </c>
      <c r="D50" s="8" t="s">
        <v>472</v>
      </c>
      <c r="E50" s="8">
        <v>1</v>
      </c>
      <c r="F50" s="16">
        <v>40</v>
      </c>
      <c r="G50" s="11">
        <v>1</v>
      </c>
      <c r="H50" s="8" t="s">
        <v>456</v>
      </c>
      <c r="I50" s="8" t="s">
        <v>490</v>
      </c>
      <c r="J50" s="3"/>
      <c r="K50" s="4"/>
      <c r="L50" s="6" t="s">
        <v>200</v>
      </c>
    </row>
    <row r="51" ht="20" customHeight="1" spans="1:12">
      <c r="A51" s="20"/>
      <c r="B51" s="9">
        <v>46279</v>
      </c>
      <c r="C51" s="9">
        <v>46285</v>
      </c>
      <c r="D51" s="8" t="s">
        <v>485</v>
      </c>
      <c r="E51" s="8">
        <v>0</v>
      </c>
      <c r="F51" s="16">
        <v>0</v>
      </c>
      <c r="G51" s="11">
        <v>0</v>
      </c>
      <c r="H51" s="8" t="s">
        <v>486</v>
      </c>
      <c r="I51" s="8" t="s">
        <v>487</v>
      </c>
      <c r="J51" s="3"/>
      <c r="K51" s="4"/>
      <c r="L51" s="6" t="s">
        <v>200</v>
      </c>
    </row>
    <row r="52" ht="48" customHeight="1" spans="1:12">
      <c r="A52" s="20"/>
      <c r="B52" s="9">
        <v>46286</v>
      </c>
      <c r="C52" s="9">
        <v>46292</v>
      </c>
      <c r="D52" s="8" t="s">
        <v>472</v>
      </c>
      <c r="E52" s="8">
        <v>3</v>
      </c>
      <c r="F52" s="16">
        <v>40</v>
      </c>
      <c r="G52" s="11">
        <v>1</v>
      </c>
      <c r="H52" s="8" t="s">
        <v>456</v>
      </c>
      <c r="I52" s="8" t="s">
        <v>491</v>
      </c>
      <c r="J52" s="3"/>
      <c r="K52" s="4"/>
      <c r="L52" s="6" t="s">
        <v>200</v>
      </c>
    </row>
    <row r="53" ht="48" customHeight="1" spans="1:12">
      <c r="A53" s="20"/>
      <c r="B53" s="9">
        <v>46293</v>
      </c>
      <c r="C53" s="9">
        <v>46299</v>
      </c>
      <c r="D53" s="8" t="s">
        <v>472</v>
      </c>
      <c r="E53" s="8">
        <v>4</v>
      </c>
      <c r="F53" s="16">
        <v>40</v>
      </c>
      <c r="G53" s="11">
        <v>1</v>
      </c>
      <c r="H53" s="8" t="s">
        <v>456</v>
      </c>
      <c r="I53" s="8" t="s">
        <v>492</v>
      </c>
      <c r="J53" s="3"/>
      <c r="K53" s="4"/>
      <c r="L53" s="6" t="s">
        <v>200</v>
      </c>
    </row>
    <row r="54" ht="48" customHeight="1" spans="1:12">
      <c r="A54" s="20"/>
      <c r="B54" s="9">
        <v>46300</v>
      </c>
      <c r="C54" s="9">
        <v>46306</v>
      </c>
      <c r="D54" s="8" t="s">
        <v>472</v>
      </c>
      <c r="E54" s="8">
        <v>4</v>
      </c>
      <c r="F54" s="16">
        <v>40</v>
      </c>
      <c r="G54" s="11">
        <v>1</v>
      </c>
      <c r="H54" s="8" t="s">
        <v>456</v>
      </c>
      <c r="I54" s="8" t="s">
        <v>492</v>
      </c>
      <c r="J54" s="3"/>
      <c r="K54" s="4"/>
      <c r="L54" s="6" t="s">
        <v>200</v>
      </c>
    </row>
    <row r="55" ht="48" customHeight="1" spans="1:12">
      <c r="A55" s="20"/>
      <c r="B55" s="9">
        <v>46307</v>
      </c>
      <c r="C55" s="9">
        <v>46313</v>
      </c>
      <c r="D55" s="8" t="s">
        <v>472</v>
      </c>
      <c r="E55" s="8">
        <v>7</v>
      </c>
      <c r="F55" s="16">
        <v>40</v>
      </c>
      <c r="G55" s="11">
        <v>1</v>
      </c>
      <c r="H55" s="8" t="s">
        <v>456</v>
      </c>
      <c r="I55" s="8" t="s">
        <v>493</v>
      </c>
      <c r="J55" s="3"/>
      <c r="K55" s="4"/>
      <c r="L55" s="6" t="s">
        <v>200</v>
      </c>
    </row>
    <row r="56" ht="48" customHeight="1" spans="1:12">
      <c r="A56" s="20"/>
      <c r="B56" s="9">
        <v>46314</v>
      </c>
      <c r="C56" s="9">
        <v>46320</v>
      </c>
      <c r="D56" s="8" t="s">
        <v>472</v>
      </c>
      <c r="E56" s="8">
        <v>3</v>
      </c>
      <c r="F56" s="16">
        <v>40</v>
      </c>
      <c r="G56" s="11">
        <v>1</v>
      </c>
      <c r="H56" s="8" t="s">
        <v>456</v>
      </c>
      <c r="I56" s="8" t="s">
        <v>494</v>
      </c>
      <c r="J56" s="3"/>
      <c r="K56" s="4"/>
      <c r="L56" s="6" t="s">
        <v>200</v>
      </c>
    </row>
    <row r="57" ht="48" customHeight="1" spans="1:12">
      <c r="A57" s="20"/>
      <c r="B57" s="9">
        <v>46321</v>
      </c>
      <c r="C57" s="9">
        <v>46327</v>
      </c>
      <c r="D57" s="8" t="s">
        <v>472</v>
      </c>
      <c r="E57" s="8">
        <v>3</v>
      </c>
      <c r="F57" s="16">
        <v>40</v>
      </c>
      <c r="G57" s="11">
        <v>1</v>
      </c>
      <c r="H57" s="8" t="s">
        <v>456</v>
      </c>
      <c r="I57" s="8" t="s">
        <v>494</v>
      </c>
      <c r="J57" s="3"/>
      <c r="K57" s="4"/>
      <c r="L57" s="6" t="s">
        <v>200</v>
      </c>
    </row>
    <row r="58" ht="48" customHeight="1" spans="1:12">
      <c r="A58" s="20"/>
      <c r="B58" s="9">
        <v>46328</v>
      </c>
      <c r="C58" s="9">
        <v>46334</v>
      </c>
      <c r="D58" s="8" t="s">
        <v>472</v>
      </c>
      <c r="E58" s="8">
        <v>3</v>
      </c>
      <c r="F58" s="16">
        <v>40</v>
      </c>
      <c r="G58" s="11">
        <v>1</v>
      </c>
      <c r="H58" s="8" t="s">
        <v>456</v>
      </c>
      <c r="I58" s="8" t="s">
        <v>494</v>
      </c>
      <c r="J58" s="3"/>
      <c r="K58" s="4"/>
      <c r="L58" s="6" t="s">
        <v>200</v>
      </c>
    </row>
    <row r="59" ht="48" customHeight="1" spans="1:12">
      <c r="A59" s="20"/>
      <c r="B59" s="9">
        <v>46335</v>
      </c>
      <c r="C59" s="9">
        <v>46341</v>
      </c>
      <c r="D59" s="8" t="s">
        <v>472</v>
      </c>
      <c r="E59" s="8">
        <v>3</v>
      </c>
      <c r="F59" s="16">
        <v>40</v>
      </c>
      <c r="G59" s="11">
        <v>1</v>
      </c>
      <c r="H59" s="8" t="s">
        <v>456</v>
      </c>
      <c r="I59" s="8" t="s">
        <v>494</v>
      </c>
      <c r="J59" s="3"/>
      <c r="K59" s="4"/>
      <c r="L59" s="6" t="s">
        <v>200</v>
      </c>
    </row>
    <row r="60" ht="20" customHeight="1" spans="1:12">
      <c r="A60" s="20"/>
      <c r="B60" s="9">
        <v>46342</v>
      </c>
      <c r="C60" s="9">
        <v>46348</v>
      </c>
      <c r="D60" s="8" t="s">
        <v>485</v>
      </c>
      <c r="E60" s="8">
        <v>0</v>
      </c>
      <c r="F60" s="16">
        <v>0</v>
      </c>
      <c r="G60" s="11">
        <v>0</v>
      </c>
      <c r="H60" s="8" t="s">
        <v>486</v>
      </c>
      <c r="I60" s="8" t="s">
        <v>487</v>
      </c>
      <c r="J60" s="3"/>
      <c r="K60" s="4"/>
      <c r="L60" s="6" t="s">
        <v>200</v>
      </c>
    </row>
    <row r="61" ht="20" customHeight="1" spans="1:12">
      <c r="A61" s="21"/>
      <c r="B61" s="9">
        <v>46349</v>
      </c>
      <c r="C61" s="9">
        <v>46355</v>
      </c>
      <c r="D61" s="8" t="s">
        <v>485</v>
      </c>
      <c r="E61" s="8">
        <v>0</v>
      </c>
      <c r="F61" s="16">
        <v>0</v>
      </c>
      <c r="G61" s="11">
        <v>0</v>
      </c>
      <c r="H61" s="8" t="s">
        <v>486</v>
      </c>
      <c r="I61" s="8" t="s">
        <v>487</v>
      </c>
      <c r="J61" s="3"/>
      <c r="K61" s="4"/>
      <c r="L61" s="6" t="s">
        <v>200</v>
      </c>
    </row>
    <row r="62" ht="48" customHeight="1" spans="1:12">
      <c r="A62" s="19" t="s">
        <v>459</v>
      </c>
      <c r="B62" s="9">
        <v>46195</v>
      </c>
      <c r="C62" s="9">
        <v>46201</v>
      </c>
      <c r="D62" s="8" t="s">
        <v>472</v>
      </c>
      <c r="E62" s="8">
        <v>4</v>
      </c>
      <c r="F62" s="16">
        <v>40</v>
      </c>
      <c r="G62" s="11">
        <v>1</v>
      </c>
      <c r="H62" s="8" t="s">
        <v>456</v>
      </c>
      <c r="I62" s="8" t="s">
        <v>473</v>
      </c>
      <c r="J62" s="3"/>
      <c r="K62" s="4"/>
      <c r="L62" s="6" t="s">
        <v>459</v>
      </c>
    </row>
    <row r="63" ht="48" customHeight="1" spans="1:12">
      <c r="A63" s="20"/>
      <c r="B63" s="9">
        <v>46202</v>
      </c>
      <c r="C63" s="9">
        <v>46208</v>
      </c>
      <c r="D63" s="8" t="s">
        <v>472</v>
      </c>
      <c r="E63" s="8">
        <v>4</v>
      </c>
      <c r="F63" s="16">
        <v>40</v>
      </c>
      <c r="G63" s="11">
        <v>1</v>
      </c>
      <c r="H63" s="8" t="s">
        <v>456</v>
      </c>
      <c r="I63" s="8" t="s">
        <v>473</v>
      </c>
      <c r="J63" s="3"/>
      <c r="K63" s="4"/>
      <c r="L63" s="6" t="s">
        <v>459</v>
      </c>
    </row>
    <row r="64" ht="48" customHeight="1" spans="1:12">
      <c r="A64" s="20"/>
      <c r="B64" s="9">
        <v>46209</v>
      </c>
      <c r="C64" s="9">
        <v>46215</v>
      </c>
      <c r="D64" s="8" t="s">
        <v>472</v>
      </c>
      <c r="E64" s="8">
        <v>22</v>
      </c>
      <c r="F64" s="16">
        <v>40</v>
      </c>
      <c r="G64" s="11">
        <v>1</v>
      </c>
      <c r="H64" s="8" t="s">
        <v>456</v>
      </c>
      <c r="I64" s="8" t="s">
        <v>474</v>
      </c>
      <c r="J64" s="3"/>
      <c r="K64" s="4"/>
      <c r="L64" s="6" t="s">
        <v>459</v>
      </c>
    </row>
    <row r="65" ht="48" customHeight="1" spans="1:12">
      <c r="A65" s="20"/>
      <c r="B65" s="9">
        <v>46216</v>
      </c>
      <c r="C65" s="9">
        <v>46222</v>
      </c>
      <c r="D65" s="8" t="s">
        <v>472</v>
      </c>
      <c r="E65" s="8">
        <v>22</v>
      </c>
      <c r="F65" s="16">
        <v>40</v>
      </c>
      <c r="G65" s="11">
        <v>1</v>
      </c>
      <c r="H65" s="8" t="s">
        <v>456</v>
      </c>
      <c r="I65" s="8" t="s">
        <v>474</v>
      </c>
      <c r="J65" s="3"/>
      <c r="K65" s="4"/>
      <c r="L65" s="6" t="s">
        <v>459</v>
      </c>
    </row>
    <row r="66" ht="48" customHeight="1" spans="1:12">
      <c r="A66" s="20"/>
      <c r="B66" s="9">
        <v>46223</v>
      </c>
      <c r="C66" s="9">
        <v>46229</v>
      </c>
      <c r="D66" s="8" t="s">
        <v>472</v>
      </c>
      <c r="E66" s="8">
        <v>30</v>
      </c>
      <c r="F66" s="16">
        <v>40</v>
      </c>
      <c r="G66" s="11">
        <v>1</v>
      </c>
      <c r="H66" s="8" t="s">
        <v>456</v>
      </c>
      <c r="I66" s="8" t="s">
        <v>475</v>
      </c>
      <c r="J66" s="3"/>
      <c r="K66" s="4"/>
      <c r="L66" s="6" t="s">
        <v>459</v>
      </c>
    </row>
    <row r="67" ht="48" customHeight="1" spans="1:12">
      <c r="A67" s="20"/>
      <c r="B67" s="9">
        <v>46230</v>
      </c>
      <c r="C67" s="9">
        <v>46236</v>
      </c>
      <c r="D67" s="8" t="s">
        <v>472</v>
      </c>
      <c r="E67" s="8">
        <v>28</v>
      </c>
      <c r="F67" s="16">
        <v>40</v>
      </c>
      <c r="G67" s="11">
        <v>1</v>
      </c>
      <c r="H67" s="8" t="s">
        <v>456</v>
      </c>
      <c r="I67" s="8" t="s">
        <v>476</v>
      </c>
      <c r="J67" s="3"/>
      <c r="K67" s="4"/>
      <c r="L67" s="6" t="s">
        <v>459</v>
      </c>
    </row>
    <row r="68" ht="48" customHeight="1" spans="1:12">
      <c r="A68" s="20"/>
      <c r="B68" s="9">
        <v>46237</v>
      </c>
      <c r="C68" s="9">
        <v>46243</v>
      </c>
      <c r="D68" s="8" t="s">
        <v>472</v>
      </c>
      <c r="E68" s="8">
        <v>31</v>
      </c>
      <c r="F68" s="16">
        <v>40</v>
      </c>
      <c r="G68" s="11">
        <v>1</v>
      </c>
      <c r="H68" s="8" t="s">
        <v>456</v>
      </c>
      <c r="I68" s="8" t="s">
        <v>477</v>
      </c>
      <c r="J68" s="3"/>
      <c r="K68" s="4"/>
      <c r="L68" s="6" t="s">
        <v>459</v>
      </c>
    </row>
    <row r="69" ht="48" customHeight="1" spans="1:12">
      <c r="A69" s="20"/>
      <c r="B69" s="9">
        <v>46244</v>
      </c>
      <c r="C69" s="9">
        <v>46250</v>
      </c>
      <c r="D69" s="8" t="s">
        <v>472</v>
      </c>
      <c r="E69" s="8">
        <v>30</v>
      </c>
      <c r="F69" s="16">
        <v>40</v>
      </c>
      <c r="G69" s="11">
        <v>1</v>
      </c>
      <c r="H69" s="8" t="s">
        <v>456</v>
      </c>
      <c r="I69" s="8" t="s">
        <v>478</v>
      </c>
      <c r="J69" s="3"/>
      <c r="K69" s="4"/>
      <c r="L69" s="6" t="s">
        <v>459</v>
      </c>
    </row>
    <row r="70" ht="48" customHeight="1" spans="1:12">
      <c r="A70" s="20"/>
      <c r="B70" s="9">
        <v>46251</v>
      </c>
      <c r="C70" s="9">
        <v>46257</v>
      </c>
      <c r="D70" s="8" t="s">
        <v>472</v>
      </c>
      <c r="E70" s="8">
        <v>30</v>
      </c>
      <c r="F70" s="16">
        <v>40</v>
      </c>
      <c r="G70" s="11">
        <v>1</v>
      </c>
      <c r="H70" s="8" t="s">
        <v>456</v>
      </c>
      <c r="I70" s="8" t="s">
        <v>478</v>
      </c>
      <c r="J70" s="3"/>
      <c r="K70" s="4"/>
      <c r="L70" s="6" t="s">
        <v>459</v>
      </c>
    </row>
    <row r="71" ht="48" customHeight="1" spans="1:12">
      <c r="A71" s="20"/>
      <c r="B71" s="9">
        <v>46258</v>
      </c>
      <c r="C71" s="9">
        <v>46264</v>
      </c>
      <c r="D71" s="8" t="s">
        <v>472</v>
      </c>
      <c r="E71" s="8">
        <v>27</v>
      </c>
      <c r="F71" s="16">
        <v>40</v>
      </c>
      <c r="G71" s="11">
        <v>1</v>
      </c>
      <c r="H71" s="8" t="s">
        <v>456</v>
      </c>
      <c r="I71" s="8" t="s">
        <v>479</v>
      </c>
      <c r="J71" s="3"/>
      <c r="K71" s="4"/>
      <c r="L71" s="6" t="s">
        <v>459</v>
      </c>
    </row>
    <row r="72" ht="48" customHeight="1" spans="1:12">
      <c r="A72" s="20"/>
      <c r="B72" s="9">
        <v>46265</v>
      </c>
      <c r="C72" s="9">
        <v>46271</v>
      </c>
      <c r="D72" s="8" t="s">
        <v>472</v>
      </c>
      <c r="E72" s="8">
        <v>13</v>
      </c>
      <c r="F72" s="16">
        <v>40</v>
      </c>
      <c r="G72" s="11">
        <v>1</v>
      </c>
      <c r="H72" s="8" t="s">
        <v>456</v>
      </c>
      <c r="I72" s="8" t="s">
        <v>480</v>
      </c>
      <c r="J72" s="3"/>
      <c r="K72" s="4"/>
      <c r="L72" s="6" t="s">
        <v>459</v>
      </c>
    </row>
    <row r="73" ht="48" customHeight="1" spans="1:12">
      <c r="A73" s="20"/>
      <c r="B73" s="9">
        <v>46272</v>
      </c>
      <c r="C73" s="9">
        <v>46278</v>
      </c>
      <c r="D73" s="8" t="s">
        <v>472</v>
      </c>
      <c r="E73" s="8">
        <v>23</v>
      </c>
      <c r="F73" s="16">
        <v>40</v>
      </c>
      <c r="G73" s="11">
        <v>1</v>
      </c>
      <c r="H73" s="8" t="s">
        <v>456</v>
      </c>
      <c r="I73" s="8" t="s">
        <v>481</v>
      </c>
      <c r="J73" s="3"/>
      <c r="K73" s="4"/>
      <c r="L73" s="6" t="s">
        <v>459</v>
      </c>
    </row>
    <row r="74" ht="48" customHeight="1" spans="1:12">
      <c r="A74" s="20"/>
      <c r="B74" s="9">
        <v>46279</v>
      </c>
      <c r="C74" s="9">
        <v>46285</v>
      </c>
      <c r="D74" s="8" t="s">
        <v>472</v>
      </c>
      <c r="E74" s="8">
        <v>15</v>
      </c>
      <c r="F74" s="16">
        <v>40</v>
      </c>
      <c r="G74" s="11">
        <v>1</v>
      </c>
      <c r="H74" s="8" t="s">
        <v>456</v>
      </c>
      <c r="I74" s="8" t="s">
        <v>482</v>
      </c>
      <c r="J74" s="3"/>
      <c r="K74" s="4"/>
      <c r="L74" s="6" t="s">
        <v>459</v>
      </c>
    </row>
    <row r="75" ht="48" customHeight="1" spans="1:12">
      <c r="A75" s="20"/>
      <c r="B75" s="9">
        <v>46286</v>
      </c>
      <c r="C75" s="9">
        <v>46292</v>
      </c>
      <c r="D75" s="8" t="s">
        <v>472</v>
      </c>
      <c r="E75" s="8">
        <v>7</v>
      </c>
      <c r="F75" s="16">
        <v>40</v>
      </c>
      <c r="G75" s="11">
        <v>1</v>
      </c>
      <c r="H75" s="8" t="s">
        <v>456</v>
      </c>
      <c r="I75" s="8" t="s">
        <v>483</v>
      </c>
      <c r="J75" s="3"/>
      <c r="K75" s="4"/>
      <c r="L75" s="6" t="s">
        <v>459</v>
      </c>
    </row>
    <row r="76" ht="48" customHeight="1" spans="1:12">
      <c r="A76" s="20"/>
      <c r="B76" s="9">
        <v>46293</v>
      </c>
      <c r="C76" s="9">
        <v>46299</v>
      </c>
      <c r="D76" s="8" t="s">
        <v>472</v>
      </c>
      <c r="E76" s="8">
        <v>7</v>
      </c>
      <c r="F76" s="16">
        <v>40</v>
      </c>
      <c r="G76" s="11">
        <v>1</v>
      </c>
      <c r="H76" s="8" t="s">
        <v>456</v>
      </c>
      <c r="I76" s="8" t="s">
        <v>483</v>
      </c>
      <c r="J76" s="3"/>
      <c r="K76" s="4"/>
      <c r="L76" s="6" t="s">
        <v>459</v>
      </c>
    </row>
    <row r="77" ht="48" customHeight="1" spans="1:12">
      <c r="A77" s="20"/>
      <c r="B77" s="9">
        <v>46300</v>
      </c>
      <c r="C77" s="9">
        <v>46306</v>
      </c>
      <c r="D77" s="8" t="s">
        <v>472</v>
      </c>
      <c r="E77" s="8">
        <v>7</v>
      </c>
      <c r="F77" s="16">
        <v>40</v>
      </c>
      <c r="G77" s="11">
        <v>1</v>
      </c>
      <c r="H77" s="8" t="s">
        <v>456</v>
      </c>
      <c r="I77" s="8" t="s">
        <v>483</v>
      </c>
      <c r="J77" s="3"/>
      <c r="K77" s="4"/>
      <c r="L77" s="6" t="s">
        <v>459</v>
      </c>
    </row>
    <row r="78" ht="48" customHeight="1" spans="1:12">
      <c r="A78" s="20"/>
      <c r="B78" s="9">
        <v>46307</v>
      </c>
      <c r="C78" s="9">
        <v>46313</v>
      </c>
      <c r="D78" s="8" t="s">
        <v>472</v>
      </c>
      <c r="E78" s="8">
        <v>32</v>
      </c>
      <c r="F78" s="16">
        <v>40</v>
      </c>
      <c r="G78" s="11">
        <v>1</v>
      </c>
      <c r="H78" s="8" t="s">
        <v>456</v>
      </c>
      <c r="I78" s="8" t="s">
        <v>484</v>
      </c>
      <c r="J78" s="3"/>
      <c r="K78" s="4"/>
      <c r="L78" s="6" t="s">
        <v>459</v>
      </c>
    </row>
    <row r="79" ht="48" customHeight="1" spans="1:12">
      <c r="A79" s="20"/>
      <c r="B79" s="9">
        <v>46314</v>
      </c>
      <c r="C79" s="9">
        <v>46320</v>
      </c>
      <c r="D79" s="8" t="s">
        <v>472</v>
      </c>
      <c r="E79" s="8">
        <v>32</v>
      </c>
      <c r="F79" s="16">
        <v>40</v>
      </c>
      <c r="G79" s="11">
        <v>1</v>
      </c>
      <c r="H79" s="8" t="s">
        <v>456</v>
      </c>
      <c r="I79" s="8" t="s">
        <v>484</v>
      </c>
      <c r="J79" s="3"/>
      <c r="K79" s="4"/>
      <c r="L79" s="6" t="s">
        <v>459</v>
      </c>
    </row>
    <row r="80" ht="48" customHeight="1" spans="1:12">
      <c r="A80" s="20"/>
      <c r="B80" s="9">
        <v>46321</v>
      </c>
      <c r="C80" s="9">
        <v>46327</v>
      </c>
      <c r="D80" s="8" t="s">
        <v>472</v>
      </c>
      <c r="E80" s="8">
        <v>32</v>
      </c>
      <c r="F80" s="16">
        <v>40</v>
      </c>
      <c r="G80" s="11">
        <v>1</v>
      </c>
      <c r="H80" s="8" t="s">
        <v>456</v>
      </c>
      <c r="I80" s="8" t="s">
        <v>484</v>
      </c>
      <c r="J80" s="3"/>
      <c r="K80" s="4"/>
      <c r="L80" s="6" t="s">
        <v>459</v>
      </c>
    </row>
    <row r="81" ht="48" customHeight="1" spans="1:12">
      <c r="A81" s="20"/>
      <c r="B81" s="9">
        <v>46328</v>
      </c>
      <c r="C81" s="9">
        <v>46334</v>
      </c>
      <c r="D81" s="8" t="s">
        <v>472</v>
      </c>
      <c r="E81" s="8">
        <v>32</v>
      </c>
      <c r="F81" s="16">
        <v>40</v>
      </c>
      <c r="G81" s="11">
        <v>1</v>
      </c>
      <c r="H81" s="8" t="s">
        <v>456</v>
      </c>
      <c r="I81" s="8" t="s">
        <v>484</v>
      </c>
      <c r="J81" s="3"/>
      <c r="K81" s="4"/>
      <c r="L81" s="6" t="s">
        <v>459</v>
      </c>
    </row>
    <row r="82" ht="48" customHeight="1" spans="1:12">
      <c r="A82" s="20"/>
      <c r="B82" s="9">
        <v>46335</v>
      </c>
      <c r="C82" s="9">
        <v>46341</v>
      </c>
      <c r="D82" s="8" t="s">
        <v>472</v>
      </c>
      <c r="E82" s="8">
        <v>32</v>
      </c>
      <c r="F82" s="16">
        <v>40</v>
      </c>
      <c r="G82" s="11">
        <v>1</v>
      </c>
      <c r="H82" s="8" t="s">
        <v>456</v>
      </c>
      <c r="I82" s="8" t="s">
        <v>484</v>
      </c>
      <c r="J82" s="3"/>
      <c r="K82" s="4"/>
      <c r="L82" s="6" t="s">
        <v>459</v>
      </c>
    </row>
    <row r="83" ht="20" customHeight="1" spans="1:12">
      <c r="A83" s="20"/>
      <c r="B83" s="9">
        <v>46342</v>
      </c>
      <c r="C83" s="9">
        <v>46348</v>
      </c>
      <c r="D83" s="8" t="s">
        <v>485</v>
      </c>
      <c r="E83" s="8">
        <v>0</v>
      </c>
      <c r="F83" s="16">
        <v>0</v>
      </c>
      <c r="G83" s="11">
        <v>0</v>
      </c>
      <c r="H83" s="8" t="s">
        <v>486</v>
      </c>
      <c r="I83" s="8" t="s">
        <v>487</v>
      </c>
      <c r="J83" s="3"/>
      <c r="K83" s="4"/>
      <c r="L83" s="6" t="s">
        <v>459</v>
      </c>
    </row>
    <row r="84" ht="20" customHeight="1" spans="1:12">
      <c r="A84" s="21"/>
      <c r="B84" s="9">
        <v>46349</v>
      </c>
      <c r="C84" s="9">
        <v>46355</v>
      </c>
      <c r="D84" s="8" t="s">
        <v>485</v>
      </c>
      <c r="E84" s="8">
        <v>0</v>
      </c>
      <c r="F84" s="16">
        <v>0</v>
      </c>
      <c r="G84" s="11">
        <v>0</v>
      </c>
      <c r="H84" s="8" t="s">
        <v>486</v>
      </c>
      <c r="I84" s="8" t="s">
        <v>487</v>
      </c>
      <c r="J84" s="3"/>
      <c r="K84" s="4"/>
      <c r="L84" s="6" t="s">
        <v>459</v>
      </c>
    </row>
    <row r="85" ht="20" customHeight="1" spans="1:12">
      <c r="A85" s="19" t="s">
        <v>124</v>
      </c>
      <c r="B85" s="9">
        <v>46195</v>
      </c>
      <c r="C85" s="9">
        <v>46201</v>
      </c>
      <c r="D85" s="8" t="s">
        <v>485</v>
      </c>
      <c r="E85" s="8">
        <v>0</v>
      </c>
      <c r="F85" s="16">
        <v>0</v>
      </c>
      <c r="G85" s="11">
        <v>0</v>
      </c>
      <c r="H85" s="8" t="s">
        <v>486</v>
      </c>
      <c r="I85" s="8" t="s">
        <v>487</v>
      </c>
      <c r="J85" s="3"/>
      <c r="K85" s="4"/>
      <c r="L85" s="6" t="s">
        <v>124</v>
      </c>
    </row>
    <row r="86" ht="48" customHeight="1" spans="1:12">
      <c r="A86" s="20"/>
      <c r="B86" s="9">
        <v>46202</v>
      </c>
      <c r="C86" s="9">
        <v>46208</v>
      </c>
      <c r="D86" s="8" t="s">
        <v>472</v>
      </c>
      <c r="E86" s="8">
        <v>3</v>
      </c>
      <c r="F86" s="16">
        <v>40</v>
      </c>
      <c r="G86" s="11">
        <v>1</v>
      </c>
      <c r="H86" s="8" t="s">
        <v>456</v>
      </c>
      <c r="I86" s="8" t="s">
        <v>495</v>
      </c>
      <c r="J86" s="3"/>
      <c r="K86" s="4"/>
      <c r="L86" s="6" t="s">
        <v>124</v>
      </c>
    </row>
    <row r="87" ht="48" customHeight="1" spans="1:12">
      <c r="A87" s="20"/>
      <c r="B87" s="9">
        <v>46209</v>
      </c>
      <c r="C87" s="9">
        <v>46215</v>
      </c>
      <c r="D87" s="8" t="s">
        <v>472</v>
      </c>
      <c r="E87" s="8">
        <v>3</v>
      </c>
      <c r="F87" s="16">
        <v>40</v>
      </c>
      <c r="G87" s="11">
        <v>1</v>
      </c>
      <c r="H87" s="8" t="s">
        <v>456</v>
      </c>
      <c r="I87" s="8" t="s">
        <v>495</v>
      </c>
      <c r="J87" s="3"/>
      <c r="K87" s="4"/>
      <c r="L87" s="6" t="s">
        <v>124</v>
      </c>
    </row>
    <row r="88" ht="48" customHeight="1" spans="1:12">
      <c r="A88" s="20"/>
      <c r="B88" s="9">
        <v>46216</v>
      </c>
      <c r="C88" s="9">
        <v>46222</v>
      </c>
      <c r="D88" s="8" t="s">
        <v>472</v>
      </c>
      <c r="E88" s="8">
        <v>35</v>
      </c>
      <c r="F88" s="16">
        <v>40</v>
      </c>
      <c r="G88" s="11">
        <v>1</v>
      </c>
      <c r="H88" s="8" t="s">
        <v>456</v>
      </c>
      <c r="I88" s="8" t="s">
        <v>496</v>
      </c>
      <c r="J88" s="3"/>
      <c r="K88" s="4"/>
      <c r="L88" s="6" t="s">
        <v>124</v>
      </c>
    </row>
    <row r="89" ht="48" customHeight="1" spans="1:12">
      <c r="A89" s="20"/>
      <c r="B89" s="9">
        <v>46223</v>
      </c>
      <c r="C89" s="9">
        <v>46229</v>
      </c>
      <c r="D89" s="8" t="s">
        <v>472</v>
      </c>
      <c r="E89" s="8">
        <v>35</v>
      </c>
      <c r="F89" s="16">
        <v>40</v>
      </c>
      <c r="G89" s="11">
        <v>1</v>
      </c>
      <c r="H89" s="8" t="s">
        <v>456</v>
      </c>
      <c r="I89" s="8" t="s">
        <v>496</v>
      </c>
      <c r="J89" s="3"/>
      <c r="K89" s="4"/>
      <c r="L89" s="6" t="s">
        <v>124</v>
      </c>
    </row>
    <row r="90" ht="48" customHeight="1" spans="1:12">
      <c r="A90" s="20"/>
      <c r="B90" s="9">
        <v>46230</v>
      </c>
      <c r="C90" s="9">
        <v>46236</v>
      </c>
      <c r="D90" s="8" t="s">
        <v>472</v>
      </c>
      <c r="E90" s="8">
        <v>35</v>
      </c>
      <c r="F90" s="16">
        <v>40</v>
      </c>
      <c r="G90" s="11">
        <v>1</v>
      </c>
      <c r="H90" s="8" t="s">
        <v>456</v>
      </c>
      <c r="I90" s="8" t="s">
        <v>496</v>
      </c>
      <c r="J90" s="3"/>
      <c r="K90" s="4"/>
      <c r="L90" s="6" t="s">
        <v>124</v>
      </c>
    </row>
    <row r="91" ht="20" customHeight="1" spans="1:12">
      <c r="A91" s="20"/>
      <c r="B91" s="9">
        <v>46237</v>
      </c>
      <c r="C91" s="9">
        <v>46243</v>
      </c>
      <c r="D91" s="8" t="s">
        <v>485</v>
      </c>
      <c r="E91" s="8">
        <v>0</v>
      </c>
      <c r="F91" s="16">
        <v>0</v>
      </c>
      <c r="G91" s="11">
        <v>0</v>
      </c>
      <c r="H91" s="8" t="s">
        <v>486</v>
      </c>
      <c r="I91" s="8" t="s">
        <v>487</v>
      </c>
      <c r="J91" s="3"/>
      <c r="K91" s="4"/>
      <c r="L91" s="6" t="s">
        <v>124</v>
      </c>
    </row>
    <row r="92" ht="20" customHeight="1" spans="1:12">
      <c r="A92" s="20"/>
      <c r="B92" s="9">
        <v>46244</v>
      </c>
      <c r="C92" s="9">
        <v>46250</v>
      </c>
      <c r="D92" s="8" t="s">
        <v>485</v>
      </c>
      <c r="E92" s="8">
        <v>0</v>
      </c>
      <c r="F92" s="16">
        <v>0</v>
      </c>
      <c r="G92" s="11">
        <v>0</v>
      </c>
      <c r="H92" s="8" t="s">
        <v>486</v>
      </c>
      <c r="I92" s="8" t="s">
        <v>487</v>
      </c>
      <c r="J92" s="3"/>
      <c r="K92" s="4"/>
      <c r="L92" s="6" t="s">
        <v>124</v>
      </c>
    </row>
    <row r="93" ht="48" customHeight="1" spans="1:12">
      <c r="A93" s="20"/>
      <c r="B93" s="9">
        <v>46251</v>
      </c>
      <c r="C93" s="9">
        <v>46257</v>
      </c>
      <c r="D93" s="8" t="s">
        <v>472</v>
      </c>
      <c r="E93" s="8">
        <v>27</v>
      </c>
      <c r="F93" s="16">
        <v>40</v>
      </c>
      <c r="G93" s="11">
        <v>1</v>
      </c>
      <c r="H93" s="8" t="s">
        <v>456</v>
      </c>
      <c r="I93" s="8" t="s">
        <v>497</v>
      </c>
      <c r="J93" s="3"/>
      <c r="K93" s="4"/>
      <c r="L93" s="6" t="s">
        <v>124</v>
      </c>
    </row>
    <row r="94" ht="48" customHeight="1" spans="1:12">
      <c r="A94" s="20"/>
      <c r="B94" s="9">
        <v>46258</v>
      </c>
      <c r="C94" s="9">
        <v>46264</v>
      </c>
      <c r="D94" s="8" t="s">
        <v>472</v>
      </c>
      <c r="E94" s="8">
        <v>27</v>
      </c>
      <c r="F94" s="16">
        <v>40</v>
      </c>
      <c r="G94" s="11">
        <v>1</v>
      </c>
      <c r="H94" s="8" t="s">
        <v>456</v>
      </c>
      <c r="I94" s="8" t="s">
        <v>497</v>
      </c>
      <c r="J94" s="3"/>
      <c r="K94" s="4"/>
      <c r="L94" s="6" t="s">
        <v>124</v>
      </c>
    </row>
    <row r="95" ht="48" customHeight="1" spans="1:12">
      <c r="A95" s="20"/>
      <c r="B95" s="9">
        <v>46265</v>
      </c>
      <c r="C95" s="9">
        <v>46271</v>
      </c>
      <c r="D95" s="8" t="s">
        <v>472</v>
      </c>
      <c r="E95" s="8">
        <v>27</v>
      </c>
      <c r="F95" s="16">
        <v>40</v>
      </c>
      <c r="G95" s="11">
        <v>1</v>
      </c>
      <c r="H95" s="8" t="s">
        <v>456</v>
      </c>
      <c r="I95" s="8" t="s">
        <v>497</v>
      </c>
      <c r="J95" s="3"/>
      <c r="K95" s="4"/>
      <c r="L95" s="6" t="s">
        <v>124</v>
      </c>
    </row>
    <row r="96" ht="48" customHeight="1" spans="1:12">
      <c r="A96" s="20"/>
      <c r="B96" s="9">
        <v>46272</v>
      </c>
      <c r="C96" s="9">
        <v>46278</v>
      </c>
      <c r="D96" s="8" t="s">
        <v>472</v>
      </c>
      <c r="E96" s="8">
        <v>5</v>
      </c>
      <c r="F96" s="16">
        <v>40</v>
      </c>
      <c r="G96" s="11">
        <v>1</v>
      </c>
      <c r="H96" s="8" t="s">
        <v>456</v>
      </c>
      <c r="I96" s="8" t="s">
        <v>498</v>
      </c>
      <c r="J96" s="3"/>
      <c r="K96" s="4"/>
      <c r="L96" s="6" t="s">
        <v>124</v>
      </c>
    </row>
    <row r="97" ht="20" customHeight="1" spans="1:12">
      <c r="A97" s="20"/>
      <c r="B97" s="9">
        <v>46279</v>
      </c>
      <c r="C97" s="9">
        <v>46285</v>
      </c>
      <c r="D97" s="8" t="s">
        <v>485</v>
      </c>
      <c r="E97" s="8">
        <v>0</v>
      </c>
      <c r="F97" s="16">
        <v>0</v>
      </c>
      <c r="G97" s="11">
        <v>0</v>
      </c>
      <c r="H97" s="8" t="s">
        <v>486</v>
      </c>
      <c r="I97" s="8" t="s">
        <v>487</v>
      </c>
      <c r="J97" s="3"/>
      <c r="K97" s="4"/>
      <c r="L97" s="6" t="s">
        <v>124</v>
      </c>
    </row>
    <row r="98" ht="20" customHeight="1" spans="1:12">
      <c r="A98" s="20"/>
      <c r="B98" s="9">
        <v>46286</v>
      </c>
      <c r="C98" s="9">
        <v>46292</v>
      </c>
      <c r="D98" s="8" t="s">
        <v>485</v>
      </c>
      <c r="E98" s="8">
        <v>0</v>
      </c>
      <c r="F98" s="16">
        <v>0</v>
      </c>
      <c r="G98" s="11">
        <v>0</v>
      </c>
      <c r="H98" s="8" t="s">
        <v>486</v>
      </c>
      <c r="I98" s="8" t="s">
        <v>487</v>
      </c>
      <c r="J98" s="3"/>
      <c r="K98" s="4"/>
      <c r="L98" s="6" t="s">
        <v>124</v>
      </c>
    </row>
    <row r="99" ht="20" customHeight="1" spans="1:12">
      <c r="A99" s="20"/>
      <c r="B99" s="9">
        <v>46293</v>
      </c>
      <c r="C99" s="9">
        <v>46299</v>
      </c>
      <c r="D99" s="8" t="s">
        <v>485</v>
      </c>
      <c r="E99" s="8">
        <v>0</v>
      </c>
      <c r="F99" s="16">
        <v>0</v>
      </c>
      <c r="G99" s="11">
        <v>0</v>
      </c>
      <c r="H99" s="8" t="s">
        <v>486</v>
      </c>
      <c r="I99" s="8" t="s">
        <v>487</v>
      </c>
      <c r="J99" s="3"/>
      <c r="K99" s="4"/>
      <c r="L99" s="6" t="s">
        <v>124</v>
      </c>
    </row>
    <row r="100" ht="20" customHeight="1" spans="1:12">
      <c r="A100" s="20"/>
      <c r="B100" s="9">
        <v>46300</v>
      </c>
      <c r="C100" s="9">
        <v>46306</v>
      </c>
      <c r="D100" s="8" t="s">
        <v>485</v>
      </c>
      <c r="E100" s="8">
        <v>0</v>
      </c>
      <c r="F100" s="16">
        <v>0</v>
      </c>
      <c r="G100" s="11">
        <v>0</v>
      </c>
      <c r="H100" s="8" t="s">
        <v>486</v>
      </c>
      <c r="I100" s="8" t="s">
        <v>487</v>
      </c>
      <c r="J100" s="3"/>
      <c r="K100" s="4"/>
      <c r="L100" s="6" t="s">
        <v>124</v>
      </c>
    </row>
    <row r="101" ht="48" customHeight="1" spans="1:12">
      <c r="A101" s="20"/>
      <c r="B101" s="9">
        <v>46307</v>
      </c>
      <c r="C101" s="9">
        <v>46313</v>
      </c>
      <c r="D101" s="8" t="s">
        <v>472</v>
      </c>
      <c r="E101" s="8">
        <v>16</v>
      </c>
      <c r="F101" s="16">
        <v>40</v>
      </c>
      <c r="G101" s="11">
        <v>1</v>
      </c>
      <c r="H101" s="8" t="s">
        <v>456</v>
      </c>
      <c r="I101" s="8" t="s">
        <v>499</v>
      </c>
      <c r="J101" s="3"/>
      <c r="K101" s="4"/>
      <c r="L101" s="6" t="s">
        <v>124</v>
      </c>
    </row>
    <row r="102" ht="48" customHeight="1" spans="1:12">
      <c r="A102" s="20"/>
      <c r="B102" s="9">
        <v>46314</v>
      </c>
      <c r="C102" s="9">
        <v>46320</v>
      </c>
      <c r="D102" s="8" t="s">
        <v>472</v>
      </c>
      <c r="E102" s="8">
        <v>16</v>
      </c>
      <c r="F102" s="16">
        <v>40</v>
      </c>
      <c r="G102" s="11">
        <v>1</v>
      </c>
      <c r="H102" s="8" t="s">
        <v>456</v>
      </c>
      <c r="I102" s="8" t="s">
        <v>499</v>
      </c>
      <c r="J102" s="3"/>
      <c r="K102" s="4"/>
      <c r="L102" s="6" t="s">
        <v>124</v>
      </c>
    </row>
    <row r="103" ht="20" customHeight="1" spans="1:12">
      <c r="A103" s="20"/>
      <c r="B103" s="9">
        <v>46321</v>
      </c>
      <c r="C103" s="9">
        <v>46327</v>
      </c>
      <c r="D103" s="8" t="s">
        <v>485</v>
      </c>
      <c r="E103" s="8">
        <v>0</v>
      </c>
      <c r="F103" s="16">
        <v>0</v>
      </c>
      <c r="G103" s="11">
        <v>0</v>
      </c>
      <c r="H103" s="8" t="s">
        <v>486</v>
      </c>
      <c r="I103" s="8" t="s">
        <v>487</v>
      </c>
      <c r="J103" s="3"/>
      <c r="K103" s="4"/>
      <c r="L103" s="6" t="s">
        <v>124</v>
      </c>
    </row>
    <row r="104" ht="20" customHeight="1" spans="1:12">
      <c r="A104" s="20"/>
      <c r="B104" s="9">
        <v>46328</v>
      </c>
      <c r="C104" s="9">
        <v>46334</v>
      </c>
      <c r="D104" s="8" t="s">
        <v>485</v>
      </c>
      <c r="E104" s="8">
        <v>0</v>
      </c>
      <c r="F104" s="16">
        <v>0</v>
      </c>
      <c r="G104" s="11">
        <v>0</v>
      </c>
      <c r="H104" s="8" t="s">
        <v>486</v>
      </c>
      <c r="I104" s="8" t="s">
        <v>487</v>
      </c>
      <c r="J104" s="3"/>
      <c r="K104" s="4"/>
      <c r="L104" s="6" t="s">
        <v>124</v>
      </c>
    </row>
    <row r="105" ht="20" customHeight="1" spans="1:12">
      <c r="A105" s="20"/>
      <c r="B105" s="9">
        <v>46335</v>
      </c>
      <c r="C105" s="9">
        <v>46341</v>
      </c>
      <c r="D105" s="8" t="s">
        <v>485</v>
      </c>
      <c r="E105" s="8">
        <v>0</v>
      </c>
      <c r="F105" s="16">
        <v>0</v>
      </c>
      <c r="G105" s="11">
        <v>0</v>
      </c>
      <c r="H105" s="8" t="s">
        <v>486</v>
      </c>
      <c r="I105" s="8" t="s">
        <v>487</v>
      </c>
      <c r="J105" s="3"/>
      <c r="K105" s="4"/>
      <c r="L105" s="6" t="s">
        <v>124</v>
      </c>
    </row>
    <row r="106" ht="48" customHeight="1" spans="1:12">
      <c r="A106" s="20"/>
      <c r="B106" s="9">
        <v>46342</v>
      </c>
      <c r="C106" s="9">
        <v>46348</v>
      </c>
      <c r="D106" s="8" t="s">
        <v>472</v>
      </c>
      <c r="E106" s="8">
        <v>53</v>
      </c>
      <c r="F106" s="16">
        <v>40</v>
      </c>
      <c r="G106" s="11">
        <v>1</v>
      </c>
      <c r="H106" s="8" t="s">
        <v>456</v>
      </c>
      <c r="I106" s="8" t="s">
        <v>500</v>
      </c>
      <c r="J106" s="3"/>
      <c r="K106" s="4"/>
      <c r="L106" s="6" t="s">
        <v>124</v>
      </c>
    </row>
    <row r="107" ht="48" customHeight="1" spans="1:12">
      <c r="A107" s="21"/>
      <c r="B107" s="9">
        <v>46349</v>
      </c>
      <c r="C107" s="9">
        <v>46355</v>
      </c>
      <c r="D107" s="8" t="s">
        <v>472</v>
      </c>
      <c r="E107" s="8">
        <v>53</v>
      </c>
      <c r="F107" s="16">
        <v>40</v>
      </c>
      <c r="G107" s="11">
        <v>1</v>
      </c>
      <c r="H107" s="8" t="s">
        <v>456</v>
      </c>
      <c r="I107" s="8" t="s">
        <v>500</v>
      </c>
      <c r="J107" s="3"/>
      <c r="K107" s="4"/>
      <c r="L107" s="6" t="s">
        <v>124</v>
      </c>
    </row>
    <row r="108" ht="48" customHeight="1" spans="1:12">
      <c r="A108" s="19" t="s">
        <v>123</v>
      </c>
      <c r="B108" s="9">
        <v>46195</v>
      </c>
      <c r="C108" s="9">
        <v>46201</v>
      </c>
      <c r="D108" s="8" t="s">
        <v>472</v>
      </c>
      <c r="E108" s="8">
        <v>4</v>
      </c>
      <c r="F108" s="16">
        <v>40</v>
      </c>
      <c r="G108" s="11">
        <v>1</v>
      </c>
      <c r="H108" s="8" t="s">
        <v>456</v>
      </c>
      <c r="I108" s="8" t="s">
        <v>473</v>
      </c>
      <c r="J108" s="3"/>
      <c r="K108" s="4"/>
      <c r="L108" s="6" t="s">
        <v>123</v>
      </c>
    </row>
    <row r="109" ht="48" customHeight="1" spans="1:12">
      <c r="A109" s="20"/>
      <c r="B109" s="9">
        <v>46202</v>
      </c>
      <c r="C109" s="9">
        <v>46208</v>
      </c>
      <c r="D109" s="8" t="s">
        <v>472</v>
      </c>
      <c r="E109" s="8">
        <v>4</v>
      </c>
      <c r="F109" s="16">
        <v>40</v>
      </c>
      <c r="G109" s="11">
        <v>1</v>
      </c>
      <c r="H109" s="8" t="s">
        <v>456</v>
      </c>
      <c r="I109" s="8" t="s">
        <v>473</v>
      </c>
      <c r="J109" s="3"/>
      <c r="K109" s="4"/>
      <c r="L109" s="6" t="s">
        <v>123</v>
      </c>
    </row>
    <row r="110" ht="48" customHeight="1" spans="1:12">
      <c r="A110" s="20"/>
      <c r="B110" s="9">
        <v>46209</v>
      </c>
      <c r="C110" s="9">
        <v>46215</v>
      </c>
      <c r="D110" s="8" t="s">
        <v>472</v>
      </c>
      <c r="E110" s="8">
        <v>25</v>
      </c>
      <c r="F110" s="16">
        <v>40</v>
      </c>
      <c r="G110" s="11">
        <v>1</v>
      </c>
      <c r="H110" s="8" t="s">
        <v>456</v>
      </c>
      <c r="I110" s="8" t="s">
        <v>501</v>
      </c>
      <c r="J110" s="3"/>
      <c r="K110" s="4"/>
      <c r="L110" s="6" t="s">
        <v>123</v>
      </c>
    </row>
    <row r="111" ht="48" customHeight="1" spans="1:12">
      <c r="A111" s="20"/>
      <c r="B111" s="9">
        <v>46216</v>
      </c>
      <c r="C111" s="9">
        <v>46222</v>
      </c>
      <c r="D111" s="8" t="s">
        <v>472</v>
      </c>
      <c r="E111" s="8">
        <v>25</v>
      </c>
      <c r="F111" s="16">
        <v>40</v>
      </c>
      <c r="G111" s="11">
        <v>1</v>
      </c>
      <c r="H111" s="8" t="s">
        <v>456</v>
      </c>
      <c r="I111" s="8" t="s">
        <v>501</v>
      </c>
      <c r="J111" s="3"/>
      <c r="K111" s="4"/>
      <c r="L111" s="6" t="s">
        <v>123</v>
      </c>
    </row>
    <row r="112" ht="48" customHeight="1" spans="1:12">
      <c r="A112" s="20"/>
      <c r="B112" s="9">
        <v>46223</v>
      </c>
      <c r="C112" s="9">
        <v>46229</v>
      </c>
      <c r="D112" s="8" t="s">
        <v>472</v>
      </c>
      <c r="E112" s="8">
        <v>33</v>
      </c>
      <c r="F112" s="16">
        <v>40</v>
      </c>
      <c r="G112" s="11">
        <v>1</v>
      </c>
      <c r="H112" s="8" t="s">
        <v>456</v>
      </c>
      <c r="I112" s="8" t="s">
        <v>502</v>
      </c>
      <c r="J112" s="3"/>
      <c r="K112" s="4"/>
      <c r="L112" s="6" t="s">
        <v>123</v>
      </c>
    </row>
    <row r="113" ht="48" customHeight="1" spans="1:12">
      <c r="A113" s="20"/>
      <c r="B113" s="9">
        <v>46230</v>
      </c>
      <c r="C113" s="9">
        <v>46236</v>
      </c>
      <c r="D113" s="8" t="s">
        <v>472</v>
      </c>
      <c r="E113" s="8">
        <v>31</v>
      </c>
      <c r="F113" s="16">
        <v>40</v>
      </c>
      <c r="G113" s="11">
        <v>1</v>
      </c>
      <c r="H113" s="8" t="s">
        <v>456</v>
      </c>
      <c r="I113" s="8" t="s">
        <v>503</v>
      </c>
      <c r="J113" s="3"/>
      <c r="K113" s="4"/>
      <c r="L113" s="6" t="s">
        <v>123</v>
      </c>
    </row>
    <row r="114" ht="48" customHeight="1" spans="1:12">
      <c r="A114" s="20"/>
      <c r="B114" s="9">
        <v>46237</v>
      </c>
      <c r="C114" s="9">
        <v>46243</v>
      </c>
      <c r="D114" s="8" t="s">
        <v>472</v>
      </c>
      <c r="E114" s="8">
        <v>34</v>
      </c>
      <c r="F114" s="16">
        <v>40</v>
      </c>
      <c r="G114" s="11">
        <v>1</v>
      </c>
      <c r="H114" s="8" t="s">
        <v>456</v>
      </c>
      <c r="I114" s="8" t="s">
        <v>504</v>
      </c>
      <c r="J114" s="3"/>
      <c r="K114" s="4"/>
      <c r="L114" s="6" t="s">
        <v>123</v>
      </c>
    </row>
    <row r="115" ht="48" customHeight="1" spans="1:12">
      <c r="A115" s="20"/>
      <c r="B115" s="9">
        <v>46244</v>
      </c>
      <c r="C115" s="9">
        <v>46250</v>
      </c>
      <c r="D115" s="8" t="s">
        <v>472</v>
      </c>
      <c r="E115" s="8">
        <v>33</v>
      </c>
      <c r="F115" s="16">
        <v>40</v>
      </c>
      <c r="G115" s="11">
        <v>1</v>
      </c>
      <c r="H115" s="8" t="s">
        <v>456</v>
      </c>
      <c r="I115" s="8" t="s">
        <v>505</v>
      </c>
      <c r="J115" s="3"/>
      <c r="K115" s="4"/>
      <c r="L115" s="6" t="s">
        <v>123</v>
      </c>
    </row>
    <row r="116" ht="48" customHeight="1" spans="1:12">
      <c r="A116" s="20"/>
      <c r="B116" s="9">
        <v>46251</v>
      </c>
      <c r="C116" s="9">
        <v>46257</v>
      </c>
      <c r="D116" s="8" t="s">
        <v>472</v>
      </c>
      <c r="E116" s="8">
        <v>33</v>
      </c>
      <c r="F116" s="16">
        <v>40</v>
      </c>
      <c r="G116" s="11">
        <v>1</v>
      </c>
      <c r="H116" s="8" t="s">
        <v>456</v>
      </c>
      <c r="I116" s="8" t="s">
        <v>505</v>
      </c>
      <c r="J116" s="3"/>
      <c r="K116" s="4"/>
      <c r="L116" s="6" t="s">
        <v>123</v>
      </c>
    </row>
    <row r="117" ht="48" customHeight="1" spans="1:12">
      <c r="A117" s="20"/>
      <c r="B117" s="9">
        <v>46258</v>
      </c>
      <c r="C117" s="9">
        <v>46264</v>
      </c>
      <c r="D117" s="8" t="s">
        <v>472</v>
      </c>
      <c r="E117" s="8">
        <v>30</v>
      </c>
      <c r="F117" s="16">
        <v>40</v>
      </c>
      <c r="G117" s="11">
        <v>1</v>
      </c>
      <c r="H117" s="8" t="s">
        <v>456</v>
      </c>
      <c r="I117" s="8" t="s">
        <v>506</v>
      </c>
      <c r="J117" s="3"/>
      <c r="K117" s="4"/>
      <c r="L117" s="6" t="s">
        <v>123</v>
      </c>
    </row>
    <row r="118" ht="48" customHeight="1" spans="1:12">
      <c r="A118" s="20"/>
      <c r="B118" s="9">
        <v>46265</v>
      </c>
      <c r="C118" s="9">
        <v>46271</v>
      </c>
      <c r="D118" s="8" t="s">
        <v>472</v>
      </c>
      <c r="E118" s="8">
        <v>16</v>
      </c>
      <c r="F118" s="16">
        <v>40</v>
      </c>
      <c r="G118" s="11">
        <v>1</v>
      </c>
      <c r="H118" s="8" t="s">
        <v>456</v>
      </c>
      <c r="I118" s="8" t="s">
        <v>507</v>
      </c>
      <c r="J118" s="3"/>
      <c r="K118" s="4"/>
      <c r="L118" s="6" t="s">
        <v>123</v>
      </c>
    </row>
    <row r="119" ht="48" customHeight="1" spans="1:12">
      <c r="A119" s="20"/>
      <c r="B119" s="9">
        <v>46272</v>
      </c>
      <c r="C119" s="9">
        <v>46278</v>
      </c>
      <c r="D119" s="8" t="s">
        <v>472</v>
      </c>
      <c r="E119" s="8">
        <v>23</v>
      </c>
      <c r="F119" s="16">
        <v>40</v>
      </c>
      <c r="G119" s="11">
        <v>1</v>
      </c>
      <c r="H119" s="8" t="s">
        <v>456</v>
      </c>
      <c r="I119" s="8" t="s">
        <v>481</v>
      </c>
      <c r="J119" s="3"/>
      <c r="K119" s="4"/>
      <c r="L119" s="6" t="s">
        <v>123</v>
      </c>
    </row>
    <row r="120" ht="48" customHeight="1" spans="1:12">
      <c r="A120" s="20"/>
      <c r="B120" s="9">
        <v>46279</v>
      </c>
      <c r="C120" s="9">
        <v>46285</v>
      </c>
      <c r="D120" s="8" t="s">
        <v>472</v>
      </c>
      <c r="E120" s="8">
        <v>15</v>
      </c>
      <c r="F120" s="16">
        <v>40</v>
      </c>
      <c r="G120" s="11">
        <v>1</v>
      </c>
      <c r="H120" s="8" t="s">
        <v>456</v>
      </c>
      <c r="I120" s="8" t="s">
        <v>482</v>
      </c>
      <c r="J120" s="3"/>
      <c r="K120" s="4"/>
      <c r="L120" s="6" t="s">
        <v>123</v>
      </c>
    </row>
    <row r="121" ht="48" customHeight="1" spans="1:12">
      <c r="A121" s="20"/>
      <c r="B121" s="9">
        <v>46286</v>
      </c>
      <c r="C121" s="9">
        <v>46292</v>
      </c>
      <c r="D121" s="8" t="s">
        <v>472</v>
      </c>
      <c r="E121" s="8">
        <v>7</v>
      </c>
      <c r="F121" s="16">
        <v>40</v>
      </c>
      <c r="G121" s="11">
        <v>1</v>
      </c>
      <c r="H121" s="8" t="s">
        <v>456</v>
      </c>
      <c r="I121" s="8" t="s">
        <v>483</v>
      </c>
      <c r="J121" s="3"/>
      <c r="K121" s="4"/>
      <c r="L121" s="6" t="s">
        <v>123</v>
      </c>
    </row>
    <row r="122" ht="48" customHeight="1" spans="1:12">
      <c r="A122" s="20"/>
      <c r="B122" s="9">
        <v>46293</v>
      </c>
      <c r="C122" s="9">
        <v>46299</v>
      </c>
      <c r="D122" s="8" t="s">
        <v>472</v>
      </c>
      <c r="E122" s="8">
        <v>8</v>
      </c>
      <c r="F122" s="16">
        <v>40</v>
      </c>
      <c r="G122" s="11">
        <v>1</v>
      </c>
      <c r="H122" s="8" t="s">
        <v>456</v>
      </c>
      <c r="I122" s="8" t="s">
        <v>508</v>
      </c>
      <c r="J122" s="3"/>
      <c r="K122" s="4"/>
      <c r="L122" s="6" t="s">
        <v>123</v>
      </c>
    </row>
    <row r="123" ht="48" customHeight="1" spans="1:12">
      <c r="A123" s="20"/>
      <c r="B123" s="9">
        <v>46300</v>
      </c>
      <c r="C123" s="9">
        <v>46306</v>
      </c>
      <c r="D123" s="8" t="s">
        <v>472</v>
      </c>
      <c r="E123" s="8">
        <v>8</v>
      </c>
      <c r="F123" s="16">
        <v>40</v>
      </c>
      <c r="G123" s="11">
        <v>1</v>
      </c>
      <c r="H123" s="8" t="s">
        <v>456</v>
      </c>
      <c r="I123" s="8" t="s">
        <v>508</v>
      </c>
      <c r="J123" s="3"/>
      <c r="K123" s="4"/>
      <c r="L123" s="6" t="s">
        <v>123</v>
      </c>
    </row>
    <row r="124" ht="48" customHeight="1" spans="1:12">
      <c r="A124" s="20"/>
      <c r="B124" s="9">
        <v>46307</v>
      </c>
      <c r="C124" s="9">
        <v>46313</v>
      </c>
      <c r="D124" s="8" t="s">
        <v>472</v>
      </c>
      <c r="E124" s="8">
        <v>33</v>
      </c>
      <c r="F124" s="16">
        <v>40</v>
      </c>
      <c r="G124" s="11">
        <v>1</v>
      </c>
      <c r="H124" s="8" t="s">
        <v>456</v>
      </c>
      <c r="I124" s="8" t="s">
        <v>509</v>
      </c>
      <c r="J124" s="3"/>
      <c r="K124" s="4"/>
      <c r="L124" s="6" t="s">
        <v>123</v>
      </c>
    </row>
    <row r="125" ht="48" customHeight="1" spans="1:12">
      <c r="A125" s="20"/>
      <c r="B125" s="9">
        <v>46314</v>
      </c>
      <c r="C125" s="9">
        <v>46320</v>
      </c>
      <c r="D125" s="8" t="s">
        <v>472</v>
      </c>
      <c r="E125" s="8">
        <v>32</v>
      </c>
      <c r="F125" s="16">
        <v>40</v>
      </c>
      <c r="G125" s="11">
        <v>1</v>
      </c>
      <c r="H125" s="8" t="s">
        <v>456</v>
      </c>
      <c r="I125" s="8" t="s">
        <v>484</v>
      </c>
      <c r="J125" s="3"/>
      <c r="K125" s="4"/>
      <c r="L125" s="6" t="s">
        <v>123</v>
      </c>
    </row>
    <row r="126" ht="48" customHeight="1" spans="1:12">
      <c r="A126" s="20"/>
      <c r="B126" s="9">
        <v>46321</v>
      </c>
      <c r="C126" s="9">
        <v>46327</v>
      </c>
      <c r="D126" s="8" t="s">
        <v>472</v>
      </c>
      <c r="E126" s="8">
        <v>32</v>
      </c>
      <c r="F126" s="16">
        <v>40</v>
      </c>
      <c r="G126" s="11">
        <v>1</v>
      </c>
      <c r="H126" s="8" t="s">
        <v>456</v>
      </c>
      <c r="I126" s="8" t="s">
        <v>484</v>
      </c>
      <c r="J126" s="3"/>
      <c r="K126" s="4"/>
      <c r="L126" s="6" t="s">
        <v>123</v>
      </c>
    </row>
    <row r="127" ht="48" customHeight="1" spans="1:12">
      <c r="A127" s="20"/>
      <c r="B127" s="9">
        <v>46328</v>
      </c>
      <c r="C127" s="9">
        <v>46334</v>
      </c>
      <c r="D127" s="8" t="s">
        <v>472</v>
      </c>
      <c r="E127" s="8">
        <v>32</v>
      </c>
      <c r="F127" s="16">
        <v>40</v>
      </c>
      <c r="G127" s="11">
        <v>1</v>
      </c>
      <c r="H127" s="8" t="s">
        <v>456</v>
      </c>
      <c r="I127" s="8" t="s">
        <v>484</v>
      </c>
      <c r="J127" s="3"/>
      <c r="K127" s="4"/>
      <c r="L127" s="6" t="s">
        <v>123</v>
      </c>
    </row>
    <row r="128" ht="48" customHeight="1" spans="1:12">
      <c r="A128" s="20"/>
      <c r="B128" s="9">
        <v>46335</v>
      </c>
      <c r="C128" s="9">
        <v>46341</v>
      </c>
      <c r="D128" s="8" t="s">
        <v>472</v>
      </c>
      <c r="E128" s="8">
        <v>32</v>
      </c>
      <c r="F128" s="16">
        <v>40</v>
      </c>
      <c r="G128" s="11">
        <v>1</v>
      </c>
      <c r="H128" s="8" t="s">
        <v>456</v>
      </c>
      <c r="I128" s="8" t="s">
        <v>484</v>
      </c>
      <c r="J128" s="3"/>
      <c r="K128" s="4"/>
      <c r="L128" s="6" t="s">
        <v>123</v>
      </c>
    </row>
    <row r="129" ht="20" customHeight="1" spans="1:12">
      <c r="A129" s="20"/>
      <c r="B129" s="9">
        <v>46342</v>
      </c>
      <c r="C129" s="9">
        <v>46348</v>
      </c>
      <c r="D129" s="8" t="s">
        <v>485</v>
      </c>
      <c r="E129" s="8">
        <v>0</v>
      </c>
      <c r="F129" s="16">
        <v>0</v>
      </c>
      <c r="G129" s="11">
        <v>0</v>
      </c>
      <c r="H129" s="8" t="s">
        <v>486</v>
      </c>
      <c r="I129" s="8" t="s">
        <v>487</v>
      </c>
      <c r="J129" s="3"/>
      <c r="K129" s="4"/>
      <c r="L129" s="6" t="s">
        <v>123</v>
      </c>
    </row>
    <row r="130" ht="20" customHeight="1" spans="1:12">
      <c r="A130" s="21"/>
      <c r="B130" s="9">
        <v>46349</v>
      </c>
      <c r="C130" s="9">
        <v>46355</v>
      </c>
      <c r="D130" s="8" t="s">
        <v>485</v>
      </c>
      <c r="E130" s="8">
        <v>0</v>
      </c>
      <c r="F130" s="16">
        <v>0</v>
      </c>
      <c r="G130" s="11">
        <v>0</v>
      </c>
      <c r="H130" s="8" t="s">
        <v>486</v>
      </c>
      <c r="I130" s="8" t="s">
        <v>487</v>
      </c>
      <c r="J130" s="3"/>
      <c r="K130" s="4"/>
      <c r="L130" s="6" t="s">
        <v>123</v>
      </c>
    </row>
    <row r="131" ht="20" customHeight="1" spans="1:12">
      <c r="A131" s="19" t="s">
        <v>120</v>
      </c>
      <c r="B131" s="9">
        <v>46195</v>
      </c>
      <c r="C131" s="9">
        <v>46201</v>
      </c>
      <c r="D131" s="8" t="s">
        <v>485</v>
      </c>
      <c r="E131" s="8">
        <v>0</v>
      </c>
      <c r="F131" s="16">
        <v>0</v>
      </c>
      <c r="G131" s="11">
        <v>0</v>
      </c>
      <c r="H131" s="8" t="s">
        <v>486</v>
      </c>
      <c r="I131" s="8" t="s">
        <v>487</v>
      </c>
      <c r="J131" s="3"/>
      <c r="K131" s="4"/>
      <c r="L131" s="6" t="s">
        <v>120</v>
      </c>
    </row>
    <row r="132" ht="48" customHeight="1" spans="1:12">
      <c r="A132" s="20"/>
      <c r="B132" s="9">
        <v>46202</v>
      </c>
      <c r="C132" s="9">
        <v>46208</v>
      </c>
      <c r="D132" s="8" t="s">
        <v>472</v>
      </c>
      <c r="E132" s="8">
        <v>34</v>
      </c>
      <c r="F132" s="16">
        <v>40</v>
      </c>
      <c r="G132" s="11">
        <v>1</v>
      </c>
      <c r="H132" s="8" t="s">
        <v>456</v>
      </c>
      <c r="I132" s="8" t="s">
        <v>510</v>
      </c>
      <c r="J132" s="3"/>
      <c r="K132" s="4"/>
      <c r="L132" s="6" t="s">
        <v>120</v>
      </c>
    </row>
    <row r="133" ht="48" customHeight="1" spans="1:12">
      <c r="A133" s="20"/>
      <c r="B133" s="9">
        <v>46209</v>
      </c>
      <c r="C133" s="9">
        <v>46215</v>
      </c>
      <c r="D133" s="8" t="s">
        <v>472</v>
      </c>
      <c r="E133" s="8">
        <v>26</v>
      </c>
      <c r="F133" s="16">
        <v>40</v>
      </c>
      <c r="G133" s="11">
        <v>1</v>
      </c>
      <c r="H133" s="8" t="s">
        <v>456</v>
      </c>
      <c r="I133" s="8" t="s">
        <v>511</v>
      </c>
      <c r="J133" s="3"/>
      <c r="K133" s="4"/>
      <c r="L133" s="6" t="s">
        <v>120</v>
      </c>
    </row>
    <row r="134" ht="48" customHeight="1" spans="1:12">
      <c r="A134" s="20"/>
      <c r="B134" s="9">
        <v>46216</v>
      </c>
      <c r="C134" s="9">
        <v>46222</v>
      </c>
      <c r="D134" s="8" t="s">
        <v>472</v>
      </c>
      <c r="E134" s="8">
        <v>5</v>
      </c>
      <c r="F134" s="16">
        <v>40</v>
      </c>
      <c r="G134" s="11">
        <v>1</v>
      </c>
      <c r="H134" s="8" t="s">
        <v>456</v>
      </c>
      <c r="I134" s="8" t="s">
        <v>498</v>
      </c>
      <c r="J134" s="3"/>
      <c r="K134" s="4"/>
      <c r="L134" s="6" t="s">
        <v>120</v>
      </c>
    </row>
    <row r="135" ht="48" customHeight="1" spans="1:12">
      <c r="A135" s="20"/>
      <c r="B135" s="9">
        <v>46223</v>
      </c>
      <c r="C135" s="9">
        <v>46229</v>
      </c>
      <c r="D135" s="8" t="s">
        <v>472</v>
      </c>
      <c r="E135" s="8">
        <v>15</v>
      </c>
      <c r="F135" s="16">
        <v>40</v>
      </c>
      <c r="G135" s="11">
        <v>1</v>
      </c>
      <c r="H135" s="8" t="s">
        <v>456</v>
      </c>
      <c r="I135" s="8" t="s">
        <v>482</v>
      </c>
      <c r="J135" s="3"/>
      <c r="K135" s="4"/>
      <c r="L135" s="6" t="s">
        <v>120</v>
      </c>
    </row>
    <row r="136" ht="48" customHeight="1" spans="1:12">
      <c r="A136" s="20"/>
      <c r="B136" s="9">
        <v>46230</v>
      </c>
      <c r="C136" s="9">
        <v>46236</v>
      </c>
      <c r="D136" s="8" t="s">
        <v>472</v>
      </c>
      <c r="E136" s="8">
        <v>51</v>
      </c>
      <c r="F136" s="16">
        <v>40</v>
      </c>
      <c r="G136" s="11">
        <v>1</v>
      </c>
      <c r="H136" s="8" t="s">
        <v>456</v>
      </c>
      <c r="I136" s="8" t="s">
        <v>512</v>
      </c>
      <c r="J136" s="3"/>
      <c r="K136" s="4"/>
      <c r="L136" s="6" t="s">
        <v>120</v>
      </c>
    </row>
    <row r="137" ht="48" customHeight="1" spans="1:12">
      <c r="A137" s="20"/>
      <c r="B137" s="9">
        <v>46237</v>
      </c>
      <c r="C137" s="9">
        <v>46243</v>
      </c>
      <c r="D137" s="8" t="s">
        <v>472</v>
      </c>
      <c r="E137" s="8">
        <v>51</v>
      </c>
      <c r="F137" s="16">
        <v>40</v>
      </c>
      <c r="G137" s="11">
        <v>1</v>
      </c>
      <c r="H137" s="8" t="s">
        <v>456</v>
      </c>
      <c r="I137" s="8" t="s">
        <v>512</v>
      </c>
      <c r="J137" s="3"/>
      <c r="K137" s="4"/>
      <c r="L137" s="6" t="s">
        <v>120</v>
      </c>
    </row>
    <row r="138" ht="20" customHeight="1" spans="1:12">
      <c r="A138" s="20"/>
      <c r="B138" s="9">
        <v>46244</v>
      </c>
      <c r="C138" s="9">
        <v>46250</v>
      </c>
      <c r="D138" s="8" t="s">
        <v>485</v>
      </c>
      <c r="E138" s="8">
        <v>0</v>
      </c>
      <c r="F138" s="16">
        <v>0</v>
      </c>
      <c r="G138" s="11">
        <v>0</v>
      </c>
      <c r="H138" s="8" t="s">
        <v>486</v>
      </c>
      <c r="I138" s="8" t="s">
        <v>487</v>
      </c>
      <c r="J138" s="3"/>
      <c r="K138" s="4"/>
      <c r="L138" s="6" t="s">
        <v>120</v>
      </c>
    </row>
    <row r="139" ht="20" customHeight="1" spans="1:12">
      <c r="A139" s="20"/>
      <c r="B139" s="9">
        <v>46251</v>
      </c>
      <c r="C139" s="9">
        <v>46257</v>
      </c>
      <c r="D139" s="8" t="s">
        <v>485</v>
      </c>
      <c r="E139" s="8">
        <v>0</v>
      </c>
      <c r="F139" s="16">
        <v>0</v>
      </c>
      <c r="G139" s="11">
        <v>0</v>
      </c>
      <c r="H139" s="8" t="s">
        <v>486</v>
      </c>
      <c r="I139" s="8" t="s">
        <v>487</v>
      </c>
      <c r="J139" s="3"/>
      <c r="K139" s="4"/>
      <c r="L139" s="6" t="s">
        <v>120</v>
      </c>
    </row>
    <row r="140" ht="20" customHeight="1" spans="1:12">
      <c r="A140" s="20"/>
      <c r="B140" s="9">
        <v>46258</v>
      </c>
      <c r="C140" s="9">
        <v>46264</v>
      </c>
      <c r="D140" s="8" t="s">
        <v>485</v>
      </c>
      <c r="E140" s="8">
        <v>0</v>
      </c>
      <c r="F140" s="16">
        <v>0</v>
      </c>
      <c r="G140" s="11">
        <v>0</v>
      </c>
      <c r="H140" s="8" t="s">
        <v>486</v>
      </c>
      <c r="I140" s="8" t="s">
        <v>487</v>
      </c>
      <c r="J140" s="3"/>
      <c r="K140" s="4"/>
      <c r="L140" s="6" t="s">
        <v>120</v>
      </c>
    </row>
    <row r="141" ht="20" customHeight="1" spans="1:12">
      <c r="A141" s="20"/>
      <c r="B141" s="9">
        <v>46265</v>
      </c>
      <c r="C141" s="9">
        <v>46271</v>
      </c>
      <c r="D141" s="8" t="s">
        <v>485</v>
      </c>
      <c r="E141" s="8">
        <v>0</v>
      </c>
      <c r="F141" s="16">
        <v>0</v>
      </c>
      <c r="G141" s="11">
        <v>0</v>
      </c>
      <c r="H141" s="8" t="s">
        <v>486</v>
      </c>
      <c r="I141" s="8" t="s">
        <v>487</v>
      </c>
      <c r="J141" s="3"/>
      <c r="K141" s="4"/>
      <c r="L141" s="6" t="s">
        <v>120</v>
      </c>
    </row>
    <row r="142" ht="20" customHeight="1" spans="1:12">
      <c r="A142" s="20"/>
      <c r="B142" s="9">
        <v>46272</v>
      </c>
      <c r="C142" s="9">
        <v>46278</v>
      </c>
      <c r="D142" s="8" t="s">
        <v>485</v>
      </c>
      <c r="E142" s="8">
        <v>0</v>
      </c>
      <c r="F142" s="16">
        <v>0</v>
      </c>
      <c r="G142" s="11">
        <v>0</v>
      </c>
      <c r="H142" s="8" t="s">
        <v>486</v>
      </c>
      <c r="I142" s="8" t="s">
        <v>487</v>
      </c>
      <c r="J142" s="3"/>
      <c r="K142" s="4"/>
      <c r="L142" s="6" t="s">
        <v>120</v>
      </c>
    </row>
    <row r="143" ht="20" customHeight="1" spans="1:12">
      <c r="A143" s="20"/>
      <c r="B143" s="9">
        <v>46279</v>
      </c>
      <c r="C143" s="9">
        <v>46285</v>
      </c>
      <c r="D143" s="8" t="s">
        <v>485</v>
      </c>
      <c r="E143" s="8">
        <v>0</v>
      </c>
      <c r="F143" s="16">
        <v>0</v>
      </c>
      <c r="G143" s="11">
        <v>0</v>
      </c>
      <c r="H143" s="8" t="s">
        <v>486</v>
      </c>
      <c r="I143" s="8" t="s">
        <v>487</v>
      </c>
      <c r="J143" s="3"/>
      <c r="K143" s="4"/>
      <c r="L143" s="6" t="s">
        <v>120</v>
      </c>
    </row>
    <row r="144" ht="20" customHeight="1" spans="1:12">
      <c r="A144" s="20"/>
      <c r="B144" s="9">
        <v>46286</v>
      </c>
      <c r="C144" s="9">
        <v>46292</v>
      </c>
      <c r="D144" s="8" t="s">
        <v>485</v>
      </c>
      <c r="E144" s="8">
        <v>0</v>
      </c>
      <c r="F144" s="16">
        <v>0</v>
      </c>
      <c r="G144" s="11">
        <v>0</v>
      </c>
      <c r="H144" s="8" t="s">
        <v>486</v>
      </c>
      <c r="I144" s="8" t="s">
        <v>487</v>
      </c>
      <c r="J144" s="3"/>
      <c r="K144" s="4"/>
      <c r="L144" s="6" t="s">
        <v>120</v>
      </c>
    </row>
    <row r="145" ht="20" customHeight="1" spans="1:12">
      <c r="A145" s="20"/>
      <c r="B145" s="9">
        <v>46293</v>
      </c>
      <c r="C145" s="9">
        <v>46299</v>
      </c>
      <c r="D145" s="8" t="s">
        <v>485</v>
      </c>
      <c r="E145" s="8">
        <v>0</v>
      </c>
      <c r="F145" s="16">
        <v>0</v>
      </c>
      <c r="G145" s="11">
        <v>0</v>
      </c>
      <c r="H145" s="8" t="s">
        <v>486</v>
      </c>
      <c r="I145" s="8" t="s">
        <v>487</v>
      </c>
      <c r="J145" s="3"/>
      <c r="K145" s="4"/>
      <c r="L145" s="6" t="s">
        <v>120</v>
      </c>
    </row>
    <row r="146" ht="20" customHeight="1" spans="1:12">
      <c r="A146" s="20"/>
      <c r="B146" s="9">
        <v>46300</v>
      </c>
      <c r="C146" s="9">
        <v>46306</v>
      </c>
      <c r="D146" s="8" t="s">
        <v>485</v>
      </c>
      <c r="E146" s="8">
        <v>0</v>
      </c>
      <c r="F146" s="16">
        <v>0</v>
      </c>
      <c r="G146" s="11">
        <v>0</v>
      </c>
      <c r="H146" s="8" t="s">
        <v>486</v>
      </c>
      <c r="I146" s="8" t="s">
        <v>487</v>
      </c>
      <c r="J146" s="3"/>
      <c r="K146" s="4"/>
      <c r="L146" s="6" t="s">
        <v>120</v>
      </c>
    </row>
    <row r="147" ht="20" customHeight="1" spans="1:12">
      <c r="A147" s="20"/>
      <c r="B147" s="9">
        <v>46307</v>
      </c>
      <c r="C147" s="9">
        <v>46313</v>
      </c>
      <c r="D147" s="8" t="s">
        <v>485</v>
      </c>
      <c r="E147" s="8">
        <v>0</v>
      </c>
      <c r="F147" s="16">
        <v>0</v>
      </c>
      <c r="G147" s="11">
        <v>0</v>
      </c>
      <c r="H147" s="8" t="s">
        <v>486</v>
      </c>
      <c r="I147" s="8" t="s">
        <v>487</v>
      </c>
      <c r="J147" s="3"/>
      <c r="K147" s="4"/>
      <c r="L147" s="6" t="s">
        <v>120</v>
      </c>
    </row>
    <row r="148" ht="20" customHeight="1" spans="1:12">
      <c r="A148" s="20"/>
      <c r="B148" s="9">
        <v>46314</v>
      </c>
      <c r="C148" s="9">
        <v>46320</v>
      </c>
      <c r="D148" s="8" t="s">
        <v>485</v>
      </c>
      <c r="E148" s="8">
        <v>0</v>
      </c>
      <c r="F148" s="16">
        <v>0</v>
      </c>
      <c r="G148" s="11">
        <v>0</v>
      </c>
      <c r="H148" s="8" t="s">
        <v>486</v>
      </c>
      <c r="I148" s="8" t="s">
        <v>487</v>
      </c>
      <c r="J148" s="3"/>
      <c r="K148" s="4"/>
      <c r="L148" s="6" t="s">
        <v>120</v>
      </c>
    </row>
    <row r="149" ht="20" customHeight="1" spans="1:12">
      <c r="A149" s="20"/>
      <c r="B149" s="9">
        <v>46321</v>
      </c>
      <c r="C149" s="9">
        <v>46327</v>
      </c>
      <c r="D149" s="8" t="s">
        <v>485</v>
      </c>
      <c r="E149" s="8">
        <v>0</v>
      </c>
      <c r="F149" s="16">
        <v>0</v>
      </c>
      <c r="G149" s="11">
        <v>0</v>
      </c>
      <c r="H149" s="8" t="s">
        <v>486</v>
      </c>
      <c r="I149" s="8" t="s">
        <v>487</v>
      </c>
      <c r="J149" s="3"/>
      <c r="K149" s="4"/>
      <c r="L149" s="6" t="s">
        <v>120</v>
      </c>
    </row>
    <row r="150" ht="20" customHeight="1" spans="1:12">
      <c r="A150" s="20"/>
      <c r="B150" s="9">
        <v>46328</v>
      </c>
      <c r="C150" s="9">
        <v>46334</v>
      </c>
      <c r="D150" s="8" t="s">
        <v>485</v>
      </c>
      <c r="E150" s="8">
        <v>0</v>
      </c>
      <c r="F150" s="16">
        <v>0</v>
      </c>
      <c r="G150" s="11">
        <v>0</v>
      </c>
      <c r="H150" s="8" t="s">
        <v>486</v>
      </c>
      <c r="I150" s="8" t="s">
        <v>487</v>
      </c>
      <c r="J150" s="3"/>
      <c r="K150" s="4"/>
      <c r="L150" s="6" t="s">
        <v>120</v>
      </c>
    </row>
    <row r="151" ht="20" customHeight="1" spans="1:12">
      <c r="A151" s="20"/>
      <c r="B151" s="9">
        <v>46335</v>
      </c>
      <c r="C151" s="9">
        <v>46341</v>
      </c>
      <c r="D151" s="8" t="s">
        <v>485</v>
      </c>
      <c r="E151" s="8">
        <v>0</v>
      </c>
      <c r="F151" s="16">
        <v>0</v>
      </c>
      <c r="G151" s="11">
        <v>0</v>
      </c>
      <c r="H151" s="8" t="s">
        <v>486</v>
      </c>
      <c r="I151" s="8" t="s">
        <v>487</v>
      </c>
      <c r="J151" s="3"/>
      <c r="K151" s="4"/>
      <c r="L151" s="6" t="s">
        <v>120</v>
      </c>
    </row>
    <row r="152" ht="20" customHeight="1" spans="1:12">
      <c r="A152" s="20"/>
      <c r="B152" s="9">
        <v>46342</v>
      </c>
      <c r="C152" s="9">
        <v>46348</v>
      </c>
      <c r="D152" s="8" t="s">
        <v>485</v>
      </c>
      <c r="E152" s="8">
        <v>0</v>
      </c>
      <c r="F152" s="16">
        <v>0</v>
      </c>
      <c r="G152" s="11">
        <v>0</v>
      </c>
      <c r="H152" s="8" t="s">
        <v>486</v>
      </c>
      <c r="I152" s="8" t="s">
        <v>487</v>
      </c>
      <c r="J152" s="3"/>
      <c r="K152" s="4"/>
      <c r="L152" s="6" t="s">
        <v>120</v>
      </c>
    </row>
    <row r="153" ht="20" customHeight="1" spans="1:12">
      <c r="A153" s="21"/>
      <c r="B153" s="9">
        <v>46349</v>
      </c>
      <c r="C153" s="9">
        <v>46355</v>
      </c>
      <c r="D153" s="8" t="s">
        <v>485</v>
      </c>
      <c r="E153" s="8">
        <v>0</v>
      </c>
      <c r="F153" s="16">
        <v>0</v>
      </c>
      <c r="G153" s="11">
        <v>0</v>
      </c>
      <c r="H153" s="8" t="s">
        <v>486</v>
      </c>
      <c r="I153" s="8" t="s">
        <v>487</v>
      </c>
      <c r="J153" s="3"/>
      <c r="K153" s="4"/>
      <c r="L153" s="6" t="s">
        <v>120</v>
      </c>
    </row>
    <row r="157" ht="28" customHeight="1"/>
  </sheetData>
  <mergeCells count="148">
    <mergeCell ref="A1:L1"/>
    <mergeCell ref="A2:L2"/>
    <mergeCell ref="A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I92:K92"/>
    <mergeCell ref="I93:K93"/>
    <mergeCell ref="I94:K94"/>
    <mergeCell ref="I95:K95"/>
    <mergeCell ref="I96:K96"/>
    <mergeCell ref="I97:K97"/>
    <mergeCell ref="I98:K98"/>
    <mergeCell ref="I99:K99"/>
    <mergeCell ref="I100:K100"/>
    <mergeCell ref="I101:K101"/>
    <mergeCell ref="I102:K102"/>
    <mergeCell ref="I103:K103"/>
    <mergeCell ref="I104:K104"/>
    <mergeCell ref="I105:K105"/>
    <mergeCell ref="I106:K106"/>
    <mergeCell ref="I107:K107"/>
    <mergeCell ref="I108:K108"/>
    <mergeCell ref="I109:K109"/>
    <mergeCell ref="I110:K110"/>
    <mergeCell ref="I111:K111"/>
    <mergeCell ref="I112:K112"/>
    <mergeCell ref="I113:K113"/>
    <mergeCell ref="I114:K114"/>
    <mergeCell ref="I115:K115"/>
    <mergeCell ref="I116:K116"/>
    <mergeCell ref="I117:K117"/>
    <mergeCell ref="I118:K118"/>
    <mergeCell ref="I119:K119"/>
    <mergeCell ref="I120:K120"/>
    <mergeCell ref="I121:K121"/>
    <mergeCell ref="I122:K122"/>
    <mergeCell ref="I123:K123"/>
    <mergeCell ref="I124:K124"/>
    <mergeCell ref="I125:K125"/>
    <mergeCell ref="I126:K126"/>
    <mergeCell ref="I127:K127"/>
    <mergeCell ref="I128:K128"/>
    <mergeCell ref="I129:K129"/>
    <mergeCell ref="I130:K130"/>
    <mergeCell ref="I131:K131"/>
    <mergeCell ref="I132:K132"/>
    <mergeCell ref="I133:K133"/>
    <mergeCell ref="I134:K134"/>
    <mergeCell ref="I135:K135"/>
    <mergeCell ref="I136:K136"/>
    <mergeCell ref="I137:K137"/>
    <mergeCell ref="I138:K138"/>
    <mergeCell ref="I139:K139"/>
    <mergeCell ref="I140:K140"/>
    <mergeCell ref="I141:K141"/>
    <mergeCell ref="I142:K142"/>
    <mergeCell ref="I143:K143"/>
    <mergeCell ref="I144:K144"/>
    <mergeCell ref="I145:K145"/>
    <mergeCell ref="I146:K146"/>
    <mergeCell ref="I147:K147"/>
    <mergeCell ref="I148:K148"/>
    <mergeCell ref="I149:K149"/>
    <mergeCell ref="I150:K150"/>
    <mergeCell ref="I151:K151"/>
    <mergeCell ref="I152:K152"/>
    <mergeCell ref="I153:K153"/>
    <mergeCell ref="A16:A38"/>
    <mergeCell ref="A39:A61"/>
    <mergeCell ref="A62:A84"/>
    <mergeCell ref="A85:A107"/>
    <mergeCell ref="A108:A130"/>
    <mergeCell ref="A131:A15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10"/>
  <sheetViews>
    <sheetView showGridLines="0" workbookViewId="0">
      <pane ySplit="4" topLeftCell="A5" activePane="bottomLeft" state="frozen"/>
      <selection/>
      <selection pane="bottomLeft" activeCell="A1" sqref="A1:L1"/>
    </sheetView>
  </sheetViews>
  <sheetFormatPr defaultColWidth="9" defaultRowHeight="16.8"/>
  <cols>
    <col min="1" max="1" width="10" customWidth="1"/>
    <col min="2" max="2" width="11" customWidth="1"/>
    <col min="3" max="3" width="28" customWidth="1"/>
    <col min="4" max="4" width="13" customWidth="1"/>
    <col min="5" max="5" width="62.5" customWidth="1"/>
    <col min="6" max="6" width="14" customWidth="1"/>
    <col min="7" max="7" width="13" customWidth="1"/>
    <col min="12" max="12" width="11" customWidth="1"/>
    <col min="13" max="13" width="28" customWidth="1"/>
    <col min="14" max="14" width="32" customWidth="1"/>
    <col min="15" max="15" width="13" hidden="1" customWidth="1"/>
  </cols>
  <sheetData>
    <row r="1" ht="28" customHeight="1" spans="1:15">
      <c r="A1" s="2" t="s">
        <v>513</v>
      </c>
      <c r="B1" s="3"/>
      <c r="C1" s="3"/>
      <c r="D1" s="3"/>
      <c r="E1" s="3"/>
      <c r="F1" s="3"/>
      <c r="G1" s="3"/>
      <c r="H1" s="3"/>
      <c r="I1" s="3"/>
      <c r="J1" s="3"/>
      <c r="K1" s="3"/>
      <c r="L1" s="4"/>
    </row>
    <row r="2" ht="22" customHeight="1" spans="1:15">
      <c r="A2" s="5" t="s">
        <v>514</v>
      </c>
      <c r="B2" s="3"/>
      <c r="C2" s="3"/>
      <c r="D2" s="3"/>
      <c r="E2" s="3"/>
      <c r="F2" s="3"/>
      <c r="G2" s="3"/>
      <c r="H2" s="3"/>
      <c r="I2" s="3"/>
      <c r="J2" s="3"/>
      <c r="K2" s="3"/>
      <c r="L2" s="4"/>
    </row>
    <row r="3" spans="1:15">
      <c r="A3" s="6"/>
      <c r="B3" s="6"/>
      <c r="C3" s="6"/>
      <c r="D3" s="6"/>
      <c r="E3" s="6"/>
      <c r="F3" s="6"/>
      <c r="G3" s="6"/>
      <c r="H3" s="6"/>
      <c r="I3" s="6"/>
      <c r="J3" s="6"/>
      <c r="K3" s="6"/>
      <c r="L3" s="6"/>
    </row>
    <row r="4" ht="28" customHeight="1" spans="1:15">
      <c r="A4" s="7" t="s">
        <v>515</v>
      </c>
      <c r="B4" s="7" t="s">
        <v>516</v>
      </c>
      <c r="C4" s="7" t="s">
        <v>517</v>
      </c>
      <c r="D4" s="7" t="s">
        <v>518</v>
      </c>
      <c r="E4" s="7" t="s">
        <v>519</v>
      </c>
      <c r="F4" s="7" t="s">
        <v>520</v>
      </c>
      <c r="G4" s="7" t="s">
        <v>521</v>
      </c>
      <c r="H4" s="7" t="s">
        <v>522</v>
      </c>
      <c r="I4" s="7" t="s">
        <v>523</v>
      </c>
      <c r="J4" s="7" t="s">
        <v>524</v>
      </c>
      <c r="K4" s="7" t="s">
        <v>525</v>
      </c>
      <c r="L4" s="7" t="s">
        <v>526</v>
      </c>
      <c r="O4" s="6" t="s">
        <v>527</v>
      </c>
    </row>
    <row r="5" ht="90" customHeight="1" spans="1:15">
      <c r="A5" s="8">
        <v>1</v>
      </c>
      <c r="B5" s="9">
        <v>46195</v>
      </c>
      <c r="C5" s="9">
        <v>46199</v>
      </c>
      <c r="D5" s="10"/>
      <c r="E5" s="8" t="s">
        <v>528</v>
      </c>
      <c r="F5" s="8">
        <v>0</v>
      </c>
      <c r="G5" s="8">
        <v>0</v>
      </c>
      <c r="H5" s="11" t="s">
        <v>529</v>
      </c>
      <c r="I5" s="8">
        <v>0</v>
      </c>
      <c r="J5" s="8">
        <v>0</v>
      </c>
      <c r="K5" s="8" t="s">
        <v>530</v>
      </c>
      <c r="L5" s="10"/>
      <c r="O5" s="6" t="s">
        <v>531</v>
      </c>
    </row>
    <row r="6" ht="105" customHeight="1" spans="1:15">
      <c r="A6" s="8">
        <v>2</v>
      </c>
      <c r="B6" s="9">
        <v>46202</v>
      </c>
      <c r="C6" s="9">
        <v>46206</v>
      </c>
      <c r="D6" s="10" t="s">
        <v>532</v>
      </c>
      <c r="E6" s="8" t="s">
        <v>533</v>
      </c>
      <c r="F6" s="8">
        <v>42</v>
      </c>
      <c r="G6" s="8">
        <v>42</v>
      </c>
      <c r="H6" s="11">
        <v>1</v>
      </c>
      <c r="I6" s="8">
        <v>0</v>
      </c>
      <c r="J6" s="8">
        <v>0</v>
      </c>
      <c r="K6" s="8" t="s">
        <v>530</v>
      </c>
      <c r="L6" s="10" t="s">
        <v>534</v>
      </c>
      <c r="O6" s="6" t="s">
        <v>535</v>
      </c>
    </row>
    <row r="7" ht="120" customHeight="1" spans="1:15">
      <c r="A7" s="8">
        <v>3</v>
      </c>
      <c r="B7" s="9">
        <v>46209</v>
      </c>
      <c r="C7" s="9">
        <v>46213</v>
      </c>
      <c r="D7" s="10"/>
      <c r="E7" s="8" t="s">
        <v>536</v>
      </c>
      <c r="F7" s="8">
        <v>29</v>
      </c>
      <c r="G7" s="8">
        <v>29</v>
      </c>
      <c r="H7" s="11">
        <v>1</v>
      </c>
      <c r="I7" s="8">
        <v>0</v>
      </c>
      <c r="J7" s="8">
        <v>0</v>
      </c>
      <c r="K7" s="8" t="s">
        <v>530</v>
      </c>
      <c r="L7" s="10"/>
      <c r="O7" s="6" t="s">
        <v>537</v>
      </c>
    </row>
    <row r="8" ht="120" customHeight="1" spans="1:15">
      <c r="A8" s="8">
        <v>4</v>
      </c>
      <c r="B8" s="9">
        <v>46216</v>
      </c>
      <c r="C8" s="9">
        <v>46220</v>
      </c>
      <c r="D8" s="10"/>
      <c r="E8" s="8" t="s">
        <v>538</v>
      </c>
      <c r="F8" s="8">
        <v>5</v>
      </c>
      <c r="G8" s="8">
        <v>5</v>
      </c>
      <c r="H8" s="11">
        <v>1</v>
      </c>
      <c r="I8" s="8">
        <v>0</v>
      </c>
      <c r="J8" s="8">
        <v>0</v>
      </c>
      <c r="K8" s="8" t="s">
        <v>530</v>
      </c>
      <c r="L8" s="10"/>
      <c r="O8" s="6" t="s">
        <v>539</v>
      </c>
    </row>
    <row r="9" ht="42" customHeight="1" spans="1:15">
      <c r="A9" s="8">
        <v>5</v>
      </c>
      <c r="B9" s="9">
        <v>46223</v>
      </c>
      <c r="C9" s="9">
        <v>46227</v>
      </c>
      <c r="D9" s="10"/>
      <c r="E9" s="8" t="s">
        <v>540</v>
      </c>
      <c r="F9" s="8">
        <v>75</v>
      </c>
      <c r="G9" s="8">
        <v>68</v>
      </c>
      <c r="H9" s="11">
        <v>0.906666666666667</v>
      </c>
      <c r="I9" s="8">
        <v>7</v>
      </c>
      <c r="J9" s="8">
        <v>0</v>
      </c>
      <c r="K9" s="8" t="s">
        <v>530</v>
      </c>
      <c r="L9" s="10"/>
      <c r="O9" s="6" t="s">
        <v>541</v>
      </c>
    </row>
    <row r="10" ht="120" customHeight="1" spans="1:15">
      <c r="A10" s="8">
        <v>6</v>
      </c>
      <c r="B10" s="9">
        <v>46230</v>
      </c>
      <c r="C10" s="9">
        <v>46234</v>
      </c>
      <c r="D10" s="10"/>
      <c r="E10" s="8" t="s">
        <v>542</v>
      </c>
      <c r="F10" s="8">
        <v>35</v>
      </c>
      <c r="G10" s="8">
        <v>31</v>
      </c>
      <c r="H10" s="11">
        <v>0.885714285714286</v>
      </c>
      <c r="I10" s="8">
        <v>4</v>
      </c>
      <c r="J10" s="8">
        <v>0</v>
      </c>
      <c r="K10" s="8" t="s">
        <v>530</v>
      </c>
      <c r="L10" s="10"/>
      <c r="O10" s="6" t="s">
        <v>543</v>
      </c>
    </row>
    <row r="11" ht="42" customHeight="1" spans="1:15">
      <c r="A11" s="8">
        <v>7</v>
      </c>
      <c r="B11" s="9">
        <v>46237</v>
      </c>
      <c r="C11" s="9">
        <v>46241</v>
      </c>
      <c r="D11" s="10"/>
      <c r="E11" s="8"/>
      <c r="F11" s="8">
        <v>53</v>
      </c>
      <c r="G11" s="8">
        <v>15</v>
      </c>
      <c r="H11" s="11">
        <v>0.283018867924528</v>
      </c>
      <c r="I11" s="8">
        <v>38</v>
      </c>
      <c r="J11" s="8">
        <v>0</v>
      </c>
      <c r="K11" s="8" t="s">
        <v>530</v>
      </c>
      <c r="L11" s="10"/>
      <c r="O11" s="6" t="s">
        <v>544</v>
      </c>
    </row>
    <row r="12" ht="42" customHeight="1" spans="1:15">
      <c r="A12" s="8">
        <v>8</v>
      </c>
      <c r="B12" s="9">
        <v>46244</v>
      </c>
      <c r="C12" s="9">
        <v>46248</v>
      </c>
      <c r="D12" s="10"/>
      <c r="E12" s="8"/>
      <c r="F12" s="8">
        <v>0</v>
      </c>
      <c r="G12" s="8">
        <v>0</v>
      </c>
      <c r="H12" s="11" t="s">
        <v>529</v>
      </c>
      <c r="I12" s="8">
        <v>0</v>
      </c>
      <c r="J12" s="8">
        <v>0</v>
      </c>
      <c r="K12" s="8" t="s">
        <v>530</v>
      </c>
      <c r="L12" s="10"/>
      <c r="O12" s="6" t="s">
        <v>545</v>
      </c>
    </row>
    <row r="13" ht="42" customHeight="1" spans="1:15">
      <c r="A13" s="8">
        <v>9</v>
      </c>
      <c r="B13" s="9">
        <v>46251</v>
      </c>
      <c r="C13" s="9">
        <v>46255</v>
      </c>
      <c r="D13" s="10"/>
      <c r="E13" s="8" t="s">
        <v>546</v>
      </c>
      <c r="F13" s="8">
        <v>6</v>
      </c>
      <c r="G13" s="8">
        <v>6</v>
      </c>
      <c r="H13" s="11">
        <v>1</v>
      </c>
      <c r="I13" s="8">
        <v>0</v>
      </c>
      <c r="J13" s="8">
        <v>0</v>
      </c>
      <c r="K13" s="8" t="s">
        <v>530</v>
      </c>
      <c r="L13" s="10"/>
      <c r="O13" s="6" t="s">
        <v>547</v>
      </c>
    </row>
    <row r="14" ht="42" customHeight="1" spans="1:15">
      <c r="A14" s="8">
        <v>10</v>
      </c>
      <c r="B14" s="9">
        <v>46258</v>
      </c>
      <c r="C14" s="9">
        <v>46262</v>
      </c>
      <c r="D14" s="10"/>
      <c r="E14" s="8"/>
      <c r="F14" s="8">
        <v>54</v>
      </c>
      <c r="G14" s="8">
        <v>54</v>
      </c>
      <c r="H14" s="11">
        <v>1</v>
      </c>
      <c r="I14" s="8">
        <v>0</v>
      </c>
      <c r="J14" s="8">
        <v>0</v>
      </c>
      <c r="K14" s="8" t="s">
        <v>530</v>
      </c>
      <c r="L14" s="10"/>
      <c r="O14" s="6" t="s">
        <v>548</v>
      </c>
    </row>
    <row r="15" ht="90" customHeight="1" spans="1:15">
      <c r="A15" s="12">
        <v>11</v>
      </c>
      <c r="B15" s="13">
        <v>46265</v>
      </c>
      <c r="C15" s="13">
        <v>46269</v>
      </c>
      <c r="D15" s="10"/>
      <c r="E15" s="12" t="s">
        <v>549</v>
      </c>
      <c r="F15" s="12">
        <v>43</v>
      </c>
      <c r="G15" s="12">
        <v>43</v>
      </c>
      <c r="H15" s="14">
        <v>1</v>
      </c>
      <c r="I15" s="12">
        <v>0</v>
      </c>
      <c r="J15" s="12">
        <v>0</v>
      </c>
      <c r="K15" s="12" t="s">
        <v>157</v>
      </c>
      <c r="L15" s="10"/>
      <c r="O15" s="6" t="s">
        <v>550</v>
      </c>
    </row>
    <row r="16" ht="75" customHeight="1" spans="1:15">
      <c r="A16" s="8">
        <v>12</v>
      </c>
      <c r="B16" s="9">
        <v>46272</v>
      </c>
      <c r="C16" s="9">
        <v>46276</v>
      </c>
      <c r="D16" s="10"/>
      <c r="E16" s="8" t="s">
        <v>551</v>
      </c>
      <c r="F16" s="8">
        <v>23</v>
      </c>
      <c r="G16" s="8">
        <v>23</v>
      </c>
      <c r="H16" s="11"/>
      <c r="I16" s="8">
        <v>0</v>
      </c>
      <c r="J16" s="8">
        <v>0</v>
      </c>
      <c r="K16" s="8" t="s">
        <v>23</v>
      </c>
      <c r="L16" s="10"/>
      <c r="O16" s="6" t="s">
        <v>552</v>
      </c>
    </row>
    <row r="17" ht="42" customHeight="1" spans="1:15">
      <c r="A17" s="8">
        <v>13</v>
      </c>
      <c r="B17" s="9">
        <v>46279</v>
      </c>
      <c r="C17" s="9">
        <v>46283</v>
      </c>
      <c r="D17" s="10"/>
      <c r="E17" s="8"/>
      <c r="F17" s="8">
        <v>16</v>
      </c>
      <c r="G17" s="8">
        <v>0</v>
      </c>
      <c r="H17" s="11"/>
      <c r="I17" s="8">
        <v>0</v>
      </c>
      <c r="J17" s="8">
        <v>0</v>
      </c>
      <c r="K17" s="8" t="s">
        <v>23</v>
      </c>
      <c r="L17" s="10"/>
      <c r="O17" s="6" t="s">
        <v>553</v>
      </c>
    </row>
    <row r="18" ht="42" customHeight="1" spans="1:15">
      <c r="A18" s="8">
        <v>14</v>
      </c>
      <c r="B18" s="9">
        <v>46286</v>
      </c>
      <c r="C18" s="9">
        <v>46290</v>
      </c>
      <c r="D18" s="10"/>
      <c r="E18" s="8"/>
      <c r="F18" s="8">
        <v>6</v>
      </c>
      <c r="G18" s="8">
        <v>0</v>
      </c>
      <c r="H18" s="11"/>
      <c r="I18" s="8">
        <v>0</v>
      </c>
      <c r="J18" s="8">
        <v>0</v>
      </c>
      <c r="K18" s="8" t="s">
        <v>23</v>
      </c>
      <c r="L18" s="10"/>
      <c r="O18" s="6" t="s">
        <v>554</v>
      </c>
    </row>
    <row r="19" ht="42" customHeight="1" spans="1:15">
      <c r="A19" s="8">
        <v>15</v>
      </c>
      <c r="B19" s="9">
        <v>46293</v>
      </c>
      <c r="C19" s="9">
        <v>46297</v>
      </c>
      <c r="D19" s="10"/>
      <c r="E19" s="8"/>
      <c r="F19" s="8">
        <v>0</v>
      </c>
      <c r="G19" s="8">
        <v>0</v>
      </c>
      <c r="H19" s="11"/>
      <c r="I19" s="8">
        <v>0</v>
      </c>
      <c r="J19" s="8">
        <v>0</v>
      </c>
      <c r="K19" s="8" t="s">
        <v>23</v>
      </c>
      <c r="L19" s="10"/>
      <c r="O19" s="6" t="s">
        <v>555</v>
      </c>
    </row>
    <row r="20" ht="42" customHeight="1" spans="1:15">
      <c r="A20" s="8">
        <v>16</v>
      </c>
      <c r="B20" s="9">
        <v>46300</v>
      </c>
      <c r="C20" s="9">
        <v>46304</v>
      </c>
      <c r="D20" s="10"/>
      <c r="E20" s="8"/>
      <c r="F20" s="8">
        <v>14</v>
      </c>
      <c r="G20" s="8">
        <v>0</v>
      </c>
      <c r="H20" s="11"/>
      <c r="I20" s="8">
        <v>0</v>
      </c>
      <c r="J20" s="8">
        <v>0</v>
      </c>
      <c r="K20" s="8" t="s">
        <v>23</v>
      </c>
      <c r="L20" s="10"/>
      <c r="O20" s="6" t="s">
        <v>556</v>
      </c>
    </row>
    <row r="21" ht="120" customHeight="1" spans="1:15">
      <c r="A21" s="8">
        <v>17</v>
      </c>
      <c r="B21" s="9">
        <v>46307</v>
      </c>
      <c r="C21" s="9">
        <v>46311</v>
      </c>
      <c r="D21" s="10"/>
      <c r="E21" s="8" t="s">
        <v>557</v>
      </c>
      <c r="F21" s="8">
        <v>8</v>
      </c>
      <c r="G21" s="8">
        <v>0</v>
      </c>
      <c r="H21" s="11"/>
      <c r="I21" s="8">
        <v>0</v>
      </c>
      <c r="J21" s="8">
        <v>0</v>
      </c>
      <c r="K21" s="8" t="s">
        <v>23</v>
      </c>
      <c r="L21" s="10"/>
      <c r="O21" s="6" t="s">
        <v>558</v>
      </c>
    </row>
    <row r="22" ht="42" customHeight="1" spans="1:15">
      <c r="A22" s="8">
        <v>18</v>
      </c>
      <c r="B22" s="9">
        <v>46314</v>
      </c>
      <c r="C22" s="9">
        <v>46318</v>
      </c>
      <c r="D22" s="10"/>
      <c r="E22" s="8"/>
      <c r="F22" s="8">
        <v>16</v>
      </c>
      <c r="G22" s="8">
        <v>1</v>
      </c>
      <c r="H22" s="11"/>
      <c r="I22" s="8">
        <v>0</v>
      </c>
      <c r="J22" s="8">
        <v>0</v>
      </c>
      <c r="K22" s="8" t="s">
        <v>23</v>
      </c>
      <c r="L22" s="10"/>
      <c r="O22" s="6" t="s">
        <v>559</v>
      </c>
    </row>
    <row r="23" ht="42" customHeight="1" spans="1:15">
      <c r="A23" s="8">
        <v>19</v>
      </c>
      <c r="B23" s="9">
        <v>46321</v>
      </c>
      <c r="C23" s="9">
        <v>46325</v>
      </c>
      <c r="D23" s="10"/>
      <c r="E23" s="8"/>
      <c r="F23" s="8">
        <v>0</v>
      </c>
      <c r="G23" s="8">
        <v>0</v>
      </c>
      <c r="H23" s="11"/>
      <c r="I23" s="8">
        <v>0</v>
      </c>
      <c r="J23" s="8">
        <v>0</v>
      </c>
      <c r="K23" s="8" t="s">
        <v>23</v>
      </c>
      <c r="L23" s="10"/>
      <c r="O23" s="6" t="s">
        <v>560</v>
      </c>
    </row>
    <row r="24" ht="42" customHeight="1" spans="1:15">
      <c r="A24" s="8">
        <v>20</v>
      </c>
      <c r="B24" s="9">
        <v>46328</v>
      </c>
      <c r="C24" s="9">
        <v>46332</v>
      </c>
      <c r="D24" s="10"/>
      <c r="E24" s="8"/>
      <c r="F24" s="8">
        <v>0</v>
      </c>
      <c r="G24" s="8">
        <v>0</v>
      </c>
      <c r="H24" s="11"/>
      <c r="I24" s="8">
        <v>0</v>
      </c>
      <c r="J24" s="8">
        <v>0</v>
      </c>
      <c r="K24" s="8" t="s">
        <v>23</v>
      </c>
      <c r="L24" s="10"/>
      <c r="O24" s="6" t="s">
        <v>561</v>
      </c>
    </row>
    <row r="25" ht="42" customHeight="1" spans="1:15">
      <c r="A25" s="8">
        <v>21</v>
      </c>
      <c r="B25" s="9">
        <v>46335</v>
      </c>
      <c r="C25" s="9">
        <v>46339</v>
      </c>
      <c r="D25" s="10"/>
      <c r="E25" s="8"/>
      <c r="F25" s="8">
        <v>70</v>
      </c>
      <c r="G25" s="8">
        <v>6</v>
      </c>
      <c r="H25" s="11"/>
      <c r="I25" s="8">
        <v>0</v>
      </c>
      <c r="J25" s="8">
        <v>0</v>
      </c>
      <c r="K25" s="8" t="s">
        <v>23</v>
      </c>
      <c r="L25" s="10"/>
      <c r="O25" s="6" t="s">
        <v>562</v>
      </c>
    </row>
    <row r="26" ht="75" customHeight="1" spans="1:15">
      <c r="A26" s="8">
        <v>22</v>
      </c>
      <c r="B26" s="9">
        <v>46342</v>
      </c>
      <c r="C26" s="9">
        <v>46346</v>
      </c>
      <c r="D26" s="10"/>
      <c r="E26" s="8" t="s">
        <v>563</v>
      </c>
      <c r="F26" s="8">
        <v>0</v>
      </c>
      <c r="G26" s="8">
        <v>0</v>
      </c>
      <c r="H26" s="11"/>
      <c r="I26" s="8">
        <v>0</v>
      </c>
      <c r="J26" s="8">
        <v>0</v>
      </c>
      <c r="K26" s="8" t="s">
        <v>23</v>
      </c>
      <c r="L26" s="10"/>
      <c r="O26" s="6" t="s">
        <v>564</v>
      </c>
    </row>
    <row r="27" ht="42" customHeight="1" spans="1:15">
      <c r="A27" s="8">
        <v>23</v>
      </c>
      <c r="B27" s="9">
        <v>46349</v>
      </c>
      <c r="C27" s="9">
        <v>46353</v>
      </c>
      <c r="D27" s="10"/>
      <c r="E27" s="8"/>
      <c r="F27" s="8">
        <v>53</v>
      </c>
      <c r="G27" s="8">
        <v>6</v>
      </c>
      <c r="H27" s="11"/>
      <c r="I27" s="8">
        <v>0</v>
      </c>
      <c r="J27" s="8">
        <v>0</v>
      </c>
      <c r="K27" s="8" t="s">
        <v>23</v>
      </c>
      <c r="L27" s="10"/>
      <c r="O27" s="6" t="s">
        <v>565</v>
      </c>
    </row>
    <row r="29" ht="24" customHeight="1" spans="1:15">
      <c r="A29" s="15" t="s">
        <v>566</v>
      </c>
      <c r="B29" s="3"/>
      <c r="C29" s="3"/>
      <c r="D29" s="3"/>
      <c r="E29" s="3"/>
      <c r="F29" s="3"/>
      <c r="G29" s="3"/>
      <c r="H29" s="3"/>
      <c r="I29" s="3"/>
      <c r="J29" s="3"/>
      <c r="K29" s="3"/>
      <c r="L29" s="3"/>
      <c r="M29" s="3"/>
      <c r="N29" s="4"/>
    </row>
    <row r="30" ht="28" customHeight="1" spans="1:15">
      <c r="A30" s="7" t="s">
        <v>515</v>
      </c>
      <c r="B30" s="7" t="s">
        <v>83</v>
      </c>
      <c r="C30" s="7" t="s">
        <v>567</v>
      </c>
      <c r="D30" s="7" t="s">
        <v>88</v>
      </c>
      <c r="E30" s="7" t="s">
        <v>568</v>
      </c>
      <c r="F30" s="7" t="s">
        <v>569</v>
      </c>
      <c r="G30" s="7" t="s">
        <v>91</v>
      </c>
      <c r="H30" s="7" t="s">
        <v>92</v>
      </c>
      <c r="I30" s="7" t="s">
        <v>570</v>
      </c>
      <c r="J30" s="7" t="s">
        <v>89</v>
      </c>
      <c r="K30" s="7" t="s">
        <v>571</v>
      </c>
      <c r="L30" s="7" t="s">
        <v>572</v>
      </c>
      <c r="M30" s="7" t="s">
        <v>573</v>
      </c>
      <c r="N30" s="7" t="s">
        <v>574</v>
      </c>
      <c r="O30" s="7" t="s">
        <v>575</v>
      </c>
    </row>
    <row r="31" ht="32" customHeight="1" spans="1:15">
      <c r="A31" s="8">
        <v>2</v>
      </c>
      <c r="B31" s="8" t="s">
        <v>114</v>
      </c>
      <c r="C31" s="8" t="s">
        <v>117</v>
      </c>
      <c r="D31" s="8" t="s">
        <v>119</v>
      </c>
      <c r="E31" s="8" t="s">
        <v>464</v>
      </c>
      <c r="F31" s="8" t="s">
        <v>120</v>
      </c>
      <c r="G31" s="9">
        <v>46202</v>
      </c>
      <c r="H31" s="9">
        <v>46206</v>
      </c>
      <c r="I31" s="8" t="s">
        <v>121</v>
      </c>
      <c r="J31" s="8" t="s">
        <v>121</v>
      </c>
      <c r="K31" s="9"/>
      <c r="L31" s="8" t="s">
        <v>576</v>
      </c>
      <c r="M31" s="8" t="s">
        <v>577</v>
      </c>
      <c r="N31" s="10"/>
      <c r="O31" s="8" t="s">
        <v>578</v>
      </c>
    </row>
    <row r="32" ht="32" customHeight="1" spans="1:15">
      <c r="A32" s="8">
        <v>2</v>
      </c>
      <c r="B32" s="8" t="s">
        <v>126</v>
      </c>
      <c r="C32" s="8" t="s">
        <v>127</v>
      </c>
      <c r="D32" s="8" t="s">
        <v>119</v>
      </c>
      <c r="E32" s="8" t="s">
        <v>464</v>
      </c>
      <c r="F32" s="8" t="s">
        <v>120</v>
      </c>
      <c r="G32" s="9">
        <v>46202</v>
      </c>
      <c r="H32" s="9">
        <v>46206</v>
      </c>
      <c r="I32" s="8" t="s">
        <v>121</v>
      </c>
      <c r="J32" s="8" t="s">
        <v>121</v>
      </c>
      <c r="K32" s="9"/>
      <c r="L32" s="8" t="s">
        <v>576</v>
      </c>
      <c r="M32" s="8" t="s">
        <v>577</v>
      </c>
      <c r="N32" s="10"/>
      <c r="O32" s="8" t="s">
        <v>579</v>
      </c>
    </row>
    <row r="33" ht="32" customHeight="1" spans="1:15">
      <c r="A33" s="8">
        <v>2</v>
      </c>
      <c r="B33" s="8" t="s">
        <v>128</v>
      </c>
      <c r="C33" s="8" t="s">
        <v>129</v>
      </c>
      <c r="D33" s="8" t="s">
        <v>119</v>
      </c>
      <c r="E33" s="8" t="s">
        <v>464</v>
      </c>
      <c r="F33" s="8" t="s">
        <v>120</v>
      </c>
      <c r="G33" s="9">
        <v>46202</v>
      </c>
      <c r="H33" s="9">
        <v>46206</v>
      </c>
      <c r="I33" s="8" t="s">
        <v>121</v>
      </c>
      <c r="J33" s="8" t="s">
        <v>121</v>
      </c>
      <c r="K33" s="9"/>
      <c r="L33" s="8" t="s">
        <v>576</v>
      </c>
      <c r="M33" s="8" t="s">
        <v>577</v>
      </c>
      <c r="N33" s="10"/>
      <c r="O33" s="8" t="s">
        <v>580</v>
      </c>
    </row>
    <row r="34" ht="32" customHeight="1" spans="1:15">
      <c r="A34" s="8">
        <v>2</v>
      </c>
      <c r="B34" s="8" t="s">
        <v>130</v>
      </c>
      <c r="C34" s="8" t="s">
        <v>131</v>
      </c>
      <c r="D34" s="8" t="s">
        <v>119</v>
      </c>
      <c r="E34" s="8" t="s">
        <v>464</v>
      </c>
      <c r="F34" s="8" t="s">
        <v>120</v>
      </c>
      <c r="G34" s="9">
        <v>46202</v>
      </c>
      <c r="H34" s="9">
        <v>46206</v>
      </c>
      <c r="I34" s="8" t="s">
        <v>121</v>
      </c>
      <c r="J34" s="8" t="s">
        <v>121</v>
      </c>
      <c r="K34" s="9"/>
      <c r="L34" s="8" t="s">
        <v>576</v>
      </c>
      <c r="M34" s="8" t="s">
        <v>577</v>
      </c>
      <c r="N34" s="10"/>
      <c r="O34" s="8" t="s">
        <v>581</v>
      </c>
    </row>
    <row r="35" ht="32" customHeight="1" spans="1:15">
      <c r="A35" s="8">
        <v>2</v>
      </c>
      <c r="B35" s="8" t="s">
        <v>136</v>
      </c>
      <c r="C35" s="8" t="s">
        <v>138</v>
      </c>
      <c r="D35" s="8" t="s">
        <v>119</v>
      </c>
      <c r="E35" s="8" t="s">
        <v>464</v>
      </c>
      <c r="F35" s="8" t="s">
        <v>120</v>
      </c>
      <c r="G35" s="9">
        <v>46202</v>
      </c>
      <c r="H35" s="9">
        <v>46206</v>
      </c>
      <c r="I35" s="8" t="s">
        <v>121</v>
      </c>
      <c r="J35" s="8" t="s">
        <v>121</v>
      </c>
      <c r="K35" s="9">
        <v>46224</v>
      </c>
      <c r="L35" s="8" t="s">
        <v>576</v>
      </c>
      <c r="M35" s="8"/>
      <c r="N35" s="10"/>
      <c r="O35" s="8" t="s">
        <v>582</v>
      </c>
    </row>
    <row r="36" ht="32" customHeight="1" spans="1:15">
      <c r="A36" s="8">
        <v>2</v>
      </c>
      <c r="B36" s="8" t="s">
        <v>139</v>
      </c>
      <c r="C36" s="8" t="s">
        <v>140</v>
      </c>
      <c r="D36" s="8" t="s">
        <v>119</v>
      </c>
      <c r="E36" s="8" t="s">
        <v>464</v>
      </c>
      <c r="F36" s="8" t="s">
        <v>120</v>
      </c>
      <c r="G36" s="9">
        <v>46202</v>
      </c>
      <c r="H36" s="9">
        <v>46206</v>
      </c>
      <c r="I36" s="8" t="s">
        <v>121</v>
      </c>
      <c r="J36" s="8" t="s">
        <v>121</v>
      </c>
      <c r="K36" s="9">
        <v>46224</v>
      </c>
      <c r="L36" s="8" t="s">
        <v>576</v>
      </c>
      <c r="M36" s="8"/>
      <c r="N36" s="10"/>
      <c r="O36" s="8" t="s">
        <v>583</v>
      </c>
    </row>
    <row r="37" ht="32" customHeight="1" spans="1:15">
      <c r="A37" s="8">
        <v>2</v>
      </c>
      <c r="B37" s="8" t="s">
        <v>141</v>
      </c>
      <c r="C37" s="8" t="s">
        <v>142</v>
      </c>
      <c r="D37" s="8" t="s">
        <v>119</v>
      </c>
      <c r="E37" s="8" t="s">
        <v>464</v>
      </c>
      <c r="F37" s="8" t="s">
        <v>120</v>
      </c>
      <c r="G37" s="9">
        <v>46202</v>
      </c>
      <c r="H37" s="9">
        <v>46206</v>
      </c>
      <c r="I37" s="8" t="s">
        <v>121</v>
      </c>
      <c r="J37" s="8" t="s">
        <v>121</v>
      </c>
      <c r="K37" s="9">
        <v>46224</v>
      </c>
      <c r="L37" s="8" t="s">
        <v>576</v>
      </c>
      <c r="M37" s="8"/>
      <c r="N37" s="10"/>
      <c r="O37" s="8" t="s">
        <v>584</v>
      </c>
    </row>
    <row r="38" ht="32" customHeight="1" spans="1:15">
      <c r="A38" s="8">
        <v>2</v>
      </c>
      <c r="B38" s="8" t="s">
        <v>143</v>
      </c>
      <c r="C38" s="8" t="s">
        <v>145</v>
      </c>
      <c r="D38" s="8" t="s">
        <v>119</v>
      </c>
      <c r="E38" s="8" t="s">
        <v>464</v>
      </c>
      <c r="F38" s="8" t="s">
        <v>120</v>
      </c>
      <c r="G38" s="9">
        <v>46202</v>
      </c>
      <c r="H38" s="9">
        <v>46206</v>
      </c>
      <c r="I38" s="8" t="s">
        <v>121</v>
      </c>
      <c r="J38" s="8" t="s">
        <v>121</v>
      </c>
      <c r="K38" s="9">
        <v>46224</v>
      </c>
      <c r="L38" s="8" t="s">
        <v>576</v>
      </c>
      <c r="M38" s="8"/>
      <c r="N38" s="10"/>
      <c r="O38" s="8" t="s">
        <v>585</v>
      </c>
    </row>
    <row r="39" ht="32" customHeight="1" spans="1:15">
      <c r="A39" s="8">
        <v>2</v>
      </c>
      <c r="B39" s="8" t="s">
        <v>146</v>
      </c>
      <c r="C39" s="8" t="s">
        <v>147</v>
      </c>
      <c r="D39" s="8" t="s">
        <v>119</v>
      </c>
      <c r="E39" s="8" t="s">
        <v>464</v>
      </c>
      <c r="F39" s="8" t="s">
        <v>120</v>
      </c>
      <c r="G39" s="9">
        <v>46202</v>
      </c>
      <c r="H39" s="9">
        <v>46206</v>
      </c>
      <c r="I39" s="8" t="s">
        <v>121</v>
      </c>
      <c r="J39" s="8" t="s">
        <v>121</v>
      </c>
      <c r="K39" s="9">
        <v>46224</v>
      </c>
      <c r="L39" s="8" t="s">
        <v>576</v>
      </c>
      <c r="M39" s="8"/>
      <c r="N39" s="10"/>
      <c r="O39" s="8" t="s">
        <v>586</v>
      </c>
    </row>
    <row r="40" ht="32" customHeight="1" spans="1:15">
      <c r="A40" s="8">
        <v>2</v>
      </c>
      <c r="B40" s="8" t="s">
        <v>148</v>
      </c>
      <c r="C40" s="8" t="s">
        <v>151</v>
      </c>
      <c r="D40" s="8" t="s">
        <v>119</v>
      </c>
      <c r="E40" s="8" t="s">
        <v>464</v>
      </c>
      <c r="F40" s="8" t="s">
        <v>120</v>
      </c>
      <c r="G40" s="9">
        <v>46202</v>
      </c>
      <c r="H40" s="9">
        <v>46206</v>
      </c>
      <c r="I40" s="8" t="s">
        <v>121</v>
      </c>
      <c r="J40" s="8" t="s">
        <v>121</v>
      </c>
      <c r="K40" s="9">
        <v>46224</v>
      </c>
      <c r="L40" s="8" t="s">
        <v>576</v>
      </c>
      <c r="M40" s="8"/>
      <c r="N40" s="10"/>
      <c r="O40" s="8" t="s">
        <v>587</v>
      </c>
    </row>
    <row r="41" ht="32" customHeight="1" spans="1:15">
      <c r="A41" s="8">
        <v>2</v>
      </c>
      <c r="B41" s="8" t="s">
        <v>152</v>
      </c>
      <c r="C41" s="8" t="s">
        <v>153</v>
      </c>
      <c r="D41" s="8" t="s">
        <v>119</v>
      </c>
      <c r="E41" s="8" t="s">
        <v>464</v>
      </c>
      <c r="F41" s="8" t="s">
        <v>120</v>
      </c>
      <c r="G41" s="9">
        <v>46202</v>
      </c>
      <c r="H41" s="9">
        <v>46206</v>
      </c>
      <c r="I41" s="8" t="s">
        <v>121</v>
      </c>
      <c r="J41" s="8" t="s">
        <v>121</v>
      </c>
      <c r="K41" s="9">
        <v>46224</v>
      </c>
      <c r="L41" s="8" t="s">
        <v>576</v>
      </c>
      <c r="M41" s="8"/>
      <c r="N41" s="10"/>
      <c r="O41" s="8" t="s">
        <v>588</v>
      </c>
    </row>
    <row r="42" ht="32" customHeight="1" spans="1:15">
      <c r="A42" s="8">
        <v>2</v>
      </c>
      <c r="B42" s="8" t="s">
        <v>243</v>
      </c>
      <c r="C42" s="8" t="s">
        <v>245</v>
      </c>
      <c r="D42" s="8" t="s">
        <v>119</v>
      </c>
      <c r="E42" s="8" t="s">
        <v>464</v>
      </c>
      <c r="F42" s="8" t="s">
        <v>120</v>
      </c>
      <c r="G42" s="9">
        <v>46202</v>
      </c>
      <c r="H42" s="9">
        <v>46206</v>
      </c>
      <c r="I42" s="8" t="s">
        <v>121</v>
      </c>
      <c r="J42" s="8" t="s">
        <v>157</v>
      </c>
      <c r="K42" s="9"/>
      <c r="L42" s="8" t="s">
        <v>576</v>
      </c>
      <c r="M42" s="8" t="s">
        <v>577</v>
      </c>
      <c r="N42" s="10"/>
      <c r="O42" s="8" t="s">
        <v>589</v>
      </c>
    </row>
    <row r="43" ht="32" customHeight="1" spans="1:15">
      <c r="A43" s="8">
        <v>2</v>
      </c>
      <c r="B43" s="8" t="s">
        <v>246</v>
      </c>
      <c r="C43" s="8" t="s">
        <v>247</v>
      </c>
      <c r="D43" s="8" t="s">
        <v>119</v>
      </c>
      <c r="E43" s="8" t="s">
        <v>464</v>
      </c>
      <c r="F43" s="8" t="s">
        <v>120</v>
      </c>
      <c r="G43" s="9">
        <v>46202</v>
      </c>
      <c r="H43" s="9">
        <v>46206</v>
      </c>
      <c r="I43" s="8" t="s">
        <v>121</v>
      </c>
      <c r="J43" s="8" t="s">
        <v>157</v>
      </c>
      <c r="K43" s="9">
        <v>46261</v>
      </c>
      <c r="L43" s="8" t="s">
        <v>576</v>
      </c>
      <c r="M43" s="8"/>
      <c r="N43" s="10"/>
      <c r="O43" s="8" t="s">
        <v>590</v>
      </c>
    </row>
    <row r="44" ht="32" customHeight="1" spans="1:15">
      <c r="A44" s="8">
        <v>2</v>
      </c>
      <c r="B44" s="8" t="s">
        <v>248</v>
      </c>
      <c r="C44" s="8" t="s">
        <v>244</v>
      </c>
      <c r="D44" s="8" t="s">
        <v>119</v>
      </c>
      <c r="E44" s="8" t="s">
        <v>464</v>
      </c>
      <c r="F44" s="8" t="s">
        <v>120</v>
      </c>
      <c r="G44" s="9">
        <v>46202</v>
      </c>
      <c r="H44" s="9">
        <v>46206</v>
      </c>
      <c r="I44" s="8" t="s">
        <v>121</v>
      </c>
      <c r="J44" s="8" t="s">
        <v>157</v>
      </c>
      <c r="K44" s="9">
        <v>46261</v>
      </c>
      <c r="L44" s="8" t="s">
        <v>576</v>
      </c>
      <c r="M44" s="8"/>
      <c r="N44" s="10"/>
      <c r="O44" s="8" t="s">
        <v>591</v>
      </c>
    </row>
    <row r="45" ht="32" customHeight="1" spans="1:15">
      <c r="A45" s="8">
        <v>2</v>
      </c>
      <c r="B45" s="8" t="s">
        <v>266</v>
      </c>
      <c r="C45" s="8" t="s">
        <v>268</v>
      </c>
      <c r="D45" s="8" t="s">
        <v>119</v>
      </c>
      <c r="E45" s="8" t="s">
        <v>464</v>
      </c>
      <c r="F45" s="8" t="s">
        <v>120</v>
      </c>
      <c r="G45" s="9">
        <v>46202</v>
      </c>
      <c r="H45" s="9">
        <v>46206</v>
      </c>
      <c r="I45" s="8" t="s">
        <v>121</v>
      </c>
      <c r="J45" s="8" t="s">
        <v>121</v>
      </c>
      <c r="K45" s="9">
        <v>46261</v>
      </c>
      <c r="L45" s="8" t="s">
        <v>576</v>
      </c>
      <c r="M45" s="8"/>
      <c r="N45" s="10"/>
      <c r="O45" s="8" t="s">
        <v>592</v>
      </c>
    </row>
    <row r="46" ht="32" customHeight="1" spans="1:15">
      <c r="A46" s="8">
        <v>2</v>
      </c>
      <c r="B46" s="8" t="s">
        <v>269</v>
      </c>
      <c r="C46" s="8" t="s">
        <v>270</v>
      </c>
      <c r="D46" s="8" t="s">
        <v>119</v>
      </c>
      <c r="E46" s="8" t="s">
        <v>464</v>
      </c>
      <c r="F46" s="8" t="s">
        <v>120</v>
      </c>
      <c r="G46" s="9">
        <v>46202</v>
      </c>
      <c r="H46" s="9">
        <v>46206</v>
      </c>
      <c r="I46" s="8" t="s">
        <v>121</v>
      </c>
      <c r="J46" s="8" t="s">
        <v>121</v>
      </c>
      <c r="K46" s="9">
        <v>46261</v>
      </c>
      <c r="L46" s="8" t="s">
        <v>576</v>
      </c>
      <c r="M46" s="8"/>
      <c r="N46" s="10"/>
      <c r="O46" s="8" t="s">
        <v>593</v>
      </c>
    </row>
    <row r="47" ht="32" customHeight="1" spans="1:15">
      <c r="A47" s="8">
        <v>2</v>
      </c>
      <c r="B47" s="8" t="s">
        <v>271</v>
      </c>
      <c r="C47" s="8" t="s">
        <v>272</v>
      </c>
      <c r="D47" s="8" t="s">
        <v>119</v>
      </c>
      <c r="E47" s="8" t="s">
        <v>464</v>
      </c>
      <c r="F47" s="8" t="s">
        <v>120</v>
      </c>
      <c r="G47" s="9">
        <v>46202</v>
      </c>
      <c r="H47" s="9">
        <v>46206</v>
      </c>
      <c r="I47" s="8" t="s">
        <v>121</v>
      </c>
      <c r="J47" s="8" t="s">
        <v>121</v>
      </c>
      <c r="K47" s="9">
        <v>46261</v>
      </c>
      <c r="L47" s="8" t="s">
        <v>576</v>
      </c>
      <c r="M47" s="8"/>
      <c r="N47" s="10"/>
      <c r="O47" s="8" t="s">
        <v>594</v>
      </c>
    </row>
    <row r="48" ht="32" customHeight="1" spans="1:15">
      <c r="A48" s="8">
        <v>2</v>
      </c>
      <c r="B48" s="8" t="s">
        <v>273</v>
      </c>
      <c r="C48" s="8" t="s">
        <v>275</v>
      </c>
      <c r="D48" s="8" t="s">
        <v>119</v>
      </c>
      <c r="E48" s="8" t="s">
        <v>464</v>
      </c>
      <c r="F48" s="8" t="s">
        <v>120</v>
      </c>
      <c r="G48" s="9">
        <v>46202</v>
      </c>
      <c r="H48" s="9">
        <v>46206</v>
      </c>
      <c r="I48" s="8" t="s">
        <v>121</v>
      </c>
      <c r="J48" s="8" t="s">
        <v>121</v>
      </c>
      <c r="K48" s="9">
        <v>46261</v>
      </c>
      <c r="L48" s="8" t="s">
        <v>576</v>
      </c>
      <c r="M48" s="8"/>
      <c r="N48" s="10"/>
      <c r="O48" s="8" t="s">
        <v>595</v>
      </c>
    </row>
    <row r="49" ht="32" customHeight="1" spans="1:15">
      <c r="A49" s="8">
        <v>2</v>
      </c>
      <c r="B49" s="8" t="s">
        <v>276</v>
      </c>
      <c r="C49" s="8" t="s">
        <v>275</v>
      </c>
      <c r="D49" s="8" t="s">
        <v>119</v>
      </c>
      <c r="E49" s="8" t="s">
        <v>464</v>
      </c>
      <c r="F49" s="8" t="s">
        <v>120</v>
      </c>
      <c r="G49" s="9">
        <v>46202</v>
      </c>
      <c r="H49" s="9">
        <v>46206</v>
      </c>
      <c r="I49" s="8" t="s">
        <v>121</v>
      </c>
      <c r="J49" s="8" t="s">
        <v>121</v>
      </c>
      <c r="K49" s="9">
        <v>46261</v>
      </c>
      <c r="L49" s="8" t="s">
        <v>576</v>
      </c>
      <c r="M49" s="8"/>
      <c r="N49" s="10"/>
      <c r="O49" s="8" t="s">
        <v>596</v>
      </c>
    </row>
    <row r="50" ht="32" customHeight="1" spans="1:15">
      <c r="A50" s="8">
        <v>2</v>
      </c>
      <c r="B50" s="8" t="s">
        <v>277</v>
      </c>
      <c r="C50" s="8" t="s">
        <v>278</v>
      </c>
      <c r="D50" s="8" t="s">
        <v>119</v>
      </c>
      <c r="E50" s="8" t="s">
        <v>464</v>
      </c>
      <c r="F50" s="8" t="s">
        <v>120</v>
      </c>
      <c r="G50" s="9">
        <v>46202</v>
      </c>
      <c r="H50" s="9">
        <v>46206</v>
      </c>
      <c r="I50" s="8" t="s">
        <v>121</v>
      </c>
      <c r="J50" s="8" t="s">
        <v>121</v>
      </c>
      <c r="K50" s="9">
        <v>46261</v>
      </c>
      <c r="L50" s="8" t="s">
        <v>576</v>
      </c>
      <c r="M50" s="8"/>
      <c r="N50" s="10"/>
      <c r="O50" s="8" t="s">
        <v>597</v>
      </c>
    </row>
    <row r="51" ht="32" customHeight="1" spans="1:15">
      <c r="A51" s="8">
        <v>2</v>
      </c>
      <c r="B51" s="8" t="s">
        <v>279</v>
      </c>
      <c r="C51" s="8" t="s">
        <v>278</v>
      </c>
      <c r="D51" s="8" t="s">
        <v>119</v>
      </c>
      <c r="E51" s="8" t="s">
        <v>464</v>
      </c>
      <c r="F51" s="8" t="s">
        <v>120</v>
      </c>
      <c r="G51" s="9">
        <v>46202</v>
      </c>
      <c r="H51" s="9">
        <v>46206</v>
      </c>
      <c r="I51" s="8" t="s">
        <v>121</v>
      </c>
      <c r="J51" s="8" t="s">
        <v>121</v>
      </c>
      <c r="K51" s="9">
        <v>46261</v>
      </c>
      <c r="L51" s="8" t="s">
        <v>576</v>
      </c>
      <c r="M51" s="8"/>
      <c r="N51" s="10"/>
      <c r="O51" s="8" t="s">
        <v>598</v>
      </c>
    </row>
    <row r="52" ht="32" customHeight="1" spans="1:15">
      <c r="A52" s="8">
        <v>2</v>
      </c>
      <c r="B52" s="8" t="s">
        <v>280</v>
      </c>
      <c r="C52" s="8" t="s">
        <v>278</v>
      </c>
      <c r="D52" s="8" t="s">
        <v>119</v>
      </c>
      <c r="E52" s="8" t="s">
        <v>464</v>
      </c>
      <c r="F52" s="8" t="s">
        <v>120</v>
      </c>
      <c r="G52" s="9">
        <v>46202</v>
      </c>
      <c r="H52" s="9">
        <v>46206</v>
      </c>
      <c r="I52" s="8" t="s">
        <v>121</v>
      </c>
      <c r="J52" s="8" t="s">
        <v>121</v>
      </c>
      <c r="K52" s="9">
        <v>46261</v>
      </c>
      <c r="L52" s="8" t="s">
        <v>576</v>
      </c>
      <c r="M52" s="8"/>
      <c r="N52" s="10"/>
      <c r="O52" s="8" t="s">
        <v>599</v>
      </c>
    </row>
    <row r="53" ht="32" customHeight="1" spans="1:15">
      <c r="A53" s="8">
        <v>2</v>
      </c>
      <c r="B53" s="8" t="s">
        <v>281</v>
      </c>
      <c r="C53" s="8" t="s">
        <v>278</v>
      </c>
      <c r="D53" s="8" t="s">
        <v>119</v>
      </c>
      <c r="E53" s="8" t="s">
        <v>464</v>
      </c>
      <c r="F53" s="8" t="s">
        <v>120</v>
      </c>
      <c r="G53" s="9">
        <v>46202</v>
      </c>
      <c r="H53" s="9">
        <v>46206</v>
      </c>
      <c r="I53" s="8" t="s">
        <v>121</v>
      </c>
      <c r="J53" s="8" t="s">
        <v>121</v>
      </c>
      <c r="K53" s="9">
        <v>46261</v>
      </c>
      <c r="L53" s="8" t="s">
        <v>576</v>
      </c>
      <c r="M53" s="8"/>
      <c r="N53" s="10"/>
      <c r="O53" s="8" t="s">
        <v>600</v>
      </c>
    </row>
    <row r="54" ht="32" customHeight="1" spans="1:15">
      <c r="A54" s="8">
        <v>2</v>
      </c>
      <c r="B54" s="8" t="s">
        <v>289</v>
      </c>
      <c r="C54" s="8" t="s">
        <v>291</v>
      </c>
      <c r="D54" s="8" t="s">
        <v>119</v>
      </c>
      <c r="E54" s="8" t="s">
        <v>464</v>
      </c>
      <c r="F54" s="8" t="s">
        <v>120</v>
      </c>
      <c r="G54" s="9">
        <v>46202</v>
      </c>
      <c r="H54" s="9">
        <v>46206</v>
      </c>
      <c r="I54" s="8" t="s">
        <v>121</v>
      </c>
      <c r="J54" s="8" t="s">
        <v>121</v>
      </c>
      <c r="K54" s="9"/>
      <c r="L54" s="8" t="s">
        <v>576</v>
      </c>
      <c r="M54" s="8" t="s">
        <v>577</v>
      </c>
      <c r="N54" s="10"/>
      <c r="O54" s="8" t="s">
        <v>601</v>
      </c>
    </row>
    <row r="55" ht="32" customHeight="1" spans="1:15">
      <c r="A55" s="8">
        <v>2</v>
      </c>
      <c r="B55" s="8" t="s">
        <v>292</v>
      </c>
      <c r="C55" s="8" t="s">
        <v>294</v>
      </c>
      <c r="D55" s="8" t="s">
        <v>119</v>
      </c>
      <c r="E55" s="8" t="s">
        <v>464</v>
      </c>
      <c r="F55" s="8" t="s">
        <v>120</v>
      </c>
      <c r="G55" s="9">
        <v>46202</v>
      </c>
      <c r="H55" s="9">
        <v>46206</v>
      </c>
      <c r="I55" s="8" t="s">
        <v>121</v>
      </c>
      <c r="J55" s="8" t="s">
        <v>121</v>
      </c>
      <c r="K55" s="9">
        <v>46224</v>
      </c>
      <c r="L55" s="8" t="s">
        <v>576</v>
      </c>
      <c r="M55" s="8"/>
      <c r="N55" s="10"/>
      <c r="O55" s="8" t="s">
        <v>602</v>
      </c>
    </row>
    <row r="56" ht="32" customHeight="1" spans="1:15">
      <c r="A56" s="8">
        <v>2</v>
      </c>
      <c r="B56" s="8" t="s">
        <v>295</v>
      </c>
      <c r="C56" s="8" t="s">
        <v>296</v>
      </c>
      <c r="D56" s="8" t="s">
        <v>119</v>
      </c>
      <c r="E56" s="8" t="s">
        <v>464</v>
      </c>
      <c r="F56" s="8" t="s">
        <v>120</v>
      </c>
      <c r="G56" s="9">
        <v>46202</v>
      </c>
      <c r="H56" s="9">
        <v>46206</v>
      </c>
      <c r="I56" s="8" t="s">
        <v>121</v>
      </c>
      <c r="J56" s="8" t="s">
        <v>121</v>
      </c>
      <c r="K56" s="9">
        <v>46224</v>
      </c>
      <c r="L56" s="8" t="s">
        <v>576</v>
      </c>
      <c r="M56" s="8"/>
      <c r="N56" s="10"/>
      <c r="O56" s="8" t="s">
        <v>603</v>
      </c>
    </row>
    <row r="57" ht="32" customHeight="1" spans="1:15">
      <c r="A57" s="8">
        <v>2</v>
      </c>
      <c r="B57" s="8" t="s">
        <v>297</v>
      </c>
      <c r="C57" s="8" t="s">
        <v>298</v>
      </c>
      <c r="D57" s="8" t="s">
        <v>119</v>
      </c>
      <c r="E57" s="8" t="s">
        <v>464</v>
      </c>
      <c r="F57" s="8" t="s">
        <v>120</v>
      </c>
      <c r="G57" s="9">
        <v>46202</v>
      </c>
      <c r="H57" s="9">
        <v>46206</v>
      </c>
      <c r="I57" s="8" t="s">
        <v>121</v>
      </c>
      <c r="J57" s="8" t="s">
        <v>121</v>
      </c>
      <c r="K57" s="9">
        <v>46224</v>
      </c>
      <c r="L57" s="8" t="s">
        <v>576</v>
      </c>
      <c r="M57" s="8"/>
      <c r="N57" s="10"/>
      <c r="O57" s="8" t="s">
        <v>604</v>
      </c>
    </row>
    <row r="58" ht="32" customHeight="1" spans="1:15">
      <c r="A58" s="8">
        <v>2</v>
      </c>
      <c r="B58" s="8" t="s">
        <v>299</v>
      </c>
      <c r="C58" s="8" t="s">
        <v>300</v>
      </c>
      <c r="D58" s="8" t="s">
        <v>119</v>
      </c>
      <c r="E58" s="8" t="s">
        <v>464</v>
      </c>
      <c r="F58" s="8" t="s">
        <v>120</v>
      </c>
      <c r="G58" s="9">
        <v>46202</v>
      </c>
      <c r="H58" s="9">
        <v>46206</v>
      </c>
      <c r="I58" s="8" t="s">
        <v>121</v>
      </c>
      <c r="J58" s="8" t="s">
        <v>121</v>
      </c>
      <c r="K58" s="9">
        <v>46224</v>
      </c>
      <c r="L58" s="8" t="s">
        <v>576</v>
      </c>
      <c r="M58" s="8"/>
      <c r="N58" s="10"/>
      <c r="O58" s="8" t="s">
        <v>605</v>
      </c>
    </row>
    <row r="59" ht="32" customHeight="1" spans="1:15">
      <c r="A59" s="8">
        <v>2</v>
      </c>
      <c r="B59" s="8" t="s">
        <v>301</v>
      </c>
      <c r="C59" s="8" t="s">
        <v>302</v>
      </c>
      <c r="D59" s="8" t="s">
        <v>119</v>
      </c>
      <c r="E59" s="8" t="s">
        <v>464</v>
      </c>
      <c r="F59" s="8" t="s">
        <v>120</v>
      </c>
      <c r="G59" s="9">
        <v>46202</v>
      </c>
      <c r="H59" s="9">
        <v>46206</v>
      </c>
      <c r="I59" s="8" t="s">
        <v>121</v>
      </c>
      <c r="J59" s="8" t="s">
        <v>121</v>
      </c>
      <c r="K59" s="9">
        <v>46224</v>
      </c>
      <c r="L59" s="8" t="s">
        <v>576</v>
      </c>
      <c r="M59" s="8"/>
      <c r="N59" s="10"/>
      <c r="O59" s="8" t="s">
        <v>606</v>
      </c>
    </row>
    <row r="60" ht="32" customHeight="1" spans="1:15">
      <c r="A60" s="8">
        <v>2</v>
      </c>
      <c r="B60" s="8" t="s">
        <v>338</v>
      </c>
      <c r="C60" s="8" t="s">
        <v>340</v>
      </c>
      <c r="D60" s="8" t="s">
        <v>119</v>
      </c>
      <c r="E60" s="8" t="s">
        <v>464</v>
      </c>
      <c r="F60" s="8" t="s">
        <v>120</v>
      </c>
      <c r="G60" s="9">
        <v>46202</v>
      </c>
      <c r="H60" s="9">
        <v>46206</v>
      </c>
      <c r="I60" s="8" t="s">
        <v>121</v>
      </c>
      <c r="J60" s="8" t="s">
        <v>157</v>
      </c>
      <c r="K60" s="9"/>
      <c r="L60" s="8" t="s">
        <v>576</v>
      </c>
      <c r="M60" s="8" t="s">
        <v>577</v>
      </c>
      <c r="N60" s="10"/>
      <c r="O60" s="8" t="s">
        <v>607</v>
      </c>
    </row>
    <row r="61" ht="32" customHeight="1" spans="1:15">
      <c r="A61" s="8">
        <v>2</v>
      </c>
      <c r="B61" s="8" t="s">
        <v>341</v>
      </c>
      <c r="C61" s="8" t="s">
        <v>343</v>
      </c>
      <c r="D61" s="8" t="s">
        <v>119</v>
      </c>
      <c r="E61" s="8" t="s">
        <v>464</v>
      </c>
      <c r="F61" s="8" t="s">
        <v>120</v>
      </c>
      <c r="G61" s="9">
        <v>46202</v>
      </c>
      <c r="H61" s="9">
        <v>46206</v>
      </c>
      <c r="I61" s="8" t="s">
        <v>121</v>
      </c>
      <c r="J61" s="8" t="s">
        <v>121</v>
      </c>
      <c r="K61" s="9">
        <v>46261</v>
      </c>
      <c r="L61" s="8" t="s">
        <v>576</v>
      </c>
      <c r="M61" s="8"/>
      <c r="N61" s="10"/>
      <c r="O61" s="8" t="s">
        <v>608</v>
      </c>
    </row>
    <row r="62" ht="32" customHeight="1" spans="1:15">
      <c r="A62" s="8">
        <v>2</v>
      </c>
      <c r="B62" s="8" t="s">
        <v>344</v>
      </c>
      <c r="C62" s="8" t="s">
        <v>346</v>
      </c>
      <c r="D62" s="8" t="s">
        <v>119</v>
      </c>
      <c r="E62" s="8" t="s">
        <v>464</v>
      </c>
      <c r="F62" s="8" t="s">
        <v>120</v>
      </c>
      <c r="G62" s="9">
        <v>46202</v>
      </c>
      <c r="H62" s="9">
        <v>46206</v>
      </c>
      <c r="I62" s="8" t="s">
        <v>121</v>
      </c>
      <c r="J62" s="8" t="s">
        <v>121</v>
      </c>
      <c r="K62" s="9"/>
      <c r="L62" s="8" t="s">
        <v>576</v>
      </c>
      <c r="M62" s="8" t="s">
        <v>577</v>
      </c>
      <c r="N62" s="10"/>
      <c r="O62" s="8" t="s">
        <v>609</v>
      </c>
    </row>
    <row r="63" ht="32" customHeight="1" spans="1:15">
      <c r="A63" s="8">
        <v>2</v>
      </c>
      <c r="B63" s="8" t="s">
        <v>347</v>
      </c>
      <c r="C63" s="8" t="s">
        <v>349</v>
      </c>
      <c r="D63" s="8" t="s">
        <v>119</v>
      </c>
      <c r="E63" s="8" t="s">
        <v>464</v>
      </c>
      <c r="F63" s="8" t="s">
        <v>120</v>
      </c>
      <c r="G63" s="9">
        <v>46202</v>
      </c>
      <c r="H63" s="9">
        <v>46206</v>
      </c>
      <c r="I63" s="8" t="s">
        <v>121</v>
      </c>
      <c r="J63" s="8" t="s">
        <v>121</v>
      </c>
      <c r="K63" s="9">
        <v>46224</v>
      </c>
      <c r="L63" s="8" t="s">
        <v>576</v>
      </c>
      <c r="M63" s="8"/>
      <c r="N63" s="10"/>
      <c r="O63" s="8" t="s">
        <v>610</v>
      </c>
    </row>
    <row r="64" ht="32" customHeight="1" spans="1:15">
      <c r="A64" s="8">
        <v>2</v>
      </c>
      <c r="B64" s="8" t="s">
        <v>350</v>
      </c>
      <c r="C64" s="8" t="s">
        <v>351</v>
      </c>
      <c r="D64" s="8" t="s">
        <v>119</v>
      </c>
      <c r="E64" s="8" t="s">
        <v>464</v>
      </c>
      <c r="F64" s="8" t="s">
        <v>120</v>
      </c>
      <c r="G64" s="9">
        <v>46202</v>
      </c>
      <c r="H64" s="9">
        <v>46206</v>
      </c>
      <c r="I64" s="8" t="s">
        <v>121</v>
      </c>
      <c r="J64" s="8" t="s">
        <v>121</v>
      </c>
      <c r="K64" s="9">
        <v>46224</v>
      </c>
      <c r="L64" s="8" t="s">
        <v>576</v>
      </c>
      <c r="M64" s="8"/>
      <c r="N64" s="10"/>
      <c r="O64" s="8" t="s">
        <v>611</v>
      </c>
    </row>
    <row r="65" ht="32" customHeight="1" spans="1:15">
      <c r="A65" s="8">
        <v>2</v>
      </c>
      <c r="B65" s="8" t="s">
        <v>260</v>
      </c>
      <c r="C65" s="8" t="s">
        <v>262</v>
      </c>
      <c r="D65" s="8" t="s">
        <v>119</v>
      </c>
      <c r="E65" s="8" t="s">
        <v>463</v>
      </c>
      <c r="F65" s="8" t="s">
        <v>123</v>
      </c>
      <c r="G65" s="9">
        <v>46195</v>
      </c>
      <c r="H65" s="9">
        <v>46206</v>
      </c>
      <c r="I65" s="8" t="s">
        <v>121</v>
      </c>
      <c r="J65" s="8" t="s">
        <v>121</v>
      </c>
      <c r="K65" s="9">
        <v>46224</v>
      </c>
      <c r="L65" s="8" t="s">
        <v>576</v>
      </c>
      <c r="M65" s="8"/>
      <c r="N65" s="10"/>
      <c r="O65" s="8" t="s">
        <v>612</v>
      </c>
    </row>
    <row r="66" ht="32" customHeight="1" spans="1:15">
      <c r="A66" s="8">
        <v>2</v>
      </c>
      <c r="B66" s="8" t="s">
        <v>282</v>
      </c>
      <c r="C66" s="8" t="s">
        <v>284</v>
      </c>
      <c r="D66" s="8" t="s">
        <v>119</v>
      </c>
      <c r="E66" s="8" t="s">
        <v>463</v>
      </c>
      <c r="F66" s="8" t="s">
        <v>123</v>
      </c>
      <c r="G66" s="9">
        <v>46195</v>
      </c>
      <c r="H66" s="9">
        <v>46206</v>
      </c>
      <c r="I66" s="8" t="s">
        <v>121</v>
      </c>
      <c r="J66" s="8" t="s">
        <v>121</v>
      </c>
      <c r="K66" s="9">
        <v>46224</v>
      </c>
      <c r="L66" s="8" t="s">
        <v>576</v>
      </c>
      <c r="M66" s="8"/>
      <c r="N66" s="10"/>
      <c r="O66" s="8" t="s">
        <v>613</v>
      </c>
    </row>
    <row r="67" ht="32" customHeight="1" spans="1:15">
      <c r="A67" s="8">
        <v>2</v>
      </c>
      <c r="B67" s="8" t="s">
        <v>285</v>
      </c>
      <c r="C67" s="8" t="s">
        <v>286</v>
      </c>
      <c r="D67" s="8" t="s">
        <v>119</v>
      </c>
      <c r="E67" s="8" t="s">
        <v>463</v>
      </c>
      <c r="F67" s="8" t="s">
        <v>123</v>
      </c>
      <c r="G67" s="9">
        <v>46195</v>
      </c>
      <c r="H67" s="9">
        <v>46206</v>
      </c>
      <c r="I67" s="8" t="s">
        <v>121</v>
      </c>
      <c r="J67" s="8" t="s">
        <v>121</v>
      </c>
      <c r="K67" s="9">
        <v>46224</v>
      </c>
      <c r="L67" s="8" t="s">
        <v>576</v>
      </c>
      <c r="M67" s="8"/>
      <c r="N67" s="10"/>
      <c r="O67" s="8" t="s">
        <v>614</v>
      </c>
    </row>
    <row r="68" ht="32" customHeight="1" spans="1:15">
      <c r="A68" s="8">
        <v>2</v>
      </c>
      <c r="B68" s="8" t="s">
        <v>287</v>
      </c>
      <c r="C68" s="8" t="s">
        <v>288</v>
      </c>
      <c r="D68" s="8" t="s">
        <v>119</v>
      </c>
      <c r="E68" s="8" t="s">
        <v>463</v>
      </c>
      <c r="F68" s="8" t="s">
        <v>123</v>
      </c>
      <c r="G68" s="9">
        <v>46195</v>
      </c>
      <c r="H68" s="9">
        <v>46206</v>
      </c>
      <c r="I68" s="8" t="s">
        <v>121</v>
      </c>
      <c r="J68" s="8" t="s">
        <v>121</v>
      </c>
      <c r="K68" s="9">
        <v>46224</v>
      </c>
      <c r="L68" s="8" t="s">
        <v>576</v>
      </c>
      <c r="M68" s="8"/>
      <c r="N68" s="10"/>
      <c r="O68" s="8" t="s">
        <v>615</v>
      </c>
    </row>
    <row r="69" ht="32" customHeight="1" spans="1:15">
      <c r="A69" s="8">
        <v>2</v>
      </c>
      <c r="B69" s="8" t="s">
        <v>260</v>
      </c>
      <c r="C69" s="8" t="s">
        <v>262</v>
      </c>
      <c r="D69" s="8" t="s">
        <v>119</v>
      </c>
      <c r="E69" s="8" t="s">
        <v>455</v>
      </c>
      <c r="F69" s="8" t="s">
        <v>122</v>
      </c>
      <c r="G69" s="9">
        <v>46195</v>
      </c>
      <c r="H69" s="9">
        <v>46206</v>
      </c>
      <c r="I69" s="8" t="s">
        <v>121</v>
      </c>
      <c r="J69" s="8" t="s">
        <v>121</v>
      </c>
      <c r="K69" s="9">
        <v>46224</v>
      </c>
      <c r="L69" s="8" t="s">
        <v>576</v>
      </c>
      <c r="M69" s="8"/>
      <c r="N69" s="10"/>
      <c r="O69" s="8" t="s">
        <v>616</v>
      </c>
    </row>
    <row r="70" ht="32" customHeight="1" spans="1:15">
      <c r="A70" s="8">
        <v>2</v>
      </c>
      <c r="B70" s="8" t="s">
        <v>282</v>
      </c>
      <c r="C70" s="8" t="s">
        <v>284</v>
      </c>
      <c r="D70" s="8" t="s">
        <v>119</v>
      </c>
      <c r="E70" s="8" t="s">
        <v>455</v>
      </c>
      <c r="F70" s="8" t="s">
        <v>122</v>
      </c>
      <c r="G70" s="9">
        <v>46195</v>
      </c>
      <c r="H70" s="9">
        <v>46206</v>
      </c>
      <c r="I70" s="8" t="s">
        <v>121</v>
      </c>
      <c r="J70" s="8" t="s">
        <v>121</v>
      </c>
      <c r="K70" s="9">
        <v>46224</v>
      </c>
      <c r="L70" s="8" t="s">
        <v>576</v>
      </c>
      <c r="M70" s="8"/>
      <c r="N70" s="10"/>
      <c r="O70" s="8" t="s">
        <v>617</v>
      </c>
    </row>
    <row r="71" ht="32" customHeight="1" spans="1:15">
      <c r="A71" s="8">
        <v>2</v>
      </c>
      <c r="B71" s="8" t="s">
        <v>285</v>
      </c>
      <c r="C71" s="8" t="s">
        <v>286</v>
      </c>
      <c r="D71" s="8" t="s">
        <v>119</v>
      </c>
      <c r="E71" s="8" t="s">
        <v>455</v>
      </c>
      <c r="F71" s="8" t="s">
        <v>122</v>
      </c>
      <c r="G71" s="9">
        <v>46195</v>
      </c>
      <c r="H71" s="9">
        <v>46206</v>
      </c>
      <c r="I71" s="8" t="s">
        <v>121</v>
      </c>
      <c r="J71" s="8" t="s">
        <v>121</v>
      </c>
      <c r="K71" s="9">
        <v>46224</v>
      </c>
      <c r="L71" s="8" t="s">
        <v>576</v>
      </c>
      <c r="M71" s="8"/>
      <c r="N71" s="10"/>
      <c r="O71" s="8" t="s">
        <v>618</v>
      </c>
    </row>
    <row r="72" ht="32" customHeight="1" spans="1:15">
      <c r="A72" s="8">
        <v>2</v>
      </c>
      <c r="B72" s="8" t="s">
        <v>287</v>
      </c>
      <c r="C72" s="8" t="s">
        <v>288</v>
      </c>
      <c r="D72" s="8" t="s">
        <v>119</v>
      </c>
      <c r="E72" s="8" t="s">
        <v>455</v>
      </c>
      <c r="F72" s="8" t="s">
        <v>122</v>
      </c>
      <c r="G72" s="9">
        <v>46195</v>
      </c>
      <c r="H72" s="9">
        <v>46206</v>
      </c>
      <c r="I72" s="8" t="s">
        <v>121</v>
      </c>
      <c r="J72" s="8" t="s">
        <v>121</v>
      </c>
      <c r="K72" s="9">
        <v>46224</v>
      </c>
      <c r="L72" s="8" t="s">
        <v>576</v>
      </c>
      <c r="M72" s="8"/>
      <c r="N72" s="10"/>
      <c r="O72" s="8" t="s">
        <v>619</v>
      </c>
    </row>
    <row r="73" ht="32" customHeight="1" spans="1:15">
      <c r="A73" s="8">
        <v>3</v>
      </c>
      <c r="B73" s="8" t="s">
        <v>212</v>
      </c>
      <c r="C73" s="8" t="s">
        <v>214</v>
      </c>
      <c r="D73" s="8" t="s">
        <v>119</v>
      </c>
      <c r="E73" s="8" t="s">
        <v>464</v>
      </c>
      <c r="F73" s="8" t="s">
        <v>120</v>
      </c>
      <c r="G73" s="9">
        <v>46209</v>
      </c>
      <c r="H73" s="9">
        <v>46213</v>
      </c>
      <c r="I73" s="8" t="s">
        <v>121</v>
      </c>
      <c r="J73" s="8" t="s">
        <v>121</v>
      </c>
      <c r="K73" s="9">
        <v>46261</v>
      </c>
      <c r="L73" s="8" t="s">
        <v>576</v>
      </c>
      <c r="M73" s="8"/>
      <c r="N73" s="10"/>
      <c r="O73" s="8" t="s">
        <v>620</v>
      </c>
    </row>
    <row r="74" ht="32" customHeight="1" spans="1:15">
      <c r="A74" s="8">
        <v>3</v>
      </c>
      <c r="B74" s="8" t="s">
        <v>215</v>
      </c>
      <c r="C74" s="8" t="s">
        <v>216</v>
      </c>
      <c r="D74" s="8" t="s">
        <v>119</v>
      </c>
      <c r="E74" s="8" t="s">
        <v>464</v>
      </c>
      <c r="F74" s="8" t="s">
        <v>120</v>
      </c>
      <c r="G74" s="9">
        <v>46209</v>
      </c>
      <c r="H74" s="9">
        <v>46213</v>
      </c>
      <c r="I74" s="8" t="s">
        <v>121</v>
      </c>
      <c r="J74" s="8" t="s">
        <v>121</v>
      </c>
      <c r="K74" s="9">
        <v>46261</v>
      </c>
      <c r="L74" s="8" t="s">
        <v>576</v>
      </c>
      <c r="M74" s="8"/>
      <c r="N74" s="10"/>
      <c r="O74" s="8" t="s">
        <v>621</v>
      </c>
    </row>
    <row r="75" ht="32" customHeight="1" spans="1:15">
      <c r="A75" s="8">
        <v>3</v>
      </c>
      <c r="B75" s="8" t="s">
        <v>217</v>
      </c>
      <c r="C75" s="8" t="s">
        <v>218</v>
      </c>
      <c r="D75" s="8" t="s">
        <v>119</v>
      </c>
      <c r="E75" s="8" t="s">
        <v>464</v>
      </c>
      <c r="F75" s="8" t="s">
        <v>120</v>
      </c>
      <c r="G75" s="9">
        <v>46209</v>
      </c>
      <c r="H75" s="9">
        <v>46213</v>
      </c>
      <c r="I75" s="8" t="s">
        <v>121</v>
      </c>
      <c r="J75" s="8" t="s">
        <v>121</v>
      </c>
      <c r="K75" s="9">
        <v>46261</v>
      </c>
      <c r="L75" s="8" t="s">
        <v>576</v>
      </c>
      <c r="M75" s="8"/>
      <c r="N75" s="10"/>
      <c r="O75" s="8" t="s">
        <v>622</v>
      </c>
    </row>
    <row r="76" ht="32" customHeight="1" spans="1:15">
      <c r="A76" s="8">
        <v>3</v>
      </c>
      <c r="B76" s="8" t="s">
        <v>219</v>
      </c>
      <c r="C76" s="8" t="s">
        <v>221</v>
      </c>
      <c r="D76" s="8" t="s">
        <v>119</v>
      </c>
      <c r="E76" s="8" t="s">
        <v>464</v>
      </c>
      <c r="F76" s="8" t="s">
        <v>120</v>
      </c>
      <c r="G76" s="9">
        <v>46209</v>
      </c>
      <c r="H76" s="9">
        <v>46213</v>
      </c>
      <c r="I76" s="8" t="s">
        <v>121</v>
      </c>
      <c r="J76" s="8" t="s">
        <v>121</v>
      </c>
      <c r="K76" s="9">
        <v>46261</v>
      </c>
      <c r="L76" s="8" t="s">
        <v>576</v>
      </c>
      <c r="M76" s="8"/>
      <c r="N76" s="10"/>
      <c r="O76" s="8" t="s">
        <v>623</v>
      </c>
    </row>
    <row r="77" ht="32" customHeight="1" spans="1:15">
      <c r="A77" s="8">
        <v>3</v>
      </c>
      <c r="B77" s="8" t="s">
        <v>222</v>
      </c>
      <c r="C77" s="8" t="s">
        <v>223</v>
      </c>
      <c r="D77" s="8" t="s">
        <v>119</v>
      </c>
      <c r="E77" s="8" t="s">
        <v>464</v>
      </c>
      <c r="F77" s="8" t="s">
        <v>120</v>
      </c>
      <c r="G77" s="9">
        <v>46209</v>
      </c>
      <c r="H77" s="9">
        <v>46213</v>
      </c>
      <c r="I77" s="8" t="s">
        <v>121</v>
      </c>
      <c r="J77" s="8" t="s">
        <v>121</v>
      </c>
      <c r="K77" s="9">
        <v>46261</v>
      </c>
      <c r="L77" s="8" t="s">
        <v>576</v>
      </c>
      <c r="M77" s="8"/>
      <c r="N77" s="10"/>
      <c r="O77" s="8" t="s">
        <v>624</v>
      </c>
    </row>
    <row r="78" ht="32" customHeight="1" spans="1:15">
      <c r="A78" s="8">
        <v>3</v>
      </c>
      <c r="B78" s="8" t="s">
        <v>224</v>
      </c>
      <c r="C78" s="8" t="s">
        <v>225</v>
      </c>
      <c r="D78" s="8" t="s">
        <v>119</v>
      </c>
      <c r="E78" s="8" t="s">
        <v>464</v>
      </c>
      <c r="F78" s="8" t="s">
        <v>120</v>
      </c>
      <c r="G78" s="9">
        <v>46209</v>
      </c>
      <c r="H78" s="9">
        <v>46213</v>
      </c>
      <c r="I78" s="8" t="s">
        <v>121</v>
      </c>
      <c r="J78" s="8" t="s">
        <v>121</v>
      </c>
      <c r="K78" s="9">
        <v>46261</v>
      </c>
      <c r="L78" s="8" t="s">
        <v>576</v>
      </c>
      <c r="M78" s="8"/>
      <c r="N78" s="10"/>
      <c r="O78" s="8" t="s">
        <v>625</v>
      </c>
    </row>
    <row r="79" ht="32" customHeight="1" spans="1:15">
      <c r="A79" s="8">
        <v>3</v>
      </c>
      <c r="B79" s="8" t="s">
        <v>226</v>
      </c>
      <c r="C79" s="8" t="s">
        <v>228</v>
      </c>
      <c r="D79" s="8" t="s">
        <v>135</v>
      </c>
      <c r="E79" s="8" t="s">
        <v>464</v>
      </c>
      <c r="F79" s="8" t="s">
        <v>120</v>
      </c>
      <c r="G79" s="9">
        <v>46209</v>
      </c>
      <c r="H79" s="9">
        <v>46213</v>
      </c>
      <c r="I79" s="8" t="s">
        <v>121</v>
      </c>
      <c r="J79" s="8" t="s">
        <v>121</v>
      </c>
      <c r="K79" s="9"/>
      <c r="L79" s="8" t="s">
        <v>576</v>
      </c>
      <c r="M79" s="8" t="s">
        <v>577</v>
      </c>
      <c r="N79" s="10"/>
      <c r="O79" s="8" t="s">
        <v>626</v>
      </c>
    </row>
    <row r="80" ht="32" customHeight="1" spans="1:15">
      <c r="A80" s="8">
        <v>3</v>
      </c>
      <c r="B80" s="8" t="s">
        <v>229</v>
      </c>
      <c r="C80" s="8" t="s">
        <v>230</v>
      </c>
      <c r="D80" s="8" t="s">
        <v>135</v>
      </c>
      <c r="E80" s="8" t="s">
        <v>464</v>
      </c>
      <c r="F80" s="8" t="s">
        <v>120</v>
      </c>
      <c r="G80" s="9">
        <v>46209</v>
      </c>
      <c r="H80" s="9">
        <v>46213</v>
      </c>
      <c r="I80" s="8" t="s">
        <v>121</v>
      </c>
      <c r="J80" s="8" t="s">
        <v>121</v>
      </c>
      <c r="K80" s="9"/>
      <c r="L80" s="8" t="s">
        <v>576</v>
      </c>
      <c r="M80" s="8" t="s">
        <v>577</v>
      </c>
      <c r="N80" s="10"/>
      <c r="O80" s="8" t="s">
        <v>627</v>
      </c>
    </row>
    <row r="81" ht="32" customHeight="1" spans="1:15">
      <c r="A81" s="8">
        <v>3</v>
      </c>
      <c r="B81" s="8" t="s">
        <v>231</v>
      </c>
      <c r="C81" s="8" t="s">
        <v>232</v>
      </c>
      <c r="D81" s="8" t="s">
        <v>135</v>
      </c>
      <c r="E81" s="8" t="s">
        <v>464</v>
      </c>
      <c r="F81" s="8" t="s">
        <v>120</v>
      </c>
      <c r="G81" s="9">
        <v>46209</v>
      </c>
      <c r="H81" s="9">
        <v>46213</v>
      </c>
      <c r="I81" s="8" t="s">
        <v>121</v>
      </c>
      <c r="J81" s="8" t="s">
        <v>121</v>
      </c>
      <c r="K81" s="9"/>
      <c r="L81" s="8" t="s">
        <v>576</v>
      </c>
      <c r="M81" s="8" t="s">
        <v>577</v>
      </c>
      <c r="N81" s="10"/>
      <c r="O81" s="8" t="s">
        <v>628</v>
      </c>
    </row>
    <row r="82" ht="32" customHeight="1" spans="1:15">
      <c r="A82" s="8">
        <v>3</v>
      </c>
      <c r="B82" s="8" t="s">
        <v>352</v>
      </c>
      <c r="C82" s="8" t="s">
        <v>355</v>
      </c>
      <c r="D82" s="8" t="s">
        <v>119</v>
      </c>
      <c r="E82" s="8" t="s">
        <v>464</v>
      </c>
      <c r="F82" s="8" t="s">
        <v>120</v>
      </c>
      <c r="G82" s="9">
        <v>46209</v>
      </c>
      <c r="H82" s="9">
        <v>46213</v>
      </c>
      <c r="I82" s="8" t="s">
        <v>121</v>
      </c>
      <c r="J82" s="8" t="s">
        <v>121</v>
      </c>
      <c r="K82" s="9">
        <v>46224</v>
      </c>
      <c r="L82" s="8" t="s">
        <v>576</v>
      </c>
      <c r="M82" s="8"/>
      <c r="N82" s="10"/>
      <c r="O82" s="8" t="s">
        <v>629</v>
      </c>
    </row>
    <row r="83" ht="32" customHeight="1" spans="1:15">
      <c r="A83" s="8">
        <v>3</v>
      </c>
      <c r="B83" s="8" t="s">
        <v>356</v>
      </c>
      <c r="C83" s="8" t="s">
        <v>357</v>
      </c>
      <c r="D83" s="8" t="s">
        <v>119</v>
      </c>
      <c r="E83" s="8" t="s">
        <v>464</v>
      </c>
      <c r="F83" s="8" t="s">
        <v>120</v>
      </c>
      <c r="G83" s="9">
        <v>46209</v>
      </c>
      <c r="H83" s="9">
        <v>46213</v>
      </c>
      <c r="I83" s="8" t="s">
        <v>121</v>
      </c>
      <c r="J83" s="8" t="s">
        <v>121</v>
      </c>
      <c r="K83" s="9">
        <v>46224</v>
      </c>
      <c r="L83" s="8" t="s">
        <v>576</v>
      </c>
      <c r="M83" s="8"/>
      <c r="N83" s="10"/>
      <c r="O83" s="8" t="s">
        <v>630</v>
      </c>
    </row>
    <row r="84" ht="32" customHeight="1" spans="1:15">
      <c r="A84" s="8">
        <v>3</v>
      </c>
      <c r="B84" s="8" t="s">
        <v>358</v>
      </c>
      <c r="C84" s="8" t="s">
        <v>359</v>
      </c>
      <c r="D84" s="8" t="s">
        <v>119</v>
      </c>
      <c r="E84" s="8" t="s">
        <v>464</v>
      </c>
      <c r="F84" s="8" t="s">
        <v>120</v>
      </c>
      <c r="G84" s="9">
        <v>46209</v>
      </c>
      <c r="H84" s="9">
        <v>46213</v>
      </c>
      <c r="I84" s="8" t="s">
        <v>121</v>
      </c>
      <c r="J84" s="8" t="s">
        <v>121</v>
      </c>
      <c r="K84" s="9">
        <v>46224</v>
      </c>
      <c r="L84" s="8" t="s">
        <v>576</v>
      </c>
      <c r="M84" s="8"/>
      <c r="N84" s="10"/>
      <c r="O84" s="8" t="s">
        <v>631</v>
      </c>
    </row>
    <row r="85" ht="32" customHeight="1" spans="1:15">
      <c r="A85" s="8">
        <v>3</v>
      </c>
      <c r="B85" s="8" t="s">
        <v>360</v>
      </c>
      <c r="C85" s="8" t="s">
        <v>361</v>
      </c>
      <c r="D85" s="8" t="s">
        <v>119</v>
      </c>
      <c r="E85" s="8" t="s">
        <v>464</v>
      </c>
      <c r="F85" s="8" t="s">
        <v>120</v>
      </c>
      <c r="G85" s="9">
        <v>46209</v>
      </c>
      <c r="H85" s="9">
        <v>46213</v>
      </c>
      <c r="I85" s="8" t="s">
        <v>121</v>
      </c>
      <c r="J85" s="8" t="s">
        <v>121</v>
      </c>
      <c r="K85" s="9">
        <v>46224</v>
      </c>
      <c r="L85" s="8" t="s">
        <v>576</v>
      </c>
      <c r="M85" s="8"/>
      <c r="N85" s="10"/>
      <c r="O85" s="8" t="s">
        <v>632</v>
      </c>
    </row>
    <row r="86" ht="32" customHeight="1" spans="1:15">
      <c r="A86" s="8">
        <v>3</v>
      </c>
      <c r="B86" s="8" t="s">
        <v>362</v>
      </c>
      <c r="C86" s="8" t="s">
        <v>364</v>
      </c>
      <c r="D86" s="8" t="s">
        <v>119</v>
      </c>
      <c r="E86" s="8" t="s">
        <v>464</v>
      </c>
      <c r="F86" s="8" t="s">
        <v>120</v>
      </c>
      <c r="G86" s="9">
        <v>46209</v>
      </c>
      <c r="H86" s="9">
        <v>46213</v>
      </c>
      <c r="I86" s="8" t="s">
        <v>121</v>
      </c>
      <c r="J86" s="8" t="s">
        <v>121</v>
      </c>
      <c r="K86" s="9"/>
      <c r="L86" s="8" t="s">
        <v>576</v>
      </c>
      <c r="M86" s="8" t="s">
        <v>577</v>
      </c>
      <c r="N86" s="10"/>
      <c r="O86" s="8" t="s">
        <v>633</v>
      </c>
    </row>
    <row r="87" ht="32" customHeight="1" spans="1:15">
      <c r="A87" s="8">
        <v>3</v>
      </c>
      <c r="B87" s="8" t="s">
        <v>365</v>
      </c>
      <c r="C87" s="8" t="s">
        <v>366</v>
      </c>
      <c r="D87" s="8" t="s">
        <v>119</v>
      </c>
      <c r="E87" s="8" t="s">
        <v>464</v>
      </c>
      <c r="F87" s="8" t="s">
        <v>120</v>
      </c>
      <c r="G87" s="9">
        <v>46209</v>
      </c>
      <c r="H87" s="9">
        <v>46213</v>
      </c>
      <c r="I87" s="8" t="s">
        <v>121</v>
      </c>
      <c r="J87" s="8" t="s">
        <v>121</v>
      </c>
      <c r="K87" s="9"/>
      <c r="L87" s="8" t="s">
        <v>576</v>
      </c>
      <c r="M87" s="8" t="s">
        <v>577</v>
      </c>
      <c r="N87" s="10"/>
      <c r="O87" s="8" t="s">
        <v>634</v>
      </c>
    </row>
    <row r="88" ht="32" customHeight="1" spans="1:15">
      <c r="A88" s="8">
        <v>3</v>
      </c>
      <c r="B88" s="8" t="s">
        <v>367</v>
      </c>
      <c r="C88" s="8" t="s">
        <v>368</v>
      </c>
      <c r="D88" s="8" t="s">
        <v>119</v>
      </c>
      <c r="E88" s="8" t="s">
        <v>464</v>
      </c>
      <c r="F88" s="8" t="s">
        <v>120</v>
      </c>
      <c r="G88" s="9">
        <v>46209</v>
      </c>
      <c r="H88" s="9">
        <v>46213</v>
      </c>
      <c r="I88" s="8" t="s">
        <v>121</v>
      </c>
      <c r="J88" s="8" t="s">
        <v>121</v>
      </c>
      <c r="K88" s="9"/>
      <c r="L88" s="8" t="s">
        <v>576</v>
      </c>
      <c r="M88" s="8" t="s">
        <v>577</v>
      </c>
      <c r="N88" s="10"/>
      <c r="O88" s="8" t="s">
        <v>635</v>
      </c>
    </row>
    <row r="89" ht="32" customHeight="1" spans="1:15">
      <c r="A89" s="8">
        <v>3</v>
      </c>
      <c r="B89" s="8" t="s">
        <v>369</v>
      </c>
      <c r="C89" s="8" t="s">
        <v>370</v>
      </c>
      <c r="D89" s="8" t="s">
        <v>119</v>
      </c>
      <c r="E89" s="8" t="s">
        <v>464</v>
      </c>
      <c r="F89" s="8" t="s">
        <v>120</v>
      </c>
      <c r="G89" s="9">
        <v>46209</v>
      </c>
      <c r="H89" s="9">
        <v>46213</v>
      </c>
      <c r="I89" s="8" t="s">
        <v>121</v>
      </c>
      <c r="J89" s="8" t="s">
        <v>121</v>
      </c>
      <c r="K89" s="9"/>
      <c r="L89" s="8" t="s">
        <v>576</v>
      </c>
      <c r="M89" s="8" t="s">
        <v>577</v>
      </c>
      <c r="N89" s="10"/>
      <c r="O89" s="8" t="s">
        <v>636</v>
      </c>
    </row>
    <row r="90" ht="32" customHeight="1" spans="1:15">
      <c r="A90" s="8">
        <v>3</v>
      </c>
      <c r="B90" s="8" t="s">
        <v>371</v>
      </c>
      <c r="C90" s="8" t="s">
        <v>372</v>
      </c>
      <c r="D90" s="8" t="s">
        <v>119</v>
      </c>
      <c r="E90" s="8" t="s">
        <v>464</v>
      </c>
      <c r="F90" s="8" t="s">
        <v>120</v>
      </c>
      <c r="G90" s="9">
        <v>46209</v>
      </c>
      <c r="H90" s="9">
        <v>46213</v>
      </c>
      <c r="I90" s="8" t="s">
        <v>121</v>
      </c>
      <c r="J90" s="8" t="s">
        <v>121</v>
      </c>
      <c r="K90" s="9"/>
      <c r="L90" s="8" t="s">
        <v>576</v>
      </c>
      <c r="M90" s="8" t="s">
        <v>577</v>
      </c>
      <c r="N90" s="10"/>
      <c r="O90" s="8" t="s">
        <v>637</v>
      </c>
    </row>
    <row r="91" ht="32" customHeight="1" spans="1:15">
      <c r="A91" s="8">
        <v>3</v>
      </c>
      <c r="B91" s="8" t="s">
        <v>373</v>
      </c>
      <c r="C91" s="8" t="s">
        <v>374</v>
      </c>
      <c r="D91" s="8" t="s">
        <v>119</v>
      </c>
      <c r="E91" s="8" t="s">
        <v>464</v>
      </c>
      <c r="F91" s="8" t="s">
        <v>120</v>
      </c>
      <c r="G91" s="9">
        <v>46209</v>
      </c>
      <c r="H91" s="9">
        <v>46213</v>
      </c>
      <c r="I91" s="8" t="s">
        <v>121</v>
      </c>
      <c r="J91" s="8" t="s">
        <v>121</v>
      </c>
      <c r="K91" s="9"/>
      <c r="L91" s="8" t="s">
        <v>576</v>
      </c>
      <c r="M91" s="8" t="s">
        <v>577</v>
      </c>
      <c r="N91" s="10"/>
      <c r="O91" s="8" t="s">
        <v>638</v>
      </c>
    </row>
    <row r="92" ht="32" customHeight="1" spans="1:15">
      <c r="A92" s="8">
        <v>3</v>
      </c>
      <c r="B92" s="8" t="s">
        <v>375</v>
      </c>
      <c r="C92" s="8" t="s">
        <v>376</v>
      </c>
      <c r="D92" s="8" t="s">
        <v>135</v>
      </c>
      <c r="E92" s="8" t="s">
        <v>464</v>
      </c>
      <c r="F92" s="8" t="s">
        <v>120</v>
      </c>
      <c r="G92" s="9">
        <v>46209</v>
      </c>
      <c r="H92" s="9">
        <v>46213</v>
      </c>
      <c r="I92" s="8" t="s">
        <v>121</v>
      </c>
      <c r="J92" s="8" t="s">
        <v>121</v>
      </c>
      <c r="K92" s="9"/>
      <c r="L92" s="8" t="s">
        <v>576</v>
      </c>
      <c r="M92" s="8" t="s">
        <v>577</v>
      </c>
      <c r="N92" s="10"/>
      <c r="O92" s="8" t="s">
        <v>639</v>
      </c>
    </row>
    <row r="93" ht="32" customHeight="1" spans="1:15">
      <c r="A93" s="8">
        <v>3</v>
      </c>
      <c r="B93" s="8" t="s">
        <v>430</v>
      </c>
      <c r="C93" s="8" t="s">
        <v>216</v>
      </c>
      <c r="D93" s="8" t="s">
        <v>135</v>
      </c>
      <c r="E93" s="8" t="s">
        <v>464</v>
      </c>
      <c r="F93" s="8" t="s">
        <v>120</v>
      </c>
      <c r="G93" s="9">
        <v>46209</v>
      </c>
      <c r="H93" s="9">
        <v>46213</v>
      </c>
      <c r="I93" s="8" t="s">
        <v>121</v>
      </c>
      <c r="J93" s="8" t="s">
        <v>121</v>
      </c>
      <c r="K93" s="9">
        <v>46261</v>
      </c>
      <c r="L93" s="8" t="s">
        <v>576</v>
      </c>
      <c r="M93" s="8"/>
      <c r="N93" s="10"/>
      <c r="O93" s="8" t="s">
        <v>640</v>
      </c>
    </row>
    <row r="94" ht="32" customHeight="1" spans="1:15">
      <c r="A94" s="8">
        <v>3</v>
      </c>
      <c r="B94" s="8" t="s">
        <v>431</v>
      </c>
      <c r="C94" s="8" t="s">
        <v>223</v>
      </c>
      <c r="D94" s="8" t="s">
        <v>135</v>
      </c>
      <c r="E94" s="8" t="s">
        <v>464</v>
      </c>
      <c r="F94" s="8" t="s">
        <v>120</v>
      </c>
      <c r="G94" s="9">
        <v>46209</v>
      </c>
      <c r="H94" s="9">
        <v>46213</v>
      </c>
      <c r="I94" s="8" t="s">
        <v>121</v>
      </c>
      <c r="J94" s="8" t="s">
        <v>121</v>
      </c>
      <c r="K94" s="9">
        <v>46261</v>
      </c>
      <c r="L94" s="8" t="s">
        <v>576</v>
      </c>
      <c r="M94" s="8"/>
      <c r="N94" s="10"/>
      <c r="O94" s="8" t="s">
        <v>641</v>
      </c>
    </row>
    <row r="95" ht="32" customHeight="1" spans="1:15">
      <c r="A95" s="8">
        <v>3</v>
      </c>
      <c r="B95" s="8" t="s">
        <v>432</v>
      </c>
      <c r="C95" s="8" t="s">
        <v>230</v>
      </c>
      <c r="D95" s="8" t="s">
        <v>135</v>
      </c>
      <c r="E95" s="8" t="s">
        <v>464</v>
      </c>
      <c r="F95" s="8" t="s">
        <v>120</v>
      </c>
      <c r="G95" s="9">
        <v>46209</v>
      </c>
      <c r="H95" s="9">
        <v>46213</v>
      </c>
      <c r="I95" s="8" t="s">
        <v>121</v>
      </c>
      <c r="J95" s="8" t="s">
        <v>121</v>
      </c>
      <c r="K95" s="9"/>
      <c r="L95" s="8" t="s">
        <v>576</v>
      </c>
      <c r="M95" s="8" t="s">
        <v>577</v>
      </c>
      <c r="N95" s="10"/>
      <c r="O95" s="8" t="s">
        <v>642</v>
      </c>
    </row>
    <row r="96" ht="32" customHeight="1" spans="1:15">
      <c r="A96" s="8">
        <v>3</v>
      </c>
      <c r="B96" s="8" t="s">
        <v>437</v>
      </c>
      <c r="C96" s="8" t="s">
        <v>438</v>
      </c>
      <c r="D96" s="8" t="s">
        <v>119</v>
      </c>
      <c r="E96" s="8" t="s">
        <v>464</v>
      </c>
      <c r="F96" s="8" t="s">
        <v>120</v>
      </c>
      <c r="G96" s="9">
        <v>46209</v>
      </c>
      <c r="H96" s="9">
        <v>46213</v>
      </c>
      <c r="I96" s="8" t="s">
        <v>121</v>
      </c>
      <c r="J96" s="8" t="s">
        <v>121</v>
      </c>
      <c r="K96" s="9">
        <v>46261</v>
      </c>
      <c r="L96" s="8" t="s">
        <v>576</v>
      </c>
      <c r="M96" s="8"/>
      <c r="N96" s="10"/>
      <c r="O96" s="8" t="s">
        <v>643</v>
      </c>
    </row>
    <row r="97" ht="32" customHeight="1" spans="1:15">
      <c r="A97" s="8">
        <v>3</v>
      </c>
      <c r="B97" s="8" t="s">
        <v>439</v>
      </c>
      <c r="C97" s="8" t="s">
        <v>438</v>
      </c>
      <c r="D97" s="8" t="s">
        <v>119</v>
      </c>
      <c r="E97" s="8" t="s">
        <v>464</v>
      </c>
      <c r="F97" s="8" t="s">
        <v>120</v>
      </c>
      <c r="G97" s="9">
        <v>46209</v>
      </c>
      <c r="H97" s="9">
        <v>46213</v>
      </c>
      <c r="I97" s="8" t="s">
        <v>121</v>
      </c>
      <c r="J97" s="8" t="s">
        <v>121</v>
      </c>
      <c r="K97" s="9">
        <v>46261</v>
      </c>
      <c r="L97" s="8" t="s">
        <v>576</v>
      </c>
      <c r="M97" s="8"/>
      <c r="N97" s="10"/>
      <c r="O97" s="8" t="s">
        <v>644</v>
      </c>
    </row>
    <row r="98" ht="32" customHeight="1" spans="1:15">
      <c r="A98" s="8">
        <v>3</v>
      </c>
      <c r="B98" s="8" t="s">
        <v>440</v>
      </c>
      <c r="C98" s="8" t="s">
        <v>438</v>
      </c>
      <c r="D98" s="8" t="s">
        <v>135</v>
      </c>
      <c r="E98" s="8" t="s">
        <v>464</v>
      </c>
      <c r="F98" s="8" t="s">
        <v>120</v>
      </c>
      <c r="G98" s="9">
        <v>46209</v>
      </c>
      <c r="H98" s="9">
        <v>46213</v>
      </c>
      <c r="I98" s="8" t="s">
        <v>121</v>
      </c>
      <c r="J98" s="8" t="s">
        <v>121</v>
      </c>
      <c r="K98" s="9"/>
      <c r="L98" s="8" t="s">
        <v>576</v>
      </c>
      <c r="M98" s="8" t="s">
        <v>577</v>
      </c>
      <c r="N98" s="10"/>
      <c r="O98" s="8" t="s">
        <v>645</v>
      </c>
    </row>
    <row r="99" ht="32" customHeight="1" spans="1:15">
      <c r="A99" s="8">
        <v>3</v>
      </c>
      <c r="B99" s="8" t="s">
        <v>260</v>
      </c>
      <c r="C99" s="8" t="s">
        <v>262</v>
      </c>
      <c r="D99" s="8" t="s">
        <v>119</v>
      </c>
      <c r="E99" s="8" t="s">
        <v>460</v>
      </c>
      <c r="F99" s="8" t="s">
        <v>124</v>
      </c>
      <c r="G99" s="9">
        <v>46202</v>
      </c>
      <c r="H99" s="9">
        <v>46213</v>
      </c>
      <c r="I99" s="8" t="s">
        <v>121</v>
      </c>
      <c r="J99" s="8" t="s">
        <v>121</v>
      </c>
      <c r="K99" s="9">
        <v>46224</v>
      </c>
      <c r="L99" s="8" t="s">
        <v>576</v>
      </c>
      <c r="M99" s="8"/>
      <c r="N99" s="10"/>
      <c r="O99" s="8" t="s">
        <v>646</v>
      </c>
    </row>
    <row r="100" ht="32" customHeight="1" spans="1:15">
      <c r="A100" s="8">
        <v>3</v>
      </c>
      <c r="B100" s="8" t="s">
        <v>285</v>
      </c>
      <c r="C100" s="8" t="s">
        <v>286</v>
      </c>
      <c r="D100" s="8" t="s">
        <v>119</v>
      </c>
      <c r="E100" s="8" t="s">
        <v>460</v>
      </c>
      <c r="F100" s="8" t="s">
        <v>124</v>
      </c>
      <c r="G100" s="9">
        <v>46202</v>
      </c>
      <c r="H100" s="9">
        <v>46213</v>
      </c>
      <c r="I100" s="8" t="s">
        <v>121</v>
      </c>
      <c r="J100" s="8" t="s">
        <v>121</v>
      </c>
      <c r="K100" s="9">
        <v>46224</v>
      </c>
      <c r="L100" s="8" t="s">
        <v>576</v>
      </c>
      <c r="M100" s="8"/>
      <c r="N100" s="10"/>
      <c r="O100" s="8" t="s">
        <v>647</v>
      </c>
    </row>
    <row r="101" ht="32" customHeight="1" spans="1:15">
      <c r="A101" s="8">
        <v>3</v>
      </c>
      <c r="B101" s="8" t="s">
        <v>287</v>
      </c>
      <c r="C101" s="8" t="s">
        <v>288</v>
      </c>
      <c r="D101" s="8" t="s">
        <v>119</v>
      </c>
      <c r="E101" s="8" t="s">
        <v>460</v>
      </c>
      <c r="F101" s="8" t="s">
        <v>124</v>
      </c>
      <c r="G101" s="9">
        <v>46202</v>
      </c>
      <c r="H101" s="9">
        <v>46213</v>
      </c>
      <c r="I101" s="8" t="s">
        <v>121</v>
      </c>
      <c r="J101" s="8" t="s">
        <v>121</v>
      </c>
      <c r="K101" s="9">
        <v>46224</v>
      </c>
      <c r="L101" s="8" t="s">
        <v>576</v>
      </c>
      <c r="M101" s="8"/>
      <c r="N101" s="10"/>
      <c r="O101" s="8" t="s">
        <v>648</v>
      </c>
    </row>
    <row r="102" ht="32" customHeight="1" spans="1:15">
      <c r="A102" s="8">
        <v>4</v>
      </c>
      <c r="B102" s="8" t="s">
        <v>398</v>
      </c>
      <c r="C102" s="8" t="s">
        <v>401</v>
      </c>
      <c r="D102" s="8" t="s">
        <v>135</v>
      </c>
      <c r="E102" s="8" t="s">
        <v>464</v>
      </c>
      <c r="F102" s="8" t="s">
        <v>120</v>
      </c>
      <c r="G102" s="9">
        <v>46216</v>
      </c>
      <c r="H102" s="9">
        <v>46220</v>
      </c>
      <c r="I102" s="8" t="s">
        <v>121</v>
      </c>
      <c r="J102" s="8" t="s">
        <v>121</v>
      </c>
      <c r="K102" s="9">
        <v>46261</v>
      </c>
      <c r="L102" s="8" t="s">
        <v>576</v>
      </c>
      <c r="M102" s="8"/>
      <c r="N102" s="10"/>
      <c r="O102" s="8" t="s">
        <v>649</v>
      </c>
    </row>
    <row r="103" ht="32" customHeight="1" spans="1:15">
      <c r="A103" s="8">
        <v>4</v>
      </c>
      <c r="B103" s="8" t="s">
        <v>402</v>
      </c>
      <c r="C103" s="8" t="s">
        <v>403</v>
      </c>
      <c r="D103" s="8" t="s">
        <v>135</v>
      </c>
      <c r="E103" s="8" t="s">
        <v>464</v>
      </c>
      <c r="F103" s="8" t="s">
        <v>120</v>
      </c>
      <c r="G103" s="9">
        <v>46216</v>
      </c>
      <c r="H103" s="9">
        <v>46220</v>
      </c>
      <c r="I103" s="8" t="s">
        <v>121</v>
      </c>
      <c r="J103" s="8" t="s">
        <v>121</v>
      </c>
      <c r="K103" s="9">
        <v>46261</v>
      </c>
      <c r="L103" s="8" t="s">
        <v>576</v>
      </c>
      <c r="M103" s="8"/>
      <c r="N103" s="10"/>
      <c r="O103" s="8" t="s">
        <v>650</v>
      </c>
    </row>
    <row r="104" ht="32" customHeight="1" spans="1:15">
      <c r="A104" s="8">
        <v>4</v>
      </c>
      <c r="B104" s="8" t="s">
        <v>404</v>
      </c>
      <c r="C104" s="8" t="s">
        <v>405</v>
      </c>
      <c r="D104" s="8" t="s">
        <v>135</v>
      </c>
      <c r="E104" s="8" t="s">
        <v>464</v>
      </c>
      <c r="F104" s="8" t="s">
        <v>120</v>
      </c>
      <c r="G104" s="9">
        <v>46216</v>
      </c>
      <c r="H104" s="9">
        <v>46220</v>
      </c>
      <c r="I104" s="8" t="s">
        <v>121</v>
      </c>
      <c r="J104" s="8" t="s">
        <v>121</v>
      </c>
      <c r="K104" s="9">
        <v>46261</v>
      </c>
      <c r="L104" s="8" t="s">
        <v>576</v>
      </c>
      <c r="M104" s="8"/>
      <c r="N104" s="10"/>
      <c r="O104" s="8" t="s">
        <v>651</v>
      </c>
    </row>
    <row r="105" ht="32" customHeight="1" spans="1:15">
      <c r="A105" s="8">
        <v>4</v>
      </c>
      <c r="B105" s="8" t="s">
        <v>406</v>
      </c>
      <c r="C105" s="8" t="s">
        <v>407</v>
      </c>
      <c r="D105" s="8" t="s">
        <v>135</v>
      </c>
      <c r="E105" s="8" t="s">
        <v>464</v>
      </c>
      <c r="F105" s="8" t="s">
        <v>120</v>
      </c>
      <c r="G105" s="9">
        <v>46216</v>
      </c>
      <c r="H105" s="9">
        <v>46220</v>
      </c>
      <c r="I105" s="8" t="s">
        <v>121</v>
      </c>
      <c r="J105" s="8" t="s">
        <v>121</v>
      </c>
      <c r="K105" s="9">
        <v>46261</v>
      </c>
      <c r="L105" s="8" t="s">
        <v>576</v>
      </c>
      <c r="M105" s="8"/>
      <c r="N105" s="10"/>
      <c r="O105" s="8" t="s">
        <v>652</v>
      </c>
    </row>
    <row r="106" ht="32" customHeight="1" spans="1:15">
      <c r="A106" s="8">
        <v>4</v>
      </c>
      <c r="B106" s="8" t="s">
        <v>408</v>
      </c>
      <c r="C106" s="8" t="s">
        <v>409</v>
      </c>
      <c r="D106" s="8" t="s">
        <v>135</v>
      </c>
      <c r="E106" s="8" t="s">
        <v>464</v>
      </c>
      <c r="F106" s="8" t="s">
        <v>120</v>
      </c>
      <c r="G106" s="9">
        <v>46216</v>
      </c>
      <c r="H106" s="9">
        <v>46220</v>
      </c>
      <c r="I106" s="8" t="s">
        <v>121</v>
      </c>
      <c r="J106" s="8" t="s">
        <v>121</v>
      </c>
      <c r="K106" s="9">
        <v>46261</v>
      </c>
      <c r="L106" s="8" t="s">
        <v>576</v>
      </c>
      <c r="M106" s="8"/>
      <c r="N106" s="10"/>
      <c r="O106" s="8" t="s">
        <v>653</v>
      </c>
    </row>
    <row r="107" ht="32" customHeight="1" spans="1:15">
      <c r="A107" s="8">
        <v>5</v>
      </c>
      <c r="B107" s="8" t="s">
        <v>154</v>
      </c>
      <c r="C107" s="8" t="s">
        <v>156</v>
      </c>
      <c r="D107" s="8" t="s">
        <v>135</v>
      </c>
      <c r="E107" s="8" t="s">
        <v>464</v>
      </c>
      <c r="F107" s="8" t="s">
        <v>120</v>
      </c>
      <c r="G107" s="9">
        <v>46223</v>
      </c>
      <c r="H107" s="9">
        <v>46227</v>
      </c>
      <c r="I107" s="8" t="s">
        <v>121</v>
      </c>
      <c r="J107" s="8" t="s">
        <v>157</v>
      </c>
      <c r="K107" s="9"/>
      <c r="L107" s="8" t="s">
        <v>576</v>
      </c>
      <c r="M107" s="8" t="s">
        <v>577</v>
      </c>
      <c r="N107" s="10"/>
      <c r="O107" s="8" t="s">
        <v>654</v>
      </c>
    </row>
    <row r="108" ht="32" customHeight="1" spans="1:15">
      <c r="A108" s="8">
        <v>5</v>
      </c>
      <c r="B108" s="8" t="s">
        <v>158</v>
      </c>
      <c r="C108" s="8" t="s">
        <v>159</v>
      </c>
      <c r="D108" s="8" t="s">
        <v>135</v>
      </c>
      <c r="E108" s="8" t="s">
        <v>464</v>
      </c>
      <c r="F108" s="8" t="s">
        <v>120</v>
      </c>
      <c r="G108" s="9">
        <v>46223</v>
      </c>
      <c r="H108" s="9">
        <v>46227</v>
      </c>
      <c r="I108" s="8" t="s">
        <v>121</v>
      </c>
      <c r="J108" s="8" t="s">
        <v>157</v>
      </c>
      <c r="K108" s="9"/>
      <c r="L108" s="8" t="s">
        <v>576</v>
      </c>
      <c r="M108" s="8" t="s">
        <v>577</v>
      </c>
      <c r="N108" s="10"/>
      <c r="O108" s="8" t="s">
        <v>655</v>
      </c>
    </row>
    <row r="109" ht="32" customHeight="1" spans="1:15">
      <c r="A109" s="8">
        <v>5</v>
      </c>
      <c r="B109" s="8" t="s">
        <v>160</v>
      </c>
      <c r="C109" s="8" t="s">
        <v>161</v>
      </c>
      <c r="D109" s="8" t="s">
        <v>135</v>
      </c>
      <c r="E109" s="8" t="s">
        <v>464</v>
      </c>
      <c r="F109" s="8" t="s">
        <v>120</v>
      </c>
      <c r="G109" s="9">
        <v>46223</v>
      </c>
      <c r="H109" s="9">
        <v>46227</v>
      </c>
      <c r="I109" s="8" t="s">
        <v>121</v>
      </c>
      <c r="J109" s="8" t="s">
        <v>157</v>
      </c>
      <c r="K109" s="9"/>
      <c r="L109" s="8" t="s">
        <v>576</v>
      </c>
      <c r="M109" s="8" t="s">
        <v>577</v>
      </c>
      <c r="N109" s="10"/>
      <c r="O109" s="8" t="s">
        <v>656</v>
      </c>
    </row>
    <row r="110" ht="32" customHeight="1" spans="1:15">
      <c r="A110" s="8">
        <v>5</v>
      </c>
      <c r="B110" s="8" t="s">
        <v>162</v>
      </c>
      <c r="C110" s="8" t="s">
        <v>163</v>
      </c>
      <c r="D110" s="8" t="s">
        <v>135</v>
      </c>
      <c r="E110" s="8" t="s">
        <v>464</v>
      </c>
      <c r="F110" s="8" t="s">
        <v>120</v>
      </c>
      <c r="G110" s="9">
        <v>46223</v>
      </c>
      <c r="H110" s="9">
        <v>46227</v>
      </c>
      <c r="I110" s="8" t="s">
        <v>121</v>
      </c>
      <c r="J110" s="8" t="s">
        <v>157</v>
      </c>
      <c r="K110" s="9"/>
      <c r="L110" s="8" t="s">
        <v>576</v>
      </c>
      <c r="M110" s="8" t="s">
        <v>577</v>
      </c>
      <c r="N110" s="10"/>
      <c r="O110" s="8" t="s">
        <v>657</v>
      </c>
    </row>
    <row r="111" ht="32" customHeight="1" spans="1:15">
      <c r="A111" s="8">
        <v>5</v>
      </c>
      <c r="B111" s="8" t="s">
        <v>164</v>
      </c>
      <c r="C111" s="8" t="s">
        <v>165</v>
      </c>
      <c r="D111" s="8" t="s">
        <v>135</v>
      </c>
      <c r="E111" s="8" t="s">
        <v>464</v>
      </c>
      <c r="F111" s="8" t="s">
        <v>120</v>
      </c>
      <c r="G111" s="9">
        <v>46223</v>
      </c>
      <c r="H111" s="9">
        <v>46227</v>
      </c>
      <c r="I111" s="8" t="s">
        <v>121</v>
      </c>
      <c r="J111" s="8" t="s">
        <v>157</v>
      </c>
      <c r="K111" s="9"/>
      <c r="L111" s="8" t="s">
        <v>576</v>
      </c>
      <c r="M111" s="8" t="s">
        <v>577</v>
      </c>
      <c r="N111" s="10"/>
      <c r="O111" s="8" t="s">
        <v>658</v>
      </c>
    </row>
    <row r="112" ht="32" customHeight="1" spans="1:15">
      <c r="A112" s="8">
        <v>5</v>
      </c>
      <c r="B112" s="8" t="s">
        <v>166</v>
      </c>
      <c r="C112" s="8" t="s">
        <v>167</v>
      </c>
      <c r="D112" s="8" t="s">
        <v>135</v>
      </c>
      <c r="E112" s="8" t="s">
        <v>464</v>
      </c>
      <c r="F112" s="8" t="s">
        <v>120</v>
      </c>
      <c r="G112" s="9">
        <v>46223</v>
      </c>
      <c r="H112" s="9">
        <v>46227</v>
      </c>
      <c r="I112" s="8" t="s">
        <v>23</v>
      </c>
      <c r="J112" s="8" t="s">
        <v>23</v>
      </c>
      <c r="K112" s="9"/>
      <c r="L112" s="8" t="s">
        <v>659</v>
      </c>
      <c r="M112" s="8"/>
      <c r="N112" s="10"/>
      <c r="O112" s="8" t="s">
        <v>660</v>
      </c>
    </row>
    <row r="113" ht="32" customHeight="1" spans="1:15">
      <c r="A113" s="8">
        <v>5</v>
      </c>
      <c r="B113" s="8" t="s">
        <v>249</v>
      </c>
      <c r="C113" s="8" t="s">
        <v>251</v>
      </c>
      <c r="D113" s="8" t="s">
        <v>135</v>
      </c>
      <c r="E113" s="8" t="s">
        <v>464</v>
      </c>
      <c r="F113" s="8" t="s">
        <v>120</v>
      </c>
      <c r="G113" s="9">
        <v>46223</v>
      </c>
      <c r="H113" s="9">
        <v>46227</v>
      </c>
      <c r="I113" s="8" t="s">
        <v>23</v>
      </c>
      <c r="J113" s="8" t="s">
        <v>23</v>
      </c>
      <c r="K113" s="9">
        <v>46224</v>
      </c>
      <c r="L113" s="8" t="s">
        <v>659</v>
      </c>
      <c r="M113" s="8"/>
      <c r="N113" s="10"/>
      <c r="O113" s="8" t="s">
        <v>661</v>
      </c>
    </row>
    <row r="114" ht="32" customHeight="1" spans="1:15">
      <c r="A114" s="8">
        <v>5</v>
      </c>
      <c r="B114" s="8" t="s">
        <v>252</v>
      </c>
      <c r="C114" s="8" t="s">
        <v>253</v>
      </c>
      <c r="D114" s="8" t="s">
        <v>135</v>
      </c>
      <c r="E114" s="8" t="s">
        <v>464</v>
      </c>
      <c r="F114" s="8" t="s">
        <v>120</v>
      </c>
      <c r="G114" s="9">
        <v>46223</v>
      </c>
      <c r="H114" s="9">
        <v>46227</v>
      </c>
      <c r="I114" s="8" t="s">
        <v>23</v>
      </c>
      <c r="J114" s="8" t="s">
        <v>23</v>
      </c>
      <c r="K114" s="9">
        <v>46224</v>
      </c>
      <c r="L114" s="8" t="s">
        <v>659</v>
      </c>
      <c r="M114" s="8"/>
      <c r="N114" s="10"/>
      <c r="O114" s="8" t="s">
        <v>662</v>
      </c>
    </row>
    <row r="115" ht="32" customHeight="1" spans="1:15">
      <c r="A115" s="8">
        <v>5</v>
      </c>
      <c r="B115" s="8" t="s">
        <v>254</v>
      </c>
      <c r="C115" s="8" t="s">
        <v>255</v>
      </c>
      <c r="D115" s="8" t="s">
        <v>135</v>
      </c>
      <c r="E115" s="8" t="s">
        <v>464</v>
      </c>
      <c r="F115" s="8" t="s">
        <v>120</v>
      </c>
      <c r="G115" s="9">
        <v>46223</v>
      </c>
      <c r="H115" s="9">
        <v>46227</v>
      </c>
      <c r="I115" s="8" t="s">
        <v>23</v>
      </c>
      <c r="J115" s="8" t="s">
        <v>23</v>
      </c>
      <c r="K115" s="9">
        <v>46224</v>
      </c>
      <c r="L115" s="8" t="s">
        <v>659</v>
      </c>
      <c r="M115" s="8"/>
      <c r="N115" s="10"/>
      <c r="O115" s="8" t="s">
        <v>663</v>
      </c>
    </row>
    <row r="116" ht="32" customHeight="1" spans="1:15">
      <c r="A116" s="8">
        <v>5</v>
      </c>
      <c r="B116" s="8" t="s">
        <v>256</v>
      </c>
      <c r="C116" s="8" t="s">
        <v>257</v>
      </c>
      <c r="D116" s="8" t="s">
        <v>135</v>
      </c>
      <c r="E116" s="8" t="s">
        <v>464</v>
      </c>
      <c r="F116" s="8" t="s">
        <v>120</v>
      </c>
      <c r="G116" s="9">
        <v>46223</v>
      </c>
      <c r="H116" s="9">
        <v>46227</v>
      </c>
      <c r="I116" s="8" t="s">
        <v>23</v>
      </c>
      <c r="J116" s="8" t="s">
        <v>23</v>
      </c>
      <c r="K116" s="9"/>
      <c r="L116" s="8" t="s">
        <v>659</v>
      </c>
      <c r="M116" s="8"/>
      <c r="N116" s="10"/>
      <c r="O116" s="8" t="s">
        <v>664</v>
      </c>
    </row>
    <row r="117" ht="32" customHeight="1" spans="1:15">
      <c r="A117" s="8">
        <v>5</v>
      </c>
      <c r="B117" s="8" t="s">
        <v>258</v>
      </c>
      <c r="C117" s="8" t="s">
        <v>259</v>
      </c>
      <c r="D117" s="8" t="s">
        <v>135</v>
      </c>
      <c r="E117" s="8" t="s">
        <v>464</v>
      </c>
      <c r="F117" s="8" t="s">
        <v>120</v>
      </c>
      <c r="G117" s="9">
        <v>46223</v>
      </c>
      <c r="H117" s="9">
        <v>46227</v>
      </c>
      <c r="I117" s="8" t="s">
        <v>23</v>
      </c>
      <c r="J117" s="8" t="s">
        <v>23</v>
      </c>
      <c r="K117" s="9">
        <v>46224</v>
      </c>
      <c r="L117" s="8" t="s">
        <v>659</v>
      </c>
      <c r="M117" s="8"/>
      <c r="N117" s="10"/>
      <c r="O117" s="8" t="s">
        <v>665</v>
      </c>
    </row>
    <row r="118" ht="32" customHeight="1" spans="1:15">
      <c r="A118" s="8">
        <v>5</v>
      </c>
      <c r="B118" s="8" t="s">
        <v>303</v>
      </c>
      <c r="C118" s="8" t="s">
        <v>306</v>
      </c>
      <c r="D118" s="8" t="s">
        <v>135</v>
      </c>
      <c r="E118" s="8" t="s">
        <v>464</v>
      </c>
      <c r="F118" s="8" t="s">
        <v>120</v>
      </c>
      <c r="G118" s="9">
        <v>46223</v>
      </c>
      <c r="H118" s="9">
        <v>46227</v>
      </c>
      <c r="I118" s="8" t="s">
        <v>121</v>
      </c>
      <c r="J118" s="8" t="s">
        <v>157</v>
      </c>
      <c r="K118" s="9"/>
      <c r="L118" s="8" t="s">
        <v>576</v>
      </c>
      <c r="M118" s="8" t="s">
        <v>577</v>
      </c>
      <c r="N118" s="10"/>
      <c r="O118" s="8" t="s">
        <v>666</v>
      </c>
    </row>
    <row r="119" ht="32" customHeight="1" spans="1:15">
      <c r="A119" s="8">
        <v>5</v>
      </c>
      <c r="B119" s="8" t="s">
        <v>307</v>
      </c>
      <c r="C119" s="8" t="s">
        <v>308</v>
      </c>
      <c r="D119" s="8" t="s">
        <v>135</v>
      </c>
      <c r="E119" s="8" t="s">
        <v>464</v>
      </c>
      <c r="F119" s="8" t="s">
        <v>120</v>
      </c>
      <c r="G119" s="9">
        <v>46223</v>
      </c>
      <c r="H119" s="9">
        <v>46227</v>
      </c>
      <c r="I119" s="8" t="s">
        <v>121</v>
      </c>
      <c r="J119" s="8" t="s">
        <v>157</v>
      </c>
      <c r="K119" s="9"/>
      <c r="L119" s="8" t="s">
        <v>576</v>
      </c>
      <c r="M119" s="8" t="s">
        <v>577</v>
      </c>
      <c r="N119" s="10"/>
      <c r="O119" s="8" t="s">
        <v>667</v>
      </c>
    </row>
    <row r="120" ht="32" customHeight="1" spans="1:15">
      <c r="A120" s="8">
        <v>5</v>
      </c>
      <c r="B120" s="8" t="s">
        <v>309</v>
      </c>
      <c r="C120" s="8" t="s">
        <v>310</v>
      </c>
      <c r="D120" s="8" t="s">
        <v>135</v>
      </c>
      <c r="E120" s="8" t="s">
        <v>464</v>
      </c>
      <c r="F120" s="8" t="s">
        <v>120</v>
      </c>
      <c r="G120" s="9">
        <v>46223</v>
      </c>
      <c r="H120" s="9">
        <v>46227</v>
      </c>
      <c r="I120" s="8" t="s">
        <v>121</v>
      </c>
      <c r="J120" s="8" t="s">
        <v>157</v>
      </c>
      <c r="K120" s="9">
        <v>46261</v>
      </c>
      <c r="L120" s="8" t="s">
        <v>576</v>
      </c>
      <c r="M120" s="8"/>
      <c r="N120" s="10"/>
      <c r="O120" s="8" t="s">
        <v>668</v>
      </c>
    </row>
    <row r="121" ht="32" customHeight="1" spans="1:15">
      <c r="A121" s="8">
        <v>5</v>
      </c>
      <c r="B121" s="8" t="s">
        <v>433</v>
      </c>
      <c r="C121" s="8" t="s">
        <v>434</v>
      </c>
      <c r="D121" s="8" t="s">
        <v>135</v>
      </c>
      <c r="E121" s="8" t="s">
        <v>464</v>
      </c>
      <c r="F121" s="8" t="s">
        <v>120</v>
      </c>
      <c r="G121" s="9">
        <v>46223</v>
      </c>
      <c r="H121" s="9">
        <v>46227</v>
      </c>
      <c r="I121" s="8" t="s">
        <v>23</v>
      </c>
      <c r="J121" s="8" t="s">
        <v>23</v>
      </c>
      <c r="K121" s="9"/>
      <c r="L121" s="8" t="s">
        <v>659</v>
      </c>
      <c r="M121" s="8"/>
      <c r="N121" s="10"/>
      <c r="O121" s="8" t="s">
        <v>669</v>
      </c>
    </row>
    <row r="122" ht="32" customHeight="1" spans="1:15">
      <c r="A122" s="8">
        <v>5</v>
      </c>
      <c r="B122" s="8" t="s">
        <v>114</v>
      </c>
      <c r="C122" s="8" t="s">
        <v>117</v>
      </c>
      <c r="D122" s="8" t="s">
        <v>119</v>
      </c>
      <c r="E122" s="8" t="s">
        <v>463</v>
      </c>
      <c r="F122" s="8" t="s">
        <v>123</v>
      </c>
      <c r="G122" s="9">
        <v>46209</v>
      </c>
      <c r="H122" s="9">
        <v>46225</v>
      </c>
      <c r="I122" s="8" t="s">
        <v>121</v>
      </c>
      <c r="J122" s="8" t="s">
        <v>121</v>
      </c>
      <c r="K122" s="9"/>
      <c r="L122" s="8" t="s">
        <v>576</v>
      </c>
      <c r="M122" s="8" t="s">
        <v>577</v>
      </c>
      <c r="N122" s="10"/>
      <c r="O122" s="8" t="s">
        <v>670</v>
      </c>
    </row>
    <row r="123" ht="32" customHeight="1" spans="1:15">
      <c r="A123" s="8">
        <v>5</v>
      </c>
      <c r="B123" s="8" t="s">
        <v>126</v>
      </c>
      <c r="C123" s="8" t="s">
        <v>127</v>
      </c>
      <c r="D123" s="8" t="s">
        <v>119</v>
      </c>
      <c r="E123" s="8" t="s">
        <v>463</v>
      </c>
      <c r="F123" s="8" t="s">
        <v>123</v>
      </c>
      <c r="G123" s="9">
        <v>46209</v>
      </c>
      <c r="H123" s="9">
        <v>46225</v>
      </c>
      <c r="I123" s="8" t="s">
        <v>121</v>
      </c>
      <c r="J123" s="8" t="s">
        <v>121</v>
      </c>
      <c r="K123" s="9"/>
      <c r="L123" s="8" t="s">
        <v>576</v>
      </c>
      <c r="M123" s="8" t="s">
        <v>577</v>
      </c>
      <c r="N123" s="10"/>
      <c r="O123" s="8" t="s">
        <v>671</v>
      </c>
    </row>
    <row r="124" ht="32" customHeight="1" spans="1:15">
      <c r="A124" s="8">
        <v>5</v>
      </c>
      <c r="B124" s="8" t="s">
        <v>128</v>
      </c>
      <c r="C124" s="8" t="s">
        <v>129</v>
      </c>
      <c r="D124" s="8" t="s">
        <v>119</v>
      </c>
      <c r="E124" s="8" t="s">
        <v>463</v>
      </c>
      <c r="F124" s="8" t="s">
        <v>123</v>
      </c>
      <c r="G124" s="9">
        <v>46209</v>
      </c>
      <c r="H124" s="9">
        <v>46225</v>
      </c>
      <c r="I124" s="8" t="s">
        <v>121</v>
      </c>
      <c r="J124" s="8" t="s">
        <v>121</v>
      </c>
      <c r="K124" s="9"/>
      <c r="L124" s="8" t="s">
        <v>576</v>
      </c>
      <c r="M124" s="8" t="s">
        <v>577</v>
      </c>
      <c r="N124" s="10"/>
      <c r="O124" s="8" t="s">
        <v>672</v>
      </c>
    </row>
    <row r="125" ht="32" customHeight="1" spans="1:15">
      <c r="A125" s="8">
        <v>5</v>
      </c>
      <c r="B125" s="8" t="s">
        <v>130</v>
      </c>
      <c r="C125" s="8" t="s">
        <v>131</v>
      </c>
      <c r="D125" s="8" t="s">
        <v>119</v>
      </c>
      <c r="E125" s="8" t="s">
        <v>463</v>
      </c>
      <c r="F125" s="8" t="s">
        <v>123</v>
      </c>
      <c r="G125" s="9">
        <v>46209</v>
      </c>
      <c r="H125" s="9">
        <v>46225</v>
      </c>
      <c r="I125" s="8" t="s">
        <v>121</v>
      </c>
      <c r="J125" s="8" t="s">
        <v>121</v>
      </c>
      <c r="K125" s="9"/>
      <c r="L125" s="8" t="s">
        <v>576</v>
      </c>
      <c r="M125" s="8" t="s">
        <v>577</v>
      </c>
      <c r="N125" s="10"/>
      <c r="O125" s="8" t="s">
        <v>673</v>
      </c>
    </row>
    <row r="126" ht="32" customHeight="1" spans="1:15">
      <c r="A126" s="8">
        <v>5</v>
      </c>
      <c r="B126" s="8" t="s">
        <v>136</v>
      </c>
      <c r="C126" s="8" t="s">
        <v>138</v>
      </c>
      <c r="D126" s="8" t="s">
        <v>119</v>
      </c>
      <c r="E126" s="8" t="s">
        <v>463</v>
      </c>
      <c r="F126" s="8" t="s">
        <v>123</v>
      </c>
      <c r="G126" s="9">
        <v>46209</v>
      </c>
      <c r="H126" s="9">
        <v>46227</v>
      </c>
      <c r="I126" s="8" t="s">
        <v>121</v>
      </c>
      <c r="J126" s="8" t="s">
        <v>121</v>
      </c>
      <c r="K126" s="9">
        <v>46224</v>
      </c>
      <c r="L126" s="8" t="s">
        <v>576</v>
      </c>
      <c r="M126" s="8"/>
      <c r="N126" s="10"/>
      <c r="O126" s="8" t="s">
        <v>674</v>
      </c>
    </row>
    <row r="127" ht="32" customHeight="1" spans="1:15">
      <c r="A127" s="8">
        <v>5</v>
      </c>
      <c r="B127" s="8" t="s">
        <v>139</v>
      </c>
      <c r="C127" s="8" t="s">
        <v>140</v>
      </c>
      <c r="D127" s="8" t="s">
        <v>119</v>
      </c>
      <c r="E127" s="8" t="s">
        <v>463</v>
      </c>
      <c r="F127" s="8" t="s">
        <v>123</v>
      </c>
      <c r="G127" s="9">
        <v>46209</v>
      </c>
      <c r="H127" s="9">
        <v>46227</v>
      </c>
      <c r="I127" s="8" t="s">
        <v>121</v>
      </c>
      <c r="J127" s="8" t="s">
        <v>121</v>
      </c>
      <c r="K127" s="9">
        <v>46224</v>
      </c>
      <c r="L127" s="8" t="s">
        <v>576</v>
      </c>
      <c r="M127" s="8"/>
      <c r="N127" s="10"/>
      <c r="O127" s="8" t="s">
        <v>675</v>
      </c>
    </row>
    <row r="128" ht="32" customHeight="1" spans="1:15">
      <c r="A128" s="8">
        <v>5</v>
      </c>
      <c r="B128" s="8" t="s">
        <v>141</v>
      </c>
      <c r="C128" s="8" t="s">
        <v>142</v>
      </c>
      <c r="D128" s="8" t="s">
        <v>119</v>
      </c>
      <c r="E128" s="8" t="s">
        <v>463</v>
      </c>
      <c r="F128" s="8" t="s">
        <v>123</v>
      </c>
      <c r="G128" s="9">
        <v>46209</v>
      </c>
      <c r="H128" s="9">
        <v>46227</v>
      </c>
      <c r="I128" s="8" t="s">
        <v>121</v>
      </c>
      <c r="J128" s="8" t="s">
        <v>121</v>
      </c>
      <c r="K128" s="9">
        <v>46224</v>
      </c>
      <c r="L128" s="8" t="s">
        <v>576</v>
      </c>
      <c r="M128" s="8"/>
      <c r="N128" s="10"/>
      <c r="O128" s="8" t="s">
        <v>676</v>
      </c>
    </row>
    <row r="129" ht="32" customHeight="1" spans="1:15">
      <c r="A129" s="8">
        <v>5</v>
      </c>
      <c r="B129" s="8" t="s">
        <v>143</v>
      </c>
      <c r="C129" s="8" t="s">
        <v>145</v>
      </c>
      <c r="D129" s="8" t="s">
        <v>119</v>
      </c>
      <c r="E129" s="8" t="s">
        <v>463</v>
      </c>
      <c r="F129" s="8" t="s">
        <v>123</v>
      </c>
      <c r="G129" s="9">
        <v>46209</v>
      </c>
      <c r="H129" s="9">
        <v>46227</v>
      </c>
      <c r="I129" s="8" t="s">
        <v>121</v>
      </c>
      <c r="J129" s="8" t="s">
        <v>121</v>
      </c>
      <c r="K129" s="9">
        <v>46224</v>
      </c>
      <c r="L129" s="8" t="s">
        <v>576</v>
      </c>
      <c r="M129" s="8"/>
      <c r="N129" s="10"/>
      <c r="O129" s="8" t="s">
        <v>677</v>
      </c>
    </row>
    <row r="130" ht="32" customHeight="1" spans="1:15">
      <c r="A130" s="8">
        <v>5</v>
      </c>
      <c r="B130" s="8" t="s">
        <v>146</v>
      </c>
      <c r="C130" s="8" t="s">
        <v>147</v>
      </c>
      <c r="D130" s="8" t="s">
        <v>119</v>
      </c>
      <c r="E130" s="8" t="s">
        <v>463</v>
      </c>
      <c r="F130" s="8" t="s">
        <v>123</v>
      </c>
      <c r="G130" s="9">
        <v>46209</v>
      </c>
      <c r="H130" s="9">
        <v>46227</v>
      </c>
      <c r="I130" s="8" t="s">
        <v>121</v>
      </c>
      <c r="J130" s="8" t="s">
        <v>121</v>
      </c>
      <c r="K130" s="9">
        <v>46224</v>
      </c>
      <c r="L130" s="8" t="s">
        <v>576</v>
      </c>
      <c r="M130" s="8"/>
      <c r="N130" s="10"/>
      <c r="O130" s="8" t="s">
        <v>678</v>
      </c>
    </row>
    <row r="131" ht="32" customHeight="1" spans="1:15">
      <c r="A131" s="8">
        <v>5</v>
      </c>
      <c r="B131" s="8" t="s">
        <v>148</v>
      </c>
      <c r="C131" s="8" t="s">
        <v>151</v>
      </c>
      <c r="D131" s="8" t="s">
        <v>119</v>
      </c>
      <c r="E131" s="8" t="s">
        <v>463</v>
      </c>
      <c r="F131" s="8" t="s">
        <v>123</v>
      </c>
      <c r="G131" s="9">
        <v>46209</v>
      </c>
      <c r="H131" s="9">
        <v>46225</v>
      </c>
      <c r="I131" s="8" t="s">
        <v>121</v>
      </c>
      <c r="J131" s="8" t="s">
        <v>121</v>
      </c>
      <c r="K131" s="9">
        <v>46224</v>
      </c>
      <c r="L131" s="8" t="s">
        <v>576</v>
      </c>
      <c r="M131" s="8"/>
      <c r="N131" s="10"/>
      <c r="O131" s="8" t="s">
        <v>679</v>
      </c>
    </row>
    <row r="132" ht="32" customHeight="1" spans="1:15">
      <c r="A132" s="8">
        <v>5</v>
      </c>
      <c r="B132" s="8" t="s">
        <v>152</v>
      </c>
      <c r="C132" s="8" t="s">
        <v>153</v>
      </c>
      <c r="D132" s="8" t="s">
        <v>119</v>
      </c>
      <c r="E132" s="8" t="s">
        <v>463</v>
      </c>
      <c r="F132" s="8" t="s">
        <v>123</v>
      </c>
      <c r="G132" s="9">
        <v>46209</v>
      </c>
      <c r="H132" s="9">
        <v>46225</v>
      </c>
      <c r="I132" s="8" t="s">
        <v>121</v>
      </c>
      <c r="J132" s="8" t="s">
        <v>121</v>
      </c>
      <c r="K132" s="9">
        <v>46224</v>
      </c>
      <c r="L132" s="8" t="s">
        <v>576</v>
      </c>
      <c r="M132" s="8"/>
      <c r="N132" s="10"/>
      <c r="O132" s="8" t="s">
        <v>680</v>
      </c>
    </row>
    <row r="133" ht="32" customHeight="1" spans="1:15">
      <c r="A133" s="8">
        <v>5</v>
      </c>
      <c r="B133" s="8" t="s">
        <v>266</v>
      </c>
      <c r="C133" s="8" t="s">
        <v>268</v>
      </c>
      <c r="D133" s="8" t="s">
        <v>119</v>
      </c>
      <c r="E133" s="8" t="s">
        <v>463</v>
      </c>
      <c r="F133" s="8" t="s">
        <v>123</v>
      </c>
      <c r="G133" s="9">
        <v>46209</v>
      </c>
      <c r="H133" s="9">
        <v>46227</v>
      </c>
      <c r="I133" s="8" t="s">
        <v>121</v>
      </c>
      <c r="J133" s="8" t="s">
        <v>121</v>
      </c>
      <c r="K133" s="9">
        <v>46261</v>
      </c>
      <c r="L133" s="8" t="s">
        <v>576</v>
      </c>
      <c r="M133" s="8"/>
      <c r="N133" s="10"/>
      <c r="O133" s="8" t="s">
        <v>681</v>
      </c>
    </row>
    <row r="134" ht="32" customHeight="1" spans="1:15">
      <c r="A134" s="8">
        <v>5</v>
      </c>
      <c r="B134" s="8" t="s">
        <v>269</v>
      </c>
      <c r="C134" s="8" t="s">
        <v>270</v>
      </c>
      <c r="D134" s="8" t="s">
        <v>119</v>
      </c>
      <c r="E134" s="8" t="s">
        <v>463</v>
      </c>
      <c r="F134" s="8" t="s">
        <v>123</v>
      </c>
      <c r="G134" s="9">
        <v>46209</v>
      </c>
      <c r="H134" s="9">
        <v>46227</v>
      </c>
      <c r="I134" s="8" t="s">
        <v>121</v>
      </c>
      <c r="J134" s="8" t="s">
        <v>121</v>
      </c>
      <c r="K134" s="9">
        <v>46261</v>
      </c>
      <c r="L134" s="8" t="s">
        <v>576</v>
      </c>
      <c r="M134" s="8"/>
      <c r="N134" s="10"/>
      <c r="O134" s="8" t="s">
        <v>682</v>
      </c>
    </row>
    <row r="135" ht="32" customHeight="1" spans="1:15">
      <c r="A135" s="8">
        <v>5</v>
      </c>
      <c r="B135" s="8" t="s">
        <v>271</v>
      </c>
      <c r="C135" s="8" t="s">
        <v>272</v>
      </c>
      <c r="D135" s="8" t="s">
        <v>119</v>
      </c>
      <c r="E135" s="8" t="s">
        <v>463</v>
      </c>
      <c r="F135" s="8" t="s">
        <v>123</v>
      </c>
      <c r="G135" s="9">
        <v>46209</v>
      </c>
      <c r="H135" s="9">
        <v>46227</v>
      </c>
      <c r="I135" s="8" t="s">
        <v>121</v>
      </c>
      <c r="J135" s="8" t="s">
        <v>121</v>
      </c>
      <c r="K135" s="9">
        <v>46261</v>
      </c>
      <c r="L135" s="8" t="s">
        <v>576</v>
      </c>
      <c r="M135" s="8"/>
      <c r="N135" s="10"/>
      <c r="O135" s="8" t="s">
        <v>683</v>
      </c>
    </row>
    <row r="136" ht="32" customHeight="1" spans="1:15">
      <c r="A136" s="8">
        <v>5</v>
      </c>
      <c r="B136" s="8" t="s">
        <v>273</v>
      </c>
      <c r="C136" s="8" t="s">
        <v>275</v>
      </c>
      <c r="D136" s="8" t="s">
        <v>119</v>
      </c>
      <c r="E136" s="8" t="s">
        <v>463</v>
      </c>
      <c r="F136" s="8" t="s">
        <v>123</v>
      </c>
      <c r="G136" s="9">
        <v>46209</v>
      </c>
      <c r="H136" s="9">
        <v>46227</v>
      </c>
      <c r="I136" s="8" t="s">
        <v>121</v>
      </c>
      <c r="J136" s="8" t="s">
        <v>121</v>
      </c>
      <c r="K136" s="9">
        <v>46261</v>
      </c>
      <c r="L136" s="8" t="s">
        <v>576</v>
      </c>
      <c r="M136" s="8"/>
      <c r="N136" s="10"/>
      <c r="O136" s="8" t="s">
        <v>684</v>
      </c>
    </row>
    <row r="137" ht="32" customHeight="1" spans="1:15">
      <c r="A137" s="8">
        <v>5</v>
      </c>
      <c r="B137" s="8" t="s">
        <v>276</v>
      </c>
      <c r="C137" s="8" t="s">
        <v>275</v>
      </c>
      <c r="D137" s="8" t="s">
        <v>119</v>
      </c>
      <c r="E137" s="8" t="s">
        <v>463</v>
      </c>
      <c r="F137" s="8" t="s">
        <v>123</v>
      </c>
      <c r="G137" s="9">
        <v>46209</v>
      </c>
      <c r="H137" s="9">
        <v>46227</v>
      </c>
      <c r="I137" s="8" t="s">
        <v>121</v>
      </c>
      <c r="J137" s="8" t="s">
        <v>121</v>
      </c>
      <c r="K137" s="9">
        <v>46261</v>
      </c>
      <c r="L137" s="8" t="s">
        <v>576</v>
      </c>
      <c r="M137" s="8"/>
      <c r="N137" s="10"/>
      <c r="O137" s="8" t="s">
        <v>685</v>
      </c>
    </row>
    <row r="138" ht="32" customHeight="1" spans="1:15">
      <c r="A138" s="8">
        <v>5</v>
      </c>
      <c r="B138" s="8" t="s">
        <v>277</v>
      </c>
      <c r="C138" s="8" t="s">
        <v>278</v>
      </c>
      <c r="D138" s="8" t="s">
        <v>119</v>
      </c>
      <c r="E138" s="8" t="s">
        <v>463</v>
      </c>
      <c r="F138" s="8" t="s">
        <v>123</v>
      </c>
      <c r="G138" s="9">
        <v>46209</v>
      </c>
      <c r="H138" s="9">
        <v>46227</v>
      </c>
      <c r="I138" s="8" t="s">
        <v>121</v>
      </c>
      <c r="J138" s="8" t="s">
        <v>121</v>
      </c>
      <c r="K138" s="9">
        <v>46261</v>
      </c>
      <c r="L138" s="8" t="s">
        <v>576</v>
      </c>
      <c r="M138" s="8"/>
      <c r="N138" s="10"/>
      <c r="O138" s="8" t="s">
        <v>686</v>
      </c>
    </row>
    <row r="139" ht="32" customHeight="1" spans="1:15">
      <c r="A139" s="8">
        <v>5</v>
      </c>
      <c r="B139" s="8" t="s">
        <v>279</v>
      </c>
      <c r="C139" s="8" t="s">
        <v>278</v>
      </c>
      <c r="D139" s="8" t="s">
        <v>119</v>
      </c>
      <c r="E139" s="8" t="s">
        <v>463</v>
      </c>
      <c r="F139" s="8" t="s">
        <v>123</v>
      </c>
      <c r="G139" s="9">
        <v>46209</v>
      </c>
      <c r="H139" s="9">
        <v>46227</v>
      </c>
      <c r="I139" s="8" t="s">
        <v>121</v>
      </c>
      <c r="J139" s="8" t="s">
        <v>121</v>
      </c>
      <c r="K139" s="9">
        <v>46261</v>
      </c>
      <c r="L139" s="8" t="s">
        <v>576</v>
      </c>
      <c r="M139" s="8"/>
      <c r="N139" s="10"/>
      <c r="O139" s="8" t="s">
        <v>687</v>
      </c>
    </row>
    <row r="140" ht="32" customHeight="1" spans="1:15">
      <c r="A140" s="8">
        <v>5</v>
      </c>
      <c r="B140" s="8" t="s">
        <v>280</v>
      </c>
      <c r="C140" s="8" t="s">
        <v>278</v>
      </c>
      <c r="D140" s="8" t="s">
        <v>119</v>
      </c>
      <c r="E140" s="8" t="s">
        <v>463</v>
      </c>
      <c r="F140" s="8" t="s">
        <v>123</v>
      </c>
      <c r="G140" s="9">
        <v>46209</v>
      </c>
      <c r="H140" s="9">
        <v>46227</v>
      </c>
      <c r="I140" s="8" t="s">
        <v>121</v>
      </c>
      <c r="J140" s="8" t="s">
        <v>121</v>
      </c>
      <c r="K140" s="9">
        <v>46261</v>
      </c>
      <c r="L140" s="8" t="s">
        <v>576</v>
      </c>
      <c r="M140" s="8"/>
      <c r="N140" s="10"/>
      <c r="O140" s="8" t="s">
        <v>688</v>
      </c>
    </row>
    <row r="141" ht="32" customHeight="1" spans="1:15">
      <c r="A141" s="8">
        <v>5</v>
      </c>
      <c r="B141" s="8" t="s">
        <v>281</v>
      </c>
      <c r="C141" s="8" t="s">
        <v>278</v>
      </c>
      <c r="D141" s="8" t="s">
        <v>119</v>
      </c>
      <c r="E141" s="8" t="s">
        <v>463</v>
      </c>
      <c r="F141" s="8" t="s">
        <v>123</v>
      </c>
      <c r="G141" s="9">
        <v>46209</v>
      </c>
      <c r="H141" s="9">
        <v>46227</v>
      </c>
      <c r="I141" s="8" t="s">
        <v>121</v>
      </c>
      <c r="J141" s="8" t="s">
        <v>121</v>
      </c>
      <c r="K141" s="9">
        <v>46261</v>
      </c>
      <c r="L141" s="8" t="s">
        <v>576</v>
      </c>
      <c r="M141" s="8"/>
      <c r="N141" s="10"/>
      <c r="O141" s="8" t="s">
        <v>689</v>
      </c>
    </row>
    <row r="142" ht="32" customHeight="1" spans="1:15">
      <c r="A142" s="8">
        <v>5</v>
      </c>
      <c r="B142" s="8" t="s">
        <v>289</v>
      </c>
      <c r="C142" s="8" t="s">
        <v>291</v>
      </c>
      <c r="D142" s="8" t="s">
        <v>119</v>
      </c>
      <c r="E142" s="8" t="s">
        <v>463</v>
      </c>
      <c r="F142" s="8" t="s">
        <v>123</v>
      </c>
      <c r="G142" s="9">
        <v>46209</v>
      </c>
      <c r="H142" s="9">
        <v>46225</v>
      </c>
      <c r="I142" s="8" t="s">
        <v>121</v>
      </c>
      <c r="J142" s="8" t="s">
        <v>121</v>
      </c>
      <c r="K142" s="9"/>
      <c r="L142" s="8" t="s">
        <v>576</v>
      </c>
      <c r="M142" s="8" t="s">
        <v>577</v>
      </c>
      <c r="N142" s="10"/>
      <c r="O142" s="8" t="s">
        <v>690</v>
      </c>
    </row>
    <row r="143" ht="32" customHeight="1" spans="1:15">
      <c r="A143" s="8">
        <v>5</v>
      </c>
      <c r="B143" s="8" t="s">
        <v>292</v>
      </c>
      <c r="C143" s="8" t="s">
        <v>294</v>
      </c>
      <c r="D143" s="8" t="s">
        <v>119</v>
      </c>
      <c r="E143" s="8" t="s">
        <v>463</v>
      </c>
      <c r="F143" s="8" t="s">
        <v>123</v>
      </c>
      <c r="G143" s="9">
        <v>46227</v>
      </c>
      <c r="H143" s="9">
        <v>46227</v>
      </c>
      <c r="I143" s="8" t="s">
        <v>121</v>
      </c>
      <c r="J143" s="8" t="s">
        <v>121</v>
      </c>
      <c r="K143" s="9">
        <v>46224</v>
      </c>
      <c r="L143" s="8" t="s">
        <v>576</v>
      </c>
      <c r="M143" s="8"/>
      <c r="N143" s="10"/>
      <c r="O143" s="8" t="s">
        <v>691</v>
      </c>
    </row>
    <row r="144" ht="32" customHeight="1" spans="1:15">
      <c r="A144" s="8">
        <v>5</v>
      </c>
      <c r="B144" s="8" t="s">
        <v>295</v>
      </c>
      <c r="C144" s="8" t="s">
        <v>296</v>
      </c>
      <c r="D144" s="8" t="s">
        <v>119</v>
      </c>
      <c r="E144" s="8" t="s">
        <v>463</v>
      </c>
      <c r="F144" s="8" t="s">
        <v>123</v>
      </c>
      <c r="G144" s="9">
        <v>46227</v>
      </c>
      <c r="H144" s="9">
        <v>46227</v>
      </c>
      <c r="I144" s="8" t="s">
        <v>121</v>
      </c>
      <c r="J144" s="8" t="s">
        <v>121</v>
      </c>
      <c r="K144" s="9">
        <v>46224</v>
      </c>
      <c r="L144" s="8" t="s">
        <v>576</v>
      </c>
      <c r="M144" s="8"/>
      <c r="N144" s="10"/>
      <c r="O144" s="8" t="s">
        <v>692</v>
      </c>
    </row>
    <row r="145" ht="32" customHeight="1" spans="1:15">
      <c r="A145" s="8">
        <v>5</v>
      </c>
      <c r="B145" s="8" t="s">
        <v>297</v>
      </c>
      <c r="C145" s="8" t="s">
        <v>298</v>
      </c>
      <c r="D145" s="8" t="s">
        <v>119</v>
      </c>
      <c r="E145" s="8" t="s">
        <v>463</v>
      </c>
      <c r="F145" s="8" t="s">
        <v>123</v>
      </c>
      <c r="G145" s="9">
        <v>46227</v>
      </c>
      <c r="H145" s="9">
        <v>46227</v>
      </c>
      <c r="I145" s="8" t="s">
        <v>121</v>
      </c>
      <c r="J145" s="8" t="s">
        <v>121</v>
      </c>
      <c r="K145" s="9">
        <v>46224</v>
      </c>
      <c r="L145" s="8" t="s">
        <v>576</v>
      </c>
      <c r="M145" s="8"/>
      <c r="N145" s="10"/>
      <c r="O145" s="8" t="s">
        <v>693</v>
      </c>
    </row>
    <row r="146" ht="32" customHeight="1" spans="1:15">
      <c r="A146" s="8">
        <v>5</v>
      </c>
      <c r="B146" s="8" t="s">
        <v>299</v>
      </c>
      <c r="C146" s="8" t="s">
        <v>300</v>
      </c>
      <c r="D146" s="8" t="s">
        <v>119</v>
      </c>
      <c r="E146" s="8" t="s">
        <v>463</v>
      </c>
      <c r="F146" s="8" t="s">
        <v>123</v>
      </c>
      <c r="G146" s="9">
        <v>46227</v>
      </c>
      <c r="H146" s="9">
        <v>46227</v>
      </c>
      <c r="I146" s="8" t="s">
        <v>121</v>
      </c>
      <c r="J146" s="8" t="s">
        <v>121</v>
      </c>
      <c r="K146" s="9">
        <v>46224</v>
      </c>
      <c r="L146" s="8" t="s">
        <v>576</v>
      </c>
      <c r="M146" s="8"/>
      <c r="N146" s="10"/>
      <c r="O146" s="8" t="s">
        <v>694</v>
      </c>
    </row>
    <row r="147" ht="32" customHeight="1" spans="1:15">
      <c r="A147" s="8">
        <v>5</v>
      </c>
      <c r="B147" s="8" t="s">
        <v>301</v>
      </c>
      <c r="C147" s="8" t="s">
        <v>302</v>
      </c>
      <c r="D147" s="8" t="s">
        <v>119</v>
      </c>
      <c r="E147" s="8" t="s">
        <v>463</v>
      </c>
      <c r="F147" s="8" t="s">
        <v>123</v>
      </c>
      <c r="G147" s="9">
        <v>46227</v>
      </c>
      <c r="H147" s="9">
        <v>46227</v>
      </c>
      <c r="I147" s="8" t="s">
        <v>121</v>
      </c>
      <c r="J147" s="8" t="s">
        <v>121</v>
      </c>
      <c r="K147" s="9">
        <v>46224</v>
      </c>
      <c r="L147" s="8" t="s">
        <v>576</v>
      </c>
      <c r="M147" s="8"/>
      <c r="N147" s="10"/>
      <c r="O147" s="8" t="s">
        <v>695</v>
      </c>
    </row>
    <row r="148" ht="32" customHeight="1" spans="1:15">
      <c r="A148" s="8">
        <v>5</v>
      </c>
      <c r="B148" s="8" t="s">
        <v>341</v>
      </c>
      <c r="C148" s="8" t="s">
        <v>343</v>
      </c>
      <c r="D148" s="8" t="s">
        <v>119</v>
      </c>
      <c r="E148" s="8" t="s">
        <v>463</v>
      </c>
      <c r="F148" s="8" t="s">
        <v>123</v>
      </c>
      <c r="G148" s="9">
        <v>46209</v>
      </c>
      <c r="H148" s="9">
        <v>46225</v>
      </c>
      <c r="I148" s="8" t="s">
        <v>121</v>
      </c>
      <c r="J148" s="8" t="s">
        <v>121</v>
      </c>
      <c r="K148" s="9">
        <v>46261</v>
      </c>
      <c r="L148" s="8" t="s">
        <v>576</v>
      </c>
      <c r="M148" s="8"/>
      <c r="N148" s="10"/>
      <c r="O148" s="8" t="s">
        <v>696</v>
      </c>
    </row>
    <row r="149" ht="32" customHeight="1" spans="1:15">
      <c r="A149" s="8">
        <v>5</v>
      </c>
      <c r="B149" s="8" t="s">
        <v>344</v>
      </c>
      <c r="C149" s="8" t="s">
        <v>346</v>
      </c>
      <c r="D149" s="8" t="s">
        <v>119</v>
      </c>
      <c r="E149" s="8" t="s">
        <v>463</v>
      </c>
      <c r="F149" s="8" t="s">
        <v>123</v>
      </c>
      <c r="G149" s="9">
        <v>46227</v>
      </c>
      <c r="H149" s="9">
        <v>46227</v>
      </c>
      <c r="I149" s="8" t="s">
        <v>121</v>
      </c>
      <c r="J149" s="8" t="s">
        <v>121</v>
      </c>
      <c r="K149" s="9"/>
      <c r="L149" s="8" t="s">
        <v>576</v>
      </c>
      <c r="M149" s="8" t="s">
        <v>577</v>
      </c>
      <c r="N149" s="10"/>
      <c r="O149" s="8" t="s">
        <v>697</v>
      </c>
    </row>
    <row r="150" ht="32" customHeight="1" spans="1:15">
      <c r="A150" s="8">
        <v>5</v>
      </c>
      <c r="B150" s="8" t="s">
        <v>347</v>
      </c>
      <c r="C150" s="8" t="s">
        <v>349</v>
      </c>
      <c r="D150" s="8" t="s">
        <v>119</v>
      </c>
      <c r="E150" s="8" t="s">
        <v>463</v>
      </c>
      <c r="F150" s="8" t="s">
        <v>123</v>
      </c>
      <c r="G150" s="9">
        <v>46227</v>
      </c>
      <c r="H150" s="9">
        <v>46227</v>
      </c>
      <c r="I150" s="8" t="s">
        <v>121</v>
      </c>
      <c r="J150" s="8" t="s">
        <v>121</v>
      </c>
      <c r="K150" s="9">
        <v>46224</v>
      </c>
      <c r="L150" s="8" t="s">
        <v>576</v>
      </c>
      <c r="M150" s="8"/>
      <c r="N150" s="10"/>
      <c r="O150" s="8" t="s">
        <v>698</v>
      </c>
    </row>
    <row r="151" ht="32" customHeight="1" spans="1:15">
      <c r="A151" s="8">
        <v>5</v>
      </c>
      <c r="B151" s="8" t="s">
        <v>350</v>
      </c>
      <c r="C151" s="8" t="s">
        <v>351</v>
      </c>
      <c r="D151" s="8" t="s">
        <v>119</v>
      </c>
      <c r="E151" s="8" t="s">
        <v>463</v>
      </c>
      <c r="F151" s="8" t="s">
        <v>123</v>
      </c>
      <c r="G151" s="9">
        <v>46227</v>
      </c>
      <c r="H151" s="9">
        <v>46227</v>
      </c>
      <c r="I151" s="8" t="s">
        <v>121</v>
      </c>
      <c r="J151" s="8" t="s">
        <v>121</v>
      </c>
      <c r="K151" s="9">
        <v>46224</v>
      </c>
      <c r="L151" s="8" t="s">
        <v>576</v>
      </c>
      <c r="M151" s="8"/>
      <c r="N151" s="10"/>
      <c r="O151" s="8" t="s">
        <v>699</v>
      </c>
    </row>
    <row r="152" ht="32" customHeight="1" spans="1:15">
      <c r="A152" s="8">
        <v>5</v>
      </c>
      <c r="B152" s="8" t="s">
        <v>114</v>
      </c>
      <c r="C152" s="8" t="s">
        <v>117</v>
      </c>
      <c r="D152" s="8" t="s">
        <v>119</v>
      </c>
      <c r="E152" s="8" t="s">
        <v>455</v>
      </c>
      <c r="F152" s="8" t="s">
        <v>122</v>
      </c>
      <c r="G152" s="9">
        <v>46209</v>
      </c>
      <c r="H152" s="9">
        <v>46225</v>
      </c>
      <c r="I152" s="8" t="s">
        <v>121</v>
      </c>
      <c r="J152" s="8" t="s">
        <v>121</v>
      </c>
      <c r="K152" s="9"/>
      <c r="L152" s="8" t="s">
        <v>576</v>
      </c>
      <c r="M152" s="8" t="s">
        <v>577</v>
      </c>
      <c r="N152" s="10"/>
      <c r="O152" s="8" t="s">
        <v>700</v>
      </c>
    </row>
    <row r="153" ht="32" customHeight="1" spans="1:15">
      <c r="A153" s="8">
        <v>5</v>
      </c>
      <c r="B153" s="8" t="s">
        <v>126</v>
      </c>
      <c r="C153" s="8" t="s">
        <v>127</v>
      </c>
      <c r="D153" s="8" t="s">
        <v>119</v>
      </c>
      <c r="E153" s="8" t="s">
        <v>455</v>
      </c>
      <c r="F153" s="8" t="s">
        <v>122</v>
      </c>
      <c r="G153" s="9">
        <v>46209</v>
      </c>
      <c r="H153" s="9">
        <v>46225</v>
      </c>
      <c r="I153" s="8" t="s">
        <v>121</v>
      </c>
      <c r="J153" s="8" t="s">
        <v>121</v>
      </c>
      <c r="K153" s="9"/>
      <c r="L153" s="8" t="s">
        <v>576</v>
      </c>
      <c r="M153" s="8" t="s">
        <v>577</v>
      </c>
      <c r="N153" s="10"/>
      <c r="O153" s="8" t="s">
        <v>701</v>
      </c>
    </row>
    <row r="154" ht="32" customHeight="1" spans="1:15">
      <c r="A154" s="8">
        <v>5</v>
      </c>
      <c r="B154" s="8" t="s">
        <v>128</v>
      </c>
      <c r="C154" s="8" t="s">
        <v>129</v>
      </c>
      <c r="D154" s="8" t="s">
        <v>119</v>
      </c>
      <c r="E154" s="8" t="s">
        <v>455</v>
      </c>
      <c r="F154" s="8" t="s">
        <v>122</v>
      </c>
      <c r="G154" s="9">
        <v>46209</v>
      </c>
      <c r="H154" s="9">
        <v>46225</v>
      </c>
      <c r="I154" s="8" t="s">
        <v>121</v>
      </c>
      <c r="J154" s="8" t="s">
        <v>121</v>
      </c>
      <c r="K154" s="9"/>
      <c r="L154" s="8" t="s">
        <v>576</v>
      </c>
      <c r="M154" s="8" t="s">
        <v>577</v>
      </c>
      <c r="N154" s="10"/>
      <c r="O154" s="8" t="s">
        <v>702</v>
      </c>
    </row>
    <row r="155" ht="32" customHeight="1" spans="1:15">
      <c r="A155" s="8">
        <v>5</v>
      </c>
      <c r="B155" s="8" t="s">
        <v>130</v>
      </c>
      <c r="C155" s="8" t="s">
        <v>131</v>
      </c>
      <c r="D155" s="8" t="s">
        <v>119</v>
      </c>
      <c r="E155" s="8" t="s">
        <v>455</v>
      </c>
      <c r="F155" s="8" t="s">
        <v>122</v>
      </c>
      <c r="G155" s="9">
        <v>46209</v>
      </c>
      <c r="H155" s="9">
        <v>46225</v>
      </c>
      <c r="I155" s="8" t="s">
        <v>121</v>
      </c>
      <c r="J155" s="8" t="s">
        <v>121</v>
      </c>
      <c r="K155" s="9"/>
      <c r="L155" s="8" t="s">
        <v>576</v>
      </c>
      <c r="M155" s="8" t="s">
        <v>577</v>
      </c>
      <c r="N155" s="10"/>
      <c r="O155" s="8" t="s">
        <v>703</v>
      </c>
    </row>
    <row r="156" ht="32" customHeight="1" spans="1:15">
      <c r="A156" s="8">
        <v>5</v>
      </c>
      <c r="B156" s="8" t="s">
        <v>136</v>
      </c>
      <c r="C156" s="8" t="s">
        <v>138</v>
      </c>
      <c r="D156" s="8" t="s">
        <v>119</v>
      </c>
      <c r="E156" s="8" t="s">
        <v>455</v>
      </c>
      <c r="F156" s="8" t="s">
        <v>122</v>
      </c>
      <c r="G156" s="9">
        <v>46209</v>
      </c>
      <c r="H156" s="9">
        <v>46227</v>
      </c>
      <c r="I156" s="8" t="s">
        <v>121</v>
      </c>
      <c r="J156" s="8" t="s">
        <v>121</v>
      </c>
      <c r="K156" s="9">
        <v>46224</v>
      </c>
      <c r="L156" s="8" t="s">
        <v>576</v>
      </c>
      <c r="M156" s="8"/>
      <c r="N156" s="10"/>
      <c r="O156" s="8" t="s">
        <v>704</v>
      </c>
    </row>
    <row r="157" ht="32" customHeight="1" spans="1:15">
      <c r="A157" s="8">
        <v>5</v>
      </c>
      <c r="B157" s="8" t="s">
        <v>139</v>
      </c>
      <c r="C157" s="8" t="s">
        <v>140</v>
      </c>
      <c r="D157" s="8" t="s">
        <v>119</v>
      </c>
      <c r="E157" s="8" t="s">
        <v>455</v>
      </c>
      <c r="F157" s="8" t="s">
        <v>122</v>
      </c>
      <c r="G157" s="9">
        <v>46209</v>
      </c>
      <c r="H157" s="9">
        <v>46227</v>
      </c>
      <c r="I157" s="8" t="s">
        <v>121</v>
      </c>
      <c r="J157" s="8" t="s">
        <v>121</v>
      </c>
      <c r="K157" s="9">
        <v>46224</v>
      </c>
      <c r="L157" s="8" t="s">
        <v>576</v>
      </c>
      <c r="M157" s="8"/>
      <c r="N157" s="10"/>
      <c r="O157" s="8" t="s">
        <v>705</v>
      </c>
    </row>
    <row r="158" ht="32" customHeight="1" spans="1:15">
      <c r="A158" s="8">
        <v>5</v>
      </c>
      <c r="B158" s="8" t="s">
        <v>141</v>
      </c>
      <c r="C158" s="8" t="s">
        <v>142</v>
      </c>
      <c r="D158" s="8" t="s">
        <v>119</v>
      </c>
      <c r="E158" s="8" t="s">
        <v>455</v>
      </c>
      <c r="F158" s="8" t="s">
        <v>122</v>
      </c>
      <c r="G158" s="9">
        <v>46209</v>
      </c>
      <c r="H158" s="9">
        <v>46227</v>
      </c>
      <c r="I158" s="8" t="s">
        <v>121</v>
      </c>
      <c r="J158" s="8" t="s">
        <v>121</v>
      </c>
      <c r="K158" s="9">
        <v>46224</v>
      </c>
      <c r="L158" s="8" t="s">
        <v>576</v>
      </c>
      <c r="M158" s="8"/>
      <c r="N158" s="10"/>
      <c r="O158" s="8" t="s">
        <v>706</v>
      </c>
    </row>
    <row r="159" ht="32" customHeight="1" spans="1:15">
      <c r="A159" s="8">
        <v>5</v>
      </c>
      <c r="B159" s="8" t="s">
        <v>143</v>
      </c>
      <c r="C159" s="8" t="s">
        <v>145</v>
      </c>
      <c r="D159" s="8" t="s">
        <v>119</v>
      </c>
      <c r="E159" s="8" t="s">
        <v>455</v>
      </c>
      <c r="F159" s="8" t="s">
        <v>122</v>
      </c>
      <c r="G159" s="9">
        <v>46209</v>
      </c>
      <c r="H159" s="9">
        <v>46227</v>
      </c>
      <c r="I159" s="8" t="s">
        <v>121</v>
      </c>
      <c r="J159" s="8" t="s">
        <v>121</v>
      </c>
      <c r="K159" s="9">
        <v>46224</v>
      </c>
      <c r="L159" s="8" t="s">
        <v>576</v>
      </c>
      <c r="M159" s="8"/>
      <c r="N159" s="10"/>
      <c r="O159" s="8" t="s">
        <v>707</v>
      </c>
    </row>
    <row r="160" ht="32" customHeight="1" spans="1:15">
      <c r="A160" s="8">
        <v>5</v>
      </c>
      <c r="B160" s="8" t="s">
        <v>146</v>
      </c>
      <c r="C160" s="8" t="s">
        <v>147</v>
      </c>
      <c r="D160" s="8" t="s">
        <v>119</v>
      </c>
      <c r="E160" s="8" t="s">
        <v>455</v>
      </c>
      <c r="F160" s="8" t="s">
        <v>122</v>
      </c>
      <c r="G160" s="9">
        <v>46209</v>
      </c>
      <c r="H160" s="9">
        <v>46227</v>
      </c>
      <c r="I160" s="8" t="s">
        <v>121</v>
      </c>
      <c r="J160" s="8" t="s">
        <v>121</v>
      </c>
      <c r="K160" s="9">
        <v>46224</v>
      </c>
      <c r="L160" s="8" t="s">
        <v>576</v>
      </c>
      <c r="M160" s="8"/>
      <c r="N160" s="10"/>
      <c r="O160" s="8" t="s">
        <v>708</v>
      </c>
    </row>
    <row r="161" ht="32" customHeight="1" spans="1:15">
      <c r="A161" s="8">
        <v>5</v>
      </c>
      <c r="B161" s="8" t="s">
        <v>148</v>
      </c>
      <c r="C161" s="8" t="s">
        <v>151</v>
      </c>
      <c r="D161" s="8" t="s">
        <v>119</v>
      </c>
      <c r="E161" s="8" t="s">
        <v>455</v>
      </c>
      <c r="F161" s="8" t="s">
        <v>122</v>
      </c>
      <c r="G161" s="9">
        <v>46209</v>
      </c>
      <c r="H161" s="9">
        <v>46227</v>
      </c>
      <c r="I161" s="8" t="s">
        <v>121</v>
      </c>
      <c r="J161" s="8" t="s">
        <v>121</v>
      </c>
      <c r="K161" s="9">
        <v>46224</v>
      </c>
      <c r="L161" s="8" t="s">
        <v>576</v>
      </c>
      <c r="M161" s="8"/>
      <c r="N161" s="10"/>
      <c r="O161" s="8" t="s">
        <v>709</v>
      </c>
    </row>
    <row r="162" ht="32" customHeight="1" spans="1:15">
      <c r="A162" s="8">
        <v>5</v>
      </c>
      <c r="B162" s="8" t="s">
        <v>152</v>
      </c>
      <c r="C162" s="8" t="s">
        <v>153</v>
      </c>
      <c r="D162" s="8" t="s">
        <v>119</v>
      </c>
      <c r="E162" s="8" t="s">
        <v>455</v>
      </c>
      <c r="F162" s="8" t="s">
        <v>122</v>
      </c>
      <c r="G162" s="9">
        <v>46209</v>
      </c>
      <c r="H162" s="9">
        <v>46227</v>
      </c>
      <c r="I162" s="8" t="s">
        <v>121</v>
      </c>
      <c r="J162" s="8" t="s">
        <v>121</v>
      </c>
      <c r="K162" s="9">
        <v>46224</v>
      </c>
      <c r="L162" s="8" t="s">
        <v>576</v>
      </c>
      <c r="M162" s="8"/>
      <c r="N162" s="10"/>
      <c r="O162" s="8" t="s">
        <v>710</v>
      </c>
    </row>
    <row r="163" ht="32" customHeight="1" spans="1:15">
      <c r="A163" s="8">
        <v>5</v>
      </c>
      <c r="B163" s="8" t="s">
        <v>266</v>
      </c>
      <c r="C163" s="8" t="s">
        <v>268</v>
      </c>
      <c r="D163" s="8" t="s">
        <v>119</v>
      </c>
      <c r="E163" s="8" t="s">
        <v>455</v>
      </c>
      <c r="F163" s="8" t="s">
        <v>122</v>
      </c>
      <c r="G163" s="9">
        <v>46209</v>
      </c>
      <c r="H163" s="9">
        <v>46227</v>
      </c>
      <c r="I163" s="8" t="s">
        <v>121</v>
      </c>
      <c r="J163" s="8" t="s">
        <v>121</v>
      </c>
      <c r="K163" s="9">
        <v>46261</v>
      </c>
      <c r="L163" s="8" t="s">
        <v>576</v>
      </c>
      <c r="M163" s="8"/>
      <c r="N163" s="10"/>
      <c r="O163" s="8" t="s">
        <v>711</v>
      </c>
    </row>
    <row r="164" ht="32" customHeight="1" spans="1:15">
      <c r="A164" s="8">
        <v>5</v>
      </c>
      <c r="B164" s="8" t="s">
        <v>269</v>
      </c>
      <c r="C164" s="8" t="s">
        <v>270</v>
      </c>
      <c r="D164" s="8" t="s">
        <v>119</v>
      </c>
      <c r="E164" s="8" t="s">
        <v>455</v>
      </c>
      <c r="F164" s="8" t="s">
        <v>122</v>
      </c>
      <c r="G164" s="9">
        <v>46209</v>
      </c>
      <c r="H164" s="9">
        <v>46227</v>
      </c>
      <c r="I164" s="8" t="s">
        <v>121</v>
      </c>
      <c r="J164" s="8" t="s">
        <v>121</v>
      </c>
      <c r="K164" s="9">
        <v>46261</v>
      </c>
      <c r="L164" s="8" t="s">
        <v>576</v>
      </c>
      <c r="M164" s="8"/>
      <c r="N164" s="10"/>
      <c r="O164" s="8" t="s">
        <v>712</v>
      </c>
    </row>
    <row r="165" ht="32" customHeight="1" spans="1:15">
      <c r="A165" s="8">
        <v>5</v>
      </c>
      <c r="B165" s="8" t="s">
        <v>271</v>
      </c>
      <c r="C165" s="8" t="s">
        <v>272</v>
      </c>
      <c r="D165" s="8" t="s">
        <v>119</v>
      </c>
      <c r="E165" s="8" t="s">
        <v>455</v>
      </c>
      <c r="F165" s="8" t="s">
        <v>122</v>
      </c>
      <c r="G165" s="9">
        <v>46209</v>
      </c>
      <c r="H165" s="9">
        <v>46227</v>
      </c>
      <c r="I165" s="8" t="s">
        <v>121</v>
      </c>
      <c r="J165" s="8" t="s">
        <v>121</v>
      </c>
      <c r="K165" s="9">
        <v>46261</v>
      </c>
      <c r="L165" s="8" t="s">
        <v>576</v>
      </c>
      <c r="M165" s="8"/>
      <c r="N165" s="10"/>
      <c r="O165" s="8" t="s">
        <v>713</v>
      </c>
    </row>
    <row r="166" ht="32" customHeight="1" spans="1:15">
      <c r="A166" s="8">
        <v>5</v>
      </c>
      <c r="B166" s="8" t="s">
        <v>273</v>
      </c>
      <c r="C166" s="8" t="s">
        <v>275</v>
      </c>
      <c r="D166" s="8" t="s">
        <v>119</v>
      </c>
      <c r="E166" s="8" t="s">
        <v>455</v>
      </c>
      <c r="F166" s="8" t="s">
        <v>122</v>
      </c>
      <c r="G166" s="9">
        <v>46209</v>
      </c>
      <c r="H166" s="9">
        <v>46227</v>
      </c>
      <c r="I166" s="8" t="s">
        <v>121</v>
      </c>
      <c r="J166" s="8" t="s">
        <v>121</v>
      </c>
      <c r="K166" s="9">
        <v>46261</v>
      </c>
      <c r="L166" s="8" t="s">
        <v>576</v>
      </c>
      <c r="M166" s="8"/>
      <c r="N166" s="10"/>
      <c r="O166" s="8" t="s">
        <v>714</v>
      </c>
    </row>
    <row r="167" ht="32" customHeight="1" spans="1:15">
      <c r="A167" s="8">
        <v>5</v>
      </c>
      <c r="B167" s="8" t="s">
        <v>276</v>
      </c>
      <c r="C167" s="8" t="s">
        <v>275</v>
      </c>
      <c r="D167" s="8" t="s">
        <v>119</v>
      </c>
      <c r="E167" s="8" t="s">
        <v>455</v>
      </c>
      <c r="F167" s="8" t="s">
        <v>122</v>
      </c>
      <c r="G167" s="9">
        <v>46209</v>
      </c>
      <c r="H167" s="9">
        <v>46227</v>
      </c>
      <c r="I167" s="8" t="s">
        <v>121</v>
      </c>
      <c r="J167" s="8" t="s">
        <v>121</v>
      </c>
      <c r="K167" s="9">
        <v>46261</v>
      </c>
      <c r="L167" s="8" t="s">
        <v>576</v>
      </c>
      <c r="M167" s="8"/>
      <c r="N167" s="10"/>
      <c r="O167" s="8" t="s">
        <v>715</v>
      </c>
    </row>
    <row r="168" ht="32" customHeight="1" spans="1:15">
      <c r="A168" s="8">
        <v>5</v>
      </c>
      <c r="B168" s="8" t="s">
        <v>277</v>
      </c>
      <c r="C168" s="8" t="s">
        <v>278</v>
      </c>
      <c r="D168" s="8" t="s">
        <v>119</v>
      </c>
      <c r="E168" s="8" t="s">
        <v>455</v>
      </c>
      <c r="F168" s="8" t="s">
        <v>122</v>
      </c>
      <c r="G168" s="9">
        <v>46209</v>
      </c>
      <c r="H168" s="9">
        <v>46227</v>
      </c>
      <c r="I168" s="8" t="s">
        <v>121</v>
      </c>
      <c r="J168" s="8" t="s">
        <v>121</v>
      </c>
      <c r="K168" s="9">
        <v>46261</v>
      </c>
      <c r="L168" s="8" t="s">
        <v>576</v>
      </c>
      <c r="M168" s="8"/>
      <c r="N168" s="10"/>
      <c r="O168" s="8" t="s">
        <v>716</v>
      </c>
    </row>
    <row r="169" ht="32" customHeight="1" spans="1:15">
      <c r="A169" s="8">
        <v>5</v>
      </c>
      <c r="B169" s="8" t="s">
        <v>279</v>
      </c>
      <c r="C169" s="8" t="s">
        <v>278</v>
      </c>
      <c r="D169" s="8" t="s">
        <v>119</v>
      </c>
      <c r="E169" s="8" t="s">
        <v>455</v>
      </c>
      <c r="F169" s="8" t="s">
        <v>122</v>
      </c>
      <c r="G169" s="9">
        <v>46209</v>
      </c>
      <c r="H169" s="9">
        <v>46227</v>
      </c>
      <c r="I169" s="8" t="s">
        <v>121</v>
      </c>
      <c r="J169" s="8" t="s">
        <v>121</v>
      </c>
      <c r="K169" s="9">
        <v>46261</v>
      </c>
      <c r="L169" s="8" t="s">
        <v>576</v>
      </c>
      <c r="M169" s="8"/>
      <c r="N169" s="10"/>
      <c r="O169" s="8" t="s">
        <v>717</v>
      </c>
    </row>
    <row r="170" ht="32" customHeight="1" spans="1:15">
      <c r="A170" s="8">
        <v>5</v>
      </c>
      <c r="B170" s="8" t="s">
        <v>280</v>
      </c>
      <c r="C170" s="8" t="s">
        <v>278</v>
      </c>
      <c r="D170" s="8" t="s">
        <v>119</v>
      </c>
      <c r="E170" s="8" t="s">
        <v>455</v>
      </c>
      <c r="F170" s="8" t="s">
        <v>122</v>
      </c>
      <c r="G170" s="9">
        <v>46209</v>
      </c>
      <c r="H170" s="9">
        <v>46227</v>
      </c>
      <c r="I170" s="8" t="s">
        <v>121</v>
      </c>
      <c r="J170" s="8" t="s">
        <v>121</v>
      </c>
      <c r="K170" s="9">
        <v>46261</v>
      </c>
      <c r="L170" s="8" t="s">
        <v>576</v>
      </c>
      <c r="M170" s="8"/>
      <c r="N170" s="10"/>
      <c r="O170" s="8" t="s">
        <v>718</v>
      </c>
    </row>
    <row r="171" ht="32" customHeight="1" spans="1:15">
      <c r="A171" s="8">
        <v>5</v>
      </c>
      <c r="B171" s="8" t="s">
        <v>281</v>
      </c>
      <c r="C171" s="8" t="s">
        <v>278</v>
      </c>
      <c r="D171" s="8" t="s">
        <v>119</v>
      </c>
      <c r="E171" s="8" t="s">
        <v>455</v>
      </c>
      <c r="F171" s="8" t="s">
        <v>122</v>
      </c>
      <c r="G171" s="9">
        <v>46209</v>
      </c>
      <c r="H171" s="9">
        <v>46227</v>
      </c>
      <c r="I171" s="8" t="s">
        <v>121</v>
      </c>
      <c r="J171" s="8" t="s">
        <v>121</v>
      </c>
      <c r="K171" s="9">
        <v>46261</v>
      </c>
      <c r="L171" s="8" t="s">
        <v>576</v>
      </c>
      <c r="M171" s="8"/>
      <c r="N171" s="10"/>
      <c r="O171" s="8" t="s">
        <v>719</v>
      </c>
    </row>
    <row r="172" ht="32" customHeight="1" spans="1:15">
      <c r="A172" s="8">
        <v>5</v>
      </c>
      <c r="B172" s="8" t="s">
        <v>289</v>
      </c>
      <c r="C172" s="8" t="s">
        <v>291</v>
      </c>
      <c r="D172" s="8" t="s">
        <v>119</v>
      </c>
      <c r="E172" s="8" t="s">
        <v>455</v>
      </c>
      <c r="F172" s="8" t="s">
        <v>122</v>
      </c>
      <c r="G172" s="9">
        <v>46209</v>
      </c>
      <c r="H172" s="9">
        <v>46225</v>
      </c>
      <c r="I172" s="8" t="s">
        <v>121</v>
      </c>
      <c r="J172" s="8" t="s">
        <v>121</v>
      </c>
      <c r="K172" s="9"/>
      <c r="L172" s="8" t="s">
        <v>576</v>
      </c>
      <c r="M172" s="8" t="s">
        <v>577</v>
      </c>
      <c r="N172" s="10"/>
      <c r="O172" s="8" t="s">
        <v>720</v>
      </c>
    </row>
    <row r="173" ht="32" customHeight="1" spans="1:15">
      <c r="A173" s="8">
        <v>5</v>
      </c>
      <c r="B173" s="8" t="s">
        <v>292</v>
      </c>
      <c r="C173" s="8" t="s">
        <v>294</v>
      </c>
      <c r="D173" s="8" t="s">
        <v>119</v>
      </c>
      <c r="E173" s="8" t="s">
        <v>455</v>
      </c>
      <c r="F173" s="8" t="s">
        <v>122</v>
      </c>
      <c r="G173" s="9">
        <v>46227</v>
      </c>
      <c r="H173" s="9">
        <v>46227</v>
      </c>
      <c r="I173" s="8" t="s">
        <v>121</v>
      </c>
      <c r="J173" s="8" t="s">
        <v>121</v>
      </c>
      <c r="K173" s="9">
        <v>46224</v>
      </c>
      <c r="L173" s="8" t="s">
        <v>576</v>
      </c>
      <c r="M173" s="8"/>
      <c r="N173" s="10"/>
      <c r="O173" s="8" t="s">
        <v>721</v>
      </c>
    </row>
    <row r="174" ht="32" customHeight="1" spans="1:15">
      <c r="A174" s="8">
        <v>5</v>
      </c>
      <c r="B174" s="8" t="s">
        <v>295</v>
      </c>
      <c r="C174" s="8" t="s">
        <v>296</v>
      </c>
      <c r="D174" s="8" t="s">
        <v>119</v>
      </c>
      <c r="E174" s="8" t="s">
        <v>455</v>
      </c>
      <c r="F174" s="8" t="s">
        <v>122</v>
      </c>
      <c r="G174" s="9">
        <v>46227</v>
      </c>
      <c r="H174" s="9">
        <v>46227</v>
      </c>
      <c r="I174" s="8" t="s">
        <v>121</v>
      </c>
      <c r="J174" s="8" t="s">
        <v>121</v>
      </c>
      <c r="K174" s="9">
        <v>46224</v>
      </c>
      <c r="L174" s="8" t="s">
        <v>576</v>
      </c>
      <c r="M174" s="8"/>
      <c r="N174" s="10"/>
      <c r="O174" s="8" t="s">
        <v>722</v>
      </c>
    </row>
    <row r="175" ht="32" customHeight="1" spans="1:15">
      <c r="A175" s="8">
        <v>5</v>
      </c>
      <c r="B175" s="8" t="s">
        <v>297</v>
      </c>
      <c r="C175" s="8" t="s">
        <v>298</v>
      </c>
      <c r="D175" s="8" t="s">
        <v>119</v>
      </c>
      <c r="E175" s="8" t="s">
        <v>455</v>
      </c>
      <c r="F175" s="8" t="s">
        <v>122</v>
      </c>
      <c r="G175" s="9">
        <v>46227</v>
      </c>
      <c r="H175" s="9">
        <v>46227</v>
      </c>
      <c r="I175" s="8" t="s">
        <v>121</v>
      </c>
      <c r="J175" s="8" t="s">
        <v>121</v>
      </c>
      <c r="K175" s="9">
        <v>46224</v>
      </c>
      <c r="L175" s="8" t="s">
        <v>576</v>
      </c>
      <c r="M175" s="8"/>
      <c r="N175" s="10"/>
      <c r="O175" s="8" t="s">
        <v>723</v>
      </c>
    </row>
    <row r="176" ht="32" customHeight="1" spans="1:15">
      <c r="A176" s="8">
        <v>5</v>
      </c>
      <c r="B176" s="8" t="s">
        <v>299</v>
      </c>
      <c r="C176" s="8" t="s">
        <v>300</v>
      </c>
      <c r="D176" s="8" t="s">
        <v>119</v>
      </c>
      <c r="E176" s="8" t="s">
        <v>455</v>
      </c>
      <c r="F176" s="8" t="s">
        <v>122</v>
      </c>
      <c r="G176" s="9">
        <v>46227</v>
      </c>
      <c r="H176" s="9">
        <v>46227</v>
      </c>
      <c r="I176" s="8" t="s">
        <v>121</v>
      </c>
      <c r="J176" s="8" t="s">
        <v>121</v>
      </c>
      <c r="K176" s="9">
        <v>46224</v>
      </c>
      <c r="L176" s="8" t="s">
        <v>576</v>
      </c>
      <c r="M176" s="8"/>
      <c r="N176" s="10"/>
      <c r="O176" s="8" t="s">
        <v>724</v>
      </c>
    </row>
    <row r="177" ht="32" customHeight="1" spans="1:15">
      <c r="A177" s="8">
        <v>5</v>
      </c>
      <c r="B177" s="8" t="s">
        <v>301</v>
      </c>
      <c r="C177" s="8" t="s">
        <v>302</v>
      </c>
      <c r="D177" s="8" t="s">
        <v>119</v>
      </c>
      <c r="E177" s="8" t="s">
        <v>455</v>
      </c>
      <c r="F177" s="8" t="s">
        <v>122</v>
      </c>
      <c r="G177" s="9">
        <v>46227</v>
      </c>
      <c r="H177" s="9">
        <v>46227</v>
      </c>
      <c r="I177" s="8" t="s">
        <v>121</v>
      </c>
      <c r="J177" s="8" t="s">
        <v>121</v>
      </c>
      <c r="K177" s="9">
        <v>46224</v>
      </c>
      <c r="L177" s="8" t="s">
        <v>576</v>
      </c>
      <c r="M177" s="8"/>
      <c r="N177" s="10"/>
      <c r="O177" s="8" t="s">
        <v>725</v>
      </c>
    </row>
    <row r="178" ht="32" customHeight="1" spans="1:15">
      <c r="A178" s="8">
        <v>5</v>
      </c>
      <c r="B178" s="8" t="s">
        <v>341</v>
      </c>
      <c r="C178" s="8" t="s">
        <v>343</v>
      </c>
      <c r="D178" s="8" t="s">
        <v>119</v>
      </c>
      <c r="E178" s="8" t="s">
        <v>455</v>
      </c>
      <c r="F178" s="8" t="s">
        <v>122</v>
      </c>
      <c r="G178" s="9">
        <v>46209</v>
      </c>
      <c r="H178" s="9">
        <v>46225</v>
      </c>
      <c r="I178" s="8" t="s">
        <v>121</v>
      </c>
      <c r="J178" s="8" t="s">
        <v>121</v>
      </c>
      <c r="K178" s="9">
        <v>46261</v>
      </c>
      <c r="L178" s="8" t="s">
        <v>576</v>
      </c>
      <c r="M178" s="8"/>
      <c r="N178" s="10"/>
      <c r="O178" s="8" t="s">
        <v>726</v>
      </c>
    </row>
    <row r="179" ht="32" customHeight="1" spans="1:15">
      <c r="A179" s="8">
        <v>5</v>
      </c>
      <c r="B179" s="8" t="s">
        <v>344</v>
      </c>
      <c r="C179" s="8" t="s">
        <v>346</v>
      </c>
      <c r="D179" s="8" t="s">
        <v>119</v>
      </c>
      <c r="E179" s="8" t="s">
        <v>455</v>
      </c>
      <c r="F179" s="8" t="s">
        <v>122</v>
      </c>
      <c r="G179" s="9">
        <v>46227</v>
      </c>
      <c r="H179" s="9">
        <v>46227</v>
      </c>
      <c r="I179" s="8" t="s">
        <v>121</v>
      </c>
      <c r="J179" s="8" t="s">
        <v>121</v>
      </c>
      <c r="K179" s="9"/>
      <c r="L179" s="8" t="s">
        <v>576</v>
      </c>
      <c r="M179" s="8" t="s">
        <v>577</v>
      </c>
      <c r="N179" s="10"/>
      <c r="O179" s="8" t="s">
        <v>727</v>
      </c>
    </row>
    <row r="180" ht="32" customHeight="1" spans="1:15">
      <c r="A180" s="8">
        <v>5</v>
      </c>
      <c r="B180" s="8" t="s">
        <v>347</v>
      </c>
      <c r="C180" s="8" t="s">
        <v>349</v>
      </c>
      <c r="D180" s="8" t="s">
        <v>119</v>
      </c>
      <c r="E180" s="8" t="s">
        <v>455</v>
      </c>
      <c r="F180" s="8" t="s">
        <v>122</v>
      </c>
      <c r="G180" s="9">
        <v>46227</v>
      </c>
      <c r="H180" s="9">
        <v>46227</v>
      </c>
      <c r="I180" s="8" t="s">
        <v>121</v>
      </c>
      <c r="J180" s="8" t="s">
        <v>121</v>
      </c>
      <c r="K180" s="9">
        <v>46224</v>
      </c>
      <c r="L180" s="8" t="s">
        <v>576</v>
      </c>
      <c r="M180" s="8"/>
      <c r="N180" s="10"/>
      <c r="O180" s="8" t="s">
        <v>728</v>
      </c>
    </row>
    <row r="181" ht="32" customHeight="1" spans="1:15">
      <c r="A181" s="8">
        <v>5</v>
      </c>
      <c r="B181" s="8" t="s">
        <v>350</v>
      </c>
      <c r="C181" s="8" t="s">
        <v>351</v>
      </c>
      <c r="D181" s="8" t="s">
        <v>119</v>
      </c>
      <c r="E181" s="8" t="s">
        <v>455</v>
      </c>
      <c r="F181" s="8" t="s">
        <v>122</v>
      </c>
      <c r="G181" s="9">
        <v>46227</v>
      </c>
      <c r="H181" s="9">
        <v>46227</v>
      </c>
      <c r="I181" s="8" t="s">
        <v>121</v>
      </c>
      <c r="J181" s="8" t="s">
        <v>121</v>
      </c>
      <c r="K181" s="9">
        <v>46224</v>
      </c>
      <c r="L181" s="8" t="s">
        <v>576</v>
      </c>
      <c r="M181" s="8"/>
      <c r="N181" s="10"/>
      <c r="O181" s="8" t="s">
        <v>729</v>
      </c>
    </row>
    <row r="182" ht="32" customHeight="1" spans="1:15">
      <c r="A182" s="8">
        <v>6</v>
      </c>
      <c r="B182" s="8" t="s">
        <v>114</v>
      </c>
      <c r="C182" s="8" t="s">
        <v>117</v>
      </c>
      <c r="D182" s="8" t="s">
        <v>119</v>
      </c>
      <c r="E182" s="8" t="s">
        <v>460</v>
      </c>
      <c r="F182" s="8" t="s">
        <v>124</v>
      </c>
      <c r="G182" s="9">
        <v>46216</v>
      </c>
      <c r="H182" s="9">
        <v>46234</v>
      </c>
      <c r="I182" s="8" t="s">
        <v>121</v>
      </c>
      <c r="J182" s="8" t="s">
        <v>121</v>
      </c>
      <c r="K182" s="9"/>
      <c r="L182" s="8" t="s">
        <v>576</v>
      </c>
      <c r="M182" s="8" t="s">
        <v>577</v>
      </c>
      <c r="N182" s="10"/>
      <c r="O182" s="8" t="s">
        <v>730</v>
      </c>
    </row>
    <row r="183" ht="32" customHeight="1" spans="1:15">
      <c r="A183" s="8">
        <v>6</v>
      </c>
      <c r="B183" s="8" t="s">
        <v>126</v>
      </c>
      <c r="C183" s="8" t="s">
        <v>127</v>
      </c>
      <c r="D183" s="8" t="s">
        <v>119</v>
      </c>
      <c r="E183" s="8" t="s">
        <v>460</v>
      </c>
      <c r="F183" s="8" t="s">
        <v>124</v>
      </c>
      <c r="G183" s="9">
        <v>46216</v>
      </c>
      <c r="H183" s="9">
        <v>46234</v>
      </c>
      <c r="I183" s="8" t="s">
        <v>121</v>
      </c>
      <c r="J183" s="8" t="s">
        <v>121</v>
      </c>
      <c r="K183" s="9"/>
      <c r="L183" s="8" t="s">
        <v>576</v>
      </c>
      <c r="M183" s="8" t="s">
        <v>577</v>
      </c>
      <c r="N183" s="10"/>
      <c r="O183" s="8" t="s">
        <v>731</v>
      </c>
    </row>
    <row r="184" ht="32" customHeight="1" spans="1:15">
      <c r="A184" s="8">
        <v>6</v>
      </c>
      <c r="B184" s="8" t="s">
        <v>128</v>
      </c>
      <c r="C184" s="8" t="s">
        <v>129</v>
      </c>
      <c r="D184" s="8" t="s">
        <v>119</v>
      </c>
      <c r="E184" s="8" t="s">
        <v>460</v>
      </c>
      <c r="F184" s="8" t="s">
        <v>124</v>
      </c>
      <c r="G184" s="9">
        <v>46216</v>
      </c>
      <c r="H184" s="9">
        <v>46234</v>
      </c>
      <c r="I184" s="8" t="s">
        <v>121</v>
      </c>
      <c r="J184" s="8" t="s">
        <v>121</v>
      </c>
      <c r="K184" s="9"/>
      <c r="L184" s="8" t="s">
        <v>576</v>
      </c>
      <c r="M184" s="8" t="s">
        <v>577</v>
      </c>
      <c r="N184" s="10"/>
      <c r="O184" s="8" t="s">
        <v>732</v>
      </c>
    </row>
    <row r="185" ht="32" customHeight="1" spans="1:15">
      <c r="A185" s="8">
        <v>6</v>
      </c>
      <c r="B185" s="8" t="s">
        <v>130</v>
      </c>
      <c r="C185" s="8" t="s">
        <v>131</v>
      </c>
      <c r="D185" s="8" t="s">
        <v>119</v>
      </c>
      <c r="E185" s="8" t="s">
        <v>460</v>
      </c>
      <c r="F185" s="8" t="s">
        <v>124</v>
      </c>
      <c r="G185" s="9">
        <v>46216</v>
      </c>
      <c r="H185" s="9">
        <v>46234</v>
      </c>
      <c r="I185" s="8" t="s">
        <v>121</v>
      </c>
      <c r="J185" s="8" t="s">
        <v>121</v>
      </c>
      <c r="K185" s="9"/>
      <c r="L185" s="8" t="s">
        <v>576</v>
      </c>
      <c r="M185" s="8" t="s">
        <v>577</v>
      </c>
      <c r="N185" s="10"/>
      <c r="O185" s="8" t="s">
        <v>733</v>
      </c>
    </row>
    <row r="186" ht="32" customHeight="1" spans="1:15">
      <c r="A186" s="8">
        <v>6</v>
      </c>
      <c r="B186" s="8" t="s">
        <v>136</v>
      </c>
      <c r="C186" s="8" t="s">
        <v>138</v>
      </c>
      <c r="D186" s="8" t="s">
        <v>119</v>
      </c>
      <c r="E186" s="8" t="s">
        <v>460</v>
      </c>
      <c r="F186" s="8" t="s">
        <v>124</v>
      </c>
      <c r="G186" s="9">
        <v>46216</v>
      </c>
      <c r="H186" s="9">
        <v>46234</v>
      </c>
      <c r="I186" s="8" t="s">
        <v>121</v>
      </c>
      <c r="J186" s="8" t="s">
        <v>121</v>
      </c>
      <c r="K186" s="9">
        <v>46224</v>
      </c>
      <c r="L186" s="8" t="s">
        <v>576</v>
      </c>
      <c r="M186" s="8"/>
      <c r="N186" s="10"/>
      <c r="O186" s="8" t="s">
        <v>734</v>
      </c>
    </row>
    <row r="187" ht="32" customHeight="1" spans="1:15">
      <c r="A187" s="8">
        <v>6</v>
      </c>
      <c r="B187" s="8" t="s">
        <v>139</v>
      </c>
      <c r="C187" s="8" t="s">
        <v>140</v>
      </c>
      <c r="D187" s="8" t="s">
        <v>119</v>
      </c>
      <c r="E187" s="8" t="s">
        <v>460</v>
      </c>
      <c r="F187" s="8" t="s">
        <v>124</v>
      </c>
      <c r="G187" s="9">
        <v>46216</v>
      </c>
      <c r="H187" s="9">
        <v>46234</v>
      </c>
      <c r="I187" s="8" t="s">
        <v>121</v>
      </c>
      <c r="J187" s="8" t="s">
        <v>121</v>
      </c>
      <c r="K187" s="9">
        <v>46224</v>
      </c>
      <c r="L187" s="8" t="s">
        <v>576</v>
      </c>
      <c r="M187" s="8"/>
      <c r="N187" s="10"/>
      <c r="O187" s="8" t="s">
        <v>735</v>
      </c>
    </row>
    <row r="188" ht="32" customHeight="1" spans="1:15">
      <c r="A188" s="8">
        <v>6</v>
      </c>
      <c r="B188" s="8" t="s">
        <v>141</v>
      </c>
      <c r="C188" s="8" t="s">
        <v>142</v>
      </c>
      <c r="D188" s="8" t="s">
        <v>119</v>
      </c>
      <c r="E188" s="8" t="s">
        <v>460</v>
      </c>
      <c r="F188" s="8" t="s">
        <v>124</v>
      </c>
      <c r="G188" s="9">
        <v>46216</v>
      </c>
      <c r="H188" s="9">
        <v>46234</v>
      </c>
      <c r="I188" s="8" t="s">
        <v>121</v>
      </c>
      <c r="J188" s="8" t="s">
        <v>121</v>
      </c>
      <c r="K188" s="9">
        <v>46224</v>
      </c>
      <c r="L188" s="8" t="s">
        <v>576</v>
      </c>
      <c r="M188" s="8"/>
      <c r="N188" s="10"/>
      <c r="O188" s="8" t="s">
        <v>736</v>
      </c>
    </row>
    <row r="189" ht="32" customHeight="1" spans="1:15">
      <c r="A189" s="8">
        <v>6</v>
      </c>
      <c r="B189" s="8" t="s">
        <v>143</v>
      </c>
      <c r="C189" s="8" t="s">
        <v>145</v>
      </c>
      <c r="D189" s="8" t="s">
        <v>119</v>
      </c>
      <c r="E189" s="8" t="s">
        <v>460</v>
      </c>
      <c r="F189" s="8" t="s">
        <v>124</v>
      </c>
      <c r="G189" s="9">
        <v>46216</v>
      </c>
      <c r="H189" s="9">
        <v>46234</v>
      </c>
      <c r="I189" s="8" t="s">
        <v>121</v>
      </c>
      <c r="J189" s="8" t="s">
        <v>121</v>
      </c>
      <c r="K189" s="9">
        <v>46224</v>
      </c>
      <c r="L189" s="8" t="s">
        <v>576</v>
      </c>
      <c r="M189" s="8"/>
      <c r="N189" s="10"/>
      <c r="O189" s="8" t="s">
        <v>737</v>
      </c>
    </row>
    <row r="190" ht="32" customHeight="1" spans="1:15">
      <c r="A190" s="8">
        <v>6</v>
      </c>
      <c r="B190" s="8" t="s">
        <v>146</v>
      </c>
      <c r="C190" s="8" t="s">
        <v>147</v>
      </c>
      <c r="D190" s="8" t="s">
        <v>119</v>
      </c>
      <c r="E190" s="8" t="s">
        <v>460</v>
      </c>
      <c r="F190" s="8" t="s">
        <v>124</v>
      </c>
      <c r="G190" s="9">
        <v>46216</v>
      </c>
      <c r="H190" s="9">
        <v>46234</v>
      </c>
      <c r="I190" s="8" t="s">
        <v>121</v>
      </c>
      <c r="J190" s="8" t="s">
        <v>121</v>
      </c>
      <c r="K190" s="9">
        <v>46224</v>
      </c>
      <c r="L190" s="8" t="s">
        <v>576</v>
      </c>
      <c r="M190" s="8"/>
      <c r="N190" s="10"/>
      <c r="O190" s="8" t="s">
        <v>738</v>
      </c>
    </row>
    <row r="191" ht="32" customHeight="1" spans="1:15">
      <c r="A191" s="8">
        <v>6</v>
      </c>
      <c r="B191" s="8" t="s">
        <v>148</v>
      </c>
      <c r="C191" s="8" t="s">
        <v>151</v>
      </c>
      <c r="D191" s="8" t="s">
        <v>119</v>
      </c>
      <c r="E191" s="8" t="s">
        <v>460</v>
      </c>
      <c r="F191" s="8" t="s">
        <v>124</v>
      </c>
      <c r="G191" s="9">
        <v>46216</v>
      </c>
      <c r="H191" s="9">
        <v>46234</v>
      </c>
      <c r="I191" s="8" t="s">
        <v>121</v>
      </c>
      <c r="J191" s="8" t="s">
        <v>121</v>
      </c>
      <c r="K191" s="9">
        <v>46224</v>
      </c>
      <c r="L191" s="8" t="s">
        <v>576</v>
      </c>
      <c r="M191" s="8"/>
      <c r="N191" s="10"/>
      <c r="O191" s="8" t="s">
        <v>739</v>
      </c>
    </row>
    <row r="192" ht="32" customHeight="1" spans="1:15">
      <c r="A192" s="8">
        <v>6</v>
      </c>
      <c r="B192" s="8" t="s">
        <v>152</v>
      </c>
      <c r="C192" s="8" t="s">
        <v>153</v>
      </c>
      <c r="D192" s="8" t="s">
        <v>119</v>
      </c>
      <c r="E192" s="8" t="s">
        <v>460</v>
      </c>
      <c r="F192" s="8" t="s">
        <v>124</v>
      </c>
      <c r="G192" s="9">
        <v>46216</v>
      </c>
      <c r="H192" s="9">
        <v>46234</v>
      </c>
      <c r="I192" s="8" t="s">
        <v>121</v>
      </c>
      <c r="J192" s="8" t="s">
        <v>121</v>
      </c>
      <c r="K192" s="9">
        <v>46224</v>
      </c>
      <c r="L192" s="8" t="s">
        <v>576</v>
      </c>
      <c r="M192" s="8"/>
      <c r="N192" s="10"/>
      <c r="O192" s="8" t="s">
        <v>740</v>
      </c>
    </row>
    <row r="193" ht="32" customHeight="1" spans="1:15">
      <c r="A193" s="8">
        <v>6</v>
      </c>
      <c r="B193" s="8" t="s">
        <v>243</v>
      </c>
      <c r="C193" s="8" t="s">
        <v>245</v>
      </c>
      <c r="D193" s="8" t="s">
        <v>119</v>
      </c>
      <c r="E193" s="8" t="s">
        <v>460</v>
      </c>
      <c r="F193" s="8" t="s">
        <v>124</v>
      </c>
      <c r="G193" s="9">
        <v>46216</v>
      </c>
      <c r="H193" s="9">
        <v>46234</v>
      </c>
      <c r="I193" s="8" t="s">
        <v>157</v>
      </c>
      <c r="J193" s="8" t="s">
        <v>157</v>
      </c>
      <c r="K193" s="9"/>
      <c r="L193" s="8" t="s">
        <v>659</v>
      </c>
      <c r="M193" s="8"/>
      <c r="N193" s="10"/>
      <c r="O193" s="8" t="s">
        <v>741</v>
      </c>
    </row>
    <row r="194" ht="32" customHeight="1" spans="1:15">
      <c r="A194" s="8">
        <v>6</v>
      </c>
      <c r="B194" s="8" t="s">
        <v>246</v>
      </c>
      <c r="C194" s="8" t="s">
        <v>247</v>
      </c>
      <c r="D194" s="8" t="s">
        <v>119</v>
      </c>
      <c r="E194" s="8" t="s">
        <v>460</v>
      </c>
      <c r="F194" s="8" t="s">
        <v>124</v>
      </c>
      <c r="G194" s="9">
        <v>46216</v>
      </c>
      <c r="H194" s="9">
        <v>46234</v>
      </c>
      <c r="I194" s="8" t="s">
        <v>157</v>
      </c>
      <c r="J194" s="8" t="s">
        <v>157</v>
      </c>
      <c r="K194" s="9">
        <v>46261</v>
      </c>
      <c r="L194" s="8" t="s">
        <v>659</v>
      </c>
      <c r="M194" s="8"/>
      <c r="N194" s="10"/>
      <c r="O194" s="8" t="s">
        <v>742</v>
      </c>
    </row>
    <row r="195" ht="32" customHeight="1" spans="1:15">
      <c r="A195" s="8">
        <v>6</v>
      </c>
      <c r="B195" s="8" t="s">
        <v>248</v>
      </c>
      <c r="C195" s="8" t="s">
        <v>244</v>
      </c>
      <c r="D195" s="8" t="s">
        <v>119</v>
      </c>
      <c r="E195" s="8" t="s">
        <v>460</v>
      </c>
      <c r="F195" s="8" t="s">
        <v>124</v>
      </c>
      <c r="G195" s="9">
        <v>46216</v>
      </c>
      <c r="H195" s="9">
        <v>46234</v>
      </c>
      <c r="I195" s="8" t="s">
        <v>157</v>
      </c>
      <c r="J195" s="8" t="s">
        <v>157</v>
      </c>
      <c r="K195" s="9">
        <v>46261</v>
      </c>
      <c r="L195" s="8" t="s">
        <v>659</v>
      </c>
      <c r="M195" s="8"/>
      <c r="N195" s="10"/>
      <c r="O195" s="8" t="s">
        <v>743</v>
      </c>
    </row>
    <row r="196" ht="32" customHeight="1" spans="1:15">
      <c r="A196" s="8">
        <v>6</v>
      </c>
      <c r="B196" s="8" t="s">
        <v>266</v>
      </c>
      <c r="C196" s="8" t="s">
        <v>268</v>
      </c>
      <c r="D196" s="8" t="s">
        <v>119</v>
      </c>
      <c r="E196" s="8" t="s">
        <v>460</v>
      </c>
      <c r="F196" s="8" t="s">
        <v>124</v>
      </c>
      <c r="G196" s="9">
        <v>46216</v>
      </c>
      <c r="H196" s="9">
        <v>46234</v>
      </c>
      <c r="I196" s="8" t="s">
        <v>121</v>
      </c>
      <c r="J196" s="8" t="s">
        <v>121</v>
      </c>
      <c r="K196" s="9">
        <v>46261</v>
      </c>
      <c r="L196" s="8" t="s">
        <v>576</v>
      </c>
      <c r="M196" s="8"/>
      <c r="N196" s="10"/>
      <c r="O196" s="8" t="s">
        <v>744</v>
      </c>
    </row>
    <row r="197" ht="32" customHeight="1" spans="1:15">
      <c r="A197" s="8">
        <v>6</v>
      </c>
      <c r="B197" s="8" t="s">
        <v>269</v>
      </c>
      <c r="C197" s="8" t="s">
        <v>270</v>
      </c>
      <c r="D197" s="8" t="s">
        <v>119</v>
      </c>
      <c r="E197" s="8" t="s">
        <v>460</v>
      </c>
      <c r="F197" s="8" t="s">
        <v>124</v>
      </c>
      <c r="G197" s="9">
        <v>46216</v>
      </c>
      <c r="H197" s="9">
        <v>46234</v>
      </c>
      <c r="I197" s="8" t="s">
        <v>121</v>
      </c>
      <c r="J197" s="8" t="s">
        <v>121</v>
      </c>
      <c r="K197" s="9">
        <v>46261</v>
      </c>
      <c r="L197" s="8" t="s">
        <v>576</v>
      </c>
      <c r="M197" s="8"/>
      <c r="N197" s="10"/>
      <c r="O197" s="8" t="s">
        <v>745</v>
      </c>
    </row>
    <row r="198" ht="32" customHeight="1" spans="1:15">
      <c r="A198" s="8">
        <v>6</v>
      </c>
      <c r="B198" s="8" t="s">
        <v>271</v>
      </c>
      <c r="C198" s="8" t="s">
        <v>272</v>
      </c>
      <c r="D198" s="8" t="s">
        <v>119</v>
      </c>
      <c r="E198" s="8" t="s">
        <v>460</v>
      </c>
      <c r="F198" s="8" t="s">
        <v>124</v>
      </c>
      <c r="G198" s="9">
        <v>46216</v>
      </c>
      <c r="H198" s="9">
        <v>46234</v>
      </c>
      <c r="I198" s="8" t="s">
        <v>121</v>
      </c>
      <c r="J198" s="8" t="s">
        <v>121</v>
      </c>
      <c r="K198" s="9">
        <v>46261</v>
      </c>
      <c r="L198" s="8" t="s">
        <v>576</v>
      </c>
      <c r="M198" s="8"/>
      <c r="N198" s="10"/>
      <c r="O198" s="8" t="s">
        <v>746</v>
      </c>
    </row>
    <row r="199" ht="32" customHeight="1" spans="1:15">
      <c r="A199" s="8">
        <v>6</v>
      </c>
      <c r="B199" s="8" t="s">
        <v>273</v>
      </c>
      <c r="C199" s="8" t="s">
        <v>275</v>
      </c>
      <c r="D199" s="8" t="s">
        <v>119</v>
      </c>
      <c r="E199" s="8" t="s">
        <v>460</v>
      </c>
      <c r="F199" s="8" t="s">
        <v>124</v>
      </c>
      <c r="G199" s="9">
        <v>46216</v>
      </c>
      <c r="H199" s="9">
        <v>46234</v>
      </c>
      <c r="I199" s="8" t="s">
        <v>121</v>
      </c>
      <c r="J199" s="8" t="s">
        <v>121</v>
      </c>
      <c r="K199" s="9">
        <v>46261</v>
      </c>
      <c r="L199" s="8" t="s">
        <v>576</v>
      </c>
      <c r="M199" s="8"/>
      <c r="N199" s="10"/>
      <c r="O199" s="8" t="s">
        <v>747</v>
      </c>
    </row>
    <row r="200" ht="32" customHeight="1" spans="1:15">
      <c r="A200" s="8">
        <v>6</v>
      </c>
      <c r="B200" s="8" t="s">
        <v>276</v>
      </c>
      <c r="C200" s="8" t="s">
        <v>275</v>
      </c>
      <c r="D200" s="8" t="s">
        <v>119</v>
      </c>
      <c r="E200" s="8" t="s">
        <v>460</v>
      </c>
      <c r="F200" s="8" t="s">
        <v>124</v>
      </c>
      <c r="G200" s="9">
        <v>46216</v>
      </c>
      <c r="H200" s="9">
        <v>46234</v>
      </c>
      <c r="I200" s="8" t="s">
        <v>121</v>
      </c>
      <c r="J200" s="8" t="s">
        <v>121</v>
      </c>
      <c r="K200" s="9">
        <v>46261</v>
      </c>
      <c r="L200" s="8" t="s">
        <v>576</v>
      </c>
      <c r="M200" s="8"/>
      <c r="N200" s="10"/>
      <c r="O200" s="8" t="s">
        <v>748</v>
      </c>
    </row>
    <row r="201" ht="32" customHeight="1" spans="1:15">
      <c r="A201" s="8">
        <v>6</v>
      </c>
      <c r="B201" s="8" t="s">
        <v>277</v>
      </c>
      <c r="C201" s="8" t="s">
        <v>278</v>
      </c>
      <c r="D201" s="8" t="s">
        <v>119</v>
      </c>
      <c r="E201" s="8" t="s">
        <v>460</v>
      </c>
      <c r="F201" s="8" t="s">
        <v>124</v>
      </c>
      <c r="G201" s="9">
        <v>46216</v>
      </c>
      <c r="H201" s="9">
        <v>46234</v>
      </c>
      <c r="I201" s="8" t="s">
        <v>121</v>
      </c>
      <c r="J201" s="8" t="s">
        <v>121</v>
      </c>
      <c r="K201" s="9">
        <v>46261</v>
      </c>
      <c r="L201" s="8" t="s">
        <v>576</v>
      </c>
      <c r="M201" s="8"/>
      <c r="N201" s="10"/>
      <c r="O201" s="8" t="s">
        <v>749</v>
      </c>
    </row>
    <row r="202" ht="32" customHeight="1" spans="1:15">
      <c r="A202" s="8">
        <v>6</v>
      </c>
      <c r="B202" s="8" t="s">
        <v>279</v>
      </c>
      <c r="C202" s="8" t="s">
        <v>278</v>
      </c>
      <c r="D202" s="8" t="s">
        <v>119</v>
      </c>
      <c r="E202" s="8" t="s">
        <v>460</v>
      </c>
      <c r="F202" s="8" t="s">
        <v>124</v>
      </c>
      <c r="G202" s="9">
        <v>46216</v>
      </c>
      <c r="H202" s="9">
        <v>46234</v>
      </c>
      <c r="I202" s="8" t="s">
        <v>121</v>
      </c>
      <c r="J202" s="8" t="s">
        <v>121</v>
      </c>
      <c r="K202" s="9">
        <v>46261</v>
      </c>
      <c r="L202" s="8" t="s">
        <v>576</v>
      </c>
      <c r="M202" s="8"/>
      <c r="N202" s="10"/>
      <c r="O202" s="8" t="s">
        <v>750</v>
      </c>
    </row>
    <row r="203" ht="32" customHeight="1" spans="1:15">
      <c r="A203" s="8">
        <v>6</v>
      </c>
      <c r="B203" s="8" t="s">
        <v>280</v>
      </c>
      <c r="C203" s="8" t="s">
        <v>278</v>
      </c>
      <c r="D203" s="8" t="s">
        <v>119</v>
      </c>
      <c r="E203" s="8" t="s">
        <v>460</v>
      </c>
      <c r="F203" s="8" t="s">
        <v>124</v>
      </c>
      <c r="G203" s="9">
        <v>46216</v>
      </c>
      <c r="H203" s="9">
        <v>46234</v>
      </c>
      <c r="I203" s="8" t="s">
        <v>121</v>
      </c>
      <c r="J203" s="8" t="s">
        <v>121</v>
      </c>
      <c r="K203" s="9">
        <v>46261</v>
      </c>
      <c r="L203" s="8" t="s">
        <v>576</v>
      </c>
      <c r="M203" s="8"/>
      <c r="N203" s="10"/>
      <c r="O203" s="8" t="s">
        <v>751</v>
      </c>
    </row>
    <row r="204" ht="32" customHeight="1" spans="1:15">
      <c r="A204" s="8">
        <v>6</v>
      </c>
      <c r="B204" s="8" t="s">
        <v>281</v>
      </c>
      <c r="C204" s="8" t="s">
        <v>278</v>
      </c>
      <c r="D204" s="8" t="s">
        <v>119</v>
      </c>
      <c r="E204" s="8" t="s">
        <v>460</v>
      </c>
      <c r="F204" s="8" t="s">
        <v>124</v>
      </c>
      <c r="G204" s="9">
        <v>46216</v>
      </c>
      <c r="H204" s="9">
        <v>46234</v>
      </c>
      <c r="I204" s="8" t="s">
        <v>121</v>
      </c>
      <c r="J204" s="8" t="s">
        <v>121</v>
      </c>
      <c r="K204" s="9">
        <v>46261</v>
      </c>
      <c r="L204" s="8" t="s">
        <v>576</v>
      </c>
      <c r="M204" s="8"/>
      <c r="N204" s="10"/>
      <c r="O204" s="8" t="s">
        <v>752</v>
      </c>
    </row>
    <row r="205" ht="32" customHeight="1" spans="1:15">
      <c r="A205" s="8">
        <v>6</v>
      </c>
      <c r="B205" s="8" t="s">
        <v>282</v>
      </c>
      <c r="C205" s="8" t="s">
        <v>284</v>
      </c>
      <c r="D205" s="8" t="s">
        <v>119</v>
      </c>
      <c r="E205" s="8" t="s">
        <v>460</v>
      </c>
      <c r="F205" s="8" t="s">
        <v>124</v>
      </c>
      <c r="G205" s="9">
        <v>46216</v>
      </c>
      <c r="H205" s="9">
        <v>46234</v>
      </c>
      <c r="I205" s="8" t="s">
        <v>121</v>
      </c>
      <c r="J205" s="8" t="s">
        <v>121</v>
      </c>
      <c r="K205" s="9">
        <v>46224</v>
      </c>
      <c r="L205" s="8" t="s">
        <v>576</v>
      </c>
      <c r="M205" s="8"/>
      <c r="N205" s="10"/>
      <c r="O205" s="8" t="s">
        <v>753</v>
      </c>
    </row>
    <row r="206" ht="32" customHeight="1" spans="1:15">
      <c r="A206" s="8">
        <v>6</v>
      </c>
      <c r="B206" s="8" t="s">
        <v>289</v>
      </c>
      <c r="C206" s="8" t="s">
        <v>291</v>
      </c>
      <c r="D206" s="8" t="s">
        <v>119</v>
      </c>
      <c r="E206" s="8" t="s">
        <v>460</v>
      </c>
      <c r="F206" s="8" t="s">
        <v>124</v>
      </c>
      <c r="G206" s="9">
        <v>46216</v>
      </c>
      <c r="H206" s="9">
        <v>46234</v>
      </c>
      <c r="I206" s="8" t="s">
        <v>121</v>
      </c>
      <c r="J206" s="8" t="s">
        <v>121</v>
      </c>
      <c r="K206" s="9"/>
      <c r="L206" s="8" t="s">
        <v>576</v>
      </c>
      <c r="M206" s="8" t="s">
        <v>577</v>
      </c>
      <c r="N206" s="10"/>
      <c r="O206" s="8" t="s">
        <v>754</v>
      </c>
    </row>
    <row r="207" ht="32" customHeight="1" spans="1:15">
      <c r="A207" s="8">
        <v>6</v>
      </c>
      <c r="B207" s="8" t="s">
        <v>292</v>
      </c>
      <c r="C207" s="8" t="s">
        <v>294</v>
      </c>
      <c r="D207" s="8" t="s">
        <v>119</v>
      </c>
      <c r="E207" s="8" t="s">
        <v>460</v>
      </c>
      <c r="F207" s="8" t="s">
        <v>124</v>
      </c>
      <c r="G207" s="9">
        <v>46216</v>
      </c>
      <c r="H207" s="9">
        <v>46234</v>
      </c>
      <c r="I207" s="8" t="s">
        <v>121</v>
      </c>
      <c r="J207" s="8" t="s">
        <v>121</v>
      </c>
      <c r="K207" s="9">
        <v>46224</v>
      </c>
      <c r="L207" s="8" t="s">
        <v>576</v>
      </c>
      <c r="M207" s="8"/>
      <c r="N207" s="10"/>
      <c r="O207" s="8" t="s">
        <v>755</v>
      </c>
    </row>
    <row r="208" ht="32" customHeight="1" spans="1:15">
      <c r="A208" s="8">
        <v>6</v>
      </c>
      <c r="B208" s="8" t="s">
        <v>295</v>
      </c>
      <c r="C208" s="8" t="s">
        <v>296</v>
      </c>
      <c r="D208" s="8" t="s">
        <v>119</v>
      </c>
      <c r="E208" s="8" t="s">
        <v>460</v>
      </c>
      <c r="F208" s="8" t="s">
        <v>124</v>
      </c>
      <c r="G208" s="9">
        <v>46216</v>
      </c>
      <c r="H208" s="9">
        <v>46234</v>
      </c>
      <c r="I208" s="8" t="s">
        <v>121</v>
      </c>
      <c r="J208" s="8" t="s">
        <v>121</v>
      </c>
      <c r="K208" s="9">
        <v>46224</v>
      </c>
      <c r="L208" s="8" t="s">
        <v>576</v>
      </c>
      <c r="M208" s="8"/>
      <c r="N208" s="10"/>
      <c r="O208" s="8" t="s">
        <v>756</v>
      </c>
    </row>
    <row r="209" ht="32" customHeight="1" spans="1:15">
      <c r="A209" s="8">
        <v>6</v>
      </c>
      <c r="B209" s="8" t="s">
        <v>297</v>
      </c>
      <c r="C209" s="8" t="s">
        <v>298</v>
      </c>
      <c r="D209" s="8" t="s">
        <v>119</v>
      </c>
      <c r="E209" s="8" t="s">
        <v>460</v>
      </c>
      <c r="F209" s="8" t="s">
        <v>124</v>
      </c>
      <c r="G209" s="9">
        <v>46216</v>
      </c>
      <c r="H209" s="9">
        <v>46234</v>
      </c>
      <c r="I209" s="8" t="s">
        <v>121</v>
      </c>
      <c r="J209" s="8" t="s">
        <v>121</v>
      </c>
      <c r="K209" s="9">
        <v>46224</v>
      </c>
      <c r="L209" s="8" t="s">
        <v>576</v>
      </c>
      <c r="M209" s="8"/>
      <c r="N209" s="10"/>
      <c r="O209" s="8" t="s">
        <v>757</v>
      </c>
    </row>
    <row r="210" ht="32" customHeight="1" spans="1:15">
      <c r="A210" s="8">
        <v>6</v>
      </c>
      <c r="B210" s="8" t="s">
        <v>299</v>
      </c>
      <c r="C210" s="8" t="s">
        <v>300</v>
      </c>
      <c r="D210" s="8" t="s">
        <v>119</v>
      </c>
      <c r="E210" s="8" t="s">
        <v>460</v>
      </c>
      <c r="F210" s="8" t="s">
        <v>124</v>
      </c>
      <c r="G210" s="9">
        <v>46216</v>
      </c>
      <c r="H210" s="9">
        <v>46234</v>
      </c>
      <c r="I210" s="8" t="s">
        <v>121</v>
      </c>
      <c r="J210" s="8" t="s">
        <v>121</v>
      </c>
      <c r="K210" s="9">
        <v>46224</v>
      </c>
      <c r="L210" s="8" t="s">
        <v>576</v>
      </c>
      <c r="M210" s="8"/>
      <c r="N210" s="10"/>
      <c r="O210" s="8" t="s">
        <v>758</v>
      </c>
    </row>
    <row r="211" ht="32" customHeight="1" spans="1:15">
      <c r="A211" s="8">
        <v>6</v>
      </c>
      <c r="B211" s="8" t="s">
        <v>301</v>
      </c>
      <c r="C211" s="8" t="s">
        <v>302</v>
      </c>
      <c r="D211" s="8" t="s">
        <v>119</v>
      </c>
      <c r="E211" s="8" t="s">
        <v>460</v>
      </c>
      <c r="F211" s="8" t="s">
        <v>124</v>
      </c>
      <c r="G211" s="9">
        <v>46216</v>
      </c>
      <c r="H211" s="9">
        <v>46234</v>
      </c>
      <c r="I211" s="8" t="s">
        <v>121</v>
      </c>
      <c r="J211" s="8" t="s">
        <v>121</v>
      </c>
      <c r="K211" s="9">
        <v>46224</v>
      </c>
      <c r="L211" s="8" t="s">
        <v>576</v>
      </c>
      <c r="M211" s="8"/>
      <c r="N211" s="10"/>
      <c r="O211" s="8" t="s">
        <v>759</v>
      </c>
    </row>
    <row r="212" ht="32" customHeight="1" spans="1:15">
      <c r="A212" s="8">
        <v>6</v>
      </c>
      <c r="B212" s="8" t="s">
        <v>338</v>
      </c>
      <c r="C212" s="8" t="s">
        <v>340</v>
      </c>
      <c r="D212" s="8" t="s">
        <v>119</v>
      </c>
      <c r="E212" s="8" t="s">
        <v>460</v>
      </c>
      <c r="F212" s="8" t="s">
        <v>124</v>
      </c>
      <c r="G212" s="9">
        <v>46216</v>
      </c>
      <c r="H212" s="9">
        <v>46234</v>
      </c>
      <c r="I212" s="8" t="s">
        <v>157</v>
      </c>
      <c r="J212" s="8" t="s">
        <v>157</v>
      </c>
      <c r="K212" s="9"/>
      <c r="L212" s="8" t="s">
        <v>659</v>
      </c>
      <c r="M212" s="8"/>
      <c r="N212" s="10"/>
      <c r="O212" s="8" t="s">
        <v>760</v>
      </c>
    </row>
    <row r="213" ht="32" customHeight="1" spans="1:15">
      <c r="A213" s="8">
        <v>6</v>
      </c>
      <c r="B213" s="8" t="s">
        <v>341</v>
      </c>
      <c r="C213" s="8" t="s">
        <v>343</v>
      </c>
      <c r="D213" s="8" t="s">
        <v>119</v>
      </c>
      <c r="E213" s="8" t="s">
        <v>460</v>
      </c>
      <c r="F213" s="8" t="s">
        <v>124</v>
      </c>
      <c r="G213" s="9">
        <v>46216</v>
      </c>
      <c r="H213" s="9">
        <v>46234</v>
      </c>
      <c r="I213" s="8" t="s">
        <v>121</v>
      </c>
      <c r="J213" s="8" t="s">
        <v>121</v>
      </c>
      <c r="K213" s="9">
        <v>46261</v>
      </c>
      <c r="L213" s="8" t="s">
        <v>576</v>
      </c>
      <c r="M213" s="8"/>
      <c r="N213" s="10"/>
      <c r="O213" s="8" t="s">
        <v>761</v>
      </c>
    </row>
    <row r="214" ht="32" customHeight="1" spans="1:15">
      <c r="A214" s="8">
        <v>6</v>
      </c>
      <c r="B214" s="8" t="s">
        <v>344</v>
      </c>
      <c r="C214" s="8" t="s">
        <v>346</v>
      </c>
      <c r="D214" s="8" t="s">
        <v>119</v>
      </c>
      <c r="E214" s="8" t="s">
        <v>460</v>
      </c>
      <c r="F214" s="8" t="s">
        <v>124</v>
      </c>
      <c r="G214" s="9">
        <v>46216</v>
      </c>
      <c r="H214" s="9">
        <v>46234</v>
      </c>
      <c r="I214" s="8" t="s">
        <v>121</v>
      </c>
      <c r="J214" s="8" t="s">
        <v>121</v>
      </c>
      <c r="K214" s="9"/>
      <c r="L214" s="8" t="s">
        <v>576</v>
      </c>
      <c r="M214" s="8" t="s">
        <v>577</v>
      </c>
      <c r="N214" s="10"/>
      <c r="O214" s="8" t="s">
        <v>762</v>
      </c>
    </row>
    <row r="215" ht="32" customHeight="1" spans="1:15">
      <c r="A215" s="8">
        <v>6</v>
      </c>
      <c r="B215" s="8" t="s">
        <v>347</v>
      </c>
      <c r="C215" s="8" t="s">
        <v>349</v>
      </c>
      <c r="D215" s="8" t="s">
        <v>119</v>
      </c>
      <c r="E215" s="8" t="s">
        <v>460</v>
      </c>
      <c r="F215" s="8" t="s">
        <v>124</v>
      </c>
      <c r="G215" s="9">
        <v>46216</v>
      </c>
      <c r="H215" s="9">
        <v>46234</v>
      </c>
      <c r="I215" s="8" t="s">
        <v>121</v>
      </c>
      <c r="J215" s="8" t="s">
        <v>121</v>
      </c>
      <c r="K215" s="9">
        <v>46224</v>
      </c>
      <c r="L215" s="8" t="s">
        <v>576</v>
      </c>
      <c r="M215" s="8"/>
      <c r="N215" s="10"/>
      <c r="O215" s="8" t="s">
        <v>763</v>
      </c>
    </row>
    <row r="216" ht="32" customHeight="1" spans="1:15">
      <c r="A216" s="8">
        <v>6</v>
      </c>
      <c r="B216" s="8" t="s">
        <v>350</v>
      </c>
      <c r="C216" s="8" t="s">
        <v>351</v>
      </c>
      <c r="D216" s="8" t="s">
        <v>119</v>
      </c>
      <c r="E216" s="8" t="s">
        <v>460</v>
      </c>
      <c r="F216" s="8" t="s">
        <v>124</v>
      </c>
      <c r="G216" s="9">
        <v>46216</v>
      </c>
      <c r="H216" s="9">
        <v>46234</v>
      </c>
      <c r="I216" s="8" t="s">
        <v>121</v>
      </c>
      <c r="J216" s="8" t="s">
        <v>121</v>
      </c>
      <c r="K216" s="9">
        <v>46224</v>
      </c>
      <c r="L216" s="8" t="s">
        <v>576</v>
      </c>
      <c r="M216" s="8"/>
      <c r="N216" s="10"/>
      <c r="O216" s="8" t="s">
        <v>764</v>
      </c>
    </row>
    <row r="217" ht="32" customHeight="1" spans="1:15">
      <c r="A217" s="8">
        <v>7</v>
      </c>
      <c r="B217" s="8" t="s">
        <v>132</v>
      </c>
      <c r="C217" s="8" t="s">
        <v>134</v>
      </c>
      <c r="D217" s="8" t="s">
        <v>135</v>
      </c>
      <c r="E217" s="8" t="s">
        <v>464</v>
      </c>
      <c r="F217" s="8" t="s">
        <v>120</v>
      </c>
      <c r="G217" s="9">
        <v>46230</v>
      </c>
      <c r="H217" s="9">
        <v>46241</v>
      </c>
      <c r="I217" s="8" t="s">
        <v>121</v>
      </c>
      <c r="J217" s="8" t="s">
        <v>121</v>
      </c>
      <c r="K217" s="9"/>
      <c r="L217" s="8" t="s">
        <v>576</v>
      </c>
      <c r="M217" s="8" t="s">
        <v>577</v>
      </c>
      <c r="N217" s="10"/>
      <c r="O217" s="8" t="s">
        <v>765</v>
      </c>
    </row>
    <row r="218" ht="32" customHeight="1" spans="1:15">
      <c r="A218" s="8">
        <v>7</v>
      </c>
      <c r="B218" s="8" t="s">
        <v>168</v>
      </c>
      <c r="C218" s="8" t="s">
        <v>171</v>
      </c>
      <c r="D218" s="8" t="s">
        <v>135</v>
      </c>
      <c r="E218" s="8" t="s">
        <v>464</v>
      </c>
      <c r="F218" s="8" t="s">
        <v>120</v>
      </c>
      <c r="G218" s="9">
        <v>46230</v>
      </c>
      <c r="H218" s="9">
        <v>46241</v>
      </c>
      <c r="I218" s="8" t="s">
        <v>121</v>
      </c>
      <c r="J218" s="8" t="s">
        <v>157</v>
      </c>
      <c r="K218" s="9"/>
      <c r="L218" s="8" t="s">
        <v>576</v>
      </c>
      <c r="M218" s="8" t="s">
        <v>577</v>
      </c>
      <c r="N218" s="10"/>
      <c r="O218" s="8" t="s">
        <v>766</v>
      </c>
    </row>
    <row r="219" ht="32" customHeight="1" spans="1:15">
      <c r="A219" s="8">
        <v>7</v>
      </c>
      <c r="B219" s="8" t="s">
        <v>172</v>
      </c>
      <c r="C219" s="8" t="s">
        <v>173</v>
      </c>
      <c r="D219" s="8" t="s">
        <v>135</v>
      </c>
      <c r="E219" s="8" t="s">
        <v>464</v>
      </c>
      <c r="F219" s="8" t="s">
        <v>120</v>
      </c>
      <c r="G219" s="9">
        <v>46230</v>
      </c>
      <c r="H219" s="9">
        <v>46241</v>
      </c>
      <c r="I219" s="8" t="s">
        <v>121</v>
      </c>
      <c r="J219" s="8" t="s">
        <v>157</v>
      </c>
      <c r="K219" s="9"/>
      <c r="L219" s="8" t="s">
        <v>576</v>
      </c>
      <c r="M219" s="8" t="s">
        <v>577</v>
      </c>
      <c r="N219" s="10"/>
      <c r="O219" s="8" t="s">
        <v>767</v>
      </c>
    </row>
    <row r="220" ht="32" customHeight="1" spans="1:15">
      <c r="A220" s="8">
        <v>7</v>
      </c>
      <c r="B220" s="8" t="s">
        <v>174</v>
      </c>
      <c r="C220" s="8" t="s">
        <v>175</v>
      </c>
      <c r="D220" s="8" t="s">
        <v>135</v>
      </c>
      <c r="E220" s="8" t="s">
        <v>464</v>
      </c>
      <c r="F220" s="8" t="s">
        <v>120</v>
      </c>
      <c r="G220" s="9">
        <v>46230</v>
      </c>
      <c r="H220" s="9">
        <v>46241</v>
      </c>
      <c r="I220" s="8" t="s">
        <v>121</v>
      </c>
      <c r="J220" s="8" t="s">
        <v>157</v>
      </c>
      <c r="K220" s="9"/>
      <c r="L220" s="8" t="s">
        <v>576</v>
      </c>
      <c r="M220" s="8" t="s">
        <v>577</v>
      </c>
      <c r="N220" s="10"/>
      <c r="O220" s="8" t="s">
        <v>768</v>
      </c>
    </row>
    <row r="221" ht="32" customHeight="1" spans="1:15">
      <c r="A221" s="8">
        <v>7</v>
      </c>
      <c r="B221" s="8" t="s">
        <v>176</v>
      </c>
      <c r="C221" s="8" t="s">
        <v>178</v>
      </c>
      <c r="D221" s="8" t="s">
        <v>135</v>
      </c>
      <c r="E221" s="8" t="s">
        <v>464</v>
      </c>
      <c r="F221" s="8" t="s">
        <v>120</v>
      </c>
      <c r="G221" s="9">
        <v>46230</v>
      </c>
      <c r="H221" s="9">
        <v>46241</v>
      </c>
      <c r="I221" s="8" t="s">
        <v>23</v>
      </c>
      <c r="J221" s="8" t="s">
        <v>23</v>
      </c>
      <c r="K221" s="9"/>
      <c r="L221" s="8" t="s">
        <v>659</v>
      </c>
      <c r="M221" s="8"/>
      <c r="N221" s="10"/>
      <c r="O221" s="8" t="s">
        <v>769</v>
      </c>
    </row>
    <row r="222" ht="32" customHeight="1" spans="1:15">
      <c r="A222" s="8">
        <v>7</v>
      </c>
      <c r="B222" s="8" t="s">
        <v>179</v>
      </c>
      <c r="C222" s="8" t="s">
        <v>180</v>
      </c>
      <c r="D222" s="8" t="s">
        <v>135</v>
      </c>
      <c r="E222" s="8" t="s">
        <v>464</v>
      </c>
      <c r="F222" s="8" t="s">
        <v>120</v>
      </c>
      <c r="G222" s="9">
        <v>46230</v>
      </c>
      <c r="H222" s="9">
        <v>46241</v>
      </c>
      <c r="I222" s="8" t="s">
        <v>23</v>
      </c>
      <c r="J222" s="8" t="s">
        <v>23</v>
      </c>
      <c r="K222" s="9"/>
      <c r="L222" s="8" t="s">
        <v>659</v>
      </c>
      <c r="M222" s="8"/>
      <c r="N222" s="10"/>
      <c r="O222" s="8" t="s">
        <v>770</v>
      </c>
    </row>
    <row r="223" ht="32" customHeight="1" spans="1:15">
      <c r="A223" s="8">
        <v>7</v>
      </c>
      <c r="B223" s="8" t="s">
        <v>181</v>
      </c>
      <c r="C223" s="8" t="s">
        <v>183</v>
      </c>
      <c r="D223" s="8" t="s">
        <v>135</v>
      </c>
      <c r="E223" s="8" t="s">
        <v>464</v>
      </c>
      <c r="F223" s="8" t="s">
        <v>120</v>
      </c>
      <c r="G223" s="9">
        <v>46230</v>
      </c>
      <c r="H223" s="9">
        <v>46241</v>
      </c>
      <c r="I223" s="8" t="s">
        <v>23</v>
      </c>
      <c r="J223" s="8" t="s">
        <v>23</v>
      </c>
      <c r="K223" s="9"/>
      <c r="L223" s="8" t="s">
        <v>659</v>
      </c>
      <c r="M223" s="8"/>
      <c r="N223" s="10"/>
      <c r="O223" s="8" t="s">
        <v>771</v>
      </c>
    </row>
    <row r="224" ht="32" customHeight="1" spans="1:15">
      <c r="A224" s="8">
        <v>7</v>
      </c>
      <c r="B224" s="8" t="s">
        <v>184</v>
      </c>
      <c r="C224" s="8" t="s">
        <v>185</v>
      </c>
      <c r="D224" s="8" t="s">
        <v>135</v>
      </c>
      <c r="E224" s="8" t="s">
        <v>464</v>
      </c>
      <c r="F224" s="8" t="s">
        <v>120</v>
      </c>
      <c r="G224" s="9">
        <v>46230</v>
      </c>
      <c r="H224" s="9">
        <v>46241</v>
      </c>
      <c r="I224" s="8" t="s">
        <v>23</v>
      </c>
      <c r="J224" s="8" t="s">
        <v>23</v>
      </c>
      <c r="K224" s="9">
        <v>46261</v>
      </c>
      <c r="L224" s="8" t="s">
        <v>659</v>
      </c>
      <c r="M224" s="8"/>
      <c r="N224" s="10"/>
      <c r="O224" s="8" t="s">
        <v>772</v>
      </c>
    </row>
    <row r="225" ht="32" customHeight="1" spans="1:15">
      <c r="A225" s="8">
        <v>7</v>
      </c>
      <c r="B225" s="8" t="s">
        <v>186</v>
      </c>
      <c r="C225" s="8" t="s">
        <v>188</v>
      </c>
      <c r="D225" s="8" t="s">
        <v>135</v>
      </c>
      <c r="E225" s="8" t="s">
        <v>464</v>
      </c>
      <c r="F225" s="8" t="s">
        <v>120</v>
      </c>
      <c r="G225" s="9">
        <v>46230</v>
      </c>
      <c r="H225" s="9">
        <v>46241</v>
      </c>
      <c r="I225" s="8" t="s">
        <v>121</v>
      </c>
      <c r="J225" s="8" t="s">
        <v>157</v>
      </c>
      <c r="K225" s="9">
        <v>46261</v>
      </c>
      <c r="L225" s="8" t="s">
        <v>576</v>
      </c>
      <c r="M225" s="8"/>
      <c r="N225" s="10"/>
      <c r="O225" s="8" t="s">
        <v>773</v>
      </c>
    </row>
    <row r="226" ht="32" customHeight="1" spans="1:15">
      <c r="A226" s="8">
        <v>7</v>
      </c>
      <c r="B226" s="8" t="s">
        <v>189</v>
      </c>
      <c r="C226" s="8" t="s">
        <v>190</v>
      </c>
      <c r="D226" s="8" t="s">
        <v>135</v>
      </c>
      <c r="E226" s="8" t="s">
        <v>464</v>
      </c>
      <c r="F226" s="8" t="s">
        <v>120</v>
      </c>
      <c r="G226" s="9">
        <v>46230</v>
      </c>
      <c r="H226" s="9">
        <v>46241</v>
      </c>
      <c r="I226" s="8" t="s">
        <v>121</v>
      </c>
      <c r="J226" s="8" t="s">
        <v>157</v>
      </c>
      <c r="K226" s="9">
        <v>46261</v>
      </c>
      <c r="L226" s="8" t="s">
        <v>576</v>
      </c>
      <c r="M226" s="8"/>
      <c r="N226" s="10"/>
      <c r="O226" s="8" t="s">
        <v>774</v>
      </c>
    </row>
    <row r="227" ht="32" customHeight="1" spans="1:15">
      <c r="A227" s="8">
        <v>7</v>
      </c>
      <c r="B227" s="8" t="s">
        <v>191</v>
      </c>
      <c r="C227" s="8" t="s">
        <v>192</v>
      </c>
      <c r="D227" s="8" t="s">
        <v>135</v>
      </c>
      <c r="E227" s="8" t="s">
        <v>464</v>
      </c>
      <c r="F227" s="8" t="s">
        <v>120</v>
      </c>
      <c r="G227" s="9">
        <v>46230</v>
      </c>
      <c r="H227" s="9">
        <v>46241</v>
      </c>
      <c r="I227" s="8" t="s">
        <v>157</v>
      </c>
      <c r="J227" s="8" t="s">
        <v>157</v>
      </c>
      <c r="K227" s="9">
        <v>46261</v>
      </c>
      <c r="L227" s="8" t="s">
        <v>659</v>
      </c>
      <c r="M227" s="8"/>
      <c r="N227" s="10"/>
      <c r="O227" s="8" t="s">
        <v>775</v>
      </c>
    </row>
    <row r="228" ht="32" customHeight="1" spans="1:15">
      <c r="A228" s="8">
        <v>7</v>
      </c>
      <c r="B228" s="8" t="s">
        <v>193</v>
      </c>
      <c r="C228" s="8" t="s">
        <v>194</v>
      </c>
      <c r="D228" s="8" t="s">
        <v>135</v>
      </c>
      <c r="E228" s="8" t="s">
        <v>464</v>
      </c>
      <c r="F228" s="8" t="s">
        <v>120</v>
      </c>
      <c r="G228" s="9">
        <v>46230</v>
      </c>
      <c r="H228" s="9">
        <v>46241</v>
      </c>
      <c r="I228" s="8" t="s">
        <v>157</v>
      </c>
      <c r="J228" s="8" t="s">
        <v>157</v>
      </c>
      <c r="K228" s="9">
        <v>46261</v>
      </c>
      <c r="L228" s="8" t="s">
        <v>659</v>
      </c>
      <c r="M228" s="8"/>
      <c r="N228" s="10"/>
      <c r="O228" s="8" t="s">
        <v>776</v>
      </c>
    </row>
    <row r="229" ht="32" customHeight="1" spans="1:15">
      <c r="A229" s="8">
        <v>7</v>
      </c>
      <c r="B229" s="8" t="s">
        <v>195</v>
      </c>
      <c r="C229" s="8" t="s">
        <v>196</v>
      </c>
      <c r="D229" s="8" t="s">
        <v>135</v>
      </c>
      <c r="E229" s="8" t="s">
        <v>464</v>
      </c>
      <c r="F229" s="8" t="s">
        <v>120</v>
      </c>
      <c r="G229" s="9">
        <v>46230</v>
      </c>
      <c r="H229" s="9">
        <v>46241</v>
      </c>
      <c r="I229" s="8" t="s">
        <v>121</v>
      </c>
      <c r="J229" s="8" t="s">
        <v>157</v>
      </c>
      <c r="K229" s="9">
        <v>46261</v>
      </c>
      <c r="L229" s="8" t="s">
        <v>576</v>
      </c>
      <c r="M229" s="8"/>
      <c r="N229" s="10"/>
      <c r="O229" s="8" t="s">
        <v>777</v>
      </c>
    </row>
    <row r="230" ht="32" customHeight="1" spans="1:15">
      <c r="A230" s="8">
        <v>7</v>
      </c>
      <c r="B230" s="8" t="s">
        <v>197</v>
      </c>
      <c r="C230" s="8" t="s">
        <v>199</v>
      </c>
      <c r="D230" s="8" t="s">
        <v>135</v>
      </c>
      <c r="E230" s="8" t="s">
        <v>464</v>
      </c>
      <c r="F230" s="8" t="s">
        <v>120</v>
      </c>
      <c r="G230" s="9">
        <v>46230</v>
      </c>
      <c r="H230" s="9">
        <v>46241</v>
      </c>
      <c r="I230" s="8" t="s">
        <v>23</v>
      </c>
      <c r="J230" s="8" t="s">
        <v>23</v>
      </c>
      <c r="K230" s="9"/>
      <c r="L230" s="8" t="s">
        <v>659</v>
      </c>
      <c r="M230" s="8"/>
      <c r="N230" s="10"/>
      <c r="O230" s="8" t="s">
        <v>778</v>
      </c>
    </row>
    <row r="231" ht="32" customHeight="1" spans="1:15">
      <c r="A231" s="8">
        <v>7</v>
      </c>
      <c r="B231" s="8" t="s">
        <v>201</v>
      </c>
      <c r="C231" s="8" t="s">
        <v>202</v>
      </c>
      <c r="D231" s="8" t="s">
        <v>135</v>
      </c>
      <c r="E231" s="8" t="s">
        <v>464</v>
      </c>
      <c r="F231" s="8" t="s">
        <v>120</v>
      </c>
      <c r="G231" s="9">
        <v>46230</v>
      </c>
      <c r="H231" s="9">
        <v>46241</v>
      </c>
      <c r="I231" s="8" t="s">
        <v>23</v>
      </c>
      <c r="J231" s="8" t="s">
        <v>23</v>
      </c>
      <c r="K231" s="9"/>
      <c r="L231" s="8" t="s">
        <v>659</v>
      </c>
      <c r="M231" s="8"/>
      <c r="N231" s="10"/>
      <c r="O231" s="8" t="s">
        <v>779</v>
      </c>
    </row>
    <row r="232" ht="32" customHeight="1" spans="1:15">
      <c r="A232" s="8">
        <v>7</v>
      </c>
      <c r="B232" s="8" t="s">
        <v>203</v>
      </c>
      <c r="C232" s="8" t="s">
        <v>204</v>
      </c>
      <c r="D232" s="8" t="s">
        <v>135</v>
      </c>
      <c r="E232" s="8" t="s">
        <v>464</v>
      </c>
      <c r="F232" s="8" t="s">
        <v>120</v>
      </c>
      <c r="G232" s="9">
        <v>46230</v>
      </c>
      <c r="H232" s="9">
        <v>46241</v>
      </c>
      <c r="I232" s="8" t="s">
        <v>23</v>
      </c>
      <c r="J232" s="8" t="s">
        <v>23</v>
      </c>
      <c r="K232" s="9"/>
      <c r="L232" s="8" t="s">
        <v>659</v>
      </c>
      <c r="M232" s="8"/>
      <c r="N232" s="10"/>
      <c r="O232" s="8" t="s">
        <v>780</v>
      </c>
    </row>
    <row r="233" ht="32" customHeight="1" spans="1:15">
      <c r="A233" s="8">
        <v>7</v>
      </c>
      <c r="B233" s="8" t="s">
        <v>205</v>
      </c>
      <c r="C233" s="8" t="s">
        <v>207</v>
      </c>
      <c r="D233" s="8" t="s">
        <v>135</v>
      </c>
      <c r="E233" s="8" t="s">
        <v>464</v>
      </c>
      <c r="F233" s="8" t="s">
        <v>120</v>
      </c>
      <c r="G233" s="9">
        <v>46230</v>
      </c>
      <c r="H233" s="9">
        <v>46241</v>
      </c>
      <c r="I233" s="8" t="s">
        <v>121</v>
      </c>
      <c r="J233" s="8" t="s">
        <v>157</v>
      </c>
      <c r="K233" s="9"/>
      <c r="L233" s="8" t="s">
        <v>576</v>
      </c>
      <c r="M233" s="8" t="s">
        <v>577</v>
      </c>
      <c r="N233" s="10"/>
      <c r="O233" s="8" t="s">
        <v>781</v>
      </c>
    </row>
    <row r="234" ht="32" customHeight="1" spans="1:15">
      <c r="A234" s="8">
        <v>7</v>
      </c>
      <c r="B234" s="8" t="s">
        <v>208</v>
      </c>
      <c r="C234" s="8" t="s">
        <v>209</v>
      </c>
      <c r="D234" s="8" t="s">
        <v>135</v>
      </c>
      <c r="E234" s="8" t="s">
        <v>464</v>
      </c>
      <c r="F234" s="8" t="s">
        <v>120</v>
      </c>
      <c r="G234" s="9">
        <v>46230</v>
      </c>
      <c r="H234" s="9">
        <v>46241</v>
      </c>
      <c r="I234" s="8" t="s">
        <v>121</v>
      </c>
      <c r="J234" s="8" t="s">
        <v>157</v>
      </c>
      <c r="K234" s="9"/>
      <c r="L234" s="8" t="s">
        <v>576</v>
      </c>
      <c r="M234" s="8" t="s">
        <v>577</v>
      </c>
      <c r="N234" s="10"/>
      <c r="O234" s="8" t="s">
        <v>782</v>
      </c>
    </row>
    <row r="235" ht="32" customHeight="1" spans="1:15">
      <c r="A235" s="8">
        <v>7</v>
      </c>
      <c r="B235" s="8" t="s">
        <v>210</v>
      </c>
      <c r="C235" s="8" t="s">
        <v>211</v>
      </c>
      <c r="D235" s="8" t="s">
        <v>135</v>
      </c>
      <c r="E235" s="8" t="s">
        <v>464</v>
      </c>
      <c r="F235" s="8" t="s">
        <v>120</v>
      </c>
      <c r="G235" s="9">
        <v>46230</v>
      </c>
      <c r="H235" s="9">
        <v>46241</v>
      </c>
      <c r="I235" s="8" t="s">
        <v>121</v>
      </c>
      <c r="J235" s="8" t="s">
        <v>157</v>
      </c>
      <c r="K235" s="9"/>
      <c r="L235" s="8" t="s">
        <v>576</v>
      </c>
      <c r="M235" s="8" t="s">
        <v>577</v>
      </c>
      <c r="N235" s="10"/>
      <c r="O235" s="8" t="s">
        <v>783</v>
      </c>
    </row>
    <row r="236" ht="32" customHeight="1" spans="1:15">
      <c r="A236" s="8">
        <v>7</v>
      </c>
      <c r="B236" s="8" t="s">
        <v>233</v>
      </c>
      <c r="C236" s="8" t="s">
        <v>235</v>
      </c>
      <c r="D236" s="8" t="s">
        <v>135</v>
      </c>
      <c r="E236" s="8" t="s">
        <v>464</v>
      </c>
      <c r="F236" s="8" t="s">
        <v>120</v>
      </c>
      <c r="G236" s="9">
        <v>46230</v>
      </c>
      <c r="H236" s="9">
        <v>46241</v>
      </c>
      <c r="I236" s="8" t="s">
        <v>121</v>
      </c>
      <c r="J236" s="8" t="s">
        <v>121</v>
      </c>
      <c r="K236" s="9"/>
      <c r="L236" s="8" t="s">
        <v>576</v>
      </c>
      <c r="M236" s="8" t="s">
        <v>577</v>
      </c>
      <c r="N236" s="10"/>
      <c r="O236" s="8" t="s">
        <v>784</v>
      </c>
    </row>
    <row r="237" ht="32" customHeight="1" spans="1:15">
      <c r="A237" s="8">
        <v>7</v>
      </c>
      <c r="B237" s="8" t="s">
        <v>236</v>
      </c>
      <c r="C237" s="8" t="s">
        <v>237</v>
      </c>
      <c r="D237" s="8" t="s">
        <v>135</v>
      </c>
      <c r="E237" s="8" t="s">
        <v>464</v>
      </c>
      <c r="F237" s="8" t="s">
        <v>120</v>
      </c>
      <c r="G237" s="9">
        <v>46230</v>
      </c>
      <c r="H237" s="9">
        <v>46241</v>
      </c>
      <c r="I237" s="8" t="s">
        <v>23</v>
      </c>
      <c r="J237" s="8" t="s">
        <v>23</v>
      </c>
      <c r="K237" s="9"/>
      <c r="L237" s="8" t="s">
        <v>659</v>
      </c>
      <c r="M237" s="8"/>
      <c r="N237" s="10"/>
      <c r="O237" s="8" t="s">
        <v>785</v>
      </c>
    </row>
    <row r="238" ht="32" customHeight="1" spans="1:15">
      <c r="A238" s="8">
        <v>7</v>
      </c>
      <c r="B238" s="8" t="s">
        <v>238</v>
      </c>
      <c r="C238" s="8" t="s">
        <v>237</v>
      </c>
      <c r="D238" s="8" t="s">
        <v>135</v>
      </c>
      <c r="E238" s="8" t="s">
        <v>464</v>
      </c>
      <c r="F238" s="8" t="s">
        <v>120</v>
      </c>
      <c r="G238" s="9">
        <v>46230</v>
      </c>
      <c r="H238" s="9">
        <v>46241</v>
      </c>
      <c r="I238" s="8" t="s">
        <v>23</v>
      </c>
      <c r="J238" s="8" t="s">
        <v>23</v>
      </c>
      <c r="K238" s="9">
        <v>46261</v>
      </c>
      <c r="L238" s="8" t="s">
        <v>659</v>
      </c>
      <c r="M238" s="8"/>
      <c r="N238" s="10"/>
      <c r="O238" s="8" t="s">
        <v>786</v>
      </c>
    </row>
    <row r="239" ht="32" customHeight="1" spans="1:15">
      <c r="A239" s="8">
        <v>7</v>
      </c>
      <c r="B239" s="8" t="s">
        <v>240</v>
      </c>
      <c r="C239" s="8" t="s">
        <v>242</v>
      </c>
      <c r="D239" s="8" t="s">
        <v>135</v>
      </c>
      <c r="E239" s="8" t="s">
        <v>464</v>
      </c>
      <c r="F239" s="8" t="s">
        <v>120</v>
      </c>
      <c r="G239" s="9">
        <v>46230</v>
      </c>
      <c r="H239" s="9">
        <v>46241</v>
      </c>
      <c r="I239" s="8" t="s">
        <v>121</v>
      </c>
      <c r="J239" s="8" t="s">
        <v>121</v>
      </c>
      <c r="K239" s="9">
        <v>46261</v>
      </c>
      <c r="L239" s="8" t="s">
        <v>576</v>
      </c>
      <c r="M239" s="8"/>
      <c r="N239" s="10"/>
      <c r="O239" s="8" t="s">
        <v>787</v>
      </c>
    </row>
    <row r="240" ht="32" customHeight="1" spans="1:15">
      <c r="A240" s="8">
        <v>7</v>
      </c>
      <c r="B240" s="8" t="s">
        <v>263</v>
      </c>
      <c r="C240" s="8" t="s">
        <v>265</v>
      </c>
      <c r="D240" s="8" t="s">
        <v>119</v>
      </c>
      <c r="E240" s="8" t="s">
        <v>464</v>
      </c>
      <c r="F240" s="8" t="s">
        <v>120</v>
      </c>
      <c r="G240" s="9">
        <v>46230</v>
      </c>
      <c r="H240" s="9">
        <v>46241</v>
      </c>
      <c r="I240" s="8" t="s">
        <v>121</v>
      </c>
      <c r="J240" s="8" t="s">
        <v>121</v>
      </c>
      <c r="K240" s="9"/>
      <c r="L240" s="8" t="s">
        <v>576</v>
      </c>
      <c r="M240" s="8" t="s">
        <v>577</v>
      </c>
      <c r="N240" s="10"/>
      <c r="O240" s="8" t="s">
        <v>788</v>
      </c>
    </row>
    <row r="241" ht="32" customHeight="1" spans="1:15">
      <c r="A241" s="8">
        <v>7</v>
      </c>
      <c r="B241" s="8" t="s">
        <v>311</v>
      </c>
      <c r="C241" s="8" t="s">
        <v>313</v>
      </c>
      <c r="D241" s="8" t="s">
        <v>135</v>
      </c>
      <c r="E241" s="8" t="s">
        <v>464</v>
      </c>
      <c r="F241" s="8" t="s">
        <v>120</v>
      </c>
      <c r="G241" s="9">
        <v>46230</v>
      </c>
      <c r="H241" s="9">
        <v>46241</v>
      </c>
      <c r="I241" s="8" t="s">
        <v>23</v>
      </c>
      <c r="J241" s="8" t="s">
        <v>23</v>
      </c>
      <c r="K241" s="9"/>
      <c r="L241" s="8" t="s">
        <v>659</v>
      </c>
      <c r="M241" s="8"/>
      <c r="N241" s="10"/>
      <c r="O241" s="8" t="s">
        <v>789</v>
      </c>
    </row>
    <row r="242" ht="32" customHeight="1" spans="1:15">
      <c r="A242" s="8">
        <v>7</v>
      </c>
      <c r="B242" s="8" t="s">
        <v>314</v>
      </c>
      <c r="C242" s="8" t="s">
        <v>315</v>
      </c>
      <c r="D242" s="8" t="s">
        <v>135</v>
      </c>
      <c r="E242" s="8" t="s">
        <v>464</v>
      </c>
      <c r="F242" s="8" t="s">
        <v>120</v>
      </c>
      <c r="G242" s="9">
        <v>46230</v>
      </c>
      <c r="H242" s="9">
        <v>46241</v>
      </c>
      <c r="I242" s="8" t="s">
        <v>23</v>
      </c>
      <c r="J242" s="8" t="s">
        <v>23</v>
      </c>
      <c r="K242" s="9">
        <v>46224</v>
      </c>
      <c r="L242" s="8" t="s">
        <v>659</v>
      </c>
      <c r="M242" s="8"/>
      <c r="N242" s="10"/>
      <c r="O242" s="8" t="s">
        <v>790</v>
      </c>
    </row>
    <row r="243" ht="32" customHeight="1" spans="1:15">
      <c r="A243" s="8">
        <v>7</v>
      </c>
      <c r="B243" s="8" t="s">
        <v>316</v>
      </c>
      <c r="C243" s="8" t="s">
        <v>313</v>
      </c>
      <c r="D243" s="8" t="s">
        <v>135</v>
      </c>
      <c r="E243" s="8" t="s">
        <v>464</v>
      </c>
      <c r="F243" s="8" t="s">
        <v>120</v>
      </c>
      <c r="G243" s="9">
        <v>46230</v>
      </c>
      <c r="H243" s="9">
        <v>46241</v>
      </c>
      <c r="I243" s="8" t="s">
        <v>23</v>
      </c>
      <c r="J243" s="8" t="s">
        <v>23</v>
      </c>
      <c r="K243" s="9">
        <v>46224</v>
      </c>
      <c r="L243" s="8" t="s">
        <v>659</v>
      </c>
      <c r="M243" s="8"/>
      <c r="N243" s="10"/>
      <c r="O243" s="8" t="s">
        <v>791</v>
      </c>
    </row>
    <row r="244" ht="32" customHeight="1" spans="1:15">
      <c r="A244" s="8">
        <v>7</v>
      </c>
      <c r="B244" s="8" t="s">
        <v>318</v>
      </c>
      <c r="C244" s="8" t="s">
        <v>319</v>
      </c>
      <c r="D244" s="8" t="s">
        <v>135</v>
      </c>
      <c r="E244" s="8" t="s">
        <v>464</v>
      </c>
      <c r="F244" s="8" t="s">
        <v>120</v>
      </c>
      <c r="G244" s="9">
        <v>46230</v>
      </c>
      <c r="H244" s="9">
        <v>46241</v>
      </c>
      <c r="I244" s="8" t="s">
        <v>23</v>
      </c>
      <c r="J244" s="8" t="s">
        <v>23</v>
      </c>
      <c r="K244" s="9">
        <v>46224</v>
      </c>
      <c r="L244" s="8" t="s">
        <v>659</v>
      </c>
      <c r="M244" s="8"/>
      <c r="N244" s="10"/>
      <c r="O244" s="8" t="s">
        <v>792</v>
      </c>
    </row>
    <row r="245" ht="32" customHeight="1" spans="1:15">
      <c r="A245" s="8">
        <v>7</v>
      </c>
      <c r="B245" s="8" t="s">
        <v>320</v>
      </c>
      <c r="C245" s="8" t="s">
        <v>313</v>
      </c>
      <c r="D245" s="8" t="s">
        <v>135</v>
      </c>
      <c r="E245" s="8" t="s">
        <v>464</v>
      </c>
      <c r="F245" s="8" t="s">
        <v>120</v>
      </c>
      <c r="G245" s="9">
        <v>46230</v>
      </c>
      <c r="H245" s="9">
        <v>46241</v>
      </c>
      <c r="I245" s="8" t="s">
        <v>23</v>
      </c>
      <c r="J245" s="8" t="s">
        <v>23</v>
      </c>
      <c r="K245" s="9">
        <v>46224</v>
      </c>
      <c r="L245" s="8" t="s">
        <v>659</v>
      </c>
      <c r="M245" s="8"/>
      <c r="N245" s="10"/>
      <c r="O245" s="8" t="s">
        <v>793</v>
      </c>
    </row>
    <row r="246" ht="32" customHeight="1" spans="1:15">
      <c r="A246" s="8">
        <v>7</v>
      </c>
      <c r="B246" s="8" t="s">
        <v>322</v>
      </c>
      <c r="C246" s="8" t="s">
        <v>315</v>
      </c>
      <c r="D246" s="8" t="s">
        <v>135</v>
      </c>
      <c r="E246" s="8" t="s">
        <v>464</v>
      </c>
      <c r="F246" s="8" t="s">
        <v>120</v>
      </c>
      <c r="G246" s="9">
        <v>46230</v>
      </c>
      <c r="H246" s="9">
        <v>46241</v>
      </c>
      <c r="I246" s="8" t="s">
        <v>23</v>
      </c>
      <c r="J246" s="8" t="s">
        <v>23</v>
      </c>
      <c r="K246" s="9">
        <v>46224</v>
      </c>
      <c r="L246" s="8" t="s">
        <v>659</v>
      </c>
      <c r="M246" s="8"/>
      <c r="N246" s="10"/>
      <c r="O246" s="8" t="s">
        <v>794</v>
      </c>
    </row>
    <row r="247" ht="32" customHeight="1" spans="1:15">
      <c r="A247" s="8">
        <v>7</v>
      </c>
      <c r="B247" s="8" t="s">
        <v>323</v>
      </c>
      <c r="C247" s="8" t="s">
        <v>313</v>
      </c>
      <c r="D247" s="8" t="s">
        <v>135</v>
      </c>
      <c r="E247" s="8" t="s">
        <v>464</v>
      </c>
      <c r="F247" s="8" t="s">
        <v>120</v>
      </c>
      <c r="G247" s="9">
        <v>46230</v>
      </c>
      <c r="H247" s="9">
        <v>46241</v>
      </c>
      <c r="I247" s="8" t="s">
        <v>23</v>
      </c>
      <c r="J247" s="8" t="s">
        <v>23</v>
      </c>
      <c r="K247" s="9">
        <v>46224</v>
      </c>
      <c r="L247" s="8" t="s">
        <v>659</v>
      </c>
      <c r="M247" s="8"/>
      <c r="N247" s="10"/>
      <c r="O247" s="8" t="s">
        <v>795</v>
      </c>
    </row>
    <row r="248" ht="32" customHeight="1" spans="1:15">
      <c r="A248" s="8">
        <v>7</v>
      </c>
      <c r="B248" s="8" t="s">
        <v>325</v>
      </c>
      <c r="C248" s="8" t="s">
        <v>315</v>
      </c>
      <c r="D248" s="8" t="s">
        <v>135</v>
      </c>
      <c r="E248" s="8" t="s">
        <v>464</v>
      </c>
      <c r="F248" s="8" t="s">
        <v>120</v>
      </c>
      <c r="G248" s="9">
        <v>46230</v>
      </c>
      <c r="H248" s="9">
        <v>46241</v>
      </c>
      <c r="I248" s="8" t="s">
        <v>23</v>
      </c>
      <c r="J248" s="8" t="s">
        <v>23</v>
      </c>
      <c r="K248" s="9"/>
      <c r="L248" s="8" t="s">
        <v>659</v>
      </c>
      <c r="M248" s="8"/>
      <c r="N248" s="10"/>
      <c r="O248" s="8" t="s">
        <v>796</v>
      </c>
    </row>
    <row r="249" ht="32" customHeight="1" spans="1:15">
      <c r="A249" s="8">
        <v>7</v>
      </c>
      <c r="B249" s="8" t="s">
        <v>326</v>
      </c>
      <c r="C249" s="8" t="s">
        <v>328</v>
      </c>
      <c r="D249" s="8" t="s">
        <v>135</v>
      </c>
      <c r="E249" s="8" t="s">
        <v>464</v>
      </c>
      <c r="F249" s="8" t="s">
        <v>120</v>
      </c>
      <c r="G249" s="9">
        <v>46230</v>
      </c>
      <c r="H249" s="9">
        <v>46241</v>
      </c>
      <c r="I249" s="8" t="s">
        <v>23</v>
      </c>
      <c r="J249" s="8" t="s">
        <v>23</v>
      </c>
      <c r="K249" s="9"/>
      <c r="L249" s="8" t="s">
        <v>659</v>
      </c>
      <c r="M249" s="8"/>
      <c r="N249" s="10"/>
      <c r="O249" s="8" t="s">
        <v>797</v>
      </c>
    </row>
    <row r="250" ht="32" customHeight="1" spans="1:15">
      <c r="A250" s="8">
        <v>7</v>
      </c>
      <c r="B250" s="8" t="s">
        <v>329</v>
      </c>
      <c r="C250" s="8" t="s">
        <v>330</v>
      </c>
      <c r="D250" s="8" t="s">
        <v>135</v>
      </c>
      <c r="E250" s="8" t="s">
        <v>464</v>
      </c>
      <c r="F250" s="8" t="s">
        <v>120</v>
      </c>
      <c r="G250" s="9">
        <v>46230</v>
      </c>
      <c r="H250" s="9">
        <v>46241</v>
      </c>
      <c r="I250" s="8" t="s">
        <v>23</v>
      </c>
      <c r="J250" s="8" t="s">
        <v>23</v>
      </c>
      <c r="K250" s="9"/>
      <c r="L250" s="8" t="s">
        <v>659</v>
      </c>
      <c r="M250" s="8"/>
      <c r="N250" s="10"/>
      <c r="O250" s="8" t="s">
        <v>798</v>
      </c>
    </row>
    <row r="251" ht="32" customHeight="1" spans="1:15">
      <c r="A251" s="8">
        <v>7</v>
      </c>
      <c r="B251" s="8" t="s">
        <v>331</v>
      </c>
      <c r="C251" s="8" t="s">
        <v>332</v>
      </c>
      <c r="D251" s="8" t="s">
        <v>135</v>
      </c>
      <c r="E251" s="8" t="s">
        <v>464</v>
      </c>
      <c r="F251" s="8" t="s">
        <v>120</v>
      </c>
      <c r="G251" s="9">
        <v>46230</v>
      </c>
      <c r="H251" s="9">
        <v>46241</v>
      </c>
      <c r="I251" s="8" t="s">
        <v>23</v>
      </c>
      <c r="J251" s="8" t="s">
        <v>23</v>
      </c>
      <c r="K251" s="9"/>
      <c r="L251" s="8" t="s">
        <v>659</v>
      </c>
      <c r="M251" s="8"/>
      <c r="N251" s="10"/>
      <c r="O251" s="8" t="s">
        <v>799</v>
      </c>
    </row>
    <row r="252" ht="32" customHeight="1" spans="1:15">
      <c r="A252" s="8">
        <v>7</v>
      </c>
      <c r="B252" s="8" t="s">
        <v>333</v>
      </c>
      <c r="C252" s="8" t="s">
        <v>334</v>
      </c>
      <c r="D252" s="8" t="s">
        <v>135</v>
      </c>
      <c r="E252" s="8" t="s">
        <v>464</v>
      </c>
      <c r="F252" s="8" t="s">
        <v>120</v>
      </c>
      <c r="G252" s="9">
        <v>46230</v>
      </c>
      <c r="H252" s="9">
        <v>46241</v>
      </c>
      <c r="I252" s="8" t="s">
        <v>23</v>
      </c>
      <c r="J252" s="8" t="s">
        <v>23</v>
      </c>
      <c r="K252" s="9"/>
      <c r="L252" s="8" t="s">
        <v>659</v>
      </c>
      <c r="M252" s="8"/>
      <c r="N252" s="10"/>
      <c r="O252" s="8" t="s">
        <v>800</v>
      </c>
    </row>
    <row r="253" ht="32" customHeight="1" spans="1:15">
      <c r="A253" s="8">
        <v>7</v>
      </c>
      <c r="B253" s="8" t="s">
        <v>335</v>
      </c>
      <c r="C253" s="8" t="s">
        <v>313</v>
      </c>
      <c r="D253" s="8" t="s">
        <v>135</v>
      </c>
      <c r="E253" s="8" t="s">
        <v>464</v>
      </c>
      <c r="F253" s="8" t="s">
        <v>120</v>
      </c>
      <c r="G253" s="9">
        <v>46230</v>
      </c>
      <c r="H253" s="9">
        <v>46241</v>
      </c>
      <c r="I253" s="8" t="s">
        <v>23</v>
      </c>
      <c r="J253" s="8" t="s">
        <v>23</v>
      </c>
      <c r="K253" s="9"/>
      <c r="L253" s="8" t="s">
        <v>659</v>
      </c>
      <c r="M253" s="8"/>
      <c r="N253" s="10"/>
      <c r="O253" s="8" t="s">
        <v>801</v>
      </c>
    </row>
    <row r="254" ht="32" customHeight="1" spans="1:15">
      <c r="A254" s="8">
        <v>7</v>
      </c>
      <c r="B254" s="8" t="s">
        <v>337</v>
      </c>
      <c r="C254" s="8" t="s">
        <v>315</v>
      </c>
      <c r="D254" s="8" t="s">
        <v>135</v>
      </c>
      <c r="E254" s="8" t="s">
        <v>464</v>
      </c>
      <c r="F254" s="8" t="s">
        <v>120</v>
      </c>
      <c r="G254" s="9">
        <v>46230</v>
      </c>
      <c r="H254" s="9">
        <v>46241</v>
      </c>
      <c r="I254" s="8" t="s">
        <v>23</v>
      </c>
      <c r="J254" s="8" t="s">
        <v>23</v>
      </c>
      <c r="K254" s="9"/>
      <c r="L254" s="8" t="s">
        <v>659</v>
      </c>
      <c r="M254" s="8"/>
      <c r="N254" s="10"/>
      <c r="O254" s="8" t="s">
        <v>802</v>
      </c>
    </row>
    <row r="255" ht="32" customHeight="1" spans="1:15">
      <c r="A255" s="8">
        <v>7</v>
      </c>
      <c r="B255" s="8" t="s">
        <v>410</v>
      </c>
      <c r="C255" s="8" t="s">
        <v>411</v>
      </c>
      <c r="D255" s="8" t="s">
        <v>135</v>
      </c>
      <c r="E255" s="8" t="s">
        <v>464</v>
      </c>
      <c r="F255" s="8" t="s">
        <v>120</v>
      </c>
      <c r="G255" s="9">
        <v>46230</v>
      </c>
      <c r="H255" s="9">
        <v>46241</v>
      </c>
      <c r="I255" s="8" t="s">
        <v>23</v>
      </c>
      <c r="J255" s="8" t="s">
        <v>23</v>
      </c>
      <c r="K255" s="9"/>
      <c r="L255" s="8" t="s">
        <v>659</v>
      </c>
      <c r="M255" s="8"/>
      <c r="N255" s="10"/>
      <c r="O255" s="8" t="s">
        <v>803</v>
      </c>
    </row>
    <row r="256" ht="32" customHeight="1" spans="1:15">
      <c r="A256" s="8">
        <v>7</v>
      </c>
      <c r="B256" s="8" t="s">
        <v>412</v>
      </c>
      <c r="C256" s="8" t="s">
        <v>413</v>
      </c>
      <c r="D256" s="8" t="s">
        <v>135</v>
      </c>
      <c r="E256" s="8" t="s">
        <v>464</v>
      </c>
      <c r="F256" s="8" t="s">
        <v>120</v>
      </c>
      <c r="G256" s="9">
        <v>46230</v>
      </c>
      <c r="H256" s="9">
        <v>46241</v>
      </c>
      <c r="I256" s="8" t="s">
        <v>23</v>
      </c>
      <c r="J256" s="8" t="s">
        <v>23</v>
      </c>
      <c r="K256" s="9">
        <v>46261</v>
      </c>
      <c r="L256" s="8" t="s">
        <v>659</v>
      </c>
      <c r="M256" s="8"/>
      <c r="N256" s="10"/>
      <c r="O256" s="8" t="s">
        <v>804</v>
      </c>
    </row>
    <row r="257" ht="32" customHeight="1" spans="1:15">
      <c r="A257" s="8">
        <v>7</v>
      </c>
      <c r="B257" s="8" t="s">
        <v>414</v>
      </c>
      <c r="C257" s="8" t="s">
        <v>415</v>
      </c>
      <c r="D257" s="8" t="s">
        <v>135</v>
      </c>
      <c r="E257" s="8" t="s">
        <v>464</v>
      </c>
      <c r="F257" s="8" t="s">
        <v>120</v>
      </c>
      <c r="G257" s="9">
        <v>46230</v>
      </c>
      <c r="H257" s="9">
        <v>46241</v>
      </c>
      <c r="I257" s="8" t="s">
        <v>23</v>
      </c>
      <c r="J257" s="8" t="s">
        <v>23</v>
      </c>
      <c r="K257" s="9">
        <v>46261</v>
      </c>
      <c r="L257" s="8" t="s">
        <v>659</v>
      </c>
      <c r="M257" s="8"/>
      <c r="N257" s="10"/>
      <c r="O257" s="8" t="s">
        <v>805</v>
      </c>
    </row>
    <row r="258" ht="32" customHeight="1" spans="1:15">
      <c r="A258" s="8">
        <v>7</v>
      </c>
      <c r="B258" s="8" t="s">
        <v>416</v>
      </c>
      <c r="C258" s="8" t="s">
        <v>417</v>
      </c>
      <c r="D258" s="8" t="s">
        <v>135</v>
      </c>
      <c r="E258" s="8" t="s">
        <v>464</v>
      </c>
      <c r="F258" s="8" t="s">
        <v>120</v>
      </c>
      <c r="G258" s="9">
        <v>46230</v>
      </c>
      <c r="H258" s="9">
        <v>46241</v>
      </c>
      <c r="I258" s="8" t="s">
        <v>23</v>
      </c>
      <c r="J258" s="8" t="s">
        <v>23</v>
      </c>
      <c r="K258" s="9"/>
      <c r="L258" s="8" t="s">
        <v>659</v>
      </c>
      <c r="M258" s="8"/>
      <c r="N258" s="10"/>
      <c r="O258" s="8" t="s">
        <v>806</v>
      </c>
    </row>
    <row r="259" ht="32" customHeight="1" spans="1:15">
      <c r="A259" s="8">
        <v>7</v>
      </c>
      <c r="B259" s="8" t="s">
        <v>418</v>
      </c>
      <c r="C259" s="8" t="s">
        <v>419</v>
      </c>
      <c r="D259" s="8" t="s">
        <v>135</v>
      </c>
      <c r="E259" s="8" t="s">
        <v>464</v>
      </c>
      <c r="F259" s="8" t="s">
        <v>120</v>
      </c>
      <c r="G259" s="9">
        <v>46230</v>
      </c>
      <c r="H259" s="9">
        <v>46241</v>
      </c>
      <c r="I259" s="8" t="s">
        <v>23</v>
      </c>
      <c r="J259" s="8" t="s">
        <v>23</v>
      </c>
      <c r="K259" s="9"/>
      <c r="L259" s="8" t="s">
        <v>659</v>
      </c>
      <c r="M259" s="8"/>
      <c r="N259" s="10"/>
      <c r="O259" s="8" t="s">
        <v>807</v>
      </c>
    </row>
    <row r="260" ht="32" customHeight="1" spans="1:15">
      <c r="A260" s="8">
        <v>7</v>
      </c>
      <c r="B260" s="8" t="s">
        <v>420</v>
      </c>
      <c r="C260" s="8" t="s">
        <v>421</v>
      </c>
      <c r="D260" s="8" t="s">
        <v>135</v>
      </c>
      <c r="E260" s="8" t="s">
        <v>464</v>
      </c>
      <c r="F260" s="8" t="s">
        <v>120</v>
      </c>
      <c r="G260" s="9">
        <v>46230</v>
      </c>
      <c r="H260" s="9">
        <v>46241</v>
      </c>
      <c r="I260" s="8" t="s">
        <v>23</v>
      </c>
      <c r="J260" s="8" t="s">
        <v>23</v>
      </c>
      <c r="K260" s="9"/>
      <c r="L260" s="8" t="s">
        <v>659</v>
      </c>
      <c r="M260" s="8"/>
      <c r="N260" s="10"/>
      <c r="O260" s="8" t="s">
        <v>808</v>
      </c>
    </row>
    <row r="261" ht="32" customHeight="1" spans="1:15">
      <c r="A261" s="8">
        <v>7</v>
      </c>
      <c r="B261" s="8" t="s">
        <v>422</v>
      </c>
      <c r="C261" s="8" t="s">
        <v>207</v>
      </c>
      <c r="D261" s="8" t="s">
        <v>135</v>
      </c>
      <c r="E261" s="8" t="s">
        <v>464</v>
      </c>
      <c r="F261" s="8" t="s">
        <v>120</v>
      </c>
      <c r="G261" s="9">
        <v>46230</v>
      </c>
      <c r="H261" s="9">
        <v>46241</v>
      </c>
      <c r="I261" s="8" t="s">
        <v>23</v>
      </c>
      <c r="J261" s="8" t="s">
        <v>23</v>
      </c>
      <c r="K261" s="9"/>
      <c r="L261" s="8" t="s">
        <v>659</v>
      </c>
      <c r="M261" s="8"/>
      <c r="N261" s="10"/>
      <c r="O261" s="8" t="s">
        <v>809</v>
      </c>
    </row>
    <row r="262" ht="32" customHeight="1" spans="1:15">
      <c r="A262" s="8">
        <v>7</v>
      </c>
      <c r="B262" s="8" t="s">
        <v>423</v>
      </c>
      <c r="C262" s="8" t="s">
        <v>211</v>
      </c>
      <c r="D262" s="8" t="s">
        <v>135</v>
      </c>
      <c r="E262" s="8" t="s">
        <v>464</v>
      </c>
      <c r="F262" s="8" t="s">
        <v>120</v>
      </c>
      <c r="G262" s="9">
        <v>46230</v>
      </c>
      <c r="H262" s="9">
        <v>46241</v>
      </c>
      <c r="I262" s="8" t="s">
        <v>23</v>
      </c>
      <c r="J262" s="8" t="s">
        <v>23</v>
      </c>
      <c r="K262" s="9"/>
      <c r="L262" s="8" t="s">
        <v>659</v>
      </c>
      <c r="M262" s="8"/>
      <c r="N262" s="10"/>
      <c r="O262" s="8" t="s">
        <v>810</v>
      </c>
    </row>
    <row r="263" ht="32" customHeight="1" spans="1:15">
      <c r="A263" s="8">
        <v>7</v>
      </c>
      <c r="B263" s="8" t="s">
        <v>424</v>
      </c>
      <c r="C263" s="8" t="s">
        <v>425</v>
      </c>
      <c r="D263" s="8" t="s">
        <v>135</v>
      </c>
      <c r="E263" s="8" t="s">
        <v>464</v>
      </c>
      <c r="F263" s="8" t="s">
        <v>120</v>
      </c>
      <c r="G263" s="9">
        <v>46230</v>
      </c>
      <c r="H263" s="9">
        <v>46241</v>
      </c>
      <c r="I263" s="8" t="s">
        <v>23</v>
      </c>
      <c r="J263" s="8" t="s">
        <v>23</v>
      </c>
      <c r="K263" s="9"/>
      <c r="L263" s="8" t="s">
        <v>659</v>
      </c>
      <c r="M263" s="8"/>
      <c r="N263" s="10"/>
      <c r="O263" s="8" t="s">
        <v>811</v>
      </c>
    </row>
    <row r="264" ht="32" customHeight="1" spans="1:15">
      <c r="A264" s="8">
        <v>7</v>
      </c>
      <c r="B264" s="8" t="s">
        <v>426</v>
      </c>
      <c r="C264" s="8" t="s">
        <v>182</v>
      </c>
      <c r="D264" s="8" t="s">
        <v>135</v>
      </c>
      <c r="E264" s="8" t="s">
        <v>464</v>
      </c>
      <c r="F264" s="8" t="s">
        <v>120</v>
      </c>
      <c r="G264" s="9">
        <v>46230</v>
      </c>
      <c r="H264" s="9">
        <v>46241</v>
      </c>
      <c r="I264" s="8" t="s">
        <v>23</v>
      </c>
      <c r="J264" s="8" t="s">
        <v>23</v>
      </c>
      <c r="K264" s="9"/>
      <c r="L264" s="8" t="s">
        <v>659</v>
      </c>
      <c r="M264" s="8"/>
      <c r="N264" s="10"/>
      <c r="O264" s="8" t="s">
        <v>812</v>
      </c>
    </row>
    <row r="265" ht="32" customHeight="1" spans="1:15">
      <c r="A265" s="8">
        <v>7</v>
      </c>
      <c r="B265" s="8" t="s">
        <v>427</v>
      </c>
      <c r="C265" s="8" t="s">
        <v>187</v>
      </c>
      <c r="D265" s="8" t="s">
        <v>135</v>
      </c>
      <c r="E265" s="8" t="s">
        <v>464</v>
      </c>
      <c r="F265" s="8" t="s">
        <v>120</v>
      </c>
      <c r="G265" s="9">
        <v>46230</v>
      </c>
      <c r="H265" s="9">
        <v>46241</v>
      </c>
      <c r="I265" s="8" t="s">
        <v>23</v>
      </c>
      <c r="J265" s="8" t="s">
        <v>23</v>
      </c>
      <c r="K265" s="9"/>
      <c r="L265" s="8" t="s">
        <v>659</v>
      </c>
      <c r="M265" s="8"/>
      <c r="N265" s="10"/>
      <c r="O265" s="8" t="s">
        <v>813</v>
      </c>
    </row>
    <row r="266" ht="32" customHeight="1" spans="1:15">
      <c r="A266" s="8">
        <v>7</v>
      </c>
      <c r="B266" s="8" t="s">
        <v>428</v>
      </c>
      <c r="C266" s="8" t="s">
        <v>429</v>
      </c>
      <c r="D266" s="8" t="s">
        <v>135</v>
      </c>
      <c r="E266" s="8" t="s">
        <v>464</v>
      </c>
      <c r="F266" s="8" t="s">
        <v>120</v>
      </c>
      <c r="G266" s="9">
        <v>46230</v>
      </c>
      <c r="H266" s="9">
        <v>46241</v>
      </c>
      <c r="I266" s="8" t="s">
        <v>23</v>
      </c>
      <c r="J266" s="8" t="s">
        <v>23</v>
      </c>
      <c r="K266" s="9"/>
      <c r="L266" s="8" t="s">
        <v>659</v>
      </c>
      <c r="M266" s="8"/>
      <c r="N266" s="10"/>
      <c r="O266" s="8" t="s">
        <v>814</v>
      </c>
    </row>
    <row r="267" ht="32" customHeight="1" spans="1:15">
      <c r="A267" s="8">
        <v>7</v>
      </c>
      <c r="B267" s="8" t="s">
        <v>435</v>
      </c>
      <c r="C267" s="8" t="s">
        <v>209</v>
      </c>
      <c r="D267" s="8" t="s">
        <v>135</v>
      </c>
      <c r="E267" s="8" t="s">
        <v>464</v>
      </c>
      <c r="F267" s="8" t="s">
        <v>120</v>
      </c>
      <c r="G267" s="9">
        <v>46230</v>
      </c>
      <c r="H267" s="9">
        <v>46241</v>
      </c>
      <c r="I267" s="8" t="s">
        <v>23</v>
      </c>
      <c r="J267" s="8" t="s">
        <v>23</v>
      </c>
      <c r="K267" s="9"/>
      <c r="L267" s="8" t="s">
        <v>659</v>
      </c>
      <c r="M267" s="8"/>
      <c r="N267" s="10"/>
      <c r="O267" s="8" t="s">
        <v>815</v>
      </c>
    </row>
    <row r="268" ht="32" customHeight="1" spans="1:15">
      <c r="A268" s="8">
        <v>7</v>
      </c>
      <c r="B268" s="8" t="s">
        <v>263</v>
      </c>
      <c r="C268" s="8" t="s">
        <v>265</v>
      </c>
      <c r="D268" s="8" t="s">
        <v>119</v>
      </c>
      <c r="E268" s="8" t="s">
        <v>463</v>
      </c>
      <c r="F268" s="8" t="s">
        <v>123</v>
      </c>
      <c r="G268" s="9">
        <v>46230</v>
      </c>
      <c r="H268" s="9">
        <v>46241</v>
      </c>
      <c r="I268" s="8" t="s">
        <v>121</v>
      </c>
      <c r="J268" s="8" t="s">
        <v>121</v>
      </c>
      <c r="K268" s="9"/>
      <c r="L268" s="8" t="s">
        <v>576</v>
      </c>
      <c r="M268" s="8" t="s">
        <v>577</v>
      </c>
      <c r="N268" s="10"/>
      <c r="O268" s="8" t="s">
        <v>816</v>
      </c>
    </row>
    <row r="269" ht="32" customHeight="1" spans="1:15">
      <c r="A269" s="8">
        <v>7</v>
      </c>
      <c r="B269" s="8" t="s">
        <v>263</v>
      </c>
      <c r="C269" s="8" t="s">
        <v>265</v>
      </c>
      <c r="D269" s="8" t="s">
        <v>119</v>
      </c>
      <c r="E269" s="8" t="s">
        <v>455</v>
      </c>
      <c r="F269" s="8" t="s">
        <v>122</v>
      </c>
      <c r="G269" s="9">
        <v>46230</v>
      </c>
      <c r="H269" s="9">
        <v>46241</v>
      </c>
      <c r="I269" s="8" t="s">
        <v>121</v>
      </c>
      <c r="J269" s="8" t="s">
        <v>121</v>
      </c>
      <c r="K269" s="9"/>
      <c r="L269" s="8" t="s">
        <v>576</v>
      </c>
      <c r="M269" s="8" t="s">
        <v>577</v>
      </c>
      <c r="N269" s="10"/>
      <c r="O269" s="8" t="s">
        <v>817</v>
      </c>
    </row>
    <row r="270" ht="32" customHeight="1" spans="1:15">
      <c r="A270" s="8">
        <v>9</v>
      </c>
      <c r="B270" s="8" t="s">
        <v>437</v>
      </c>
      <c r="C270" s="8" t="s">
        <v>438</v>
      </c>
      <c r="D270" s="8" t="s">
        <v>119</v>
      </c>
      <c r="E270" s="8" t="s">
        <v>463</v>
      </c>
      <c r="F270" s="8" t="s">
        <v>123</v>
      </c>
      <c r="G270" s="9">
        <v>46237</v>
      </c>
      <c r="H270" s="9">
        <v>46252</v>
      </c>
      <c r="I270" s="8" t="s">
        <v>121</v>
      </c>
      <c r="J270" s="8" t="s">
        <v>121</v>
      </c>
      <c r="K270" s="9">
        <v>46261</v>
      </c>
      <c r="L270" s="8" t="s">
        <v>576</v>
      </c>
      <c r="M270" s="8"/>
      <c r="N270" s="10"/>
      <c r="O270" s="8" t="s">
        <v>818</v>
      </c>
    </row>
    <row r="271" ht="32" customHeight="1" spans="1:15">
      <c r="A271" s="8">
        <v>9</v>
      </c>
      <c r="B271" s="8" t="s">
        <v>439</v>
      </c>
      <c r="C271" s="8" t="s">
        <v>438</v>
      </c>
      <c r="D271" s="8" t="s">
        <v>119</v>
      </c>
      <c r="E271" s="8" t="s">
        <v>463</v>
      </c>
      <c r="F271" s="8" t="s">
        <v>123</v>
      </c>
      <c r="G271" s="9">
        <v>46237</v>
      </c>
      <c r="H271" s="9">
        <v>46252</v>
      </c>
      <c r="I271" s="8" t="s">
        <v>121</v>
      </c>
      <c r="J271" s="8" t="s">
        <v>121</v>
      </c>
      <c r="K271" s="9">
        <v>46261</v>
      </c>
      <c r="L271" s="8" t="s">
        <v>576</v>
      </c>
      <c r="M271" s="8"/>
      <c r="N271" s="10"/>
      <c r="O271" s="8" t="s">
        <v>819</v>
      </c>
    </row>
    <row r="272" ht="32" customHeight="1" spans="1:15">
      <c r="A272" s="8">
        <v>9</v>
      </c>
      <c r="B272" s="8" t="s">
        <v>440</v>
      </c>
      <c r="C272" s="8" t="s">
        <v>438</v>
      </c>
      <c r="D272" s="8" t="s">
        <v>135</v>
      </c>
      <c r="E272" s="8" t="s">
        <v>463</v>
      </c>
      <c r="F272" s="8" t="s">
        <v>123</v>
      </c>
      <c r="G272" s="9">
        <v>46237</v>
      </c>
      <c r="H272" s="9">
        <v>46252</v>
      </c>
      <c r="I272" s="8" t="s">
        <v>121</v>
      </c>
      <c r="J272" s="8" t="s">
        <v>121</v>
      </c>
      <c r="K272" s="9"/>
      <c r="L272" s="8" t="s">
        <v>576</v>
      </c>
      <c r="M272" s="8" t="s">
        <v>577</v>
      </c>
      <c r="N272" s="10"/>
      <c r="O272" s="8" t="s">
        <v>820</v>
      </c>
    </row>
    <row r="273" ht="32" customHeight="1" spans="1:15">
      <c r="A273" s="8">
        <v>9</v>
      </c>
      <c r="B273" s="8" t="s">
        <v>437</v>
      </c>
      <c r="C273" s="8" t="s">
        <v>438</v>
      </c>
      <c r="D273" s="8" t="s">
        <v>119</v>
      </c>
      <c r="E273" s="8" t="s">
        <v>455</v>
      </c>
      <c r="F273" s="8" t="s">
        <v>122</v>
      </c>
      <c r="G273" s="9">
        <v>46237</v>
      </c>
      <c r="H273" s="9">
        <v>46252</v>
      </c>
      <c r="I273" s="8" t="s">
        <v>121</v>
      </c>
      <c r="J273" s="8" t="s">
        <v>121</v>
      </c>
      <c r="K273" s="9">
        <v>46261</v>
      </c>
      <c r="L273" s="8" t="s">
        <v>576</v>
      </c>
      <c r="M273" s="8"/>
      <c r="N273" s="10"/>
      <c r="O273" s="8" t="s">
        <v>821</v>
      </c>
    </row>
    <row r="274" ht="32" customHeight="1" spans="1:15">
      <c r="A274" s="8">
        <v>9</v>
      </c>
      <c r="B274" s="8" t="s">
        <v>439</v>
      </c>
      <c r="C274" s="8" t="s">
        <v>438</v>
      </c>
      <c r="D274" s="8" t="s">
        <v>119</v>
      </c>
      <c r="E274" s="8" t="s">
        <v>455</v>
      </c>
      <c r="F274" s="8" t="s">
        <v>122</v>
      </c>
      <c r="G274" s="9">
        <v>46237</v>
      </c>
      <c r="H274" s="9">
        <v>46252</v>
      </c>
      <c r="I274" s="8" t="s">
        <v>121</v>
      </c>
      <c r="J274" s="8" t="s">
        <v>121</v>
      </c>
      <c r="K274" s="9">
        <v>46261</v>
      </c>
      <c r="L274" s="8" t="s">
        <v>576</v>
      </c>
      <c r="M274" s="8"/>
      <c r="N274" s="10"/>
      <c r="O274" s="8" t="s">
        <v>822</v>
      </c>
    </row>
    <row r="275" ht="32" customHeight="1" spans="1:15">
      <c r="A275" s="8">
        <v>9</v>
      </c>
      <c r="B275" s="8" t="s">
        <v>440</v>
      </c>
      <c r="C275" s="8" t="s">
        <v>438</v>
      </c>
      <c r="D275" s="8" t="s">
        <v>135</v>
      </c>
      <c r="E275" s="8" t="s">
        <v>455</v>
      </c>
      <c r="F275" s="8" t="s">
        <v>122</v>
      </c>
      <c r="G275" s="9">
        <v>46237</v>
      </c>
      <c r="H275" s="9">
        <v>46252</v>
      </c>
      <c r="I275" s="8" t="s">
        <v>121</v>
      </c>
      <c r="J275" s="8" t="s">
        <v>121</v>
      </c>
      <c r="K275" s="9"/>
      <c r="L275" s="8" t="s">
        <v>576</v>
      </c>
      <c r="M275" s="8" t="s">
        <v>577</v>
      </c>
      <c r="N275" s="10"/>
      <c r="O275" s="8" t="s">
        <v>823</v>
      </c>
    </row>
    <row r="276" ht="32" customHeight="1" spans="1:15">
      <c r="A276" s="8">
        <v>10</v>
      </c>
      <c r="B276" s="8" t="s">
        <v>212</v>
      </c>
      <c r="C276" s="8" t="s">
        <v>214</v>
      </c>
      <c r="D276" s="8" t="s">
        <v>119</v>
      </c>
      <c r="E276" s="8" t="s">
        <v>463</v>
      </c>
      <c r="F276" s="8" t="s">
        <v>123</v>
      </c>
      <c r="G276" s="9">
        <v>46230</v>
      </c>
      <c r="H276" s="9">
        <v>46262</v>
      </c>
      <c r="I276" s="8" t="s">
        <v>121</v>
      </c>
      <c r="J276" s="8" t="s">
        <v>121</v>
      </c>
      <c r="K276" s="9">
        <v>46261</v>
      </c>
      <c r="L276" s="8" t="s">
        <v>576</v>
      </c>
      <c r="M276" s="8"/>
      <c r="N276" s="10"/>
      <c r="O276" s="8" t="s">
        <v>824</v>
      </c>
    </row>
    <row r="277" ht="32" customHeight="1" spans="1:15">
      <c r="A277" s="8">
        <v>10</v>
      </c>
      <c r="B277" s="8" t="s">
        <v>215</v>
      </c>
      <c r="C277" s="8" t="s">
        <v>216</v>
      </c>
      <c r="D277" s="8" t="s">
        <v>119</v>
      </c>
      <c r="E277" s="8" t="s">
        <v>463</v>
      </c>
      <c r="F277" s="8" t="s">
        <v>123</v>
      </c>
      <c r="G277" s="9">
        <v>46230</v>
      </c>
      <c r="H277" s="9">
        <v>46262</v>
      </c>
      <c r="I277" s="8" t="s">
        <v>121</v>
      </c>
      <c r="J277" s="8" t="s">
        <v>121</v>
      </c>
      <c r="K277" s="9">
        <v>46261</v>
      </c>
      <c r="L277" s="8" t="s">
        <v>576</v>
      </c>
      <c r="M277" s="8"/>
      <c r="N277" s="10"/>
      <c r="O277" s="8" t="s">
        <v>825</v>
      </c>
    </row>
    <row r="278" ht="32" customHeight="1" spans="1:15">
      <c r="A278" s="8">
        <v>10</v>
      </c>
      <c r="B278" s="8" t="s">
        <v>217</v>
      </c>
      <c r="C278" s="8" t="s">
        <v>218</v>
      </c>
      <c r="D278" s="8" t="s">
        <v>119</v>
      </c>
      <c r="E278" s="8" t="s">
        <v>463</v>
      </c>
      <c r="F278" s="8" t="s">
        <v>123</v>
      </c>
      <c r="G278" s="9">
        <v>46230</v>
      </c>
      <c r="H278" s="9">
        <v>46262</v>
      </c>
      <c r="I278" s="8" t="s">
        <v>121</v>
      </c>
      <c r="J278" s="8" t="s">
        <v>121</v>
      </c>
      <c r="K278" s="9">
        <v>46261</v>
      </c>
      <c r="L278" s="8" t="s">
        <v>576</v>
      </c>
      <c r="M278" s="8"/>
      <c r="N278" s="10"/>
      <c r="O278" s="8" t="s">
        <v>826</v>
      </c>
    </row>
    <row r="279" ht="32" customHeight="1" spans="1:15">
      <c r="A279" s="8">
        <v>10</v>
      </c>
      <c r="B279" s="8" t="s">
        <v>219</v>
      </c>
      <c r="C279" s="8" t="s">
        <v>221</v>
      </c>
      <c r="D279" s="8" t="s">
        <v>119</v>
      </c>
      <c r="E279" s="8" t="s">
        <v>463</v>
      </c>
      <c r="F279" s="8" t="s">
        <v>123</v>
      </c>
      <c r="G279" s="9">
        <v>46230</v>
      </c>
      <c r="H279" s="9">
        <v>46262</v>
      </c>
      <c r="I279" s="8" t="s">
        <v>121</v>
      </c>
      <c r="J279" s="8" t="s">
        <v>121</v>
      </c>
      <c r="K279" s="9">
        <v>46261</v>
      </c>
      <c r="L279" s="8" t="s">
        <v>576</v>
      </c>
      <c r="M279" s="8"/>
      <c r="N279" s="10"/>
      <c r="O279" s="8" t="s">
        <v>827</v>
      </c>
    </row>
    <row r="280" ht="32" customHeight="1" spans="1:15">
      <c r="A280" s="8">
        <v>10</v>
      </c>
      <c r="B280" s="8" t="s">
        <v>222</v>
      </c>
      <c r="C280" s="8" t="s">
        <v>223</v>
      </c>
      <c r="D280" s="8" t="s">
        <v>119</v>
      </c>
      <c r="E280" s="8" t="s">
        <v>463</v>
      </c>
      <c r="F280" s="8" t="s">
        <v>123</v>
      </c>
      <c r="G280" s="9">
        <v>46230</v>
      </c>
      <c r="H280" s="9">
        <v>46262</v>
      </c>
      <c r="I280" s="8" t="s">
        <v>121</v>
      </c>
      <c r="J280" s="8" t="s">
        <v>121</v>
      </c>
      <c r="K280" s="9">
        <v>46261</v>
      </c>
      <c r="L280" s="8" t="s">
        <v>576</v>
      </c>
      <c r="M280" s="8"/>
      <c r="N280" s="10"/>
      <c r="O280" s="8" t="s">
        <v>828</v>
      </c>
    </row>
    <row r="281" ht="32" customHeight="1" spans="1:15">
      <c r="A281" s="8">
        <v>10</v>
      </c>
      <c r="B281" s="8" t="s">
        <v>224</v>
      </c>
      <c r="C281" s="8" t="s">
        <v>225</v>
      </c>
      <c r="D281" s="8" t="s">
        <v>119</v>
      </c>
      <c r="E281" s="8" t="s">
        <v>463</v>
      </c>
      <c r="F281" s="8" t="s">
        <v>123</v>
      </c>
      <c r="G281" s="9">
        <v>46230</v>
      </c>
      <c r="H281" s="9">
        <v>46262</v>
      </c>
      <c r="I281" s="8" t="s">
        <v>121</v>
      </c>
      <c r="J281" s="8" t="s">
        <v>121</v>
      </c>
      <c r="K281" s="9">
        <v>46261</v>
      </c>
      <c r="L281" s="8" t="s">
        <v>576</v>
      </c>
      <c r="M281" s="8"/>
      <c r="N281" s="10"/>
      <c r="O281" s="8" t="s">
        <v>829</v>
      </c>
    </row>
    <row r="282" ht="32" customHeight="1" spans="1:15">
      <c r="A282" s="8">
        <v>10</v>
      </c>
      <c r="B282" s="8" t="s">
        <v>226</v>
      </c>
      <c r="C282" s="8" t="s">
        <v>228</v>
      </c>
      <c r="D282" s="8" t="s">
        <v>135</v>
      </c>
      <c r="E282" s="8" t="s">
        <v>463</v>
      </c>
      <c r="F282" s="8" t="s">
        <v>123</v>
      </c>
      <c r="G282" s="9">
        <v>46230</v>
      </c>
      <c r="H282" s="9">
        <v>46262</v>
      </c>
      <c r="I282" s="8" t="s">
        <v>121</v>
      </c>
      <c r="J282" s="8" t="s">
        <v>121</v>
      </c>
      <c r="K282" s="9"/>
      <c r="L282" s="8" t="s">
        <v>576</v>
      </c>
      <c r="M282" s="8" t="s">
        <v>577</v>
      </c>
      <c r="N282" s="10"/>
      <c r="O282" s="8" t="s">
        <v>830</v>
      </c>
    </row>
    <row r="283" ht="32" customHeight="1" spans="1:15">
      <c r="A283" s="8">
        <v>10</v>
      </c>
      <c r="B283" s="8" t="s">
        <v>229</v>
      </c>
      <c r="C283" s="8" t="s">
        <v>230</v>
      </c>
      <c r="D283" s="8" t="s">
        <v>135</v>
      </c>
      <c r="E283" s="8" t="s">
        <v>463</v>
      </c>
      <c r="F283" s="8" t="s">
        <v>123</v>
      </c>
      <c r="G283" s="9">
        <v>46230</v>
      </c>
      <c r="H283" s="9">
        <v>46262</v>
      </c>
      <c r="I283" s="8" t="s">
        <v>121</v>
      </c>
      <c r="J283" s="8" t="s">
        <v>121</v>
      </c>
      <c r="K283" s="9"/>
      <c r="L283" s="8" t="s">
        <v>576</v>
      </c>
      <c r="M283" s="8" t="s">
        <v>577</v>
      </c>
      <c r="N283" s="10"/>
      <c r="O283" s="8" t="s">
        <v>831</v>
      </c>
    </row>
    <row r="284" ht="32" customHeight="1" spans="1:15">
      <c r="A284" s="8">
        <v>10</v>
      </c>
      <c r="B284" s="8" t="s">
        <v>231</v>
      </c>
      <c r="C284" s="8" t="s">
        <v>232</v>
      </c>
      <c r="D284" s="8" t="s">
        <v>135</v>
      </c>
      <c r="E284" s="8" t="s">
        <v>463</v>
      </c>
      <c r="F284" s="8" t="s">
        <v>123</v>
      </c>
      <c r="G284" s="9">
        <v>46230</v>
      </c>
      <c r="H284" s="9">
        <v>46262</v>
      </c>
      <c r="I284" s="8" t="s">
        <v>121</v>
      </c>
      <c r="J284" s="8" t="s">
        <v>121</v>
      </c>
      <c r="K284" s="9"/>
      <c r="L284" s="8" t="s">
        <v>576</v>
      </c>
      <c r="M284" s="8" t="s">
        <v>577</v>
      </c>
      <c r="N284" s="10"/>
      <c r="O284" s="8" t="s">
        <v>832</v>
      </c>
    </row>
    <row r="285" ht="32" customHeight="1" spans="1:15">
      <c r="A285" s="8">
        <v>10</v>
      </c>
      <c r="B285" s="8" t="s">
        <v>352</v>
      </c>
      <c r="C285" s="8" t="s">
        <v>355</v>
      </c>
      <c r="D285" s="8" t="s">
        <v>119</v>
      </c>
      <c r="E285" s="8" t="s">
        <v>463</v>
      </c>
      <c r="F285" s="8" t="s">
        <v>123</v>
      </c>
      <c r="G285" s="9">
        <v>46230</v>
      </c>
      <c r="H285" s="9">
        <v>46262</v>
      </c>
      <c r="I285" s="8" t="s">
        <v>121</v>
      </c>
      <c r="J285" s="8" t="s">
        <v>121</v>
      </c>
      <c r="K285" s="9">
        <v>46224</v>
      </c>
      <c r="L285" s="8" t="s">
        <v>576</v>
      </c>
      <c r="M285" s="8"/>
      <c r="N285" s="10"/>
      <c r="O285" s="8" t="s">
        <v>833</v>
      </c>
    </row>
    <row r="286" ht="32" customHeight="1" spans="1:15">
      <c r="A286" s="8">
        <v>10</v>
      </c>
      <c r="B286" s="8" t="s">
        <v>356</v>
      </c>
      <c r="C286" s="8" t="s">
        <v>357</v>
      </c>
      <c r="D286" s="8" t="s">
        <v>119</v>
      </c>
      <c r="E286" s="8" t="s">
        <v>463</v>
      </c>
      <c r="F286" s="8" t="s">
        <v>123</v>
      </c>
      <c r="G286" s="9">
        <v>46230</v>
      </c>
      <c r="H286" s="9">
        <v>46262</v>
      </c>
      <c r="I286" s="8" t="s">
        <v>121</v>
      </c>
      <c r="J286" s="8" t="s">
        <v>121</v>
      </c>
      <c r="K286" s="9">
        <v>46224</v>
      </c>
      <c r="L286" s="8" t="s">
        <v>576</v>
      </c>
      <c r="M286" s="8"/>
      <c r="N286" s="10"/>
      <c r="O286" s="8" t="s">
        <v>834</v>
      </c>
    </row>
    <row r="287" ht="32" customHeight="1" spans="1:15">
      <c r="A287" s="8">
        <v>10</v>
      </c>
      <c r="B287" s="8" t="s">
        <v>358</v>
      </c>
      <c r="C287" s="8" t="s">
        <v>359</v>
      </c>
      <c r="D287" s="8" t="s">
        <v>119</v>
      </c>
      <c r="E287" s="8" t="s">
        <v>463</v>
      </c>
      <c r="F287" s="8" t="s">
        <v>123</v>
      </c>
      <c r="G287" s="9">
        <v>46230</v>
      </c>
      <c r="H287" s="9">
        <v>46262</v>
      </c>
      <c r="I287" s="8" t="s">
        <v>121</v>
      </c>
      <c r="J287" s="8" t="s">
        <v>121</v>
      </c>
      <c r="K287" s="9">
        <v>46224</v>
      </c>
      <c r="L287" s="8" t="s">
        <v>576</v>
      </c>
      <c r="M287" s="8"/>
      <c r="N287" s="10"/>
      <c r="O287" s="8" t="s">
        <v>835</v>
      </c>
    </row>
    <row r="288" ht="32" customHeight="1" spans="1:15">
      <c r="A288" s="8">
        <v>10</v>
      </c>
      <c r="B288" s="8" t="s">
        <v>360</v>
      </c>
      <c r="C288" s="8" t="s">
        <v>361</v>
      </c>
      <c r="D288" s="8" t="s">
        <v>119</v>
      </c>
      <c r="E288" s="8" t="s">
        <v>463</v>
      </c>
      <c r="F288" s="8" t="s">
        <v>123</v>
      </c>
      <c r="G288" s="9">
        <v>46230</v>
      </c>
      <c r="H288" s="9">
        <v>46262</v>
      </c>
      <c r="I288" s="8" t="s">
        <v>121</v>
      </c>
      <c r="J288" s="8" t="s">
        <v>121</v>
      </c>
      <c r="K288" s="9">
        <v>46224</v>
      </c>
      <c r="L288" s="8" t="s">
        <v>576</v>
      </c>
      <c r="M288" s="8"/>
      <c r="N288" s="10"/>
      <c r="O288" s="8" t="s">
        <v>836</v>
      </c>
    </row>
    <row r="289" ht="32" customHeight="1" spans="1:15">
      <c r="A289" s="8">
        <v>10</v>
      </c>
      <c r="B289" s="8" t="s">
        <v>362</v>
      </c>
      <c r="C289" s="8" t="s">
        <v>364</v>
      </c>
      <c r="D289" s="8" t="s">
        <v>119</v>
      </c>
      <c r="E289" s="8" t="s">
        <v>463</v>
      </c>
      <c r="F289" s="8" t="s">
        <v>123</v>
      </c>
      <c r="G289" s="9">
        <v>46230</v>
      </c>
      <c r="H289" s="9">
        <v>46262</v>
      </c>
      <c r="I289" s="8" t="s">
        <v>121</v>
      </c>
      <c r="J289" s="8" t="s">
        <v>121</v>
      </c>
      <c r="K289" s="9"/>
      <c r="L289" s="8" t="s">
        <v>576</v>
      </c>
      <c r="M289" s="8" t="s">
        <v>577</v>
      </c>
      <c r="N289" s="10"/>
      <c r="O289" s="8" t="s">
        <v>837</v>
      </c>
    </row>
    <row r="290" ht="32" customHeight="1" spans="1:15">
      <c r="A290" s="8">
        <v>10</v>
      </c>
      <c r="B290" s="8" t="s">
        <v>365</v>
      </c>
      <c r="C290" s="8" t="s">
        <v>366</v>
      </c>
      <c r="D290" s="8" t="s">
        <v>119</v>
      </c>
      <c r="E290" s="8" t="s">
        <v>463</v>
      </c>
      <c r="F290" s="8" t="s">
        <v>123</v>
      </c>
      <c r="G290" s="9">
        <v>46230</v>
      </c>
      <c r="H290" s="9">
        <v>46262</v>
      </c>
      <c r="I290" s="8" t="s">
        <v>121</v>
      </c>
      <c r="J290" s="8" t="s">
        <v>121</v>
      </c>
      <c r="K290" s="9"/>
      <c r="L290" s="8" t="s">
        <v>576</v>
      </c>
      <c r="M290" s="8" t="s">
        <v>577</v>
      </c>
      <c r="N290" s="10"/>
      <c r="O290" s="8" t="s">
        <v>838</v>
      </c>
    </row>
    <row r="291" ht="32" customHeight="1" spans="1:15">
      <c r="A291" s="8">
        <v>10</v>
      </c>
      <c r="B291" s="8" t="s">
        <v>367</v>
      </c>
      <c r="C291" s="8" t="s">
        <v>368</v>
      </c>
      <c r="D291" s="8" t="s">
        <v>119</v>
      </c>
      <c r="E291" s="8" t="s">
        <v>463</v>
      </c>
      <c r="F291" s="8" t="s">
        <v>123</v>
      </c>
      <c r="G291" s="9">
        <v>46230</v>
      </c>
      <c r="H291" s="9">
        <v>46262</v>
      </c>
      <c r="I291" s="8" t="s">
        <v>121</v>
      </c>
      <c r="J291" s="8" t="s">
        <v>121</v>
      </c>
      <c r="K291" s="9"/>
      <c r="L291" s="8" t="s">
        <v>576</v>
      </c>
      <c r="M291" s="8" t="s">
        <v>577</v>
      </c>
      <c r="N291" s="10"/>
      <c r="O291" s="8" t="s">
        <v>839</v>
      </c>
    </row>
    <row r="292" ht="32" customHeight="1" spans="1:15">
      <c r="A292" s="8">
        <v>10</v>
      </c>
      <c r="B292" s="8" t="s">
        <v>369</v>
      </c>
      <c r="C292" s="8" t="s">
        <v>370</v>
      </c>
      <c r="D292" s="8" t="s">
        <v>119</v>
      </c>
      <c r="E292" s="8" t="s">
        <v>463</v>
      </c>
      <c r="F292" s="8" t="s">
        <v>123</v>
      </c>
      <c r="G292" s="9">
        <v>46230</v>
      </c>
      <c r="H292" s="9">
        <v>46262</v>
      </c>
      <c r="I292" s="8" t="s">
        <v>121</v>
      </c>
      <c r="J292" s="8" t="s">
        <v>121</v>
      </c>
      <c r="K292" s="9"/>
      <c r="L292" s="8" t="s">
        <v>576</v>
      </c>
      <c r="M292" s="8" t="s">
        <v>577</v>
      </c>
      <c r="N292" s="10"/>
      <c r="O292" s="8" t="s">
        <v>840</v>
      </c>
    </row>
    <row r="293" ht="32" customHeight="1" spans="1:15">
      <c r="A293" s="8">
        <v>10</v>
      </c>
      <c r="B293" s="8" t="s">
        <v>371</v>
      </c>
      <c r="C293" s="8" t="s">
        <v>372</v>
      </c>
      <c r="D293" s="8" t="s">
        <v>119</v>
      </c>
      <c r="E293" s="8" t="s">
        <v>463</v>
      </c>
      <c r="F293" s="8" t="s">
        <v>123</v>
      </c>
      <c r="G293" s="9">
        <v>46230</v>
      </c>
      <c r="H293" s="9">
        <v>46262</v>
      </c>
      <c r="I293" s="8" t="s">
        <v>121</v>
      </c>
      <c r="J293" s="8" t="s">
        <v>121</v>
      </c>
      <c r="K293" s="9"/>
      <c r="L293" s="8" t="s">
        <v>576</v>
      </c>
      <c r="M293" s="8" t="s">
        <v>577</v>
      </c>
      <c r="N293" s="10"/>
      <c r="O293" s="8" t="s">
        <v>841</v>
      </c>
    </row>
    <row r="294" ht="32" customHeight="1" spans="1:15">
      <c r="A294" s="8">
        <v>10</v>
      </c>
      <c r="B294" s="8" t="s">
        <v>373</v>
      </c>
      <c r="C294" s="8" t="s">
        <v>374</v>
      </c>
      <c r="D294" s="8" t="s">
        <v>119</v>
      </c>
      <c r="E294" s="8" t="s">
        <v>463</v>
      </c>
      <c r="F294" s="8" t="s">
        <v>123</v>
      </c>
      <c r="G294" s="9">
        <v>46230</v>
      </c>
      <c r="H294" s="9">
        <v>46262</v>
      </c>
      <c r="I294" s="8" t="s">
        <v>121</v>
      </c>
      <c r="J294" s="8" t="s">
        <v>121</v>
      </c>
      <c r="K294" s="9"/>
      <c r="L294" s="8" t="s">
        <v>576</v>
      </c>
      <c r="M294" s="8" t="s">
        <v>577</v>
      </c>
      <c r="N294" s="10"/>
      <c r="O294" s="8" t="s">
        <v>842</v>
      </c>
    </row>
    <row r="295" ht="32" customHeight="1" spans="1:15">
      <c r="A295" s="8">
        <v>10</v>
      </c>
      <c r="B295" s="8" t="s">
        <v>375</v>
      </c>
      <c r="C295" s="8" t="s">
        <v>376</v>
      </c>
      <c r="D295" s="8" t="s">
        <v>135</v>
      </c>
      <c r="E295" s="8" t="s">
        <v>463</v>
      </c>
      <c r="F295" s="8" t="s">
        <v>123</v>
      </c>
      <c r="G295" s="9">
        <v>46230</v>
      </c>
      <c r="H295" s="9">
        <v>46262</v>
      </c>
      <c r="I295" s="8" t="s">
        <v>121</v>
      </c>
      <c r="J295" s="8" t="s">
        <v>121</v>
      </c>
      <c r="K295" s="9"/>
      <c r="L295" s="8" t="s">
        <v>576</v>
      </c>
      <c r="M295" s="8" t="s">
        <v>577</v>
      </c>
      <c r="N295" s="10"/>
      <c r="O295" s="8" t="s">
        <v>843</v>
      </c>
    </row>
    <row r="296" ht="32" customHeight="1" spans="1:15">
      <c r="A296" s="8">
        <v>10</v>
      </c>
      <c r="B296" s="8" t="s">
        <v>389</v>
      </c>
      <c r="C296" s="8" t="s">
        <v>391</v>
      </c>
      <c r="D296" s="8" t="s">
        <v>119</v>
      </c>
      <c r="E296" s="8" t="s">
        <v>463</v>
      </c>
      <c r="F296" s="8" t="s">
        <v>123</v>
      </c>
      <c r="G296" s="9">
        <v>46230</v>
      </c>
      <c r="H296" s="9">
        <v>46262</v>
      </c>
      <c r="I296" s="8" t="s">
        <v>121</v>
      </c>
      <c r="J296" s="8" t="s">
        <v>121</v>
      </c>
      <c r="K296" s="9"/>
      <c r="L296" s="8" t="s">
        <v>576</v>
      </c>
      <c r="M296" s="8" t="s">
        <v>577</v>
      </c>
      <c r="N296" s="10"/>
      <c r="O296" s="8" t="s">
        <v>844</v>
      </c>
    </row>
    <row r="297" ht="32" customHeight="1" spans="1:15">
      <c r="A297" s="8">
        <v>10</v>
      </c>
      <c r="B297" s="8" t="s">
        <v>392</v>
      </c>
      <c r="C297" s="8" t="s">
        <v>393</v>
      </c>
      <c r="D297" s="8" t="s">
        <v>119</v>
      </c>
      <c r="E297" s="8" t="s">
        <v>463</v>
      </c>
      <c r="F297" s="8" t="s">
        <v>123</v>
      </c>
      <c r="G297" s="9">
        <v>46230</v>
      </c>
      <c r="H297" s="9">
        <v>46262</v>
      </c>
      <c r="I297" s="8" t="s">
        <v>121</v>
      </c>
      <c r="J297" s="8" t="s">
        <v>121</v>
      </c>
      <c r="K297" s="9"/>
      <c r="L297" s="8" t="s">
        <v>576</v>
      </c>
      <c r="M297" s="8" t="s">
        <v>577</v>
      </c>
      <c r="N297" s="10"/>
      <c r="O297" s="8" t="s">
        <v>845</v>
      </c>
    </row>
    <row r="298" ht="32" customHeight="1" spans="1:15">
      <c r="A298" s="8">
        <v>10</v>
      </c>
      <c r="B298" s="8" t="s">
        <v>394</v>
      </c>
      <c r="C298" s="8" t="s">
        <v>395</v>
      </c>
      <c r="D298" s="8" t="s">
        <v>119</v>
      </c>
      <c r="E298" s="8" t="s">
        <v>463</v>
      </c>
      <c r="F298" s="8" t="s">
        <v>123</v>
      </c>
      <c r="G298" s="9">
        <v>46230</v>
      </c>
      <c r="H298" s="9">
        <v>46262</v>
      </c>
      <c r="I298" s="8" t="s">
        <v>121</v>
      </c>
      <c r="J298" s="8" t="s">
        <v>121</v>
      </c>
      <c r="K298" s="9"/>
      <c r="L298" s="8" t="s">
        <v>576</v>
      </c>
      <c r="M298" s="8" t="s">
        <v>577</v>
      </c>
      <c r="N298" s="10"/>
      <c r="O298" s="8" t="s">
        <v>846</v>
      </c>
    </row>
    <row r="299" ht="32" customHeight="1" spans="1:15">
      <c r="A299" s="8">
        <v>10</v>
      </c>
      <c r="B299" s="8" t="s">
        <v>396</v>
      </c>
      <c r="C299" s="8" t="s">
        <v>397</v>
      </c>
      <c r="D299" s="8" t="s">
        <v>119</v>
      </c>
      <c r="E299" s="8" t="s">
        <v>463</v>
      </c>
      <c r="F299" s="8" t="s">
        <v>123</v>
      </c>
      <c r="G299" s="9">
        <v>46230</v>
      </c>
      <c r="H299" s="9">
        <v>46262</v>
      </c>
      <c r="I299" s="8" t="s">
        <v>121</v>
      </c>
      <c r="J299" s="8" t="s">
        <v>121</v>
      </c>
      <c r="K299" s="9"/>
      <c r="L299" s="8" t="s">
        <v>576</v>
      </c>
      <c r="M299" s="8" t="s">
        <v>577</v>
      </c>
      <c r="N299" s="10"/>
      <c r="O299" s="8" t="s">
        <v>847</v>
      </c>
    </row>
    <row r="300" ht="32" customHeight="1" spans="1:15">
      <c r="A300" s="8">
        <v>10</v>
      </c>
      <c r="B300" s="8" t="s">
        <v>430</v>
      </c>
      <c r="C300" s="8" t="s">
        <v>216</v>
      </c>
      <c r="D300" s="8" t="s">
        <v>135</v>
      </c>
      <c r="E300" s="8" t="s">
        <v>463</v>
      </c>
      <c r="F300" s="8" t="s">
        <v>123</v>
      </c>
      <c r="G300" s="9">
        <v>46230</v>
      </c>
      <c r="H300" s="9">
        <v>46262</v>
      </c>
      <c r="I300" s="8" t="s">
        <v>121</v>
      </c>
      <c r="J300" s="8" t="s">
        <v>121</v>
      </c>
      <c r="K300" s="9">
        <v>46261</v>
      </c>
      <c r="L300" s="8" t="s">
        <v>576</v>
      </c>
      <c r="M300" s="8"/>
      <c r="N300" s="10"/>
      <c r="O300" s="8" t="s">
        <v>848</v>
      </c>
    </row>
    <row r="301" ht="32" customHeight="1" spans="1:15">
      <c r="A301" s="8">
        <v>10</v>
      </c>
      <c r="B301" s="8" t="s">
        <v>431</v>
      </c>
      <c r="C301" s="8" t="s">
        <v>223</v>
      </c>
      <c r="D301" s="8" t="s">
        <v>135</v>
      </c>
      <c r="E301" s="8" t="s">
        <v>463</v>
      </c>
      <c r="F301" s="8" t="s">
        <v>123</v>
      </c>
      <c r="G301" s="9">
        <v>46230</v>
      </c>
      <c r="H301" s="9">
        <v>46262</v>
      </c>
      <c r="I301" s="8" t="s">
        <v>121</v>
      </c>
      <c r="J301" s="8" t="s">
        <v>121</v>
      </c>
      <c r="K301" s="9">
        <v>46261</v>
      </c>
      <c r="L301" s="8" t="s">
        <v>576</v>
      </c>
      <c r="M301" s="8"/>
      <c r="N301" s="10"/>
      <c r="O301" s="8" t="s">
        <v>849</v>
      </c>
    </row>
    <row r="302" ht="32" customHeight="1" spans="1:15">
      <c r="A302" s="8">
        <v>10</v>
      </c>
      <c r="B302" s="8" t="s">
        <v>432</v>
      </c>
      <c r="C302" s="8" t="s">
        <v>230</v>
      </c>
      <c r="D302" s="8" t="s">
        <v>135</v>
      </c>
      <c r="E302" s="8" t="s">
        <v>463</v>
      </c>
      <c r="F302" s="8" t="s">
        <v>123</v>
      </c>
      <c r="G302" s="9">
        <v>46230</v>
      </c>
      <c r="H302" s="9">
        <v>46262</v>
      </c>
      <c r="I302" s="8" t="s">
        <v>121</v>
      </c>
      <c r="J302" s="8" t="s">
        <v>121</v>
      </c>
      <c r="K302" s="9"/>
      <c r="L302" s="8" t="s">
        <v>576</v>
      </c>
      <c r="M302" s="8" t="s">
        <v>577</v>
      </c>
      <c r="N302" s="10"/>
      <c r="O302" s="8" t="s">
        <v>850</v>
      </c>
    </row>
    <row r="303" ht="32" customHeight="1" spans="1:15">
      <c r="A303" s="8">
        <v>10</v>
      </c>
      <c r="B303" s="8" t="s">
        <v>212</v>
      </c>
      <c r="C303" s="8" t="s">
        <v>214</v>
      </c>
      <c r="D303" s="8" t="s">
        <v>119</v>
      </c>
      <c r="E303" s="8" t="s">
        <v>455</v>
      </c>
      <c r="F303" s="8" t="s">
        <v>122</v>
      </c>
      <c r="G303" s="9">
        <v>46230</v>
      </c>
      <c r="H303" s="9">
        <v>46262</v>
      </c>
      <c r="I303" s="8" t="s">
        <v>121</v>
      </c>
      <c r="J303" s="8" t="s">
        <v>121</v>
      </c>
      <c r="K303" s="9">
        <v>46261</v>
      </c>
      <c r="L303" s="8" t="s">
        <v>576</v>
      </c>
      <c r="M303" s="8"/>
      <c r="N303" s="10"/>
      <c r="O303" s="8" t="s">
        <v>851</v>
      </c>
    </row>
    <row r="304" ht="32" customHeight="1" spans="1:15">
      <c r="A304" s="8">
        <v>10</v>
      </c>
      <c r="B304" s="8" t="s">
        <v>215</v>
      </c>
      <c r="C304" s="8" t="s">
        <v>216</v>
      </c>
      <c r="D304" s="8" t="s">
        <v>119</v>
      </c>
      <c r="E304" s="8" t="s">
        <v>455</v>
      </c>
      <c r="F304" s="8" t="s">
        <v>122</v>
      </c>
      <c r="G304" s="9">
        <v>46230</v>
      </c>
      <c r="H304" s="9">
        <v>46262</v>
      </c>
      <c r="I304" s="8" t="s">
        <v>121</v>
      </c>
      <c r="J304" s="8" t="s">
        <v>121</v>
      </c>
      <c r="K304" s="9">
        <v>46261</v>
      </c>
      <c r="L304" s="8" t="s">
        <v>576</v>
      </c>
      <c r="M304" s="8"/>
      <c r="N304" s="10"/>
      <c r="O304" s="8" t="s">
        <v>852</v>
      </c>
    </row>
    <row r="305" ht="32" customHeight="1" spans="1:15">
      <c r="A305" s="8">
        <v>10</v>
      </c>
      <c r="B305" s="8" t="s">
        <v>217</v>
      </c>
      <c r="C305" s="8" t="s">
        <v>218</v>
      </c>
      <c r="D305" s="8" t="s">
        <v>119</v>
      </c>
      <c r="E305" s="8" t="s">
        <v>455</v>
      </c>
      <c r="F305" s="8" t="s">
        <v>122</v>
      </c>
      <c r="G305" s="9">
        <v>46230</v>
      </c>
      <c r="H305" s="9">
        <v>46262</v>
      </c>
      <c r="I305" s="8" t="s">
        <v>121</v>
      </c>
      <c r="J305" s="8" t="s">
        <v>121</v>
      </c>
      <c r="K305" s="9">
        <v>46261</v>
      </c>
      <c r="L305" s="8" t="s">
        <v>576</v>
      </c>
      <c r="M305" s="8"/>
      <c r="N305" s="10"/>
      <c r="O305" s="8" t="s">
        <v>853</v>
      </c>
    </row>
    <row r="306" ht="32" customHeight="1" spans="1:15">
      <c r="A306" s="8">
        <v>10</v>
      </c>
      <c r="B306" s="8" t="s">
        <v>219</v>
      </c>
      <c r="C306" s="8" t="s">
        <v>221</v>
      </c>
      <c r="D306" s="8" t="s">
        <v>119</v>
      </c>
      <c r="E306" s="8" t="s">
        <v>455</v>
      </c>
      <c r="F306" s="8" t="s">
        <v>122</v>
      </c>
      <c r="G306" s="9">
        <v>46230</v>
      </c>
      <c r="H306" s="9">
        <v>46262</v>
      </c>
      <c r="I306" s="8" t="s">
        <v>121</v>
      </c>
      <c r="J306" s="8" t="s">
        <v>121</v>
      </c>
      <c r="K306" s="9">
        <v>46261</v>
      </c>
      <c r="L306" s="8" t="s">
        <v>576</v>
      </c>
      <c r="M306" s="8"/>
      <c r="N306" s="10"/>
      <c r="O306" s="8" t="s">
        <v>854</v>
      </c>
    </row>
    <row r="307" ht="32" customHeight="1" spans="1:15">
      <c r="A307" s="8">
        <v>10</v>
      </c>
      <c r="B307" s="8" t="s">
        <v>222</v>
      </c>
      <c r="C307" s="8" t="s">
        <v>223</v>
      </c>
      <c r="D307" s="8" t="s">
        <v>119</v>
      </c>
      <c r="E307" s="8" t="s">
        <v>455</v>
      </c>
      <c r="F307" s="8" t="s">
        <v>122</v>
      </c>
      <c r="G307" s="9">
        <v>46230</v>
      </c>
      <c r="H307" s="9">
        <v>46262</v>
      </c>
      <c r="I307" s="8" t="s">
        <v>121</v>
      </c>
      <c r="J307" s="8" t="s">
        <v>121</v>
      </c>
      <c r="K307" s="9">
        <v>46261</v>
      </c>
      <c r="L307" s="8" t="s">
        <v>576</v>
      </c>
      <c r="M307" s="8"/>
      <c r="N307" s="10"/>
      <c r="O307" s="8" t="s">
        <v>855</v>
      </c>
    </row>
    <row r="308" ht="32" customHeight="1" spans="1:15">
      <c r="A308" s="8">
        <v>10</v>
      </c>
      <c r="B308" s="8" t="s">
        <v>224</v>
      </c>
      <c r="C308" s="8" t="s">
        <v>225</v>
      </c>
      <c r="D308" s="8" t="s">
        <v>119</v>
      </c>
      <c r="E308" s="8" t="s">
        <v>455</v>
      </c>
      <c r="F308" s="8" t="s">
        <v>122</v>
      </c>
      <c r="G308" s="9">
        <v>46230</v>
      </c>
      <c r="H308" s="9">
        <v>46262</v>
      </c>
      <c r="I308" s="8" t="s">
        <v>121</v>
      </c>
      <c r="J308" s="8" t="s">
        <v>121</v>
      </c>
      <c r="K308" s="9">
        <v>46261</v>
      </c>
      <c r="L308" s="8" t="s">
        <v>576</v>
      </c>
      <c r="M308" s="8"/>
      <c r="N308" s="10"/>
      <c r="O308" s="8" t="s">
        <v>856</v>
      </c>
    </row>
    <row r="309" ht="32" customHeight="1" spans="1:15">
      <c r="A309" s="8">
        <v>10</v>
      </c>
      <c r="B309" s="8" t="s">
        <v>226</v>
      </c>
      <c r="C309" s="8" t="s">
        <v>228</v>
      </c>
      <c r="D309" s="8" t="s">
        <v>135</v>
      </c>
      <c r="E309" s="8" t="s">
        <v>455</v>
      </c>
      <c r="F309" s="8" t="s">
        <v>122</v>
      </c>
      <c r="G309" s="9">
        <v>46230</v>
      </c>
      <c r="H309" s="9">
        <v>46262</v>
      </c>
      <c r="I309" s="8" t="s">
        <v>121</v>
      </c>
      <c r="J309" s="8" t="s">
        <v>121</v>
      </c>
      <c r="K309" s="9"/>
      <c r="L309" s="8" t="s">
        <v>576</v>
      </c>
      <c r="M309" s="8" t="s">
        <v>577</v>
      </c>
      <c r="N309" s="10"/>
      <c r="O309" s="8" t="s">
        <v>857</v>
      </c>
    </row>
    <row r="310" ht="32" customHeight="1" spans="1:15">
      <c r="A310" s="8">
        <v>10</v>
      </c>
      <c r="B310" s="8" t="s">
        <v>229</v>
      </c>
      <c r="C310" s="8" t="s">
        <v>230</v>
      </c>
      <c r="D310" s="8" t="s">
        <v>135</v>
      </c>
      <c r="E310" s="8" t="s">
        <v>455</v>
      </c>
      <c r="F310" s="8" t="s">
        <v>122</v>
      </c>
      <c r="G310" s="9">
        <v>46230</v>
      </c>
      <c r="H310" s="9">
        <v>46262</v>
      </c>
      <c r="I310" s="8" t="s">
        <v>121</v>
      </c>
      <c r="J310" s="8" t="s">
        <v>121</v>
      </c>
      <c r="K310" s="9"/>
      <c r="L310" s="8" t="s">
        <v>576</v>
      </c>
      <c r="M310" s="8" t="s">
        <v>577</v>
      </c>
      <c r="N310" s="10"/>
      <c r="O310" s="8" t="s">
        <v>858</v>
      </c>
    </row>
    <row r="311" ht="32" customHeight="1" spans="1:15">
      <c r="A311" s="8">
        <v>10</v>
      </c>
      <c r="B311" s="8" t="s">
        <v>231</v>
      </c>
      <c r="C311" s="8" t="s">
        <v>232</v>
      </c>
      <c r="D311" s="8" t="s">
        <v>135</v>
      </c>
      <c r="E311" s="8" t="s">
        <v>455</v>
      </c>
      <c r="F311" s="8" t="s">
        <v>122</v>
      </c>
      <c r="G311" s="9">
        <v>46230</v>
      </c>
      <c r="H311" s="9">
        <v>46262</v>
      </c>
      <c r="I311" s="8" t="s">
        <v>121</v>
      </c>
      <c r="J311" s="8" t="s">
        <v>121</v>
      </c>
      <c r="K311" s="9"/>
      <c r="L311" s="8" t="s">
        <v>576</v>
      </c>
      <c r="M311" s="8" t="s">
        <v>577</v>
      </c>
      <c r="N311" s="10"/>
      <c r="O311" s="8" t="s">
        <v>859</v>
      </c>
    </row>
    <row r="312" ht="32" customHeight="1" spans="1:15">
      <c r="A312" s="8">
        <v>10</v>
      </c>
      <c r="B312" s="8" t="s">
        <v>352</v>
      </c>
      <c r="C312" s="8" t="s">
        <v>355</v>
      </c>
      <c r="D312" s="8" t="s">
        <v>119</v>
      </c>
      <c r="E312" s="8" t="s">
        <v>455</v>
      </c>
      <c r="F312" s="8" t="s">
        <v>122</v>
      </c>
      <c r="G312" s="9">
        <v>46230</v>
      </c>
      <c r="H312" s="9">
        <v>46262</v>
      </c>
      <c r="I312" s="8" t="s">
        <v>121</v>
      </c>
      <c r="J312" s="8" t="s">
        <v>121</v>
      </c>
      <c r="K312" s="9">
        <v>46224</v>
      </c>
      <c r="L312" s="8" t="s">
        <v>576</v>
      </c>
      <c r="M312" s="8"/>
      <c r="N312" s="10"/>
      <c r="O312" s="8" t="s">
        <v>860</v>
      </c>
    </row>
    <row r="313" ht="32" customHeight="1" spans="1:15">
      <c r="A313" s="8">
        <v>10</v>
      </c>
      <c r="B313" s="8" t="s">
        <v>356</v>
      </c>
      <c r="C313" s="8" t="s">
        <v>357</v>
      </c>
      <c r="D313" s="8" t="s">
        <v>119</v>
      </c>
      <c r="E313" s="8" t="s">
        <v>455</v>
      </c>
      <c r="F313" s="8" t="s">
        <v>122</v>
      </c>
      <c r="G313" s="9">
        <v>46230</v>
      </c>
      <c r="H313" s="9">
        <v>46262</v>
      </c>
      <c r="I313" s="8" t="s">
        <v>121</v>
      </c>
      <c r="J313" s="8" t="s">
        <v>121</v>
      </c>
      <c r="K313" s="9">
        <v>46224</v>
      </c>
      <c r="L313" s="8" t="s">
        <v>576</v>
      </c>
      <c r="M313" s="8"/>
      <c r="N313" s="10"/>
      <c r="O313" s="8" t="s">
        <v>861</v>
      </c>
    </row>
    <row r="314" ht="32" customHeight="1" spans="1:15">
      <c r="A314" s="8">
        <v>10</v>
      </c>
      <c r="B314" s="8" t="s">
        <v>358</v>
      </c>
      <c r="C314" s="8" t="s">
        <v>359</v>
      </c>
      <c r="D314" s="8" t="s">
        <v>119</v>
      </c>
      <c r="E314" s="8" t="s">
        <v>455</v>
      </c>
      <c r="F314" s="8" t="s">
        <v>122</v>
      </c>
      <c r="G314" s="9">
        <v>46230</v>
      </c>
      <c r="H314" s="9">
        <v>46262</v>
      </c>
      <c r="I314" s="8" t="s">
        <v>121</v>
      </c>
      <c r="J314" s="8" t="s">
        <v>121</v>
      </c>
      <c r="K314" s="9">
        <v>46224</v>
      </c>
      <c r="L314" s="8" t="s">
        <v>576</v>
      </c>
      <c r="M314" s="8"/>
      <c r="N314" s="10"/>
      <c r="O314" s="8" t="s">
        <v>862</v>
      </c>
    </row>
    <row r="315" ht="32" customHeight="1" spans="1:15">
      <c r="A315" s="8">
        <v>10</v>
      </c>
      <c r="B315" s="8" t="s">
        <v>360</v>
      </c>
      <c r="C315" s="8" t="s">
        <v>361</v>
      </c>
      <c r="D315" s="8" t="s">
        <v>119</v>
      </c>
      <c r="E315" s="8" t="s">
        <v>455</v>
      </c>
      <c r="F315" s="8" t="s">
        <v>122</v>
      </c>
      <c r="G315" s="9">
        <v>46230</v>
      </c>
      <c r="H315" s="9">
        <v>46262</v>
      </c>
      <c r="I315" s="8" t="s">
        <v>121</v>
      </c>
      <c r="J315" s="8" t="s">
        <v>121</v>
      </c>
      <c r="K315" s="9">
        <v>46224</v>
      </c>
      <c r="L315" s="8" t="s">
        <v>576</v>
      </c>
      <c r="M315" s="8"/>
      <c r="N315" s="10"/>
      <c r="O315" s="8" t="s">
        <v>863</v>
      </c>
    </row>
    <row r="316" ht="32" customHeight="1" spans="1:15">
      <c r="A316" s="8">
        <v>10</v>
      </c>
      <c r="B316" s="8" t="s">
        <v>362</v>
      </c>
      <c r="C316" s="8" t="s">
        <v>364</v>
      </c>
      <c r="D316" s="8" t="s">
        <v>119</v>
      </c>
      <c r="E316" s="8" t="s">
        <v>455</v>
      </c>
      <c r="F316" s="8" t="s">
        <v>122</v>
      </c>
      <c r="G316" s="9">
        <v>46230</v>
      </c>
      <c r="H316" s="9">
        <v>46262</v>
      </c>
      <c r="I316" s="8" t="s">
        <v>121</v>
      </c>
      <c r="J316" s="8" t="s">
        <v>121</v>
      </c>
      <c r="K316" s="9"/>
      <c r="L316" s="8" t="s">
        <v>576</v>
      </c>
      <c r="M316" s="8" t="s">
        <v>577</v>
      </c>
      <c r="N316" s="10"/>
      <c r="O316" s="8" t="s">
        <v>864</v>
      </c>
    </row>
    <row r="317" ht="32" customHeight="1" spans="1:15">
      <c r="A317" s="8">
        <v>10</v>
      </c>
      <c r="B317" s="8" t="s">
        <v>365</v>
      </c>
      <c r="C317" s="8" t="s">
        <v>366</v>
      </c>
      <c r="D317" s="8" t="s">
        <v>119</v>
      </c>
      <c r="E317" s="8" t="s">
        <v>455</v>
      </c>
      <c r="F317" s="8" t="s">
        <v>122</v>
      </c>
      <c r="G317" s="9">
        <v>46230</v>
      </c>
      <c r="H317" s="9">
        <v>46262</v>
      </c>
      <c r="I317" s="8" t="s">
        <v>121</v>
      </c>
      <c r="J317" s="8" t="s">
        <v>121</v>
      </c>
      <c r="K317" s="9"/>
      <c r="L317" s="8" t="s">
        <v>576</v>
      </c>
      <c r="M317" s="8" t="s">
        <v>577</v>
      </c>
      <c r="N317" s="10"/>
      <c r="O317" s="8" t="s">
        <v>865</v>
      </c>
    </row>
    <row r="318" ht="32" customHeight="1" spans="1:15">
      <c r="A318" s="8">
        <v>10</v>
      </c>
      <c r="B318" s="8" t="s">
        <v>367</v>
      </c>
      <c r="C318" s="8" t="s">
        <v>368</v>
      </c>
      <c r="D318" s="8" t="s">
        <v>119</v>
      </c>
      <c r="E318" s="8" t="s">
        <v>455</v>
      </c>
      <c r="F318" s="8" t="s">
        <v>122</v>
      </c>
      <c r="G318" s="9">
        <v>46230</v>
      </c>
      <c r="H318" s="9">
        <v>46262</v>
      </c>
      <c r="I318" s="8" t="s">
        <v>121</v>
      </c>
      <c r="J318" s="8" t="s">
        <v>121</v>
      </c>
      <c r="K318" s="9"/>
      <c r="L318" s="8" t="s">
        <v>576</v>
      </c>
      <c r="M318" s="8" t="s">
        <v>577</v>
      </c>
      <c r="N318" s="10"/>
      <c r="O318" s="8" t="s">
        <v>866</v>
      </c>
    </row>
    <row r="319" ht="32" customHeight="1" spans="1:15">
      <c r="A319" s="8">
        <v>10</v>
      </c>
      <c r="B319" s="8" t="s">
        <v>369</v>
      </c>
      <c r="C319" s="8" t="s">
        <v>370</v>
      </c>
      <c r="D319" s="8" t="s">
        <v>119</v>
      </c>
      <c r="E319" s="8" t="s">
        <v>455</v>
      </c>
      <c r="F319" s="8" t="s">
        <v>122</v>
      </c>
      <c r="G319" s="9">
        <v>46230</v>
      </c>
      <c r="H319" s="9">
        <v>46262</v>
      </c>
      <c r="I319" s="8" t="s">
        <v>121</v>
      </c>
      <c r="J319" s="8" t="s">
        <v>121</v>
      </c>
      <c r="K319" s="9"/>
      <c r="L319" s="8" t="s">
        <v>576</v>
      </c>
      <c r="M319" s="8" t="s">
        <v>577</v>
      </c>
      <c r="N319" s="10"/>
      <c r="O319" s="8" t="s">
        <v>867</v>
      </c>
    </row>
    <row r="320" ht="32" customHeight="1" spans="1:15">
      <c r="A320" s="8">
        <v>10</v>
      </c>
      <c r="B320" s="8" t="s">
        <v>371</v>
      </c>
      <c r="C320" s="8" t="s">
        <v>372</v>
      </c>
      <c r="D320" s="8" t="s">
        <v>119</v>
      </c>
      <c r="E320" s="8" t="s">
        <v>455</v>
      </c>
      <c r="F320" s="8" t="s">
        <v>122</v>
      </c>
      <c r="G320" s="9">
        <v>46230</v>
      </c>
      <c r="H320" s="9">
        <v>46262</v>
      </c>
      <c r="I320" s="8" t="s">
        <v>121</v>
      </c>
      <c r="J320" s="8" t="s">
        <v>121</v>
      </c>
      <c r="K320" s="9"/>
      <c r="L320" s="8" t="s">
        <v>576</v>
      </c>
      <c r="M320" s="8" t="s">
        <v>577</v>
      </c>
      <c r="N320" s="10"/>
      <c r="O320" s="8" t="s">
        <v>868</v>
      </c>
    </row>
    <row r="321" ht="32" customHeight="1" spans="1:15">
      <c r="A321" s="8">
        <v>10</v>
      </c>
      <c r="B321" s="8" t="s">
        <v>373</v>
      </c>
      <c r="C321" s="8" t="s">
        <v>374</v>
      </c>
      <c r="D321" s="8" t="s">
        <v>119</v>
      </c>
      <c r="E321" s="8" t="s">
        <v>455</v>
      </c>
      <c r="F321" s="8" t="s">
        <v>122</v>
      </c>
      <c r="G321" s="9">
        <v>46230</v>
      </c>
      <c r="H321" s="9">
        <v>46262</v>
      </c>
      <c r="I321" s="8" t="s">
        <v>121</v>
      </c>
      <c r="J321" s="8" t="s">
        <v>121</v>
      </c>
      <c r="K321" s="9"/>
      <c r="L321" s="8" t="s">
        <v>576</v>
      </c>
      <c r="M321" s="8" t="s">
        <v>577</v>
      </c>
      <c r="N321" s="10"/>
      <c r="O321" s="8" t="s">
        <v>869</v>
      </c>
    </row>
    <row r="322" ht="32" customHeight="1" spans="1:15">
      <c r="A322" s="8">
        <v>10</v>
      </c>
      <c r="B322" s="8" t="s">
        <v>375</v>
      </c>
      <c r="C322" s="8" t="s">
        <v>376</v>
      </c>
      <c r="D322" s="8" t="s">
        <v>135</v>
      </c>
      <c r="E322" s="8" t="s">
        <v>455</v>
      </c>
      <c r="F322" s="8" t="s">
        <v>122</v>
      </c>
      <c r="G322" s="9">
        <v>46230</v>
      </c>
      <c r="H322" s="9">
        <v>46262</v>
      </c>
      <c r="I322" s="8" t="s">
        <v>121</v>
      </c>
      <c r="J322" s="8" t="s">
        <v>121</v>
      </c>
      <c r="K322" s="9"/>
      <c r="L322" s="8" t="s">
        <v>576</v>
      </c>
      <c r="M322" s="8" t="s">
        <v>577</v>
      </c>
      <c r="N322" s="10"/>
      <c r="O322" s="8" t="s">
        <v>870</v>
      </c>
    </row>
    <row r="323" ht="32" customHeight="1" spans="1:15">
      <c r="A323" s="8">
        <v>10</v>
      </c>
      <c r="B323" s="8" t="s">
        <v>389</v>
      </c>
      <c r="C323" s="8" t="s">
        <v>391</v>
      </c>
      <c r="D323" s="8" t="s">
        <v>119</v>
      </c>
      <c r="E323" s="8" t="s">
        <v>455</v>
      </c>
      <c r="F323" s="8" t="s">
        <v>122</v>
      </c>
      <c r="G323" s="9">
        <v>46230</v>
      </c>
      <c r="H323" s="9">
        <v>46262</v>
      </c>
      <c r="I323" s="8" t="s">
        <v>121</v>
      </c>
      <c r="J323" s="8" t="s">
        <v>121</v>
      </c>
      <c r="K323" s="9"/>
      <c r="L323" s="8" t="s">
        <v>576</v>
      </c>
      <c r="M323" s="8" t="s">
        <v>577</v>
      </c>
      <c r="N323" s="10"/>
      <c r="O323" s="8" t="s">
        <v>871</v>
      </c>
    </row>
    <row r="324" ht="32" customHeight="1" spans="1:15">
      <c r="A324" s="8">
        <v>10</v>
      </c>
      <c r="B324" s="8" t="s">
        <v>392</v>
      </c>
      <c r="C324" s="8" t="s">
        <v>393</v>
      </c>
      <c r="D324" s="8" t="s">
        <v>119</v>
      </c>
      <c r="E324" s="8" t="s">
        <v>455</v>
      </c>
      <c r="F324" s="8" t="s">
        <v>122</v>
      </c>
      <c r="G324" s="9">
        <v>46230</v>
      </c>
      <c r="H324" s="9">
        <v>46262</v>
      </c>
      <c r="I324" s="8" t="s">
        <v>121</v>
      </c>
      <c r="J324" s="8" t="s">
        <v>121</v>
      </c>
      <c r="K324" s="9"/>
      <c r="L324" s="8" t="s">
        <v>576</v>
      </c>
      <c r="M324" s="8" t="s">
        <v>577</v>
      </c>
      <c r="N324" s="10"/>
      <c r="O324" s="8" t="s">
        <v>872</v>
      </c>
    </row>
    <row r="325" ht="32" customHeight="1" spans="1:15">
      <c r="A325" s="8">
        <v>10</v>
      </c>
      <c r="B325" s="8" t="s">
        <v>394</v>
      </c>
      <c r="C325" s="8" t="s">
        <v>395</v>
      </c>
      <c r="D325" s="8" t="s">
        <v>119</v>
      </c>
      <c r="E325" s="8" t="s">
        <v>455</v>
      </c>
      <c r="F325" s="8" t="s">
        <v>122</v>
      </c>
      <c r="G325" s="9">
        <v>46230</v>
      </c>
      <c r="H325" s="9">
        <v>46262</v>
      </c>
      <c r="I325" s="8" t="s">
        <v>121</v>
      </c>
      <c r="J325" s="8" t="s">
        <v>121</v>
      </c>
      <c r="K325" s="9"/>
      <c r="L325" s="8" t="s">
        <v>576</v>
      </c>
      <c r="M325" s="8" t="s">
        <v>577</v>
      </c>
      <c r="N325" s="10"/>
      <c r="O325" s="8" t="s">
        <v>873</v>
      </c>
    </row>
    <row r="326" ht="32" customHeight="1" spans="1:15">
      <c r="A326" s="8">
        <v>10</v>
      </c>
      <c r="B326" s="8" t="s">
        <v>396</v>
      </c>
      <c r="C326" s="8" t="s">
        <v>397</v>
      </c>
      <c r="D326" s="8" t="s">
        <v>119</v>
      </c>
      <c r="E326" s="8" t="s">
        <v>455</v>
      </c>
      <c r="F326" s="8" t="s">
        <v>122</v>
      </c>
      <c r="G326" s="9">
        <v>46230</v>
      </c>
      <c r="H326" s="9">
        <v>46262</v>
      </c>
      <c r="I326" s="8" t="s">
        <v>121</v>
      </c>
      <c r="J326" s="8" t="s">
        <v>121</v>
      </c>
      <c r="K326" s="9"/>
      <c r="L326" s="8" t="s">
        <v>576</v>
      </c>
      <c r="M326" s="8" t="s">
        <v>577</v>
      </c>
      <c r="N326" s="10"/>
      <c r="O326" s="8" t="s">
        <v>874</v>
      </c>
    </row>
    <row r="327" ht="32" customHeight="1" spans="1:15">
      <c r="A327" s="8">
        <v>10</v>
      </c>
      <c r="B327" s="8" t="s">
        <v>430</v>
      </c>
      <c r="C327" s="8" t="s">
        <v>216</v>
      </c>
      <c r="D327" s="8" t="s">
        <v>135</v>
      </c>
      <c r="E327" s="8" t="s">
        <v>455</v>
      </c>
      <c r="F327" s="8" t="s">
        <v>122</v>
      </c>
      <c r="G327" s="9">
        <v>46230</v>
      </c>
      <c r="H327" s="9">
        <v>46262</v>
      </c>
      <c r="I327" s="8" t="s">
        <v>121</v>
      </c>
      <c r="J327" s="8" t="s">
        <v>121</v>
      </c>
      <c r="K327" s="9">
        <v>46261</v>
      </c>
      <c r="L327" s="8" t="s">
        <v>576</v>
      </c>
      <c r="M327" s="8"/>
      <c r="N327" s="10"/>
      <c r="O327" s="8" t="s">
        <v>875</v>
      </c>
    </row>
    <row r="328" ht="32" customHeight="1" spans="1:15">
      <c r="A328" s="8">
        <v>10</v>
      </c>
      <c r="B328" s="8" t="s">
        <v>431</v>
      </c>
      <c r="C328" s="8" t="s">
        <v>223</v>
      </c>
      <c r="D328" s="8" t="s">
        <v>135</v>
      </c>
      <c r="E328" s="8" t="s">
        <v>455</v>
      </c>
      <c r="F328" s="8" t="s">
        <v>122</v>
      </c>
      <c r="G328" s="9">
        <v>46230</v>
      </c>
      <c r="H328" s="9">
        <v>46262</v>
      </c>
      <c r="I328" s="8" t="s">
        <v>121</v>
      </c>
      <c r="J328" s="8" t="s">
        <v>121</v>
      </c>
      <c r="K328" s="9">
        <v>46261</v>
      </c>
      <c r="L328" s="8" t="s">
        <v>576</v>
      </c>
      <c r="M328" s="8"/>
      <c r="N328" s="10"/>
      <c r="O328" s="8" t="s">
        <v>876</v>
      </c>
    </row>
    <row r="329" ht="32" customHeight="1" spans="1:15">
      <c r="A329" s="8">
        <v>10</v>
      </c>
      <c r="B329" s="8" t="s">
        <v>432</v>
      </c>
      <c r="C329" s="8" t="s">
        <v>230</v>
      </c>
      <c r="D329" s="8" t="s">
        <v>135</v>
      </c>
      <c r="E329" s="8" t="s">
        <v>455</v>
      </c>
      <c r="F329" s="8" t="s">
        <v>122</v>
      </c>
      <c r="G329" s="9">
        <v>46230</v>
      </c>
      <c r="H329" s="9">
        <v>46262</v>
      </c>
      <c r="I329" s="8" t="s">
        <v>121</v>
      </c>
      <c r="J329" s="8" t="s">
        <v>121</v>
      </c>
      <c r="K329" s="9"/>
      <c r="L329" s="8" t="s">
        <v>576</v>
      </c>
      <c r="M329" s="8" t="s">
        <v>577</v>
      </c>
      <c r="N329" s="10"/>
      <c r="O329" s="8" t="s">
        <v>877</v>
      </c>
    </row>
    <row r="330" ht="32" customHeight="1" spans="1:15">
      <c r="A330" s="8">
        <v>11</v>
      </c>
      <c r="B330" s="8" t="s">
        <v>243</v>
      </c>
      <c r="C330" s="8" t="s">
        <v>245</v>
      </c>
      <c r="D330" s="8" t="s">
        <v>119</v>
      </c>
      <c r="E330" s="8" t="s">
        <v>463</v>
      </c>
      <c r="F330" s="8" t="s">
        <v>123</v>
      </c>
      <c r="G330" s="9">
        <v>46212</v>
      </c>
      <c r="H330" s="9">
        <v>46265</v>
      </c>
      <c r="I330" s="8" t="s">
        <v>121</v>
      </c>
      <c r="J330" s="8" t="s">
        <v>157</v>
      </c>
      <c r="K330" s="9"/>
      <c r="L330" s="8" t="s">
        <v>576</v>
      </c>
      <c r="M330" s="8" t="s">
        <v>577</v>
      </c>
      <c r="N330" s="10"/>
      <c r="O330" s="8" t="s">
        <v>878</v>
      </c>
    </row>
    <row r="331" ht="32" customHeight="1" spans="1:15">
      <c r="A331" s="8">
        <v>11</v>
      </c>
      <c r="B331" s="8" t="s">
        <v>246</v>
      </c>
      <c r="C331" s="8" t="s">
        <v>247</v>
      </c>
      <c r="D331" s="8" t="s">
        <v>119</v>
      </c>
      <c r="E331" s="8" t="s">
        <v>463</v>
      </c>
      <c r="F331" s="8" t="s">
        <v>123</v>
      </c>
      <c r="G331" s="9">
        <v>46212</v>
      </c>
      <c r="H331" s="9">
        <v>46265</v>
      </c>
      <c r="I331" s="8" t="s">
        <v>121</v>
      </c>
      <c r="J331" s="8" t="s">
        <v>157</v>
      </c>
      <c r="K331" s="9">
        <v>46261</v>
      </c>
      <c r="L331" s="8" t="s">
        <v>576</v>
      </c>
      <c r="M331" s="8"/>
      <c r="N331" s="10"/>
      <c r="O331" s="8" t="s">
        <v>879</v>
      </c>
    </row>
    <row r="332" ht="32" customHeight="1" spans="1:15">
      <c r="A332" s="8">
        <v>11</v>
      </c>
      <c r="B332" s="8" t="s">
        <v>248</v>
      </c>
      <c r="C332" s="8" t="s">
        <v>244</v>
      </c>
      <c r="D332" s="8" t="s">
        <v>119</v>
      </c>
      <c r="E332" s="8" t="s">
        <v>463</v>
      </c>
      <c r="F332" s="8" t="s">
        <v>123</v>
      </c>
      <c r="G332" s="9">
        <v>46212</v>
      </c>
      <c r="H332" s="9">
        <v>46265</v>
      </c>
      <c r="I332" s="8" t="s">
        <v>121</v>
      </c>
      <c r="J332" s="8" t="s">
        <v>157</v>
      </c>
      <c r="K332" s="9">
        <v>46261</v>
      </c>
      <c r="L332" s="8" t="s">
        <v>576</v>
      </c>
      <c r="M332" s="8"/>
      <c r="N332" s="10"/>
      <c r="O332" s="8" t="s">
        <v>880</v>
      </c>
    </row>
    <row r="333" ht="32" customHeight="1" spans="1:15">
      <c r="A333" s="8">
        <v>11</v>
      </c>
      <c r="B333" s="8" t="s">
        <v>398</v>
      </c>
      <c r="C333" s="8" t="s">
        <v>401</v>
      </c>
      <c r="D333" s="8" t="s">
        <v>135</v>
      </c>
      <c r="E333" s="8" t="s">
        <v>463</v>
      </c>
      <c r="F333" s="8" t="s">
        <v>123</v>
      </c>
      <c r="G333" s="9">
        <v>46265</v>
      </c>
      <c r="H333" s="9">
        <v>46269</v>
      </c>
      <c r="I333" s="8" t="s">
        <v>121</v>
      </c>
      <c r="J333" s="8" t="s">
        <v>121</v>
      </c>
      <c r="K333" s="9">
        <v>46261</v>
      </c>
      <c r="L333" s="8" t="s">
        <v>576</v>
      </c>
      <c r="M333" s="8"/>
      <c r="N333" s="10"/>
      <c r="O333" s="8" t="s">
        <v>881</v>
      </c>
    </row>
    <row r="334" ht="32" customHeight="1" spans="1:15">
      <c r="A334" s="8">
        <v>11</v>
      </c>
      <c r="B334" s="8" t="s">
        <v>402</v>
      </c>
      <c r="C334" s="8" t="s">
        <v>403</v>
      </c>
      <c r="D334" s="8" t="s">
        <v>135</v>
      </c>
      <c r="E334" s="8" t="s">
        <v>463</v>
      </c>
      <c r="F334" s="8" t="s">
        <v>123</v>
      </c>
      <c r="G334" s="9">
        <v>46265</v>
      </c>
      <c r="H334" s="9">
        <v>46269</v>
      </c>
      <c r="I334" s="8" t="s">
        <v>121</v>
      </c>
      <c r="J334" s="8" t="s">
        <v>121</v>
      </c>
      <c r="K334" s="9">
        <v>46261</v>
      </c>
      <c r="L334" s="8" t="s">
        <v>576</v>
      </c>
      <c r="M334" s="8"/>
      <c r="N334" s="10"/>
      <c r="O334" s="8" t="s">
        <v>882</v>
      </c>
    </row>
    <row r="335" ht="32" customHeight="1" spans="1:15">
      <c r="A335" s="8">
        <v>11</v>
      </c>
      <c r="B335" s="8" t="s">
        <v>404</v>
      </c>
      <c r="C335" s="8" t="s">
        <v>405</v>
      </c>
      <c r="D335" s="8" t="s">
        <v>135</v>
      </c>
      <c r="E335" s="8" t="s">
        <v>463</v>
      </c>
      <c r="F335" s="8" t="s">
        <v>123</v>
      </c>
      <c r="G335" s="9">
        <v>46265</v>
      </c>
      <c r="H335" s="9">
        <v>46269</v>
      </c>
      <c r="I335" s="8" t="s">
        <v>121</v>
      </c>
      <c r="J335" s="8" t="s">
        <v>121</v>
      </c>
      <c r="K335" s="9">
        <v>46261</v>
      </c>
      <c r="L335" s="8" t="s">
        <v>576</v>
      </c>
      <c r="M335" s="8"/>
      <c r="N335" s="10"/>
      <c r="O335" s="8" t="s">
        <v>883</v>
      </c>
    </row>
    <row r="336" ht="32" customHeight="1" spans="1:15">
      <c r="A336" s="8">
        <v>11</v>
      </c>
      <c r="B336" s="8" t="s">
        <v>406</v>
      </c>
      <c r="C336" s="8" t="s">
        <v>407</v>
      </c>
      <c r="D336" s="8" t="s">
        <v>135</v>
      </c>
      <c r="E336" s="8" t="s">
        <v>463</v>
      </c>
      <c r="F336" s="8" t="s">
        <v>123</v>
      </c>
      <c r="G336" s="9">
        <v>46265</v>
      </c>
      <c r="H336" s="9">
        <v>46269</v>
      </c>
      <c r="I336" s="8" t="s">
        <v>121</v>
      </c>
      <c r="J336" s="8" t="s">
        <v>121</v>
      </c>
      <c r="K336" s="9">
        <v>46261</v>
      </c>
      <c r="L336" s="8" t="s">
        <v>576</v>
      </c>
      <c r="M336" s="8"/>
      <c r="N336" s="10"/>
      <c r="O336" s="8" t="s">
        <v>884</v>
      </c>
    </row>
    <row r="337" ht="32" customHeight="1" spans="1:15">
      <c r="A337" s="8">
        <v>11</v>
      </c>
      <c r="B337" s="8" t="s">
        <v>408</v>
      </c>
      <c r="C337" s="8" t="s">
        <v>409</v>
      </c>
      <c r="D337" s="8" t="s">
        <v>135</v>
      </c>
      <c r="E337" s="8" t="s">
        <v>463</v>
      </c>
      <c r="F337" s="8" t="s">
        <v>123</v>
      </c>
      <c r="G337" s="9">
        <v>46265</v>
      </c>
      <c r="H337" s="9">
        <v>46269</v>
      </c>
      <c r="I337" s="8" t="s">
        <v>121</v>
      </c>
      <c r="J337" s="8" t="s">
        <v>121</v>
      </c>
      <c r="K337" s="9">
        <v>46261</v>
      </c>
      <c r="L337" s="8" t="s">
        <v>576</v>
      </c>
      <c r="M337" s="8"/>
      <c r="N337" s="10"/>
      <c r="O337" s="8" t="s">
        <v>885</v>
      </c>
    </row>
    <row r="338" ht="32" customHeight="1" spans="1:15">
      <c r="A338" s="8">
        <v>11</v>
      </c>
      <c r="B338" s="8" t="s">
        <v>243</v>
      </c>
      <c r="C338" s="8" t="s">
        <v>245</v>
      </c>
      <c r="D338" s="8" t="s">
        <v>119</v>
      </c>
      <c r="E338" s="8" t="s">
        <v>455</v>
      </c>
      <c r="F338" s="8" t="s">
        <v>200</v>
      </c>
      <c r="G338" s="9">
        <v>46212</v>
      </c>
      <c r="H338" s="9">
        <v>46265</v>
      </c>
      <c r="I338" s="8" t="s">
        <v>121</v>
      </c>
      <c r="J338" s="8" t="s">
        <v>157</v>
      </c>
      <c r="K338" s="9"/>
      <c r="L338" s="8" t="s">
        <v>576</v>
      </c>
      <c r="M338" s="8" t="s">
        <v>577</v>
      </c>
      <c r="N338" s="10"/>
      <c r="O338" s="8" t="s">
        <v>886</v>
      </c>
    </row>
    <row r="339" ht="32" customHeight="1" spans="1:15">
      <c r="A339" s="8">
        <v>11</v>
      </c>
      <c r="B339" s="8" t="s">
        <v>246</v>
      </c>
      <c r="C339" s="8" t="s">
        <v>247</v>
      </c>
      <c r="D339" s="8" t="s">
        <v>119</v>
      </c>
      <c r="E339" s="8" t="s">
        <v>455</v>
      </c>
      <c r="F339" s="8" t="s">
        <v>200</v>
      </c>
      <c r="G339" s="9">
        <v>46212</v>
      </c>
      <c r="H339" s="9">
        <v>46265</v>
      </c>
      <c r="I339" s="8" t="s">
        <v>121</v>
      </c>
      <c r="J339" s="8" t="s">
        <v>157</v>
      </c>
      <c r="K339" s="9">
        <v>46261</v>
      </c>
      <c r="L339" s="8" t="s">
        <v>576</v>
      </c>
      <c r="M339" s="8"/>
      <c r="N339" s="10"/>
      <c r="O339" s="8" t="s">
        <v>887</v>
      </c>
    </row>
    <row r="340" ht="32" customHeight="1" spans="1:15">
      <c r="A340" s="8">
        <v>11</v>
      </c>
      <c r="B340" s="8" t="s">
        <v>248</v>
      </c>
      <c r="C340" s="8" t="s">
        <v>244</v>
      </c>
      <c r="D340" s="8" t="s">
        <v>119</v>
      </c>
      <c r="E340" s="8" t="s">
        <v>455</v>
      </c>
      <c r="F340" s="8" t="s">
        <v>200</v>
      </c>
      <c r="G340" s="9">
        <v>46212</v>
      </c>
      <c r="H340" s="9">
        <v>46265</v>
      </c>
      <c r="I340" s="8" t="s">
        <v>121</v>
      </c>
      <c r="J340" s="8" t="s">
        <v>157</v>
      </c>
      <c r="K340" s="9">
        <v>46261</v>
      </c>
      <c r="L340" s="8" t="s">
        <v>576</v>
      </c>
      <c r="M340" s="8"/>
      <c r="N340" s="10"/>
      <c r="O340" s="8" t="s">
        <v>888</v>
      </c>
    </row>
    <row r="341" ht="32" customHeight="1" spans="1:15">
      <c r="A341" s="8">
        <v>11</v>
      </c>
      <c r="B341" s="8" t="s">
        <v>398</v>
      </c>
      <c r="C341" s="8" t="s">
        <v>401</v>
      </c>
      <c r="D341" s="8" t="s">
        <v>135</v>
      </c>
      <c r="E341" s="8" t="s">
        <v>455</v>
      </c>
      <c r="F341" s="8" t="s">
        <v>122</v>
      </c>
      <c r="G341" s="9">
        <v>46265</v>
      </c>
      <c r="H341" s="9">
        <v>46269</v>
      </c>
      <c r="I341" s="8" t="s">
        <v>121</v>
      </c>
      <c r="J341" s="8" t="s">
        <v>121</v>
      </c>
      <c r="K341" s="9">
        <v>46261</v>
      </c>
      <c r="L341" s="8" t="s">
        <v>576</v>
      </c>
      <c r="M341" s="8"/>
      <c r="N341" s="10"/>
      <c r="O341" s="8" t="s">
        <v>889</v>
      </c>
    </row>
    <row r="342" ht="32" customHeight="1" spans="1:15">
      <c r="A342" s="8">
        <v>11</v>
      </c>
      <c r="B342" s="8" t="s">
        <v>402</v>
      </c>
      <c r="C342" s="8" t="s">
        <v>403</v>
      </c>
      <c r="D342" s="8" t="s">
        <v>135</v>
      </c>
      <c r="E342" s="8" t="s">
        <v>455</v>
      </c>
      <c r="F342" s="8" t="s">
        <v>122</v>
      </c>
      <c r="G342" s="9">
        <v>46265</v>
      </c>
      <c r="H342" s="9">
        <v>46269</v>
      </c>
      <c r="I342" s="8" t="s">
        <v>121</v>
      </c>
      <c r="J342" s="8" t="s">
        <v>121</v>
      </c>
      <c r="K342" s="9">
        <v>46261</v>
      </c>
      <c r="L342" s="8" t="s">
        <v>576</v>
      </c>
      <c r="M342" s="8"/>
      <c r="N342" s="10"/>
      <c r="O342" s="8" t="s">
        <v>890</v>
      </c>
    </row>
    <row r="343" ht="32" customHeight="1" spans="1:15">
      <c r="A343" s="8">
        <v>11</v>
      </c>
      <c r="B343" s="8" t="s">
        <v>404</v>
      </c>
      <c r="C343" s="8" t="s">
        <v>405</v>
      </c>
      <c r="D343" s="8" t="s">
        <v>135</v>
      </c>
      <c r="E343" s="8" t="s">
        <v>455</v>
      </c>
      <c r="F343" s="8" t="s">
        <v>122</v>
      </c>
      <c r="G343" s="9">
        <v>46265</v>
      </c>
      <c r="H343" s="9">
        <v>46269</v>
      </c>
      <c r="I343" s="8" t="s">
        <v>121</v>
      </c>
      <c r="J343" s="8" t="s">
        <v>121</v>
      </c>
      <c r="K343" s="9">
        <v>46261</v>
      </c>
      <c r="L343" s="8" t="s">
        <v>576</v>
      </c>
      <c r="M343" s="8"/>
      <c r="N343" s="10"/>
      <c r="O343" s="8" t="s">
        <v>891</v>
      </c>
    </row>
    <row r="344" ht="32" customHeight="1" spans="1:15">
      <c r="A344" s="8">
        <v>11</v>
      </c>
      <c r="B344" s="8" t="s">
        <v>406</v>
      </c>
      <c r="C344" s="8" t="s">
        <v>407</v>
      </c>
      <c r="D344" s="8" t="s">
        <v>135</v>
      </c>
      <c r="E344" s="8" t="s">
        <v>455</v>
      </c>
      <c r="F344" s="8" t="s">
        <v>122</v>
      </c>
      <c r="G344" s="9">
        <v>46265</v>
      </c>
      <c r="H344" s="9">
        <v>46269</v>
      </c>
      <c r="I344" s="8" t="s">
        <v>121</v>
      </c>
      <c r="J344" s="8" t="s">
        <v>121</v>
      </c>
      <c r="K344" s="9">
        <v>46261</v>
      </c>
      <c r="L344" s="8" t="s">
        <v>576</v>
      </c>
      <c r="M344" s="8"/>
      <c r="N344" s="10"/>
      <c r="O344" s="8" t="s">
        <v>892</v>
      </c>
    </row>
    <row r="345" ht="32" customHeight="1" spans="1:15">
      <c r="A345" s="8">
        <v>11</v>
      </c>
      <c r="B345" s="8" t="s">
        <v>408</v>
      </c>
      <c r="C345" s="8" t="s">
        <v>409</v>
      </c>
      <c r="D345" s="8" t="s">
        <v>135</v>
      </c>
      <c r="E345" s="8" t="s">
        <v>455</v>
      </c>
      <c r="F345" s="8" t="s">
        <v>122</v>
      </c>
      <c r="G345" s="9">
        <v>46265</v>
      </c>
      <c r="H345" s="9">
        <v>46269</v>
      </c>
      <c r="I345" s="8" t="s">
        <v>121</v>
      </c>
      <c r="J345" s="8" t="s">
        <v>121</v>
      </c>
      <c r="K345" s="9">
        <v>46261</v>
      </c>
      <c r="L345" s="8" t="s">
        <v>576</v>
      </c>
      <c r="M345" s="8"/>
      <c r="N345" s="10"/>
      <c r="O345" s="8" t="s">
        <v>893</v>
      </c>
    </row>
    <row r="346" ht="32" customHeight="1" spans="1:15">
      <c r="A346" s="8">
        <v>11</v>
      </c>
      <c r="B346" s="8" t="s">
        <v>212</v>
      </c>
      <c r="C346" s="8" t="s">
        <v>214</v>
      </c>
      <c r="D346" s="8" t="s">
        <v>119</v>
      </c>
      <c r="E346" s="8" t="s">
        <v>460</v>
      </c>
      <c r="F346" s="8" t="s">
        <v>124</v>
      </c>
      <c r="G346" s="9">
        <v>46253</v>
      </c>
      <c r="H346" s="9">
        <v>46269</v>
      </c>
      <c r="I346" s="8" t="s">
        <v>121</v>
      </c>
      <c r="J346" s="8" t="s">
        <v>121</v>
      </c>
      <c r="K346" s="9">
        <v>46261</v>
      </c>
      <c r="L346" s="8" t="s">
        <v>576</v>
      </c>
      <c r="M346" s="8"/>
      <c r="N346" s="10"/>
      <c r="O346" s="8" t="s">
        <v>894</v>
      </c>
    </row>
    <row r="347" ht="32" customHeight="1" spans="1:15">
      <c r="A347" s="8">
        <v>11</v>
      </c>
      <c r="B347" s="8" t="s">
        <v>215</v>
      </c>
      <c r="C347" s="8" t="s">
        <v>216</v>
      </c>
      <c r="D347" s="8" t="s">
        <v>119</v>
      </c>
      <c r="E347" s="8" t="s">
        <v>460</v>
      </c>
      <c r="F347" s="8" t="s">
        <v>124</v>
      </c>
      <c r="G347" s="9">
        <v>46253</v>
      </c>
      <c r="H347" s="9">
        <v>46269</v>
      </c>
      <c r="I347" s="8" t="s">
        <v>121</v>
      </c>
      <c r="J347" s="8" t="s">
        <v>121</v>
      </c>
      <c r="K347" s="9">
        <v>46261</v>
      </c>
      <c r="L347" s="8" t="s">
        <v>576</v>
      </c>
      <c r="M347" s="8"/>
      <c r="N347" s="10"/>
      <c r="O347" s="8" t="s">
        <v>895</v>
      </c>
    </row>
    <row r="348" ht="32" customHeight="1" spans="1:15">
      <c r="A348" s="8">
        <v>11</v>
      </c>
      <c r="B348" s="8" t="s">
        <v>217</v>
      </c>
      <c r="C348" s="8" t="s">
        <v>218</v>
      </c>
      <c r="D348" s="8" t="s">
        <v>119</v>
      </c>
      <c r="E348" s="8" t="s">
        <v>460</v>
      </c>
      <c r="F348" s="8" t="s">
        <v>124</v>
      </c>
      <c r="G348" s="9">
        <v>46253</v>
      </c>
      <c r="H348" s="9">
        <v>46269</v>
      </c>
      <c r="I348" s="8" t="s">
        <v>121</v>
      </c>
      <c r="J348" s="8" t="s">
        <v>121</v>
      </c>
      <c r="K348" s="9">
        <v>46261</v>
      </c>
      <c r="L348" s="8" t="s">
        <v>576</v>
      </c>
      <c r="M348" s="8"/>
      <c r="N348" s="10"/>
      <c r="O348" s="8" t="s">
        <v>896</v>
      </c>
    </row>
    <row r="349" ht="32" customHeight="1" spans="1:15">
      <c r="A349" s="8">
        <v>11</v>
      </c>
      <c r="B349" s="8" t="s">
        <v>219</v>
      </c>
      <c r="C349" s="8" t="s">
        <v>221</v>
      </c>
      <c r="D349" s="8" t="s">
        <v>119</v>
      </c>
      <c r="E349" s="8" t="s">
        <v>460</v>
      </c>
      <c r="F349" s="8" t="s">
        <v>124</v>
      </c>
      <c r="G349" s="9">
        <v>46253</v>
      </c>
      <c r="H349" s="9">
        <v>46269</v>
      </c>
      <c r="I349" s="8" t="s">
        <v>121</v>
      </c>
      <c r="J349" s="8" t="s">
        <v>121</v>
      </c>
      <c r="K349" s="9">
        <v>46261</v>
      </c>
      <c r="L349" s="8" t="s">
        <v>576</v>
      </c>
      <c r="M349" s="8"/>
      <c r="N349" s="10"/>
      <c r="O349" s="8" t="s">
        <v>897</v>
      </c>
    </row>
    <row r="350" ht="32" customHeight="1" spans="1:15">
      <c r="A350" s="8">
        <v>11</v>
      </c>
      <c r="B350" s="8" t="s">
        <v>222</v>
      </c>
      <c r="C350" s="8" t="s">
        <v>223</v>
      </c>
      <c r="D350" s="8" t="s">
        <v>119</v>
      </c>
      <c r="E350" s="8" t="s">
        <v>460</v>
      </c>
      <c r="F350" s="8" t="s">
        <v>124</v>
      </c>
      <c r="G350" s="9">
        <v>46253</v>
      </c>
      <c r="H350" s="9">
        <v>46269</v>
      </c>
      <c r="I350" s="8" t="s">
        <v>121</v>
      </c>
      <c r="J350" s="8" t="s">
        <v>121</v>
      </c>
      <c r="K350" s="9">
        <v>46261</v>
      </c>
      <c r="L350" s="8" t="s">
        <v>576</v>
      </c>
      <c r="M350" s="8"/>
      <c r="N350" s="10"/>
      <c r="O350" s="8" t="s">
        <v>898</v>
      </c>
    </row>
    <row r="351" ht="32" customHeight="1" spans="1:15">
      <c r="A351" s="8">
        <v>11</v>
      </c>
      <c r="B351" s="8" t="s">
        <v>224</v>
      </c>
      <c r="C351" s="8" t="s">
        <v>225</v>
      </c>
      <c r="D351" s="8" t="s">
        <v>119</v>
      </c>
      <c r="E351" s="8" t="s">
        <v>460</v>
      </c>
      <c r="F351" s="8" t="s">
        <v>124</v>
      </c>
      <c r="G351" s="9">
        <v>46253</v>
      </c>
      <c r="H351" s="9">
        <v>46269</v>
      </c>
      <c r="I351" s="8" t="s">
        <v>121</v>
      </c>
      <c r="J351" s="8" t="s">
        <v>121</v>
      </c>
      <c r="K351" s="9">
        <v>46261</v>
      </c>
      <c r="L351" s="8" t="s">
        <v>576</v>
      </c>
      <c r="M351" s="8"/>
      <c r="N351" s="10"/>
      <c r="O351" s="8" t="s">
        <v>899</v>
      </c>
    </row>
    <row r="352" ht="32" customHeight="1" spans="1:15">
      <c r="A352" s="8">
        <v>11</v>
      </c>
      <c r="B352" s="8" t="s">
        <v>226</v>
      </c>
      <c r="C352" s="8" t="s">
        <v>228</v>
      </c>
      <c r="D352" s="8" t="s">
        <v>135</v>
      </c>
      <c r="E352" s="8" t="s">
        <v>460</v>
      </c>
      <c r="F352" s="8" t="s">
        <v>124</v>
      </c>
      <c r="G352" s="9">
        <v>46253</v>
      </c>
      <c r="H352" s="9">
        <v>46269</v>
      </c>
      <c r="I352" s="8" t="s">
        <v>121</v>
      </c>
      <c r="J352" s="8" t="s">
        <v>121</v>
      </c>
      <c r="K352" s="9"/>
      <c r="L352" s="8" t="s">
        <v>576</v>
      </c>
      <c r="M352" s="8" t="s">
        <v>577</v>
      </c>
      <c r="N352" s="10"/>
      <c r="O352" s="8" t="s">
        <v>900</v>
      </c>
    </row>
    <row r="353" ht="32" customHeight="1" spans="1:15">
      <c r="A353" s="8">
        <v>11</v>
      </c>
      <c r="B353" s="8" t="s">
        <v>229</v>
      </c>
      <c r="C353" s="8" t="s">
        <v>230</v>
      </c>
      <c r="D353" s="8" t="s">
        <v>135</v>
      </c>
      <c r="E353" s="8" t="s">
        <v>460</v>
      </c>
      <c r="F353" s="8" t="s">
        <v>124</v>
      </c>
      <c r="G353" s="9">
        <v>46253</v>
      </c>
      <c r="H353" s="9">
        <v>46269</v>
      </c>
      <c r="I353" s="8" t="s">
        <v>121</v>
      </c>
      <c r="J353" s="8" t="s">
        <v>121</v>
      </c>
      <c r="K353" s="9"/>
      <c r="L353" s="8" t="s">
        <v>576</v>
      </c>
      <c r="M353" s="8" t="s">
        <v>577</v>
      </c>
      <c r="N353" s="10"/>
      <c r="O353" s="8" t="s">
        <v>901</v>
      </c>
    </row>
    <row r="354" ht="32" customHeight="1" spans="1:15">
      <c r="A354" s="8">
        <v>11</v>
      </c>
      <c r="B354" s="8" t="s">
        <v>231</v>
      </c>
      <c r="C354" s="8" t="s">
        <v>232</v>
      </c>
      <c r="D354" s="8" t="s">
        <v>135</v>
      </c>
      <c r="E354" s="8" t="s">
        <v>460</v>
      </c>
      <c r="F354" s="8" t="s">
        <v>124</v>
      </c>
      <c r="G354" s="9">
        <v>46253</v>
      </c>
      <c r="H354" s="9">
        <v>46269</v>
      </c>
      <c r="I354" s="8" t="s">
        <v>121</v>
      </c>
      <c r="J354" s="8" t="s">
        <v>121</v>
      </c>
      <c r="K354" s="9"/>
      <c r="L354" s="8" t="s">
        <v>576</v>
      </c>
      <c r="M354" s="8" t="s">
        <v>577</v>
      </c>
      <c r="N354" s="10"/>
      <c r="O354" s="8" t="s">
        <v>902</v>
      </c>
    </row>
    <row r="355" ht="32" customHeight="1" spans="1:15">
      <c r="A355" s="8">
        <v>11</v>
      </c>
      <c r="B355" s="8" t="s">
        <v>352</v>
      </c>
      <c r="C355" s="8" t="s">
        <v>355</v>
      </c>
      <c r="D355" s="8" t="s">
        <v>119</v>
      </c>
      <c r="E355" s="8" t="s">
        <v>460</v>
      </c>
      <c r="F355" s="8" t="s">
        <v>124</v>
      </c>
      <c r="G355" s="9">
        <v>46253</v>
      </c>
      <c r="H355" s="9">
        <v>46269</v>
      </c>
      <c r="I355" s="8" t="s">
        <v>121</v>
      </c>
      <c r="J355" s="8" t="s">
        <v>121</v>
      </c>
      <c r="K355" s="9">
        <v>46224</v>
      </c>
      <c r="L355" s="8" t="s">
        <v>576</v>
      </c>
      <c r="M355" s="8"/>
      <c r="N355" s="10"/>
      <c r="O355" s="8" t="s">
        <v>903</v>
      </c>
    </row>
    <row r="356" ht="32" customHeight="1" spans="1:15">
      <c r="A356" s="8">
        <v>11</v>
      </c>
      <c r="B356" s="8" t="s">
        <v>356</v>
      </c>
      <c r="C356" s="8" t="s">
        <v>357</v>
      </c>
      <c r="D356" s="8" t="s">
        <v>119</v>
      </c>
      <c r="E356" s="8" t="s">
        <v>460</v>
      </c>
      <c r="F356" s="8" t="s">
        <v>124</v>
      </c>
      <c r="G356" s="9">
        <v>46253</v>
      </c>
      <c r="H356" s="9">
        <v>46269</v>
      </c>
      <c r="I356" s="8" t="s">
        <v>121</v>
      </c>
      <c r="J356" s="8" t="s">
        <v>121</v>
      </c>
      <c r="K356" s="9">
        <v>46224</v>
      </c>
      <c r="L356" s="8" t="s">
        <v>576</v>
      </c>
      <c r="M356" s="8"/>
      <c r="N356" s="10"/>
      <c r="O356" s="8" t="s">
        <v>904</v>
      </c>
    </row>
    <row r="357" ht="32" customHeight="1" spans="1:15">
      <c r="A357" s="8">
        <v>11</v>
      </c>
      <c r="B357" s="8" t="s">
        <v>358</v>
      </c>
      <c r="C357" s="8" t="s">
        <v>359</v>
      </c>
      <c r="D357" s="8" t="s">
        <v>119</v>
      </c>
      <c r="E357" s="8" t="s">
        <v>460</v>
      </c>
      <c r="F357" s="8" t="s">
        <v>124</v>
      </c>
      <c r="G357" s="9">
        <v>46253</v>
      </c>
      <c r="H357" s="9">
        <v>46269</v>
      </c>
      <c r="I357" s="8" t="s">
        <v>121</v>
      </c>
      <c r="J357" s="8" t="s">
        <v>121</v>
      </c>
      <c r="K357" s="9">
        <v>46224</v>
      </c>
      <c r="L357" s="8" t="s">
        <v>576</v>
      </c>
      <c r="M357" s="8"/>
      <c r="N357" s="10"/>
      <c r="O357" s="8" t="s">
        <v>905</v>
      </c>
    </row>
    <row r="358" ht="32" customHeight="1" spans="1:15">
      <c r="A358" s="8">
        <v>11</v>
      </c>
      <c r="B358" s="8" t="s">
        <v>360</v>
      </c>
      <c r="C358" s="8" t="s">
        <v>361</v>
      </c>
      <c r="D358" s="8" t="s">
        <v>119</v>
      </c>
      <c r="E358" s="8" t="s">
        <v>460</v>
      </c>
      <c r="F358" s="8" t="s">
        <v>124</v>
      </c>
      <c r="G358" s="9">
        <v>46253</v>
      </c>
      <c r="H358" s="9">
        <v>46269</v>
      </c>
      <c r="I358" s="8" t="s">
        <v>121</v>
      </c>
      <c r="J358" s="8" t="s">
        <v>121</v>
      </c>
      <c r="K358" s="9">
        <v>46224</v>
      </c>
      <c r="L358" s="8" t="s">
        <v>576</v>
      </c>
      <c r="M358" s="8"/>
      <c r="N358" s="10"/>
      <c r="O358" s="8" t="s">
        <v>906</v>
      </c>
    </row>
    <row r="359" ht="32" customHeight="1" spans="1:15">
      <c r="A359" s="8">
        <v>11</v>
      </c>
      <c r="B359" s="8" t="s">
        <v>362</v>
      </c>
      <c r="C359" s="8" t="s">
        <v>364</v>
      </c>
      <c r="D359" s="8" t="s">
        <v>119</v>
      </c>
      <c r="E359" s="8" t="s">
        <v>460</v>
      </c>
      <c r="F359" s="8" t="s">
        <v>124</v>
      </c>
      <c r="G359" s="9">
        <v>46253</v>
      </c>
      <c r="H359" s="9">
        <v>46269</v>
      </c>
      <c r="I359" s="8" t="s">
        <v>121</v>
      </c>
      <c r="J359" s="8" t="s">
        <v>121</v>
      </c>
      <c r="K359" s="9"/>
      <c r="L359" s="8" t="s">
        <v>576</v>
      </c>
      <c r="M359" s="8" t="s">
        <v>577</v>
      </c>
      <c r="N359" s="10"/>
      <c r="O359" s="8" t="s">
        <v>907</v>
      </c>
    </row>
    <row r="360" ht="32" customHeight="1" spans="1:15">
      <c r="A360" s="8">
        <v>11</v>
      </c>
      <c r="B360" s="8" t="s">
        <v>365</v>
      </c>
      <c r="C360" s="8" t="s">
        <v>366</v>
      </c>
      <c r="D360" s="8" t="s">
        <v>119</v>
      </c>
      <c r="E360" s="8" t="s">
        <v>460</v>
      </c>
      <c r="F360" s="8" t="s">
        <v>124</v>
      </c>
      <c r="G360" s="9">
        <v>46253</v>
      </c>
      <c r="H360" s="9">
        <v>46269</v>
      </c>
      <c r="I360" s="8" t="s">
        <v>121</v>
      </c>
      <c r="J360" s="8" t="s">
        <v>121</v>
      </c>
      <c r="K360" s="9"/>
      <c r="L360" s="8" t="s">
        <v>576</v>
      </c>
      <c r="M360" s="8" t="s">
        <v>577</v>
      </c>
      <c r="N360" s="10"/>
      <c r="O360" s="8" t="s">
        <v>908</v>
      </c>
    </row>
    <row r="361" ht="32" customHeight="1" spans="1:15">
      <c r="A361" s="8">
        <v>11</v>
      </c>
      <c r="B361" s="8" t="s">
        <v>367</v>
      </c>
      <c r="C361" s="8" t="s">
        <v>368</v>
      </c>
      <c r="D361" s="8" t="s">
        <v>119</v>
      </c>
      <c r="E361" s="8" t="s">
        <v>460</v>
      </c>
      <c r="F361" s="8" t="s">
        <v>124</v>
      </c>
      <c r="G361" s="9">
        <v>46253</v>
      </c>
      <c r="H361" s="9">
        <v>46269</v>
      </c>
      <c r="I361" s="8" t="s">
        <v>121</v>
      </c>
      <c r="J361" s="8" t="s">
        <v>121</v>
      </c>
      <c r="K361" s="9"/>
      <c r="L361" s="8" t="s">
        <v>576</v>
      </c>
      <c r="M361" s="8" t="s">
        <v>577</v>
      </c>
      <c r="N361" s="10"/>
      <c r="O361" s="8" t="s">
        <v>909</v>
      </c>
    </row>
    <row r="362" ht="32" customHeight="1" spans="1:15">
      <c r="A362" s="8">
        <v>11</v>
      </c>
      <c r="B362" s="8" t="s">
        <v>369</v>
      </c>
      <c r="C362" s="8" t="s">
        <v>370</v>
      </c>
      <c r="D362" s="8" t="s">
        <v>119</v>
      </c>
      <c r="E362" s="8" t="s">
        <v>460</v>
      </c>
      <c r="F362" s="8" t="s">
        <v>124</v>
      </c>
      <c r="G362" s="9">
        <v>46253</v>
      </c>
      <c r="H362" s="9">
        <v>46269</v>
      </c>
      <c r="I362" s="8" t="s">
        <v>121</v>
      </c>
      <c r="J362" s="8" t="s">
        <v>121</v>
      </c>
      <c r="K362" s="9"/>
      <c r="L362" s="8" t="s">
        <v>576</v>
      </c>
      <c r="M362" s="8" t="s">
        <v>577</v>
      </c>
      <c r="N362" s="10"/>
      <c r="O362" s="8" t="s">
        <v>910</v>
      </c>
    </row>
    <row r="363" ht="32" customHeight="1" spans="1:15">
      <c r="A363" s="8">
        <v>11</v>
      </c>
      <c r="B363" s="8" t="s">
        <v>371</v>
      </c>
      <c r="C363" s="8" t="s">
        <v>372</v>
      </c>
      <c r="D363" s="8" t="s">
        <v>119</v>
      </c>
      <c r="E363" s="8" t="s">
        <v>460</v>
      </c>
      <c r="F363" s="8" t="s">
        <v>124</v>
      </c>
      <c r="G363" s="9">
        <v>46253</v>
      </c>
      <c r="H363" s="9">
        <v>46269</v>
      </c>
      <c r="I363" s="8" t="s">
        <v>121</v>
      </c>
      <c r="J363" s="8" t="s">
        <v>121</v>
      </c>
      <c r="K363" s="9"/>
      <c r="L363" s="8" t="s">
        <v>576</v>
      </c>
      <c r="M363" s="8" t="s">
        <v>577</v>
      </c>
      <c r="N363" s="10"/>
      <c r="O363" s="8" t="s">
        <v>911</v>
      </c>
    </row>
    <row r="364" ht="32" customHeight="1" spans="1:15">
      <c r="A364" s="8">
        <v>11</v>
      </c>
      <c r="B364" s="8" t="s">
        <v>373</v>
      </c>
      <c r="C364" s="8" t="s">
        <v>374</v>
      </c>
      <c r="D364" s="8" t="s">
        <v>119</v>
      </c>
      <c r="E364" s="8" t="s">
        <v>460</v>
      </c>
      <c r="F364" s="8" t="s">
        <v>124</v>
      </c>
      <c r="G364" s="9">
        <v>46253</v>
      </c>
      <c r="H364" s="9">
        <v>46269</v>
      </c>
      <c r="I364" s="8" t="s">
        <v>121</v>
      </c>
      <c r="J364" s="8" t="s">
        <v>121</v>
      </c>
      <c r="K364" s="9"/>
      <c r="L364" s="8" t="s">
        <v>576</v>
      </c>
      <c r="M364" s="8" t="s">
        <v>577</v>
      </c>
      <c r="N364" s="10"/>
      <c r="O364" s="8" t="s">
        <v>912</v>
      </c>
    </row>
    <row r="365" ht="32" customHeight="1" spans="1:15">
      <c r="A365" s="8">
        <v>11</v>
      </c>
      <c r="B365" s="8" t="s">
        <v>375</v>
      </c>
      <c r="C365" s="8" t="s">
        <v>376</v>
      </c>
      <c r="D365" s="8" t="s">
        <v>135</v>
      </c>
      <c r="E365" s="8" t="s">
        <v>460</v>
      </c>
      <c r="F365" s="8" t="s">
        <v>124</v>
      </c>
      <c r="G365" s="9">
        <v>46253</v>
      </c>
      <c r="H365" s="9">
        <v>46269</v>
      </c>
      <c r="I365" s="8" t="s">
        <v>121</v>
      </c>
      <c r="J365" s="8" t="s">
        <v>121</v>
      </c>
      <c r="K365" s="9"/>
      <c r="L365" s="8" t="s">
        <v>576</v>
      </c>
      <c r="M365" s="8" t="s">
        <v>577</v>
      </c>
      <c r="N365" s="10"/>
      <c r="O365" s="8" t="s">
        <v>913</v>
      </c>
    </row>
    <row r="366" ht="32" customHeight="1" spans="1:15">
      <c r="A366" s="8">
        <v>11</v>
      </c>
      <c r="B366" s="8" t="s">
        <v>389</v>
      </c>
      <c r="C366" s="8" t="s">
        <v>391</v>
      </c>
      <c r="D366" s="8" t="s">
        <v>119</v>
      </c>
      <c r="E366" s="8" t="s">
        <v>460</v>
      </c>
      <c r="F366" s="8" t="s">
        <v>124</v>
      </c>
      <c r="G366" s="9">
        <v>46253</v>
      </c>
      <c r="H366" s="9">
        <v>46269</v>
      </c>
      <c r="I366" s="8" t="s">
        <v>121</v>
      </c>
      <c r="J366" s="8" t="s">
        <v>121</v>
      </c>
      <c r="K366" s="9"/>
      <c r="L366" s="8" t="s">
        <v>576</v>
      </c>
      <c r="M366" s="8" t="s">
        <v>577</v>
      </c>
      <c r="N366" s="10"/>
      <c r="O366" s="8" t="s">
        <v>914</v>
      </c>
    </row>
    <row r="367" ht="32" customHeight="1" spans="1:15">
      <c r="A367" s="8">
        <v>11</v>
      </c>
      <c r="B367" s="8" t="s">
        <v>392</v>
      </c>
      <c r="C367" s="8" t="s">
        <v>393</v>
      </c>
      <c r="D367" s="8" t="s">
        <v>119</v>
      </c>
      <c r="E367" s="8" t="s">
        <v>460</v>
      </c>
      <c r="F367" s="8" t="s">
        <v>124</v>
      </c>
      <c r="G367" s="9">
        <v>46253</v>
      </c>
      <c r="H367" s="9">
        <v>46269</v>
      </c>
      <c r="I367" s="8" t="s">
        <v>121</v>
      </c>
      <c r="J367" s="8" t="s">
        <v>121</v>
      </c>
      <c r="K367" s="9"/>
      <c r="L367" s="8" t="s">
        <v>576</v>
      </c>
      <c r="M367" s="8" t="s">
        <v>577</v>
      </c>
      <c r="N367" s="10"/>
      <c r="O367" s="8" t="s">
        <v>915</v>
      </c>
    </row>
    <row r="368" ht="32" customHeight="1" spans="1:15">
      <c r="A368" s="8">
        <v>11</v>
      </c>
      <c r="B368" s="8" t="s">
        <v>394</v>
      </c>
      <c r="C368" s="8" t="s">
        <v>395</v>
      </c>
      <c r="D368" s="8" t="s">
        <v>119</v>
      </c>
      <c r="E368" s="8" t="s">
        <v>460</v>
      </c>
      <c r="F368" s="8" t="s">
        <v>124</v>
      </c>
      <c r="G368" s="9">
        <v>46253</v>
      </c>
      <c r="H368" s="9">
        <v>46269</v>
      </c>
      <c r="I368" s="8" t="s">
        <v>121</v>
      </c>
      <c r="J368" s="8" t="s">
        <v>121</v>
      </c>
      <c r="K368" s="9"/>
      <c r="L368" s="8" t="s">
        <v>576</v>
      </c>
      <c r="M368" s="8" t="s">
        <v>577</v>
      </c>
      <c r="N368" s="10"/>
      <c r="O368" s="8" t="s">
        <v>916</v>
      </c>
    </row>
    <row r="369" ht="32" customHeight="1" spans="1:15">
      <c r="A369" s="8">
        <v>11</v>
      </c>
      <c r="B369" s="8" t="s">
        <v>396</v>
      </c>
      <c r="C369" s="8" t="s">
        <v>397</v>
      </c>
      <c r="D369" s="8" t="s">
        <v>119</v>
      </c>
      <c r="E369" s="8" t="s">
        <v>460</v>
      </c>
      <c r="F369" s="8" t="s">
        <v>124</v>
      </c>
      <c r="G369" s="9">
        <v>46253</v>
      </c>
      <c r="H369" s="9">
        <v>46269</v>
      </c>
      <c r="I369" s="8" t="s">
        <v>121</v>
      </c>
      <c r="J369" s="8" t="s">
        <v>121</v>
      </c>
      <c r="K369" s="9"/>
      <c r="L369" s="8" t="s">
        <v>576</v>
      </c>
      <c r="M369" s="8" t="s">
        <v>577</v>
      </c>
      <c r="N369" s="10"/>
      <c r="O369" s="8" t="s">
        <v>917</v>
      </c>
    </row>
    <row r="370" ht="32" customHeight="1" spans="1:15">
      <c r="A370" s="8">
        <v>11</v>
      </c>
      <c r="B370" s="8" t="s">
        <v>437</v>
      </c>
      <c r="C370" s="8" t="s">
        <v>438</v>
      </c>
      <c r="D370" s="8" t="s">
        <v>119</v>
      </c>
      <c r="E370" s="8" t="s">
        <v>460</v>
      </c>
      <c r="F370" s="8" t="s">
        <v>124</v>
      </c>
      <c r="G370" s="9">
        <v>46251</v>
      </c>
      <c r="H370" s="9">
        <v>46269</v>
      </c>
      <c r="I370" s="8" t="s">
        <v>121</v>
      </c>
      <c r="J370" s="8" t="s">
        <v>121</v>
      </c>
      <c r="K370" s="9">
        <v>46261</v>
      </c>
      <c r="L370" s="8" t="s">
        <v>576</v>
      </c>
      <c r="M370" s="8"/>
      <c r="N370" s="10"/>
      <c r="O370" s="8" t="s">
        <v>918</v>
      </c>
    </row>
    <row r="371" ht="32" customHeight="1" spans="1:15">
      <c r="A371" s="8">
        <v>11</v>
      </c>
      <c r="B371" s="8" t="s">
        <v>439</v>
      </c>
      <c r="C371" s="8" t="s">
        <v>438</v>
      </c>
      <c r="D371" s="8" t="s">
        <v>119</v>
      </c>
      <c r="E371" s="8" t="s">
        <v>460</v>
      </c>
      <c r="F371" s="8" t="s">
        <v>124</v>
      </c>
      <c r="G371" s="9">
        <v>46251</v>
      </c>
      <c r="H371" s="9">
        <v>46269</v>
      </c>
      <c r="I371" s="8" t="s">
        <v>121</v>
      </c>
      <c r="J371" s="8" t="s">
        <v>121</v>
      </c>
      <c r="K371" s="9">
        <v>46261</v>
      </c>
      <c r="L371" s="8" t="s">
        <v>576</v>
      </c>
      <c r="M371" s="8"/>
      <c r="N371" s="10"/>
      <c r="O371" s="8" t="s">
        <v>919</v>
      </c>
    </row>
    <row r="372" ht="32" customHeight="1" spans="1:15">
      <c r="A372" s="8">
        <v>11</v>
      </c>
      <c r="B372" s="8" t="s">
        <v>440</v>
      </c>
      <c r="C372" s="8" t="s">
        <v>438</v>
      </c>
      <c r="D372" s="8" t="s">
        <v>135</v>
      </c>
      <c r="E372" s="8" t="s">
        <v>460</v>
      </c>
      <c r="F372" s="8" t="s">
        <v>124</v>
      </c>
      <c r="G372" s="9">
        <v>46251</v>
      </c>
      <c r="H372" s="9">
        <v>46269</v>
      </c>
      <c r="I372" s="8" t="s">
        <v>121</v>
      </c>
      <c r="J372" s="8" t="s">
        <v>121</v>
      </c>
      <c r="K372" s="9"/>
      <c r="L372" s="8" t="s">
        <v>576</v>
      </c>
      <c r="M372" s="8" t="s">
        <v>577</v>
      </c>
      <c r="N372" s="10"/>
      <c r="O372" s="8" t="s">
        <v>920</v>
      </c>
    </row>
    <row r="373" ht="32" customHeight="1" spans="1:15">
      <c r="A373" s="8">
        <v>12</v>
      </c>
      <c r="B373" s="8" t="s">
        <v>172</v>
      </c>
      <c r="C373" s="8" t="s">
        <v>173</v>
      </c>
      <c r="D373" s="8" t="s">
        <v>135</v>
      </c>
      <c r="E373" s="8" t="s">
        <v>463</v>
      </c>
      <c r="F373" s="8" t="s">
        <v>123</v>
      </c>
      <c r="G373" s="9">
        <v>46266</v>
      </c>
      <c r="H373" s="9">
        <v>46272</v>
      </c>
      <c r="I373" s="8" t="s">
        <v>121</v>
      </c>
      <c r="J373" s="8" t="s">
        <v>157</v>
      </c>
      <c r="K373" s="9"/>
      <c r="L373" s="8" t="s">
        <v>576</v>
      </c>
      <c r="M373" s="8" t="s">
        <v>577</v>
      </c>
      <c r="N373" s="10"/>
      <c r="O373" s="8" t="s">
        <v>921</v>
      </c>
    </row>
    <row r="374" ht="32" customHeight="1" spans="1:15">
      <c r="A374" s="8">
        <v>12</v>
      </c>
      <c r="B374" s="8" t="s">
        <v>174</v>
      </c>
      <c r="C374" s="8" t="s">
        <v>175</v>
      </c>
      <c r="D374" s="8" t="s">
        <v>135</v>
      </c>
      <c r="E374" s="8" t="s">
        <v>463</v>
      </c>
      <c r="F374" s="8" t="s">
        <v>123</v>
      </c>
      <c r="G374" s="9">
        <v>46266</v>
      </c>
      <c r="H374" s="9">
        <v>46272</v>
      </c>
      <c r="I374" s="8" t="s">
        <v>121</v>
      </c>
      <c r="J374" s="8" t="s">
        <v>157</v>
      </c>
      <c r="K374" s="9"/>
      <c r="L374" s="8" t="s">
        <v>576</v>
      </c>
      <c r="M374" s="8" t="s">
        <v>577</v>
      </c>
      <c r="N374" s="10"/>
      <c r="O374" s="8" t="s">
        <v>922</v>
      </c>
    </row>
    <row r="375" ht="32" customHeight="1" spans="1:15">
      <c r="A375" s="8">
        <v>12</v>
      </c>
      <c r="B375" s="8" t="s">
        <v>186</v>
      </c>
      <c r="C375" s="8" t="s">
        <v>188</v>
      </c>
      <c r="D375" s="8" t="s">
        <v>135</v>
      </c>
      <c r="E375" s="8" t="s">
        <v>463</v>
      </c>
      <c r="F375" s="8" t="s">
        <v>123</v>
      </c>
      <c r="G375" s="9">
        <v>46266</v>
      </c>
      <c r="H375" s="9">
        <v>46272</v>
      </c>
      <c r="I375" s="8" t="s">
        <v>121</v>
      </c>
      <c r="J375" s="8" t="s">
        <v>157</v>
      </c>
      <c r="K375" s="9">
        <v>46261</v>
      </c>
      <c r="L375" s="8" t="s">
        <v>576</v>
      </c>
      <c r="M375" s="8"/>
      <c r="N375" s="10"/>
      <c r="O375" s="8" t="s">
        <v>923</v>
      </c>
    </row>
    <row r="376" ht="32" customHeight="1" spans="1:15">
      <c r="A376" s="8">
        <v>12</v>
      </c>
      <c r="B376" s="8" t="s">
        <v>189</v>
      </c>
      <c r="C376" s="8" t="s">
        <v>190</v>
      </c>
      <c r="D376" s="8" t="s">
        <v>135</v>
      </c>
      <c r="E376" s="8" t="s">
        <v>463</v>
      </c>
      <c r="F376" s="8" t="s">
        <v>123</v>
      </c>
      <c r="G376" s="9">
        <v>46266</v>
      </c>
      <c r="H376" s="9">
        <v>46272</v>
      </c>
      <c r="I376" s="8" t="s">
        <v>121</v>
      </c>
      <c r="J376" s="8" t="s">
        <v>157</v>
      </c>
      <c r="K376" s="9">
        <v>46261</v>
      </c>
      <c r="L376" s="8" t="s">
        <v>576</v>
      </c>
      <c r="M376" s="8"/>
      <c r="N376" s="10"/>
      <c r="O376" s="8" t="s">
        <v>924</v>
      </c>
    </row>
    <row r="377" ht="32" customHeight="1" spans="1:15">
      <c r="A377" s="8">
        <v>12</v>
      </c>
      <c r="B377" s="8" t="s">
        <v>195</v>
      </c>
      <c r="C377" s="8" t="s">
        <v>196</v>
      </c>
      <c r="D377" s="8" t="s">
        <v>135</v>
      </c>
      <c r="E377" s="8" t="s">
        <v>463</v>
      </c>
      <c r="F377" s="8" t="s">
        <v>123</v>
      </c>
      <c r="G377" s="9">
        <v>46266</v>
      </c>
      <c r="H377" s="9">
        <v>46272</v>
      </c>
      <c r="I377" s="8" t="s">
        <v>121</v>
      </c>
      <c r="J377" s="8" t="s">
        <v>157</v>
      </c>
      <c r="K377" s="9">
        <v>46261</v>
      </c>
      <c r="L377" s="8" t="s">
        <v>576</v>
      </c>
      <c r="M377" s="8"/>
      <c r="N377" s="10"/>
      <c r="O377" s="8" t="s">
        <v>925</v>
      </c>
    </row>
    <row r="378" ht="32" customHeight="1" spans="1:15">
      <c r="A378" s="8">
        <v>12</v>
      </c>
      <c r="B378" s="8" t="s">
        <v>205</v>
      </c>
      <c r="C378" s="8" t="s">
        <v>207</v>
      </c>
      <c r="D378" s="8" t="s">
        <v>135</v>
      </c>
      <c r="E378" s="8" t="s">
        <v>463</v>
      </c>
      <c r="F378" s="8" t="s">
        <v>123</v>
      </c>
      <c r="G378" s="9">
        <v>46266</v>
      </c>
      <c r="H378" s="9">
        <v>46272</v>
      </c>
      <c r="I378" s="8" t="s">
        <v>121</v>
      </c>
      <c r="J378" s="8" t="s">
        <v>157</v>
      </c>
      <c r="K378" s="9"/>
      <c r="L378" s="8" t="s">
        <v>576</v>
      </c>
      <c r="M378" s="8" t="s">
        <v>577</v>
      </c>
      <c r="N378" s="10"/>
      <c r="O378" s="8" t="s">
        <v>926</v>
      </c>
    </row>
    <row r="379" ht="32" customHeight="1" spans="1:15">
      <c r="A379" s="8">
        <v>12</v>
      </c>
      <c r="B379" s="8" t="s">
        <v>208</v>
      </c>
      <c r="C379" s="8" t="s">
        <v>209</v>
      </c>
      <c r="D379" s="8" t="s">
        <v>135</v>
      </c>
      <c r="E379" s="8" t="s">
        <v>463</v>
      </c>
      <c r="F379" s="8" t="s">
        <v>123</v>
      </c>
      <c r="G379" s="9">
        <v>46266</v>
      </c>
      <c r="H379" s="9">
        <v>46272</v>
      </c>
      <c r="I379" s="8" t="s">
        <v>121</v>
      </c>
      <c r="J379" s="8" t="s">
        <v>157</v>
      </c>
      <c r="K379" s="9"/>
      <c r="L379" s="8" t="s">
        <v>576</v>
      </c>
      <c r="M379" s="8" t="s">
        <v>577</v>
      </c>
      <c r="N379" s="10"/>
      <c r="O379" s="8" t="s">
        <v>927</v>
      </c>
    </row>
    <row r="380" ht="32" customHeight="1" spans="1:15">
      <c r="A380" s="8">
        <v>12</v>
      </c>
      <c r="B380" s="8" t="s">
        <v>210</v>
      </c>
      <c r="C380" s="8" t="s">
        <v>211</v>
      </c>
      <c r="D380" s="8" t="s">
        <v>135</v>
      </c>
      <c r="E380" s="8" t="s">
        <v>463</v>
      </c>
      <c r="F380" s="8" t="s">
        <v>123</v>
      </c>
      <c r="G380" s="9">
        <v>46266</v>
      </c>
      <c r="H380" s="9">
        <v>46272</v>
      </c>
      <c r="I380" s="8" t="s">
        <v>121</v>
      </c>
      <c r="J380" s="8" t="s">
        <v>157</v>
      </c>
      <c r="K380" s="9"/>
      <c r="L380" s="8" t="s">
        <v>576</v>
      </c>
      <c r="M380" s="8" t="s">
        <v>577</v>
      </c>
      <c r="N380" s="10"/>
      <c r="O380" s="8" t="s">
        <v>928</v>
      </c>
    </row>
    <row r="381" ht="32" customHeight="1" spans="1:15">
      <c r="A381" s="8">
        <v>12</v>
      </c>
      <c r="B381" s="8" t="s">
        <v>338</v>
      </c>
      <c r="C381" s="8" t="s">
        <v>340</v>
      </c>
      <c r="D381" s="8" t="s">
        <v>119</v>
      </c>
      <c r="E381" s="8" t="s">
        <v>463</v>
      </c>
      <c r="F381" s="8" t="s">
        <v>200</v>
      </c>
      <c r="G381" s="9">
        <v>46265</v>
      </c>
      <c r="H381" s="9">
        <v>46273</v>
      </c>
      <c r="I381" s="8" t="s">
        <v>121</v>
      </c>
      <c r="J381" s="8" t="s">
        <v>157</v>
      </c>
      <c r="K381" s="9"/>
      <c r="L381" s="8" t="s">
        <v>576</v>
      </c>
      <c r="M381" s="8" t="s">
        <v>577</v>
      </c>
      <c r="N381" s="10"/>
      <c r="O381" s="8" t="s">
        <v>929</v>
      </c>
    </row>
    <row r="382" ht="32" customHeight="1" spans="1:15">
      <c r="A382" s="8">
        <v>12</v>
      </c>
      <c r="B382" s="8" t="s">
        <v>172</v>
      </c>
      <c r="C382" s="8" t="s">
        <v>173</v>
      </c>
      <c r="D382" s="8" t="s">
        <v>135</v>
      </c>
      <c r="E382" s="8" t="s">
        <v>455</v>
      </c>
      <c r="F382" s="8" t="s">
        <v>122</v>
      </c>
      <c r="G382" s="9">
        <v>46266</v>
      </c>
      <c r="H382" s="9">
        <v>46272</v>
      </c>
      <c r="I382" s="8" t="s">
        <v>121</v>
      </c>
      <c r="J382" s="8" t="s">
        <v>157</v>
      </c>
      <c r="K382" s="9"/>
      <c r="L382" s="8" t="s">
        <v>576</v>
      </c>
      <c r="M382" s="8" t="s">
        <v>577</v>
      </c>
      <c r="N382" s="10"/>
      <c r="O382" s="8" t="s">
        <v>930</v>
      </c>
    </row>
    <row r="383" ht="32" customHeight="1" spans="1:15">
      <c r="A383" s="8">
        <v>12</v>
      </c>
      <c r="B383" s="8" t="s">
        <v>174</v>
      </c>
      <c r="C383" s="8" t="s">
        <v>175</v>
      </c>
      <c r="D383" s="8" t="s">
        <v>135</v>
      </c>
      <c r="E383" s="8" t="s">
        <v>455</v>
      </c>
      <c r="F383" s="8" t="s">
        <v>122</v>
      </c>
      <c r="G383" s="9">
        <v>46266</v>
      </c>
      <c r="H383" s="9">
        <v>46272</v>
      </c>
      <c r="I383" s="8" t="s">
        <v>121</v>
      </c>
      <c r="J383" s="8" t="s">
        <v>157</v>
      </c>
      <c r="K383" s="9"/>
      <c r="L383" s="8" t="s">
        <v>576</v>
      </c>
      <c r="M383" s="8" t="s">
        <v>577</v>
      </c>
      <c r="N383" s="10"/>
      <c r="O383" s="8" t="s">
        <v>931</v>
      </c>
    </row>
    <row r="384" ht="32" customHeight="1" spans="1:15">
      <c r="A384" s="8">
        <v>12</v>
      </c>
      <c r="B384" s="8" t="s">
        <v>186</v>
      </c>
      <c r="C384" s="8" t="s">
        <v>188</v>
      </c>
      <c r="D384" s="8" t="s">
        <v>135</v>
      </c>
      <c r="E384" s="8" t="s">
        <v>455</v>
      </c>
      <c r="F384" s="8" t="s">
        <v>122</v>
      </c>
      <c r="G384" s="9">
        <v>46266</v>
      </c>
      <c r="H384" s="9">
        <v>46272</v>
      </c>
      <c r="I384" s="8" t="s">
        <v>121</v>
      </c>
      <c r="J384" s="8" t="s">
        <v>157</v>
      </c>
      <c r="K384" s="9">
        <v>46261</v>
      </c>
      <c r="L384" s="8" t="s">
        <v>576</v>
      </c>
      <c r="M384" s="8"/>
      <c r="N384" s="10"/>
      <c r="O384" s="8" t="s">
        <v>932</v>
      </c>
    </row>
    <row r="385" ht="32" customHeight="1" spans="1:15">
      <c r="A385" s="8">
        <v>12</v>
      </c>
      <c r="B385" s="8" t="s">
        <v>189</v>
      </c>
      <c r="C385" s="8" t="s">
        <v>190</v>
      </c>
      <c r="D385" s="8" t="s">
        <v>135</v>
      </c>
      <c r="E385" s="8" t="s">
        <v>455</v>
      </c>
      <c r="F385" s="8" t="s">
        <v>122</v>
      </c>
      <c r="G385" s="9">
        <v>46266</v>
      </c>
      <c r="H385" s="9">
        <v>46272</v>
      </c>
      <c r="I385" s="8" t="s">
        <v>121</v>
      </c>
      <c r="J385" s="8" t="s">
        <v>157</v>
      </c>
      <c r="K385" s="9">
        <v>46261</v>
      </c>
      <c r="L385" s="8" t="s">
        <v>576</v>
      </c>
      <c r="M385" s="8"/>
      <c r="N385" s="10"/>
      <c r="O385" s="8" t="s">
        <v>933</v>
      </c>
    </row>
    <row r="386" ht="32" customHeight="1" spans="1:15">
      <c r="A386" s="8">
        <v>12</v>
      </c>
      <c r="B386" s="8" t="s">
        <v>195</v>
      </c>
      <c r="C386" s="8" t="s">
        <v>196</v>
      </c>
      <c r="D386" s="8" t="s">
        <v>135</v>
      </c>
      <c r="E386" s="8" t="s">
        <v>455</v>
      </c>
      <c r="F386" s="8" t="s">
        <v>122</v>
      </c>
      <c r="G386" s="9">
        <v>46266</v>
      </c>
      <c r="H386" s="9">
        <v>46272</v>
      </c>
      <c r="I386" s="8" t="s">
        <v>121</v>
      </c>
      <c r="J386" s="8" t="s">
        <v>157</v>
      </c>
      <c r="K386" s="9">
        <v>46261</v>
      </c>
      <c r="L386" s="8" t="s">
        <v>576</v>
      </c>
      <c r="M386" s="8"/>
      <c r="N386" s="10"/>
      <c r="O386" s="8" t="s">
        <v>934</v>
      </c>
    </row>
    <row r="387" ht="32" customHeight="1" spans="1:15">
      <c r="A387" s="8">
        <v>12</v>
      </c>
      <c r="B387" s="8" t="s">
        <v>205</v>
      </c>
      <c r="C387" s="8" t="s">
        <v>207</v>
      </c>
      <c r="D387" s="8" t="s">
        <v>135</v>
      </c>
      <c r="E387" s="8" t="s">
        <v>455</v>
      </c>
      <c r="F387" s="8" t="s">
        <v>122</v>
      </c>
      <c r="G387" s="9">
        <v>46266</v>
      </c>
      <c r="H387" s="9">
        <v>46272</v>
      </c>
      <c r="I387" s="8" t="s">
        <v>121</v>
      </c>
      <c r="J387" s="8" t="s">
        <v>157</v>
      </c>
      <c r="K387" s="9"/>
      <c r="L387" s="8" t="s">
        <v>576</v>
      </c>
      <c r="M387" s="8" t="s">
        <v>577</v>
      </c>
      <c r="N387" s="10"/>
      <c r="O387" s="8" t="s">
        <v>935</v>
      </c>
    </row>
    <row r="388" ht="32" customHeight="1" spans="1:15">
      <c r="A388" s="8">
        <v>12</v>
      </c>
      <c r="B388" s="8" t="s">
        <v>208</v>
      </c>
      <c r="C388" s="8" t="s">
        <v>209</v>
      </c>
      <c r="D388" s="8" t="s">
        <v>135</v>
      </c>
      <c r="E388" s="8" t="s">
        <v>455</v>
      </c>
      <c r="F388" s="8" t="s">
        <v>122</v>
      </c>
      <c r="G388" s="9">
        <v>46266</v>
      </c>
      <c r="H388" s="9">
        <v>46272</v>
      </c>
      <c r="I388" s="8" t="s">
        <v>121</v>
      </c>
      <c r="J388" s="8" t="s">
        <v>157</v>
      </c>
      <c r="K388" s="9"/>
      <c r="L388" s="8" t="s">
        <v>576</v>
      </c>
      <c r="M388" s="8" t="s">
        <v>577</v>
      </c>
      <c r="N388" s="10"/>
      <c r="O388" s="8" t="s">
        <v>936</v>
      </c>
    </row>
    <row r="389" ht="32" customHeight="1" spans="1:15">
      <c r="A389" s="8">
        <v>12</v>
      </c>
      <c r="B389" s="8" t="s">
        <v>210</v>
      </c>
      <c r="C389" s="8" t="s">
        <v>211</v>
      </c>
      <c r="D389" s="8" t="s">
        <v>135</v>
      </c>
      <c r="E389" s="8" t="s">
        <v>455</v>
      </c>
      <c r="F389" s="8" t="s">
        <v>122</v>
      </c>
      <c r="G389" s="9">
        <v>46266</v>
      </c>
      <c r="H389" s="9">
        <v>46272</v>
      </c>
      <c r="I389" s="8" t="s">
        <v>121</v>
      </c>
      <c r="J389" s="8" t="s">
        <v>157</v>
      </c>
      <c r="K389" s="9"/>
      <c r="L389" s="8" t="s">
        <v>576</v>
      </c>
      <c r="M389" s="8" t="s">
        <v>577</v>
      </c>
      <c r="N389" s="10"/>
      <c r="O389" s="8" t="s">
        <v>937</v>
      </c>
    </row>
    <row r="390" ht="32" customHeight="1" spans="1:15">
      <c r="A390" s="8">
        <v>12</v>
      </c>
      <c r="B390" s="8" t="s">
        <v>338</v>
      </c>
      <c r="C390" s="8" t="s">
        <v>340</v>
      </c>
      <c r="D390" s="8" t="s">
        <v>119</v>
      </c>
      <c r="E390" s="8" t="s">
        <v>455</v>
      </c>
      <c r="F390" s="8" t="s">
        <v>200</v>
      </c>
      <c r="G390" s="9">
        <v>46265</v>
      </c>
      <c r="H390" s="9">
        <v>46273</v>
      </c>
      <c r="I390" s="8" t="s">
        <v>121</v>
      </c>
      <c r="J390" s="8" t="s">
        <v>157</v>
      </c>
      <c r="K390" s="9"/>
      <c r="L390" s="8" t="s">
        <v>576</v>
      </c>
      <c r="M390" s="8" t="s">
        <v>577</v>
      </c>
      <c r="N390" s="10"/>
      <c r="O390" s="8" t="s">
        <v>938</v>
      </c>
    </row>
    <row r="391" ht="32" customHeight="1" spans="1:15">
      <c r="A391" s="8">
        <v>12</v>
      </c>
      <c r="B391" s="8" t="s">
        <v>398</v>
      </c>
      <c r="C391" s="8" t="s">
        <v>401</v>
      </c>
      <c r="D391" s="8" t="s">
        <v>135</v>
      </c>
      <c r="E391" s="8" t="s">
        <v>460</v>
      </c>
      <c r="F391" s="8" t="s">
        <v>124</v>
      </c>
      <c r="G391" s="9">
        <v>46272</v>
      </c>
      <c r="H391" s="9">
        <v>46276</v>
      </c>
      <c r="I391" s="8" t="s">
        <v>121</v>
      </c>
      <c r="J391" s="8" t="s">
        <v>121</v>
      </c>
      <c r="K391" s="9">
        <v>46261</v>
      </c>
      <c r="L391" s="8" t="s">
        <v>576</v>
      </c>
      <c r="M391" s="8"/>
      <c r="N391" s="10"/>
      <c r="O391" s="8" t="s">
        <v>939</v>
      </c>
    </row>
    <row r="392" ht="32" customHeight="1" spans="1:15">
      <c r="A392" s="8">
        <v>12</v>
      </c>
      <c r="B392" s="8" t="s">
        <v>402</v>
      </c>
      <c r="C392" s="8" t="s">
        <v>403</v>
      </c>
      <c r="D392" s="8" t="s">
        <v>135</v>
      </c>
      <c r="E392" s="8" t="s">
        <v>460</v>
      </c>
      <c r="F392" s="8" t="s">
        <v>124</v>
      </c>
      <c r="G392" s="9">
        <v>46272</v>
      </c>
      <c r="H392" s="9">
        <v>46276</v>
      </c>
      <c r="I392" s="8" t="s">
        <v>121</v>
      </c>
      <c r="J392" s="8" t="s">
        <v>121</v>
      </c>
      <c r="K392" s="9">
        <v>46261</v>
      </c>
      <c r="L392" s="8" t="s">
        <v>576</v>
      </c>
      <c r="M392" s="8"/>
      <c r="N392" s="10"/>
      <c r="O392" s="8" t="s">
        <v>940</v>
      </c>
    </row>
    <row r="393" ht="32" customHeight="1" spans="1:15">
      <c r="A393" s="8">
        <v>12</v>
      </c>
      <c r="B393" s="8" t="s">
        <v>404</v>
      </c>
      <c r="C393" s="8" t="s">
        <v>405</v>
      </c>
      <c r="D393" s="8" t="s">
        <v>135</v>
      </c>
      <c r="E393" s="8" t="s">
        <v>460</v>
      </c>
      <c r="F393" s="8" t="s">
        <v>124</v>
      </c>
      <c r="G393" s="9">
        <v>46272</v>
      </c>
      <c r="H393" s="9">
        <v>46276</v>
      </c>
      <c r="I393" s="8" t="s">
        <v>121</v>
      </c>
      <c r="J393" s="8" t="s">
        <v>121</v>
      </c>
      <c r="K393" s="9">
        <v>46261</v>
      </c>
      <c r="L393" s="8" t="s">
        <v>576</v>
      </c>
      <c r="M393" s="8"/>
      <c r="N393" s="10"/>
      <c r="O393" s="8" t="s">
        <v>941</v>
      </c>
    </row>
    <row r="394" ht="32" customHeight="1" spans="1:15">
      <c r="A394" s="8">
        <v>12</v>
      </c>
      <c r="B394" s="8" t="s">
        <v>406</v>
      </c>
      <c r="C394" s="8" t="s">
        <v>407</v>
      </c>
      <c r="D394" s="8" t="s">
        <v>135</v>
      </c>
      <c r="E394" s="8" t="s">
        <v>460</v>
      </c>
      <c r="F394" s="8" t="s">
        <v>124</v>
      </c>
      <c r="G394" s="9">
        <v>46272</v>
      </c>
      <c r="H394" s="9">
        <v>46276</v>
      </c>
      <c r="I394" s="8" t="s">
        <v>121</v>
      </c>
      <c r="J394" s="8" t="s">
        <v>121</v>
      </c>
      <c r="K394" s="9">
        <v>46261</v>
      </c>
      <c r="L394" s="8" t="s">
        <v>576</v>
      </c>
      <c r="M394" s="8"/>
      <c r="N394" s="10"/>
      <c r="O394" s="8" t="s">
        <v>942</v>
      </c>
    </row>
    <row r="395" ht="32" customHeight="1" spans="1:15">
      <c r="A395" s="8">
        <v>12</v>
      </c>
      <c r="B395" s="8" t="s">
        <v>408</v>
      </c>
      <c r="C395" s="8" t="s">
        <v>409</v>
      </c>
      <c r="D395" s="8" t="s">
        <v>135</v>
      </c>
      <c r="E395" s="8" t="s">
        <v>460</v>
      </c>
      <c r="F395" s="8" t="s">
        <v>124</v>
      </c>
      <c r="G395" s="9">
        <v>46272</v>
      </c>
      <c r="H395" s="9">
        <v>46276</v>
      </c>
      <c r="I395" s="8" t="s">
        <v>121</v>
      </c>
      <c r="J395" s="8" t="s">
        <v>121</v>
      </c>
      <c r="K395" s="9">
        <v>46261</v>
      </c>
      <c r="L395" s="8" t="s">
        <v>576</v>
      </c>
      <c r="M395" s="8"/>
      <c r="N395" s="10"/>
      <c r="O395" s="8" t="s">
        <v>943</v>
      </c>
    </row>
    <row r="396" ht="32" customHeight="1" spans="1:15">
      <c r="A396" s="8">
        <v>13</v>
      </c>
      <c r="B396" s="8" t="s">
        <v>154</v>
      </c>
      <c r="C396" s="8" t="s">
        <v>156</v>
      </c>
      <c r="D396" s="8" t="s">
        <v>135</v>
      </c>
      <c r="E396" s="8" t="s">
        <v>463</v>
      </c>
      <c r="F396" s="8" t="s">
        <v>123</v>
      </c>
      <c r="G396" s="9">
        <v>46272</v>
      </c>
      <c r="H396" s="9">
        <v>46279</v>
      </c>
      <c r="I396" s="8" t="s">
        <v>157</v>
      </c>
      <c r="J396" s="8" t="s">
        <v>157</v>
      </c>
      <c r="K396" s="9"/>
      <c r="L396" s="8" t="s">
        <v>576</v>
      </c>
      <c r="M396" s="8"/>
      <c r="N396" s="10"/>
      <c r="O396" s="8" t="s">
        <v>944</v>
      </c>
    </row>
    <row r="397" ht="32" customHeight="1" spans="1:15">
      <c r="A397" s="8">
        <v>13</v>
      </c>
      <c r="B397" s="8" t="s">
        <v>158</v>
      </c>
      <c r="C397" s="8" t="s">
        <v>159</v>
      </c>
      <c r="D397" s="8" t="s">
        <v>135</v>
      </c>
      <c r="E397" s="8" t="s">
        <v>463</v>
      </c>
      <c r="F397" s="8" t="s">
        <v>123</v>
      </c>
      <c r="G397" s="9">
        <v>46272</v>
      </c>
      <c r="H397" s="9">
        <v>46279</v>
      </c>
      <c r="I397" s="8" t="s">
        <v>157</v>
      </c>
      <c r="J397" s="8" t="s">
        <v>157</v>
      </c>
      <c r="K397" s="9"/>
      <c r="L397" s="8" t="s">
        <v>576</v>
      </c>
      <c r="M397" s="8"/>
      <c r="N397" s="10"/>
      <c r="O397" s="8" t="s">
        <v>945</v>
      </c>
    </row>
    <row r="398" ht="32" customHeight="1" spans="1:15">
      <c r="A398" s="8">
        <v>13</v>
      </c>
      <c r="B398" s="8" t="s">
        <v>160</v>
      </c>
      <c r="C398" s="8" t="s">
        <v>161</v>
      </c>
      <c r="D398" s="8" t="s">
        <v>135</v>
      </c>
      <c r="E398" s="8" t="s">
        <v>463</v>
      </c>
      <c r="F398" s="8" t="s">
        <v>123</v>
      </c>
      <c r="G398" s="9">
        <v>46272</v>
      </c>
      <c r="H398" s="9">
        <v>46279</v>
      </c>
      <c r="I398" s="8" t="s">
        <v>157</v>
      </c>
      <c r="J398" s="8" t="s">
        <v>157</v>
      </c>
      <c r="K398" s="9"/>
      <c r="L398" s="8" t="s">
        <v>576</v>
      </c>
      <c r="M398" s="8"/>
      <c r="N398" s="10"/>
      <c r="O398" s="8" t="s">
        <v>946</v>
      </c>
    </row>
    <row r="399" ht="32" customHeight="1" spans="1:15">
      <c r="A399" s="8">
        <v>13</v>
      </c>
      <c r="B399" s="8" t="s">
        <v>162</v>
      </c>
      <c r="C399" s="8" t="s">
        <v>163</v>
      </c>
      <c r="D399" s="8" t="s">
        <v>135</v>
      </c>
      <c r="E399" s="8" t="s">
        <v>463</v>
      </c>
      <c r="F399" s="8" t="s">
        <v>123</v>
      </c>
      <c r="G399" s="9">
        <v>46272</v>
      </c>
      <c r="H399" s="9">
        <v>46279</v>
      </c>
      <c r="I399" s="8" t="s">
        <v>157</v>
      </c>
      <c r="J399" s="8" t="s">
        <v>157</v>
      </c>
      <c r="K399" s="9"/>
      <c r="L399" s="8" t="s">
        <v>576</v>
      </c>
      <c r="M399" s="8"/>
      <c r="N399" s="10"/>
      <c r="O399" s="8" t="s">
        <v>947</v>
      </c>
    </row>
    <row r="400" ht="32" customHeight="1" spans="1:15">
      <c r="A400" s="8">
        <v>13</v>
      </c>
      <c r="B400" s="8" t="s">
        <v>164</v>
      </c>
      <c r="C400" s="8" t="s">
        <v>165</v>
      </c>
      <c r="D400" s="8" t="s">
        <v>135</v>
      </c>
      <c r="E400" s="8" t="s">
        <v>463</v>
      </c>
      <c r="F400" s="8" t="s">
        <v>123</v>
      </c>
      <c r="G400" s="9">
        <v>46272</v>
      </c>
      <c r="H400" s="9">
        <v>46279</v>
      </c>
      <c r="I400" s="8" t="s">
        <v>157</v>
      </c>
      <c r="J400" s="8" t="s">
        <v>157</v>
      </c>
      <c r="K400" s="9"/>
      <c r="L400" s="8" t="s">
        <v>576</v>
      </c>
      <c r="M400" s="8"/>
      <c r="N400" s="10"/>
      <c r="O400" s="8" t="s">
        <v>948</v>
      </c>
    </row>
    <row r="401" ht="32" customHeight="1" spans="1:15">
      <c r="A401" s="8">
        <v>13</v>
      </c>
      <c r="B401" s="8" t="s">
        <v>303</v>
      </c>
      <c r="C401" s="8" t="s">
        <v>306</v>
      </c>
      <c r="D401" s="8" t="s">
        <v>135</v>
      </c>
      <c r="E401" s="8" t="s">
        <v>463</v>
      </c>
      <c r="F401" s="8" t="s">
        <v>123</v>
      </c>
      <c r="G401" s="9">
        <v>46272</v>
      </c>
      <c r="H401" s="9">
        <v>46279</v>
      </c>
      <c r="I401" s="8" t="s">
        <v>157</v>
      </c>
      <c r="J401" s="8" t="s">
        <v>157</v>
      </c>
      <c r="K401" s="9"/>
      <c r="L401" s="8" t="s">
        <v>576</v>
      </c>
      <c r="M401" s="8"/>
      <c r="N401" s="10"/>
      <c r="O401" s="8" t="s">
        <v>949</v>
      </c>
    </row>
    <row r="402" ht="32" customHeight="1" spans="1:15">
      <c r="A402" s="8">
        <v>13</v>
      </c>
      <c r="B402" s="8" t="s">
        <v>307</v>
      </c>
      <c r="C402" s="8" t="s">
        <v>308</v>
      </c>
      <c r="D402" s="8" t="s">
        <v>135</v>
      </c>
      <c r="E402" s="8" t="s">
        <v>463</v>
      </c>
      <c r="F402" s="8" t="s">
        <v>123</v>
      </c>
      <c r="G402" s="9">
        <v>46272</v>
      </c>
      <c r="H402" s="9">
        <v>46279</v>
      </c>
      <c r="I402" s="8" t="s">
        <v>157</v>
      </c>
      <c r="J402" s="8" t="s">
        <v>157</v>
      </c>
      <c r="K402" s="9"/>
      <c r="L402" s="8" t="s">
        <v>576</v>
      </c>
      <c r="M402" s="8"/>
      <c r="N402" s="10"/>
      <c r="O402" s="8" t="s">
        <v>950</v>
      </c>
    </row>
    <row r="403" ht="32" customHeight="1" spans="1:15">
      <c r="A403" s="8">
        <v>13</v>
      </c>
      <c r="B403" s="8" t="s">
        <v>309</v>
      </c>
      <c r="C403" s="8" t="s">
        <v>310</v>
      </c>
      <c r="D403" s="8" t="s">
        <v>135</v>
      </c>
      <c r="E403" s="8" t="s">
        <v>463</v>
      </c>
      <c r="F403" s="8" t="s">
        <v>123</v>
      </c>
      <c r="G403" s="9">
        <v>46272</v>
      </c>
      <c r="H403" s="9">
        <v>46279</v>
      </c>
      <c r="I403" s="8" t="s">
        <v>157</v>
      </c>
      <c r="J403" s="8" t="s">
        <v>157</v>
      </c>
      <c r="K403" s="9">
        <v>46261</v>
      </c>
      <c r="L403" s="8" t="s">
        <v>576</v>
      </c>
      <c r="M403" s="8"/>
      <c r="N403" s="10"/>
      <c r="O403" s="8" t="s">
        <v>951</v>
      </c>
    </row>
    <row r="404" ht="32" customHeight="1" spans="1:15">
      <c r="A404" s="8">
        <v>13</v>
      </c>
      <c r="B404" s="8" t="s">
        <v>154</v>
      </c>
      <c r="C404" s="8" t="s">
        <v>156</v>
      </c>
      <c r="D404" s="8" t="s">
        <v>135</v>
      </c>
      <c r="E404" s="8" t="s">
        <v>455</v>
      </c>
      <c r="F404" s="8" t="s">
        <v>122</v>
      </c>
      <c r="G404" s="9">
        <v>46272</v>
      </c>
      <c r="H404" s="9">
        <v>46279</v>
      </c>
      <c r="I404" s="8" t="s">
        <v>157</v>
      </c>
      <c r="J404" s="8" t="s">
        <v>157</v>
      </c>
      <c r="K404" s="9"/>
      <c r="L404" s="8" t="s">
        <v>576</v>
      </c>
      <c r="M404" s="8"/>
      <c r="N404" s="10"/>
      <c r="O404" s="8" t="s">
        <v>952</v>
      </c>
    </row>
    <row r="405" ht="32" customHeight="1" spans="1:15">
      <c r="A405" s="8">
        <v>13</v>
      </c>
      <c r="B405" s="8" t="s">
        <v>158</v>
      </c>
      <c r="C405" s="8" t="s">
        <v>159</v>
      </c>
      <c r="D405" s="8" t="s">
        <v>135</v>
      </c>
      <c r="E405" s="8" t="s">
        <v>455</v>
      </c>
      <c r="F405" s="8" t="s">
        <v>122</v>
      </c>
      <c r="G405" s="9">
        <v>46272</v>
      </c>
      <c r="H405" s="9">
        <v>46279</v>
      </c>
      <c r="I405" s="8" t="s">
        <v>157</v>
      </c>
      <c r="J405" s="8" t="s">
        <v>157</v>
      </c>
      <c r="K405" s="9"/>
      <c r="L405" s="8" t="s">
        <v>576</v>
      </c>
      <c r="M405" s="8"/>
      <c r="N405" s="10"/>
      <c r="O405" s="8" t="s">
        <v>953</v>
      </c>
    </row>
    <row r="406" ht="32" customHeight="1" spans="1:15">
      <c r="A406" s="8">
        <v>13</v>
      </c>
      <c r="B406" s="8" t="s">
        <v>160</v>
      </c>
      <c r="C406" s="8" t="s">
        <v>161</v>
      </c>
      <c r="D406" s="8" t="s">
        <v>135</v>
      </c>
      <c r="E406" s="8" t="s">
        <v>455</v>
      </c>
      <c r="F406" s="8" t="s">
        <v>122</v>
      </c>
      <c r="G406" s="9">
        <v>46272</v>
      </c>
      <c r="H406" s="9">
        <v>46279</v>
      </c>
      <c r="I406" s="8" t="s">
        <v>157</v>
      </c>
      <c r="J406" s="8" t="s">
        <v>157</v>
      </c>
      <c r="K406" s="9"/>
      <c r="L406" s="8" t="s">
        <v>576</v>
      </c>
      <c r="M406" s="8"/>
      <c r="N406" s="10"/>
      <c r="O406" s="8" t="s">
        <v>954</v>
      </c>
    </row>
    <row r="407" ht="32" customHeight="1" spans="1:15">
      <c r="A407" s="8">
        <v>13</v>
      </c>
      <c r="B407" s="8" t="s">
        <v>162</v>
      </c>
      <c r="C407" s="8" t="s">
        <v>163</v>
      </c>
      <c r="D407" s="8" t="s">
        <v>135</v>
      </c>
      <c r="E407" s="8" t="s">
        <v>455</v>
      </c>
      <c r="F407" s="8" t="s">
        <v>122</v>
      </c>
      <c r="G407" s="9">
        <v>46272</v>
      </c>
      <c r="H407" s="9">
        <v>46279</v>
      </c>
      <c r="I407" s="8" t="s">
        <v>157</v>
      </c>
      <c r="J407" s="8" t="s">
        <v>157</v>
      </c>
      <c r="K407" s="9"/>
      <c r="L407" s="8" t="s">
        <v>576</v>
      </c>
      <c r="M407" s="8"/>
      <c r="N407" s="10"/>
      <c r="O407" s="8" t="s">
        <v>955</v>
      </c>
    </row>
    <row r="408" ht="32" customHeight="1" spans="1:15">
      <c r="A408" s="8">
        <v>13</v>
      </c>
      <c r="B408" s="8" t="s">
        <v>164</v>
      </c>
      <c r="C408" s="8" t="s">
        <v>165</v>
      </c>
      <c r="D408" s="8" t="s">
        <v>135</v>
      </c>
      <c r="E408" s="8" t="s">
        <v>455</v>
      </c>
      <c r="F408" s="8" t="s">
        <v>122</v>
      </c>
      <c r="G408" s="9">
        <v>46272</v>
      </c>
      <c r="H408" s="9">
        <v>46279</v>
      </c>
      <c r="I408" s="8" t="s">
        <v>157</v>
      </c>
      <c r="J408" s="8" t="s">
        <v>157</v>
      </c>
      <c r="K408" s="9"/>
      <c r="L408" s="8" t="s">
        <v>576</v>
      </c>
      <c r="M408" s="8"/>
      <c r="N408" s="10"/>
      <c r="O408" s="8" t="s">
        <v>956</v>
      </c>
    </row>
    <row r="409" ht="32" customHeight="1" spans="1:15">
      <c r="A409" s="8">
        <v>13</v>
      </c>
      <c r="B409" s="8" t="s">
        <v>303</v>
      </c>
      <c r="C409" s="8" t="s">
        <v>306</v>
      </c>
      <c r="D409" s="8" t="s">
        <v>135</v>
      </c>
      <c r="E409" s="8" t="s">
        <v>455</v>
      </c>
      <c r="F409" s="8" t="s">
        <v>122</v>
      </c>
      <c r="G409" s="9">
        <v>46272</v>
      </c>
      <c r="H409" s="9">
        <v>46279</v>
      </c>
      <c r="I409" s="8" t="s">
        <v>157</v>
      </c>
      <c r="J409" s="8" t="s">
        <v>157</v>
      </c>
      <c r="K409" s="9"/>
      <c r="L409" s="8" t="s">
        <v>576</v>
      </c>
      <c r="M409" s="8"/>
      <c r="N409" s="10"/>
      <c r="O409" s="8" t="s">
        <v>957</v>
      </c>
    </row>
    <row r="410" ht="32" customHeight="1" spans="1:15">
      <c r="A410" s="8">
        <v>13</v>
      </c>
      <c r="B410" s="8" t="s">
        <v>307</v>
      </c>
      <c r="C410" s="8" t="s">
        <v>308</v>
      </c>
      <c r="D410" s="8" t="s">
        <v>135</v>
      </c>
      <c r="E410" s="8" t="s">
        <v>455</v>
      </c>
      <c r="F410" s="8" t="s">
        <v>122</v>
      </c>
      <c r="G410" s="9">
        <v>46272</v>
      </c>
      <c r="H410" s="9">
        <v>46279</v>
      </c>
      <c r="I410" s="8" t="s">
        <v>157</v>
      </c>
      <c r="J410" s="8" t="s">
        <v>157</v>
      </c>
      <c r="K410" s="9"/>
      <c r="L410" s="8" t="s">
        <v>576</v>
      </c>
      <c r="M410" s="8"/>
      <c r="N410" s="10"/>
      <c r="O410" s="8" t="s">
        <v>958</v>
      </c>
    </row>
    <row r="411" ht="32" customHeight="1" spans="1:15">
      <c r="A411" s="8">
        <v>13</v>
      </c>
      <c r="B411" s="8" t="s">
        <v>309</v>
      </c>
      <c r="C411" s="8" t="s">
        <v>310</v>
      </c>
      <c r="D411" s="8" t="s">
        <v>135</v>
      </c>
      <c r="E411" s="8" t="s">
        <v>455</v>
      </c>
      <c r="F411" s="8" t="s">
        <v>122</v>
      </c>
      <c r="G411" s="9">
        <v>46272</v>
      </c>
      <c r="H411" s="9">
        <v>46279</v>
      </c>
      <c r="I411" s="8" t="s">
        <v>157</v>
      </c>
      <c r="J411" s="8" t="s">
        <v>157</v>
      </c>
      <c r="K411" s="9">
        <v>46261</v>
      </c>
      <c r="L411" s="8" t="s">
        <v>576</v>
      </c>
      <c r="M411" s="8"/>
      <c r="N411" s="10"/>
      <c r="O411" s="8" t="s">
        <v>959</v>
      </c>
    </row>
    <row r="412" ht="32" customHeight="1" spans="1:15">
      <c r="A412" s="8">
        <v>14</v>
      </c>
      <c r="B412" s="8" t="s">
        <v>197</v>
      </c>
      <c r="C412" s="8" t="s">
        <v>199</v>
      </c>
      <c r="D412" s="8" t="s">
        <v>135</v>
      </c>
      <c r="E412" s="8" t="s">
        <v>463</v>
      </c>
      <c r="F412" s="8" t="s">
        <v>200</v>
      </c>
      <c r="G412" s="9">
        <v>46286</v>
      </c>
      <c r="H412" s="9">
        <v>46289</v>
      </c>
      <c r="I412" s="8" t="s">
        <v>23</v>
      </c>
      <c r="J412" s="8" t="s">
        <v>23</v>
      </c>
      <c r="K412" s="9"/>
      <c r="L412" s="8" t="s">
        <v>576</v>
      </c>
      <c r="M412" s="8"/>
      <c r="N412" s="10"/>
      <c r="O412" s="8" t="s">
        <v>960</v>
      </c>
    </row>
    <row r="413" ht="32" customHeight="1" spans="1:15">
      <c r="A413" s="8">
        <v>14</v>
      </c>
      <c r="B413" s="8" t="s">
        <v>201</v>
      </c>
      <c r="C413" s="8" t="s">
        <v>202</v>
      </c>
      <c r="D413" s="8" t="s">
        <v>135</v>
      </c>
      <c r="E413" s="8" t="s">
        <v>463</v>
      </c>
      <c r="F413" s="8" t="s">
        <v>200</v>
      </c>
      <c r="G413" s="9">
        <v>46286</v>
      </c>
      <c r="H413" s="9">
        <v>46289</v>
      </c>
      <c r="I413" s="8" t="s">
        <v>23</v>
      </c>
      <c r="J413" s="8" t="s">
        <v>23</v>
      </c>
      <c r="K413" s="9"/>
      <c r="L413" s="8" t="s">
        <v>576</v>
      </c>
      <c r="M413" s="8"/>
      <c r="N413" s="10"/>
      <c r="O413" s="8" t="s">
        <v>961</v>
      </c>
    </row>
    <row r="414" ht="32" customHeight="1" spans="1:15">
      <c r="A414" s="8">
        <v>14</v>
      </c>
      <c r="B414" s="8" t="s">
        <v>203</v>
      </c>
      <c r="C414" s="8" t="s">
        <v>204</v>
      </c>
      <c r="D414" s="8" t="s">
        <v>135</v>
      </c>
      <c r="E414" s="8" t="s">
        <v>463</v>
      </c>
      <c r="F414" s="8" t="s">
        <v>200</v>
      </c>
      <c r="G414" s="9">
        <v>46286</v>
      </c>
      <c r="H414" s="9">
        <v>46289</v>
      </c>
      <c r="I414" s="8" t="s">
        <v>23</v>
      </c>
      <c r="J414" s="8" t="s">
        <v>23</v>
      </c>
      <c r="K414" s="9"/>
      <c r="L414" s="8" t="s">
        <v>576</v>
      </c>
      <c r="M414" s="8"/>
      <c r="N414" s="10"/>
      <c r="O414" s="8" t="s">
        <v>962</v>
      </c>
    </row>
    <row r="415" ht="32" customHeight="1" spans="1:15">
      <c r="A415" s="8">
        <v>14</v>
      </c>
      <c r="B415" s="8" t="s">
        <v>197</v>
      </c>
      <c r="C415" s="8" t="s">
        <v>199</v>
      </c>
      <c r="D415" s="8" t="s">
        <v>135</v>
      </c>
      <c r="E415" s="8" t="s">
        <v>455</v>
      </c>
      <c r="F415" s="8" t="s">
        <v>200</v>
      </c>
      <c r="G415" s="9">
        <v>46286</v>
      </c>
      <c r="H415" s="9">
        <v>46289</v>
      </c>
      <c r="I415" s="8" t="s">
        <v>23</v>
      </c>
      <c r="J415" s="8" t="s">
        <v>23</v>
      </c>
      <c r="K415" s="9"/>
      <c r="L415" s="8" t="s">
        <v>576</v>
      </c>
      <c r="M415" s="8"/>
      <c r="N415" s="10"/>
      <c r="O415" s="8" t="s">
        <v>963</v>
      </c>
    </row>
    <row r="416" ht="32" customHeight="1" spans="1:15">
      <c r="A416" s="8">
        <v>14</v>
      </c>
      <c r="B416" s="8" t="s">
        <v>201</v>
      </c>
      <c r="C416" s="8" t="s">
        <v>202</v>
      </c>
      <c r="D416" s="8" t="s">
        <v>135</v>
      </c>
      <c r="E416" s="8" t="s">
        <v>455</v>
      </c>
      <c r="F416" s="8" t="s">
        <v>200</v>
      </c>
      <c r="G416" s="9">
        <v>46286</v>
      </c>
      <c r="H416" s="9">
        <v>46289</v>
      </c>
      <c r="I416" s="8" t="s">
        <v>23</v>
      </c>
      <c r="J416" s="8" t="s">
        <v>23</v>
      </c>
      <c r="K416" s="9"/>
      <c r="L416" s="8" t="s">
        <v>576</v>
      </c>
      <c r="M416" s="8"/>
      <c r="N416" s="10"/>
      <c r="O416" s="8" t="s">
        <v>964</v>
      </c>
    </row>
    <row r="417" ht="32" customHeight="1" spans="1:15">
      <c r="A417" s="8">
        <v>14</v>
      </c>
      <c r="B417" s="8" t="s">
        <v>203</v>
      </c>
      <c r="C417" s="8" t="s">
        <v>204</v>
      </c>
      <c r="D417" s="8" t="s">
        <v>135</v>
      </c>
      <c r="E417" s="8" t="s">
        <v>455</v>
      </c>
      <c r="F417" s="8" t="s">
        <v>200</v>
      </c>
      <c r="G417" s="9">
        <v>46286</v>
      </c>
      <c r="H417" s="9">
        <v>46289</v>
      </c>
      <c r="I417" s="8" t="s">
        <v>23</v>
      </c>
      <c r="J417" s="8" t="s">
        <v>23</v>
      </c>
      <c r="K417" s="9"/>
      <c r="L417" s="8" t="s">
        <v>576</v>
      </c>
      <c r="M417" s="8"/>
      <c r="N417" s="10"/>
      <c r="O417" s="8" t="s">
        <v>965</v>
      </c>
    </row>
    <row r="418" ht="32" customHeight="1" spans="1:15">
      <c r="A418" s="8">
        <v>16</v>
      </c>
      <c r="B418" s="8" t="s">
        <v>166</v>
      </c>
      <c r="C418" s="8" t="s">
        <v>167</v>
      </c>
      <c r="D418" s="8" t="s">
        <v>135</v>
      </c>
      <c r="E418" s="8" t="s">
        <v>463</v>
      </c>
      <c r="F418" s="8" t="s">
        <v>123</v>
      </c>
      <c r="G418" s="9">
        <v>46272</v>
      </c>
      <c r="H418" s="9">
        <v>46304</v>
      </c>
      <c r="I418" s="8" t="s">
        <v>23</v>
      </c>
      <c r="J418" s="8" t="s">
        <v>23</v>
      </c>
      <c r="K418" s="9"/>
      <c r="L418" s="8" t="s">
        <v>576</v>
      </c>
      <c r="M418" s="8"/>
      <c r="N418" s="10"/>
      <c r="O418" s="8" t="s">
        <v>966</v>
      </c>
    </row>
    <row r="419" ht="32" customHeight="1" spans="1:15">
      <c r="A419" s="8">
        <v>16</v>
      </c>
      <c r="B419" s="8" t="s">
        <v>249</v>
      </c>
      <c r="C419" s="8" t="s">
        <v>251</v>
      </c>
      <c r="D419" s="8" t="s">
        <v>135</v>
      </c>
      <c r="E419" s="8" t="s">
        <v>463</v>
      </c>
      <c r="F419" s="8" t="s">
        <v>123</v>
      </c>
      <c r="G419" s="9">
        <v>46272</v>
      </c>
      <c r="H419" s="9">
        <v>46304</v>
      </c>
      <c r="I419" s="8" t="s">
        <v>23</v>
      </c>
      <c r="J419" s="8" t="s">
        <v>23</v>
      </c>
      <c r="K419" s="9">
        <v>46224</v>
      </c>
      <c r="L419" s="8" t="s">
        <v>576</v>
      </c>
      <c r="M419" s="8"/>
      <c r="N419" s="10"/>
      <c r="O419" s="8" t="s">
        <v>967</v>
      </c>
    </row>
    <row r="420" ht="32" customHeight="1" spans="1:15">
      <c r="A420" s="8">
        <v>16</v>
      </c>
      <c r="B420" s="8" t="s">
        <v>252</v>
      </c>
      <c r="C420" s="8" t="s">
        <v>253</v>
      </c>
      <c r="D420" s="8" t="s">
        <v>135</v>
      </c>
      <c r="E420" s="8" t="s">
        <v>463</v>
      </c>
      <c r="F420" s="8" t="s">
        <v>123</v>
      </c>
      <c r="G420" s="9">
        <v>46272</v>
      </c>
      <c r="H420" s="9">
        <v>46304</v>
      </c>
      <c r="I420" s="8" t="s">
        <v>23</v>
      </c>
      <c r="J420" s="8" t="s">
        <v>23</v>
      </c>
      <c r="K420" s="9">
        <v>46224</v>
      </c>
      <c r="L420" s="8" t="s">
        <v>576</v>
      </c>
      <c r="M420" s="8"/>
      <c r="N420" s="10"/>
      <c r="O420" s="8" t="s">
        <v>968</v>
      </c>
    </row>
    <row r="421" ht="32" customHeight="1" spans="1:15">
      <c r="A421" s="8">
        <v>16</v>
      </c>
      <c r="B421" s="8" t="s">
        <v>254</v>
      </c>
      <c r="C421" s="8" t="s">
        <v>255</v>
      </c>
      <c r="D421" s="8" t="s">
        <v>135</v>
      </c>
      <c r="E421" s="8" t="s">
        <v>463</v>
      </c>
      <c r="F421" s="8" t="s">
        <v>123</v>
      </c>
      <c r="G421" s="9">
        <v>46272</v>
      </c>
      <c r="H421" s="9">
        <v>46304</v>
      </c>
      <c r="I421" s="8" t="s">
        <v>23</v>
      </c>
      <c r="J421" s="8" t="s">
        <v>23</v>
      </c>
      <c r="K421" s="9">
        <v>46224</v>
      </c>
      <c r="L421" s="8" t="s">
        <v>576</v>
      </c>
      <c r="M421" s="8"/>
      <c r="N421" s="10"/>
      <c r="O421" s="8" t="s">
        <v>969</v>
      </c>
    </row>
    <row r="422" ht="32" customHeight="1" spans="1:15">
      <c r="A422" s="8">
        <v>16</v>
      </c>
      <c r="B422" s="8" t="s">
        <v>256</v>
      </c>
      <c r="C422" s="8" t="s">
        <v>257</v>
      </c>
      <c r="D422" s="8" t="s">
        <v>135</v>
      </c>
      <c r="E422" s="8" t="s">
        <v>463</v>
      </c>
      <c r="F422" s="8" t="s">
        <v>123</v>
      </c>
      <c r="G422" s="9">
        <v>46272</v>
      </c>
      <c r="H422" s="9">
        <v>46304</v>
      </c>
      <c r="I422" s="8" t="s">
        <v>23</v>
      </c>
      <c r="J422" s="8" t="s">
        <v>23</v>
      </c>
      <c r="K422" s="9"/>
      <c r="L422" s="8" t="s">
        <v>576</v>
      </c>
      <c r="M422" s="8"/>
      <c r="N422" s="10"/>
      <c r="O422" s="8" t="s">
        <v>970</v>
      </c>
    </row>
    <row r="423" ht="32" customHeight="1" spans="1:15">
      <c r="A423" s="8">
        <v>16</v>
      </c>
      <c r="B423" s="8" t="s">
        <v>258</v>
      </c>
      <c r="C423" s="8" t="s">
        <v>259</v>
      </c>
      <c r="D423" s="8" t="s">
        <v>135</v>
      </c>
      <c r="E423" s="8" t="s">
        <v>463</v>
      </c>
      <c r="F423" s="8" t="s">
        <v>123</v>
      </c>
      <c r="G423" s="9">
        <v>46272</v>
      </c>
      <c r="H423" s="9">
        <v>46304</v>
      </c>
      <c r="I423" s="8" t="s">
        <v>23</v>
      </c>
      <c r="J423" s="8" t="s">
        <v>23</v>
      </c>
      <c r="K423" s="9">
        <v>46224</v>
      </c>
      <c r="L423" s="8" t="s">
        <v>576</v>
      </c>
      <c r="M423" s="8"/>
      <c r="N423" s="10"/>
      <c r="O423" s="8" t="s">
        <v>971</v>
      </c>
    </row>
    <row r="424" ht="32" customHeight="1" spans="1:15">
      <c r="A424" s="8">
        <v>16</v>
      </c>
      <c r="B424" s="8" t="s">
        <v>433</v>
      </c>
      <c r="C424" s="8" t="s">
        <v>434</v>
      </c>
      <c r="D424" s="8" t="s">
        <v>135</v>
      </c>
      <c r="E424" s="8" t="s">
        <v>463</v>
      </c>
      <c r="F424" s="8" t="s">
        <v>123</v>
      </c>
      <c r="G424" s="9">
        <v>46272</v>
      </c>
      <c r="H424" s="9">
        <v>46304</v>
      </c>
      <c r="I424" s="8" t="s">
        <v>23</v>
      </c>
      <c r="J424" s="8" t="s">
        <v>23</v>
      </c>
      <c r="K424" s="9"/>
      <c r="L424" s="8" t="s">
        <v>576</v>
      </c>
      <c r="M424" s="8"/>
      <c r="N424" s="10"/>
      <c r="O424" s="8" t="s">
        <v>972</v>
      </c>
    </row>
    <row r="425" ht="32" customHeight="1" spans="1:15">
      <c r="A425" s="8">
        <v>16</v>
      </c>
      <c r="B425" s="8" t="s">
        <v>166</v>
      </c>
      <c r="C425" s="8" t="s">
        <v>167</v>
      </c>
      <c r="D425" s="8" t="s">
        <v>135</v>
      </c>
      <c r="E425" s="8" t="s">
        <v>455</v>
      </c>
      <c r="F425" s="8" t="s">
        <v>122</v>
      </c>
      <c r="G425" s="9">
        <v>46272</v>
      </c>
      <c r="H425" s="9">
        <v>46304</v>
      </c>
      <c r="I425" s="8" t="s">
        <v>23</v>
      </c>
      <c r="J425" s="8" t="s">
        <v>23</v>
      </c>
      <c r="K425" s="9"/>
      <c r="L425" s="8" t="s">
        <v>576</v>
      </c>
      <c r="M425" s="8"/>
      <c r="N425" s="10"/>
      <c r="O425" s="8" t="s">
        <v>973</v>
      </c>
    </row>
    <row r="426" ht="32" customHeight="1" spans="1:15">
      <c r="A426" s="8">
        <v>16</v>
      </c>
      <c r="B426" s="8" t="s">
        <v>249</v>
      </c>
      <c r="C426" s="8" t="s">
        <v>251</v>
      </c>
      <c r="D426" s="8" t="s">
        <v>135</v>
      </c>
      <c r="E426" s="8" t="s">
        <v>455</v>
      </c>
      <c r="F426" s="8" t="s">
        <v>122</v>
      </c>
      <c r="G426" s="9">
        <v>46272</v>
      </c>
      <c r="H426" s="9">
        <v>46304</v>
      </c>
      <c r="I426" s="8" t="s">
        <v>23</v>
      </c>
      <c r="J426" s="8" t="s">
        <v>23</v>
      </c>
      <c r="K426" s="9">
        <v>46224</v>
      </c>
      <c r="L426" s="8" t="s">
        <v>576</v>
      </c>
      <c r="M426" s="8"/>
      <c r="N426" s="10"/>
      <c r="O426" s="8" t="s">
        <v>974</v>
      </c>
    </row>
    <row r="427" ht="32" customHeight="1" spans="1:15">
      <c r="A427" s="8">
        <v>16</v>
      </c>
      <c r="B427" s="8" t="s">
        <v>252</v>
      </c>
      <c r="C427" s="8" t="s">
        <v>253</v>
      </c>
      <c r="D427" s="8" t="s">
        <v>135</v>
      </c>
      <c r="E427" s="8" t="s">
        <v>455</v>
      </c>
      <c r="F427" s="8" t="s">
        <v>122</v>
      </c>
      <c r="G427" s="9">
        <v>46272</v>
      </c>
      <c r="H427" s="9">
        <v>46304</v>
      </c>
      <c r="I427" s="8" t="s">
        <v>23</v>
      </c>
      <c r="J427" s="8" t="s">
        <v>23</v>
      </c>
      <c r="K427" s="9">
        <v>46224</v>
      </c>
      <c r="L427" s="8" t="s">
        <v>576</v>
      </c>
      <c r="M427" s="8"/>
      <c r="N427" s="10"/>
      <c r="O427" s="8" t="s">
        <v>975</v>
      </c>
    </row>
    <row r="428" ht="32" customHeight="1" spans="1:15">
      <c r="A428" s="8">
        <v>16</v>
      </c>
      <c r="B428" s="8" t="s">
        <v>254</v>
      </c>
      <c r="C428" s="8" t="s">
        <v>255</v>
      </c>
      <c r="D428" s="8" t="s">
        <v>135</v>
      </c>
      <c r="E428" s="8" t="s">
        <v>455</v>
      </c>
      <c r="F428" s="8" t="s">
        <v>122</v>
      </c>
      <c r="G428" s="9">
        <v>46272</v>
      </c>
      <c r="H428" s="9">
        <v>46304</v>
      </c>
      <c r="I428" s="8" t="s">
        <v>23</v>
      </c>
      <c r="J428" s="8" t="s">
        <v>23</v>
      </c>
      <c r="K428" s="9">
        <v>46224</v>
      </c>
      <c r="L428" s="8" t="s">
        <v>576</v>
      </c>
      <c r="M428" s="8"/>
      <c r="N428" s="10"/>
      <c r="O428" s="8" t="s">
        <v>976</v>
      </c>
    </row>
    <row r="429" ht="32" customHeight="1" spans="1:15">
      <c r="A429" s="8">
        <v>16</v>
      </c>
      <c r="B429" s="8" t="s">
        <v>256</v>
      </c>
      <c r="C429" s="8" t="s">
        <v>257</v>
      </c>
      <c r="D429" s="8" t="s">
        <v>135</v>
      </c>
      <c r="E429" s="8" t="s">
        <v>455</v>
      </c>
      <c r="F429" s="8" t="s">
        <v>122</v>
      </c>
      <c r="G429" s="9">
        <v>46272</v>
      </c>
      <c r="H429" s="9">
        <v>46304</v>
      </c>
      <c r="I429" s="8" t="s">
        <v>23</v>
      </c>
      <c r="J429" s="8" t="s">
        <v>23</v>
      </c>
      <c r="K429" s="9"/>
      <c r="L429" s="8" t="s">
        <v>576</v>
      </c>
      <c r="M429" s="8"/>
      <c r="N429" s="10"/>
      <c r="O429" s="8" t="s">
        <v>977</v>
      </c>
    </row>
    <row r="430" ht="32" customHeight="1" spans="1:15">
      <c r="A430" s="8">
        <v>16</v>
      </c>
      <c r="B430" s="8" t="s">
        <v>258</v>
      </c>
      <c r="C430" s="8" t="s">
        <v>259</v>
      </c>
      <c r="D430" s="8" t="s">
        <v>135</v>
      </c>
      <c r="E430" s="8" t="s">
        <v>455</v>
      </c>
      <c r="F430" s="8" t="s">
        <v>122</v>
      </c>
      <c r="G430" s="9">
        <v>46272</v>
      </c>
      <c r="H430" s="9">
        <v>46304</v>
      </c>
      <c r="I430" s="8" t="s">
        <v>23</v>
      </c>
      <c r="J430" s="8" t="s">
        <v>23</v>
      </c>
      <c r="K430" s="9">
        <v>46224</v>
      </c>
      <c r="L430" s="8" t="s">
        <v>576</v>
      </c>
      <c r="M430" s="8"/>
      <c r="N430" s="10"/>
      <c r="O430" s="8" t="s">
        <v>978</v>
      </c>
    </row>
    <row r="431" ht="32" customHeight="1" spans="1:15">
      <c r="A431" s="8">
        <v>16</v>
      </c>
      <c r="B431" s="8" t="s">
        <v>433</v>
      </c>
      <c r="C431" s="8" t="s">
        <v>434</v>
      </c>
      <c r="D431" s="8" t="s">
        <v>135</v>
      </c>
      <c r="E431" s="8" t="s">
        <v>455</v>
      </c>
      <c r="F431" s="8" t="s">
        <v>122</v>
      </c>
      <c r="G431" s="9">
        <v>46272</v>
      </c>
      <c r="H431" s="9">
        <v>46304</v>
      </c>
      <c r="I431" s="8" t="s">
        <v>23</v>
      </c>
      <c r="J431" s="8" t="s">
        <v>23</v>
      </c>
      <c r="K431" s="9"/>
      <c r="L431" s="8" t="s">
        <v>576</v>
      </c>
      <c r="M431" s="8"/>
      <c r="N431" s="10"/>
      <c r="O431" s="8" t="s">
        <v>979</v>
      </c>
    </row>
    <row r="432" ht="32" customHeight="1" spans="1:15">
      <c r="A432" s="8">
        <v>17</v>
      </c>
      <c r="B432" s="8" t="s">
        <v>320</v>
      </c>
      <c r="C432" s="8" t="s">
        <v>313</v>
      </c>
      <c r="D432" s="8" t="s">
        <v>135</v>
      </c>
      <c r="E432" s="8" t="s">
        <v>463</v>
      </c>
      <c r="F432" s="8" t="s">
        <v>200</v>
      </c>
      <c r="G432" s="9">
        <v>46293</v>
      </c>
      <c r="H432" s="9">
        <v>46311</v>
      </c>
      <c r="I432" s="8" t="s">
        <v>23</v>
      </c>
      <c r="J432" s="8" t="s">
        <v>23</v>
      </c>
      <c r="K432" s="9">
        <v>46224</v>
      </c>
      <c r="L432" s="8" t="s">
        <v>576</v>
      </c>
      <c r="M432" s="8"/>
      <c r="N432" s="10"/>
      <c r="O432" s="8" t="s">
        <v>980</v>
      </c>
    </row>
    <row r="433" ht="32" customHeight="1" spans="1:15">
      <c r="A433" s="8">
        <v>17</v>
      </c>
      <c r="B433" s="8" t="s">
        <v>322</v>
      </c>
      <c r="C433" s="8" t="s">
        <v>315</v>
      </c>
      <c r="D433" s="8" t="s">
        <v>135</v>
      </c>
      <c r="E433" s="8" t="s">
        <v>463</v>
      </c>
      <c r="F433" s="8" t="s">
        <v>123</v>
      </c>
      <c r="G433" s="9">
        <v>46293</v>
      </c>
      <c r="H433" s="9">
        <v>46311</v>
      </c>
      <c r="I433" s="8" t="s">
        <v>23</v>
      </c>
      <c r="J433" s="8" t="s">
        <v>23</v>
      </c>
      <c r="K433" s="9">
        <v>46224</v>
      </c>
      <c r="L433" s="8" t="s">
        <v>576</v>
      </c>
      <c r="M433" s="8"/>
      <c r="N433" s="10"/>
      <c r="O433" s="8" t="s">
        <v>981</v>
      </c>
    </row>
    <row r="434" ht="32" customHeight="1" spans="1:15">
      <c r="A434" s="8">
        <v>17</v>
      </c>
      <c r="B434" s="8" t="s">
        <v>323</v>
      </c>
      <c r="C434" s="8" t="s">
        <v>313</v>
      </c>
      <c r="D434" s="8" t="s">
        <v>135</v>
      </c>
      <c r="E434" s="8" t="s">
        <v>463</v>
      </c>
      <c r="F434" s="8" t="s">
        <v>200</v>
      </c>
      <c r="G434" s="9">
        <v>46293</v>
      </c>
      <c r="H434" s="9">
        <v>46311</v>
      </c>
      <c r="I434" s="8" t="s">
        <v>23</v>
      </c>
      <c r="J434" s="8" t="s">
        <v>23</v>
      </c>
      <c r="K434" s="9">
        <v>46224</v>
      </c>
      <c r="L434" s="8" t="s">
        <v>576</v>
      </c>
      <c r="M434" s="8"/>
      <c r="N434" s="10"/>
      <c r="O434" s="8" t="s">
        <v>982</v>
      </c>
    </row>
    <row r="435" ht="32" customHeight="1" spans="1:15">
      <c r="A435" s="8">
        <v>17</v>
      </c>
      <c r="B435" s="8" t="s">
        <v>325</v>
      </c>
      <c r="C435" s="8" t="s">
        <v>315</v>
      </c>
      <c r="D435" s="8" t="s">
        <v>135</v>
      </c>
      <c r="E435" s="8" t="s">
        <v>463</v>
      </c>
      <c r="F435" s="8" t="s">
        <v>200</v>
      </c>
      <c r="G435" s="9">
        <v>46293</v>
      </c>
      <c r="H435" s="9">
        <v>46311</v>
      </c>
      <c r="I435" s="8" t="s">
        <v>23</v>
      </c>
      <c r="J435" s="8" t="s">
        <v>23</v>
      </c>
      <c r="K435" s="9"/>
      <c r="L435" s="8" t="s">
        <v>576</v>
      </c>
      <c r="M435" s="8"/>
      <c r="N435" s="10"/>
      <c r="O435" s="8" t="s">
        <v>983</v>
      </c>
    </row>
    <row r="436" ht="32" customHeight="1" spans="1:15">
      <c r="A436" s="8">
        <v>17</v>
      </c>
      <c r="B436" s="8" t="s">
        <v>320</v>
      </c>
      <c r="C436" s="8" t="s">
        <v>313</v>
      </c>
      <c r="D436" s="8" t="s">
        <v>135</v>
      </c>
      <c r="E436" s="8" t="s">
        <v>455</v>
      </c>
      <c r="F436" s="8" t="s">
        <v>200</v>
      </c>
      <c r="G436" s="9">
        <v>46293</v>
      </c>
      <c r="H436" s="9">
        <v>46311</v>
      </c>
      <c r="I436" s="8" t="s">
        <v>23</v>
      </c>
      <c r="J436" s="8" t="s">
        <v>23</v>
      </c>
      <c r="K436" s="9">
        <v>46224</v>
      </c>
      <c r="L436" s="8" t="s">
        <v>576</v>
      </c>
      <c r="M436" s="8"/>
      <c r="N436" s="10"/>
      <c r="O436" s="8" t="s">
        <v>984</v>
      </c>
    </row>
    <row r="437" ht="32" customHeight="1" spans="1:15">
      <c r="A437" s="8">
        <v>17</v>
      </c>
      <c r="B437" s="8" t="s">
        <v>322</v>
      </c>
      <c r="C437" s="8" t="s">
        <v>315</v>
      </c>
      <c r="D437" s="8" t="s">
        <v>135</v>
      </c>
      <c r="E437" s="8" t="s">
        <v>455</v>
      </c>
      <c r="F437" s="8" t="s">
        <v>200</v>
      </c>
      <c r="G437" s="9">
        <v>46293</v>
      </c>
      <c r="H437" s="9">
        <v>46311</v>
      </c>
      <c r="I437" s="8" t="s">
        <v>23</v>
      </c>
      <c r="J437" s="8" t="s">
        <v>23</v>
      </c>
      <c r="K437" s="9">
        <v>46224</v>
      </c>
      <c r="L437" s="8" t="s">
        <v>576</v>
      </c>
      <c r="M437" s="8"/>
      <c r="N437" s="10"/>
      <c r="O437" s="8" t="s">
        <v>985</v>
      </c>
    </row>
    <row r="438" ht="32" customHeight="1" spans="1:15">
      <c r="A438" s="8">
        <v>17</v>
      </c>
      <c r="B438" s="8" t="s">
        <v>323</v>
      </c>
      <c r="C438" s="8" t="s">
        <v>313</v>
      </c>
      <c r="D438" s="8" t="s">
        <v>135</v>
      </c>
      <c r="E438" s="8" t="s">
        <v>455</v>
      </c>
      <c r="F438" s="8" t="s">
        <v>200</v>
      </c>
      <c r="G438" s="9">
        <v>46293</v>
      </c>
      <c r="H438" s="9">
        <v>46311</v>
      </c>
      <c r="I438" s="8" t="s">
        <v>23</v>
      </c>
      <c r="J438" s="8" t="s">
        <v>23</v>
      </c>
      <c r="K438" s="9">
        <v>46224</v>
      </c>
      <c r="L438" s="8" t="s">
        <v>576</v>
      </c>
      <c r="M438" s="8"/>
      <c r="N438" s="10"/>
      <c r="O438" s="8" t="s">
        <v>986</v>
      </c>
    </row>
    <row r="439" ht="32" customHeight="1" spans="1:15">
      <c r="A439" s="8">
        <v>17</v>
      </c>
      <c r="B439" s="8" t="s">
        <v>325</v>
      </c>
      <c r="C439" s="8" t="s">
        <v>315</v>
      </c>
      <c r="D439" s="8" t="s">
        <v>135</v>
      </c>
      <c r="E439" s="8" t="s">
        <v>455</v>
      </c>
      <c r="F439" s="8" t="s">
        <v>200</v>
      </c>
      <c r="G439" s="9">
        <v>46293</v>
      </c>
      <c r="H439" s="9">
        <v>46311</v>
      </c>
      <c r="I439" s="8" t="s">
        <v>23</v>
      </c>
      <c r="J439" s="8" t="s">
        <v>23</v>
      </c>
      <c r="K439" s="9"/>
      <c r="L439" s="8" t="s">
        <v>576</v>
      </c>
      <c r="M439" s="8"/>
      <c r="N439" s="10"/>
      <c r="O439" s="8" t="s">
        <v>987</v>
      </c>
    </row>
    <row r="440" ht="32" customHeight="1" spans="1:15">
      <c r="A440" s="8">
        <v>18</v>
      </c>
      <c r="B440" s="8" t="s">
        <v>154</v>
      </c>
      <c r="C440" s="8" t="s">
        <v>156</v>
      </c>
      <c r="D440" s="8" t="s">
        <v>135</v>
      </c>
      <c r="E440" s="8" t="s">
        <v>460</v>
      </c>
      <c r="F440" s="8" t="s">
        <v>124</v>
      </c>
      <c r="G440" s="9">
        <v>46307</v>
      </c>
      <c r="H440" s="9">
        <v>46318</v>
      </c>
      <c r="I440" s="8" t="s">
        <v>23</v>
      </c>
      <c r="J440" s="8" t="s">
        <v>157</v>
      </c>
      <c r="K440" s="9"/>
      <c r="L440" s="8" t="s">
        <v>576</v>
      </c>
      <c r="M440" s="8"/>
      <c r="N440" s="10"/>
      <c r="O440" s="8" t="s">
        <v>988</v>
      </c>
    </row>
    <row r="441" ht="32" customHeight="1" spans="1:15">
      <c r="A441" s="8">
        <v>18</v>
      </c>
      <c r="B441" s="8" t="s">
        <v>158</v>
      </c>
      <c r="C441" s="8" t="s">
        <v>159</v>
      </c>
      <c r="D441" s="8" t="s">
        <v>135</v>
      </c>
      <c r="E441" s="8" t="s">
        <v>460</v>
      </c>
      <c r="F441" s="8" t="s">
        <v>124</v>
      </c>
      <c r="G441" s="9">
        <v>46307</v>
      </c>
      <c r="H441" s="9">
        <v>46318</v>
      </c>
      <c r="I441" s="8" t="s">
        <v>23</v>
      </c>
      <c r="J441" s="8" t="s">
        <v>157</v>
      </c>
      <c r="K441" s="9"/>
      <c r="L441" s="8" t="s">
        <v>576</v>
      </c>
      <c r="M441" s="8"/>
      <c r="N441" s="10"/>
      <c r="O441" s="8" t="s">
        <v>989</v>
      </c>
    </row>
    <row r="442" ht="32" customHeight="1" spans="1:15">
      <c r="A442" s="8">
        <v>18</v>
      </c>
      <c r="B442" s="8" t="s">
        <v>160</v>
      </c>
      <c r="C442" s="8" t="s">
        <v>161</v>
      </c>
      <c r="D442" s="8" t="s">
        <v>135</v>
      </c>
      <c r="E442" s="8" t="s">
        <v>460</v>
      </c>
      <c r="F442" s="8" t="s">
        <v>124</v>
      </c>
      <c r="G442" s="9">
        <v>46307</v>
      </c>
      <c r="H442" s="9">
        <v>46318</v>
      </c>
      <c r="I442" s="8" t="s">
        <v>23</v>
      </c>
      <c r="J442" s="8" t="s">
        <v>157</v>
      </c>
      <c r="K442" s="9"/>
      <c r="L442" s="8" t="s">
        <v>576</v>
      </c>
      <c r="M442" s="8"/>
      <c r="N442" s="10"/>
      <c r="O442" s="8" t="s">
        <v>990</v>
      </c>
    </row>
    <row r="443" ht="32" customHeight="1" spans="1:15">
      <c r="A443" s="8">
        <v>18</v>
      </c>
      <c r="B443" s="8" t="s">
        <v>162</v>
      </c>
      <c r="C443" s="8" t="s">
        <v>163</v>
      </c>
      <c r="D443" s="8" t="s">
        <v>135</v>
      </c>
      <c r="E443" s="8" t="s">
        <v>460</v>
      </c>
      <c r="F443" s="8" t="s">
        <v>124</v>
      </c>
      <c r="G443" s="9">
        <v>46307</v>
      </c>
      <c r="H443" s="9">
        <v>46318</v>
      </c>
      <c r="I443" s="8" t="s">
        <v>23</v>
      </c>
      <c r="J443" s="8" t="s">
        <v>157</v>
      </c>
      <c r="K443" s="9"/>
      <c r="L443" s="8" t="s">
        <v>576</v>
      </c>
      <c r="M443" s="8"/>
      <c r="N443" s="10"/>
      <c r="O443" s="8" t="s">
        <v>991</v>
      </c>
    </row>
    <row r="444" ht="32" customHeight="1" spans="1:15">
      <c r="A444" s="8">
        <v>18</v>
      </c>
      <c r="B444" s="8" t="s">
        <v>164</v>
      </c>
      <c r="C444" s="8" t="s">
        <v>165</v>
      </c>
      <c r="D444" s="8" t="s">
        <v>135</v>
      </c>
      <c r="E444" s="8" t="s">
        <v>460</v>
      </c>
      <c r="F444" s="8" t="s">
        <v>124</v>
      </c>
      <c r="G444" s="9">
        <v>46307</v>
      </c>
      <c r="H444" s="9">
        <v>46318</v>
      </c>
      <c r="I444" s="8" t="s">
        <v>23</v>
      </c>
      <c r="J444" s="8" t="s">
        <v>157</v>
      </c>
      <c r="K444" s="9"/>
      <c r="L444" s="8" t="s">
        <v>576</v>
      </c>
      <c r="M444" s="8"/>
      <c r="N444" s="10"/>
      <c r="O444" s="8" t="s">
        <v>992</v>
      </c>
    </row>
    <row r="445" ht="32" customHeight="1" spans="1:15">
      <c r="A445" s="8">
        <v>18</v>
      </c>
      <c r="B445" s="8" t="s">
        <v>166</v>
      </c>
      <c r="C445" s="8" t="s">
        <v>167</v>
      </c>
      <c r="D445" s="8" t="s">
        <v>135</v>
      </c>
      <c r="E445" s="8" t="s">
        <v>460</v>
      </c>
      <c r="F445" s="8" t="s">
        <v>124</v>
      </c>
      <c r="G445" s="9">
        <v>46307</v>
      </c>
      <c r="H445" s="9">
        <v>46318</v>
      </c>
      <c r="I445" s="8" t="s">
        <v>23</v>
      </c>
      <c r="J445" s="8" t="s">
        <v>23</v>
      </c>
      <c r="K445" s="9"/>
      <c r="L445" s="8" t="s">
        <v>576</v>
      </c>
      <c r="M445" s="8"/>
      <c r="N445" s="10"/>
      <c r="O445" s="8" t="s">
        <v>993</v>
      </c>
    </row>
    <row r="446" ht="32" customHeight="1" spans="1:15">
      <c r="A446" s="8">
        <v>18</v>
      </c>
      <c r="B446" s="8" t="s">
        <v>249</v>
      </c>
      <c r="C446" s="8" t="s">
        <v>251</v>
      </c>
      <c r="D446" s="8" t="s">
        <v>135</v>
      </c>
      <c r="E446" s="8" t="s">
        <v>460</v>
      </c>
      <c r="F446" s="8" t="s">
        <v>124</v>
      </c>
      <c r="G446" s="9">
        <v>46307</v>
      </c>
      <c r="H446" s="9">
        <v>46318</v>
      </c>
      <c r="I446" s="8" t="s">
        <v>23</v>
      </c>
      <c r="J446" s="8" t="s">
        <v>23</v>
      </c>
      <c r="K446" s="9">
        <v>46224</v>
      </c>
      <c r="L446" s="8" t="s">
        <v>576</v>
      </c>
      <c r="M446" s="8"/>
      <c r="N446" s="10"/>
      <c r="O446" s="8" t="s">
        <v>994</v>
      </c>
    </row>
    <row r="447" ht="32" customHeight="1" spans="1:15">
      <c r="A447" s="8">
        <v>18</v>
      </c>
      <c r="B447" s="8" t="s">
        <v>252</v>
      </c>
      <c r="C447" s="8" t="s">
        <v>253</v>
      </c>
      <c r="D447" s="8" t="s">
        <v>135</v>
      </c>
      <c r="E447" s="8" t="s">
        <v>460</v>
      </c>
      <c r="F447" s="8" t="s">
        <v>124</v>
      </c>
      <c r="G447" s="9">
        <v>46307</v>
      </c>
      <c r="H447" s="9">
        <v>46318</v>
      </c>
      <c r="I447" s="8" t="s">
        <v>23</v>
      </c>
      <c r="J447" s="8" t="s">
        <v>23</v>
      </c>
      <c r="K447" s="9">
        <v>46224</v>
      </c>
      <c r="L447" s="8" t="s">
        <v>576</v>
      </c>
      <c r="M447" s="8"/>
      <c r="N447" s="10"/>
      <c r="O447" s="8" t="s">
        <v>995</v>
      </c>
    </row>
    <row r="448" ht="32" customHeight="1" spans="1:15">
      <c r="A448" s="8">
        <v>18</v>
      </c>
      <c r="B448" s="8" t="s">
        <v>254</v>
      </c>
      <c r="C448" s="8" t="s">
        <v>255</v>
      </c>
      <c r="D448" s="8" t="s">
        <v>135</v>
      </c>
      <c r="E448" s="8" t="s">
        <v>460</v>
      </c>
      <c r="F448" s="8" t="s">
        <v>124</v>
      </c>
      <c r="G448" s="9">
        <v>46307</v>
      </c>
      <c r="H448" s="9">
        <v>46318</v>
      </c>
      <c r="I448" s="8" t="s">
        <v>23</v>
      </c>
      <c r="J448" s="8" t="s">
        <v>23</v>
      </c>
      <c r="K448" s="9">
        <v>46224</v>
      </c>
      <c r="L448" s="8" t="s">
        <v>576</v>
      </c>
      <c r="M448" s="8"/>
      <c r="N448" s="10"/>
      <c r="O448" s="8" t="s">
        <v>996</v>
      </c>
    </row>
    <row r="449" ht="32" customHeight="1" spans="1:15">
      <c r="A449" s="8">
        <v>18</v>
      </c>
      <c r="B449" s="8" t="s">
        <v>256</v>
      </c>
      <c r="C449" s="8" t="s">
        <v>257</v>
      </c>
      <c r="D449" s="8" t="s">
        <v>135</v>
      </c>
      <c r="E449" s="8" t="s">
        <v>460</v>
      </c>
      <c r="F449" s="8" t="s">
        <v>124</v>
      </c>
      <c r="G449" s="9">
        <v>46307</v>
      </c>
      <c r="H449" s="9">
        <v>46318</v>
      </c>
      <c r="I449" s="8" t="s">
        <v>23</v>
      </c>
      <c r="J449" s="8" t="s">
        <v>23</v>
      </c>
      <c r="K449" s="9"/>
      <c r="L449" s="8" t="s">
        <v>576</v>
      </c>
      <c r="M449" s="8"/>
      <c r="N449" s="10"/>
      <c r="O449" s="8" t="s">
        <v>997</v>
      </c>
    </row>
    <row r="450" ht="32" customHeight="1" spans="1:15">
      <c r="A450" s="8">
        <v>18</v>
      </c>
      <c r="B450" s="8" t="s">
        <v>258</v>
      </c>
      <c r="C450" s="8" t="s">
        <v>259</v>
      </c>
      <c r="D450" s="8" t="s">
        <v>135</v>
      </c>
      <c r="E450" s="8" t="s">
        <v>460</v>
      </c>
      <c r="F450" s="8" t="s">
        <v>124</v>
      </c>
      <c r="G450" s="9">
        <v>46307</v>
      </c>
      <c r="H450" s="9">
        <v>46318</v>
      </c>
      <c r="I450" s="8" t="s">
        <v>23</v>
      </c>
      <c r="J450" s="8" t="s">
        <v>23</v>
      </c>
      <c r="K450" s="9">
        <v>46224</v>
      </c>
      <c r="L450" s="8" t="s">
        <v>576</v>
      </c>
      <c r="M450" s="8"/>
      <c r="N450" s="10"/>
      <c r="O450" s="8" t="s">
        <v>998</v>
      </c>
    </row>
    <row r="451" ht="32" customHeight="1" spans="1:15">
      <c r="A451" s="8">
        <v>18</v>
      </c>
      <c r="B451" s="8" t="s">
        <v>263</v>
      </c>
      <c r="C451" s="8" t="s">
        <v>265</v>
      </c>
      <c r="D451" s="8" t="s">
        <v>119</v>
      </c>
      <c r="E451" s="8" t="s">
        <v>460</v>
      </c>
      <c r="F451" s="8" t="s">
        <v>124</v>
      </c>
      <c r="G451" s="9">
        <v>46307</v>
      </c>
      <c r="H451" s="9">
        <v>46318</v>
      </c>
      <c r="I451" s="8" t="s">
        <v>121</v>
      </c>
      <c r="J451" s="8" t="s">
        <v>121</v>
      </c>
      <c r="K451" s="9"/>
      <c r="L451" s="8" t="s">
        <v>576</v>
      </c>
      <c r="M451" s="8" t="s">
        <v>577</v>
      </c>
      <c r="N451" s="10"/>
      <c r="O451" s="8" t="s">
        <v>999</v>
      </c>
    </row>
    <row r="452" ht="32" customHeight="1" spans="1:15">
      <c r="A452" s="8">
        <v>18</v>
      </c>
      <c r="B452" s="8" t="s">
        <v>303</v>
      </c>
      <c r="C452" s="8" t="s">
        <v>306</v>
      </c>
      <c r="D452" s="8" t="s">
        <v>135</v>
      </c>
      <c r="E452" s="8" t="s">
        <v>460</v>
      </c>
      <c r="F452" s="8" t="s">
        <v>124</v>
      </c>
      <c r="G452" s="9">
        <v>46307</v>
      </c>
      <c r="H452" s="9">
        <v>46318</v>
      </c>
      <c r="I452" s="8" t="s">
        <v>23</v>
      </c>
      <c r="J452" s="8" t="s">
        <v>157</v>
      </c>
      <c r="K452" s="9"/>
      <c r="L452" s="8" t="s">
        <v>576</v>
      </c>
      <c r="M452" s="8"/>
      <c r="N452" s="10"/>
      <c r="O452" s="8" t="s">
        <v>1000</v>
      </c>
    </row>
    <row r="453" ht="32" customHeight="1" spans="1:15">
      <c r="A453" s="8">
        <v>18</v>
      </c>
      <c r="B453" s="8" t="s">
        <v>307</v>
      </c>
      <c r="C453" s="8" t="s">
        <v>308</v>
      </c>
      <c r="D453" s="8" t="s">
        <v>135</v>
      </c>
      <c r="E453" s="8" t="s">
        <v>460</v>
      </c>
      <c r="F453" s="8" t="s">
        <v>124</v>
      </c>
      <c r="G453" s="9">
        <v>46307</v>
      </c>
      <c r="H453" s="9">
        <v>46318</v>
      </c>
      <c r="I453" s="8" t="s">
        <v>23</v>
      </c>
      <c r="J453" s="8" t="s">
        <v>157</v>
      </c>
      <c r="K453" s="9"/>
      <c r="L453" s="8" t="s">
        <v>576</v>
      </c>
      <c r="M453" s="8"/>
      <c r="N453" s="10"/>
      <c r="O453" s="8" t="s">
        <v>1001</v>
      </c>
    </row>
    <row r="454" ht="32" customHeight="1" spans="1:15">
      <c r="A454" s="8">
        <v>18</v>
      </c>
      <c r="B454" s="8" t="s">
        <v>309</v>
      </c>
      <c r="C454" s="8" t="s">
        <v>310</v>
      </c>
      <c r="D454" s="8" t="s">
        <v>135</v>
      </c>
      <c r="E454" s="8" t="s">
        <v>460</v>
      </c>
      <c r="F454" s="8" t="s">
        <v>124</v>
      </c>
      <c r="G454" s="9">
        <v>46307</v>
      </c>
      <c r="H454" s="9">
        <v>46318</v>
      </c>
      <c r="I454" s="8" t="s">
        <v>23</v>
      </c>
      <c r="J454" s="8" t="s">
        <v>157</v>
      </c>
      <c r="K454" s="9">
        <v>46261</v>
      </c>
      <c r="L454" s="8" t="s">
        <v>576</v>
      </c>
      <c r="M454" s="8"/>
      <c r="N454" s="10"/>
      <c r="O454" s="8" t="s">
        <v>1002</v>
      </c>
    </row>
    <row r="455" ht="32" customHeight="1" spans="1:15">
      <c r="A455" s="8">
        <v>18</v>
      </c>
      <c r="B455" s="8" t="s">
        <v>433</v>
      </c>
      <c r="C455" s="8" t="s">
        <v>434</v>
      </c>
      <c r="D455" s="8" t="s">
        <v>135</v>
      </c>
      <c r="E455" s="8" t="s">
        <v>460</v>
      </c>
      <c r="F455" s="8" t="s">
        <v>124</v>
      </c>
      <c r="G455" s="9">
        <v>46307</v>
      </c>
      <c r="H455" s="9">
        <v>46318</v>
      </c>
      <c r="I455" s="8" t="s">
        <v>23</v>
      </c>
      <c r="J455" s="8" t="s">
        <v>23</v>
      </c>
      <c r="K455" s="9"/>
      <c r="L455" s="8" t="s">
        <v>576</v>
      </c>
      <c r="M455" s="8"/>
      <c r="N455" s="10"/>
      <c r="O455" s="8" t="s">
        <v>1003</v>
      </c>
    </row>
    <row r="456" ht="32" customHeight="1" spans="1:15">
      <c r="A456" s="8">
        <v>21</v>
      </c>
      <c r="B456" s="8" t="s">
        <v>132</v>
      </c>
      <c r="C456" s="8" t="s">
        <v>134</v>
      </c>
      <c r="D456" s="8" t="s">
        <v>135</v>
      </c>
      <c r="E456" s="8" t="s">
        <v>463</v>
      </c>
      <c r="F456" s="8" t="s">
        <v>123</v>
      </c>
      <c r="G456" s="9">
        <v>46307</v>
      </c>
      <c r="H456" s="9">
        <v>46339</v>
      </c>
      <c r="I456" s="8" t="s">
        <v>121</v>
      </c>
      <c r="J456" s="8" t="s">
        <v>121</v>
      </c>
      <c r="K456" s="9"/>
      <c r="L456" s="8" t="s">
        <v>576</v>
      </c>
      <c r="M456" s="8" t="s">
        <v>577</v>
      </c>
      <c r="N456" s="10"/>
      <c r="O456" s="8" t="s">
        <v>1004</v>
      </c>
    </row>
    <row r="457" ht="32" customHeight="1" spans="1:15">
      <c r="A457" s="8">
        <v>21</v>
      </c>
      <c r="B457" s="8" t="s">
        <v>168</v>
      </c>
      <c r="C457" s="8" t="s">
        <v>171</v>
      </c>
      <c r="D457" s="8" t="s">
        <v>135</v>
      </c>
      <c r="E457" s="8" t="s">
        <v>463</v>
      </c>
      <c r="F457" s="8" t="s">
        <v>123</v>
      </c>
      <c r="G457" s="9">
        <v>46307</v>
      </c>
      <c r="H457" s="9">
        <v>46339</v>
      </c>
      <c r="I457" s="8" t="s">
        <v>23</v>
      </c>
      <c r="J457" s="8" t="s">
        <v>157</v>
      </c>
      <c r="K457" s="9"/>
      <c r="L457" s="8" t="s">
        <v>576</v>
      </c>
      <c r="M457" s="8"/>
      <c r="N457" s="10"/>
      <c r="O457" s="8" t="s">
        <v>1005</v>
      </c>
    </row>
    <row r="458" ht="32" customHeight="1" spans="1:15">
      <c r="A458" s="8">
        <v>21</v>
      </c>
      <c r="B458" s="8" t="s">
        <v>176</v>
      </c>
      <c r="C458" s="8" t="s">
        <v>178</v>
      </c>
      <c r="D458" s="8" t="s">
        <v>135</v>
      </c>
      <c r="E458" s="8" t="s">
        <v>463</v>
      </c>
      <c r="F458" s="8" t="s">
        <v>123</v>
      </c>
      <c r="G458" s="9">
        <v>46307</v>
      </c>
      <c r="H458" s="9">
        <v>46339</v>
      </c>
      <c r="I458" s="8" t="s">
        <v>23</v>
      </c>
      <c r="J458" s="8" t="s">
        <v>23</v>
      </c>
      <c r="K458" s="9"/>
      <c r="L458" s="8" t="s">
        <v>576</v>
      </c>
      <c r="M458" s="8"/>
      <c r="N458" s="10"/>
      <c r="O458" s="8" t="s">
        <v>1006</v>
      </c>
    </row>
    <row r="459" ht="32" customHeight="1" spans="1:15">
      <c r="A459" s="8">
        <v>21</v>
      </c>
      <c r="B459" s="8" t="s">
        <v>179</v>
      </c>
      <c r="C459" s="8" t="s">
        <v>180</v>
      </c>
      <c r="D459" s="8" t="s">
        <v>135</v>
      </c>
      <c r="E459" s="8" t="s">
        <v>463</v>
      </c>
      <c r="F459" s="8" t="s">
        <v>123</v>
      </c>
      <c r="G459" s="9">
        <v>46307</v>
      </c>
      <c r="H459" s="9">
        <v>46339</v>
      </c>
      <c r="I459" s="8" t="s">
        <v>23</v>
      </c>
      <c r="J459" s="8" t="s">
        <v>23</v>
      </c>
      <c r="K459" s="9"/>
      <c r="L459" s="8" t="s">
        <v>576</v>
      </c>
      <c r="M459" s="8"/>
      <c r="N459" s="10"/>
      <c r="O459" s="8" t="s">
        <v>1007</v>
      </c>
    </row>
    <row r="460" ht="32" customHeight="1" spans="1:15">
      <c r="A460" s="8">
        <v>21</v>
      </c>
      <c r="B460" s="8" t="s">
        <v>181</v>
      </c>
      <c r="C460" s="8" t="s">
        <v>183</v>
      </c>
      <c r="D460" s="8" t="s">
        <v>135</v>
      </c>
      <c r="E460" s="8" t="s">
        <v>463</v>
      </c>
      <c r="F460" s="8" t="s">
        <v>123</v>
      </c>
      <c r="G460" s="9">
        <v>46307</v>
      </c>
      <c r="H460" s="9">
        <v>46339</v>
      </c>
      <c r="I460" s="8" t="s">
        <v>23</v>
      </c>
      <c r="J460" s="8" t="s">
        <v>23</v>
      </c>
      <c r="K460" s="9"/>
      <c r="L460" s="8" t="s">
        <v>576</v>
      </c>
      <c r="M460" s="8"/>
      <c r="N460" s="10"/>
      <c r="O460" s="8" t="s">
        <v>1008</v>
      </c>
    </row>
    <row r="461" ht="32" customHeight="1" spans="1:15">
      <c r="A461" s="8">
        <v>21</v>
      </c>
      <c r="B461" s="8" t="s">
        <v>184</v>
      </c>
      <c r="C461" s="8" t="s">
        <v>185</v>
      </c>
      <c r="D461" s="8" t="s">
        <v>135</v>
      </c>
      <c r="E461" s="8" t="s">
        <v>463</v>
      </c>
      <c r="F461" s="8" t="s">
        <v>123</v>
      </c>
      <c r="G461" s="9">
        <v>46307</v>
      </c>
      <c r="H461" s="9">
        <v>46339</v>
      </c>
      <c r="I461" s="8" t="s">
        <v>23</v>
      </c>
      <c r="J461" s="8" t="s">
        <v>23</v>
      </c>
      <c r="K461" s="9">
        <v>46261</v>
      </c>
      <c r="L461" s="8" t="s">
        <v>576</v>
      </c>
      <c r="M461" s="8"/>
      <c r="N461" s="10"/>
      <c r="O461" s="8" t="s">
        <v>1009</v>
      </c>
    </row>
    <row r="462" ht="32" customHeight="1" spans="1:15">
      <c r="A462" s="8">
        <v>21</v>
      </c>
      <c r="B462" s="8" t="s">
        <v>191</v>
      </c>
      <c r="C462" s="8" t="s">
        <v>192</v>
      </c>
      <c r="D462" s="8" t="s">
        <v>135</v>
      </c>
      <c r="E462" s="8" t="s">
        <v>463</v>
      </c>
      <c r="F462" s="8" t="s">
        <v>123</v>
      </c>
      <c r="G462" s="9">
        <v>46307</v>
      </c>
      <c r="H462" s="9">
        <v>46339</v>
      </c>
      <c r="I462" s="8" t="s">
        <v>23</v>
      </c>
      <c r="J462" s="8" t="s">
        <v>157</v>
      </c>
      <c r="K462" s="9">
        <v>46261</v>
      </c>
      <c r="L462" s="8" t="s">
        <v>576</v>
      </c>
      <c r="M462" s="8"/>
      <c r="N462" s="10"/>
      <c r="O462" s="8" t="s">
        <v>1010</v>
      </c>
    </row>
    <row r="463" ht="32" customHeight="1" spans="1:15">
      <c r="A463" s="8">
        <v>21</v>
      </c>
      <c r="B463" s="8" t="s">
        <v>193</v>
      </c>
      <c r="C463" s="8" t="s">
        <v>194</v>
      </c>
      <c r="D463" s="8" t="s">
        <v>135</v>
      </c>
      <c r="E463" s="8" t="s">
        <v>463</v>
      </c>
      <c r="F463" s="8" t="s">
        <v>123</v>
      </c>
      <c r="G463" s="9">
        <v>46307</v>
      </c>
      <c r="H463" s="9">
        <v>46339</v>
      </c>
      <c r="I463" s="8" t="s">
        <v>23</v>
      </c>
      <c r="J463" s="8" t="s">
        <v>157</v>
      </c>
      <c r="K463" s="9">
        <v>46261</v>
      </c>
      <c r="L463" s="8" t="s">
        <v>576</v>
      </c>
      <c r="M463" s="8"/>
      <c r="N463" s="10"/>
      <c r="O463" s="8" t="s">
        <v>1011</v>
      </c>
    </row>
    <row r="464" ht="32" customHeight="1" spans="1:15">
      <c r="A464" s="8">
        <v>21</v>
      </c>
      <c r="B464" s="8" t="s">
        <v>233</v>
      </c>
      <c r="C464" s="8" t="s">
        <v>235</v>
      </c>
      <c r="D464" s="8" t="s">
        <v>135</v>
      </c>
      <c r="E464" s="8" t="s">
        <v>463</v>
      </c>
      <c r="F464" s="8" t="s">
        <v>123</v>
      </c>
      <c r="G464" s="9">
        <v>46307</v>
      </c>
      <c r="H464" s="9">
        <v>46339</v>
      </c>
      <c r="I464" s="8" t="s">
        <v>121</v>
      </c>
      <c r="J464" s="8" t="s">
        <v>121</v>
      </c>
      <c r="K464" s="9"/>
      <c r="L464" s="8" t="s">
        <v>576</v>
      </c>
      <c r="M464" s="8" t="s">
        <v>577</v>
      </c>
      <c r="N464" s="10"/>
      <c r="O464" s="8" t="s">
        <v>1012</v>
      </c>
    </row>
    <row r="465" ht="32" customHeight="1" spans="1:15">
      <c r="A465" s="8">
        <v>21</v>
      </c>
      <c r="B465" s="8" t="s">
        <v>236</v>
      </c>
      <c r="C465" s="8" t="s">
        <v>237</v>
      </c>
      <c r="D465" s="8" t="s">
        <v>135</v>
      </c>
      <c r="E465" s="8" t="s">
        <v>463</v>
      </c>
      <c r="F465" s="8" t="s">
        <v>123</v>
      </c>
      <c r="G465" s="9">
        <v>46307</v>
      </c>
      <c r="H465" s="9">
        <v>46339</v>
      </c>
      <c r="I465" s="8" t="s">
        <v>23</v>
      </c>
      <c r="J465" s="8" t="s">
        <v>23</v>
      </c>
      <c r="K465" s="9"/>
      <c r="L465" s="8" t="s">
        <v>576</v>
      </c>
      <c r="M465" s="8"/>
      <c r="N465" s="10"/>
      <c r="O465" s="8" t="s">
        <v>1013</v>
      </c>
    </row>
    <row r="466" ht="32" customHeight="1" spans="1:15">
      <c r="A466" s="8">
        <v>21</v>
      </c>
      <c r="B466" s="8" t="s">
        <v>238</v>
      </c>
      <c r="C466" s="8" t="s">
        <v>237</v>
      </c>
      <c r="D466" s="8" t="s">
        <v>135</v>
      </c>
      <c r="E466" s="8" t="s">
        <v>463</v>
      </c>
      <c r="F466" s="8" t="s">
        <v>123</v>
      </c>
      <c r="G466" s="9">
        <v>46307</v>
      </c>
      <c r="H466" s="9">
        <v>46339</v>
      </c>
      <c r="I466" s="8" t="s">
        <v>23</v>
      </c>
      <c r="J466" s="8" t="s">
        <v>23</v>
      </c>
      <c r="K466" s="9">
        <v>46261</v>
      </c>
      <c r="L466" s="8" t="s">
        <v>576</v>
      </c>
      <c r="M466" s="8"/>
      <c r="N466" s="10"/>
      <c r="O466" s="8" t="s">
        <v>1014</v>
      </c>
    </row>
    <row r="467" ht="32" customHeight="1" spans="1:15">
      <c r="A467" s="8">
        <v>21</v>
      </c>
      <c r="B467" s="8" t="s">
        <v>240</v>
      </c>
      <c r="C467" s="8" t="s">
        <v>242</v>
      </c>
      <c r="D467" s="8" t="s">
        <v>135</v>
      </c>
      <c r="E467" s="8" t="s">
        <v>463</v>
      </c>
      <c r="F467" s="8" t="s">
        <v>123</v>
      </c>
      <c r="G467" s="9">
        <v>46307</v>
      </c>
      <c r="H467" s="9">
        <v>46339</v>
      </c>
      <c r="I467" s="8" t="s">
        <v>121</v>
      </c>
      <c r="J467" s="8" t="s">
        <v>121</v>
      </c>
      <c r="K467" s="9">
        <v>46261</v>
      </c>
      <c r="L467" s="8" t="s">
        <v>576</v>
      </c>
      <c r="M467" s="8"/>
      <c r="N467" s="10"/>
      <c r="O467" s="8" t="s">
        <v>1015</v>
      </c>
    </row>
    <row r="468" ht="32" customHeight="1" spans="1:15">
      <c r="A468" s="8">
        <v>21</v>
      </c>
      <c r="B468" s="8" t="s">
        <v>311</v>
      </c>
      <c r="C468" s="8" t="s">
        <v>313</v>
      </c>
      <c r="D468" s="8" t="s">
        <v>135</v>
      </c>
      <c r="E468" s="8" t="s">
        <v>463</v>
      </c>
      <c r="F468" s="8" t="s">
        <v>123</v>
      </c>
      <c r="G468" s="9">
        <v>46307</v>
      </c>
      <c r="H468" s="9">
        <v>46339</v>
      </c>
      <c r="I468" s="8" t="s">
        <v>23</v>
      </c>
      <c r="J468" s="8" t="s">
        <v>23</v>
      </c>
      <c r="K468" s="9"/>
      <c r="L468" s="8" t="s">
        <v>576</v>
      </c>
      <c r="M468" s="8"/>
      <c r="N468" s="10"/>
      <c r="O468" s="8" t="s">
        <v>1016</v>
      </c>
    </row>
    <row r="469" ht="32" customHeight="1" spans="1:15">
      <c r="A469" s="8">
        <v>21</v>
      </c>
      <c r="B469" s="8" t="s">
        <v>314</v>
      </c>
      <c r="C469" s="8" t="s">
        <v>315</v>
      </c>
      <c r="D469" s="8" t="s">
        <v>135</v>
      </c>
      <c r="E469" s="8" t="s">
        <v>463</v>
      </c>
      <c r="F469" s="8" t="s">
        <v>123</v>
      </c>
      <c r="G469" s="9">
        <v>46307</v>
      </c>
      <c r="H469" s="9">
        <v>46339</v>
      </c>
      <c r="I469" s="8" t="s">
        <v>23</v>
      </c>
      <c r="J469" s="8" t="s">
        <v>23</v>
      </c>
      <c r="K469" s="9">
        <v>46224</v>
      </c>
      <c r="L469" s="8" t="s">
        <v>576</v>
      </c>
      <c r="M469" s="8"/>
      <c r="N469" s="10"/>
      <c r="O469" s="8" t="s">
        <v>1017</v>
      </c>
    </row>
    <row r="470" ht="32" customHeight="1" spans="1:15">
      <c r="A470" s="8">
        <v>21</v>
      </c>
      <c r="B470" s="8" t="s">
        <v>316</v>
      </c>
      <c r="C470" s="8" t="s">
        <v>313</v>
      </c>
      <c r="D470" s="8" t="s">
        <v>135</v>
      </c>
      <c r="E470" s="8" t="s">
        <v>463</v>
      </c>
      <c r="F470" s="8" t="s">
        <v>123</v>
      </c>
      <c r="G470" s="9">
        <v>46307</v>
      </c>
      <c r="H470" s="9">
        <v>46339</v>
      </c>
      <c r="I470" s="8" t="s">
        <v>23</v>
      </c>
      <c r="J470" s="8" t="s">
        <v>23</v>
      </c>
      <c r="K470" s="9">
        <v>46224</v>
      </c>
      <c r="L470" s="8" t="s">
        <v>576</v>
      </c>
      <c r="M470" s="8"/>
      <c r="N470" s="10"/>
      <c r="O470" s="8" t="s">
        <v>1018</v>
      </c>
    </row>
    <row r="471" ht="32" customHeight="1" spans="1:15">
      <c r="A471" s="8">
        <v>21</v>
      </c>
      <c r="B471" s="8" t="s">
        <v>318</v>
      </c>
      <c r="C471" s="8" t="s">
        <v>319</v>
      </c>
      <c r="D471" s="8" t="s">
        <v>135</v>
      </c>
      <c r="E471" s="8" t="s">
        <v>463</v>
      </c>
      <c r="F471" s="8" t="s">
        <v>123</v>
      </c>
      <c r="G471" s="9">
        <v>46307</v>
      </c>
      <c r="H471" s="9">
        <v>46339</v>
      </c>
      <c r="I471" s="8" t="s">
        <v>23</v>
      </c>
      <c r="J471" s="8" t="s">
        <v>23</v>
      </c>
      <c r="K471" s="9">
        <v>46224</v>
      </c>
      <c r="L471" s="8" t="s">
        <v>576</v>
      </c>
      <c r="M471" s="8"/>
      <c r="N471" s="10"/>
      <c r="O471" s="8" t="s">
        <v>1019</v>
      </c>
    </row>
    <row r="472" ht="32" customHeight="1" spans="1:15">
      <c r="A472" s="8">
        <v>21</v>
      </c>
      <c r="B472" s="8" t="s">
        <v>326</v>
      </c>
      <c r="C472" s="8" t="s">
        <v>328</v>
      </c>
      <c r="D472" s="8" t="s">
        <v>135</v>
      </c>
      <c r="E472" s="8" t="s">
        <v>463</v>
      </c>
      <c r="F472" s="8" t="s">
        <v>123</v>
      </c>
      <c r="G472" s="9">
        <v>46307</v>
      </c>
      <c r="H472" s="9">
        <v>46339</v>
      </c>
      <c r="I472" s="8" t="s">
        <v>23</v>
      </c>
      <c r="J472" s="8" t="s">
        <v>23</v>
      </c>
      <c r="K472" s="9"/>
      <c r="L472" s="8" t="s">
        <v>576</v>
      </c>
      <c r="M472" s="8"/>
      <c r="N472" s="10"/>
      <c r="O472" s="8" t="s">
        <v>1020</v>
      </c>
    </row>
    <row r="473" ht="32" customHeight="1" spans="1:15">
      <c r="A473" s="8">
        <v>21</v>
      </c>
      <c r="B473" s="8" t="s">
        <v>329</v>
      </c>
      <c r="C473" s="8" t="s">
        <v>330</v>
      </c>
      <c r="D473" s="8" t="s">
        <v>135</v>
      </c>
      <c r="E473" s="8" t="s">
        <v>463</v>
      </c>
      <c r="F473" s="8" t="s">
        <v>123</v>
      </c>
      <c r="G473" s="9">
        <v>46307</v>
      </c>
      <c r="H473" s="9">
        <v>46339</v>
      </c>
      <c r="I473" s="8" t="s">
        <v>23</v>
      </c>
      <c r="J473" s="8" t="s">
        <v>23</v>
      </c>
      <c r="K473" s="9"/>
      <c r="L473" s="8" t="s">
        <v>576</v>
      </c>
      <c r="M473" s="8"/>
      <c r="N473" s="10"/>
      <c r="O473" s="8" t="s">
        <v>1021</v>
      </c>
    </row>
    <row r="474" ht="32" customHeight="1" spans="1:15">
      <c r="A474" s="8">
        <v>21</v>
      </c>
      <c r="B474" s="8" t="s">
        <v>331</v>
      </c>
      <c r="C474" s="8" t="s">
        <v>332</v>
      </c>
      <c r="D474" s="8" t="s">
        <v>135</v>
      </c>
      <c r="E474" s="8" t="s">
        <v>463</v>
      </c>
      <c r="F474" s="8" t="s">
        <v>123</v>
      </c>
      <c r="G474" s="9">
        <v>46307</v>
      </c>
      <c r="H474" s="9">
        <v>46339</v>
      </c>
      <c r="I474" s="8" t="s">
        <v>23</v>
      </c>
      <c r="J474" s="8" t="s">
        <v>23</v>
      </c>
      <c r="K474" s="9"/>
      <c r="L474" s="8" t="s">
        <v>576</v>
      </c>
      <c r="M474" s="8"/>
      <c r="N474" s="10"/>
      <c r="O474" s="8" t="s">
        <v>1022</v>
      </c>
    </row>
    <row r="475" ht="32" customHeight="1" spans="1:15">
      <c r="A475" s="8">
        <v>21</v>
      </c>
      <c r="B475" s="8" t="s">
        <v>333</v>
      </c>
      <c r="C475" s="8" t="s">
        <v>334</v>
      </c>
      <c r="D475" s="8" t="s">
        <v>135</v>
      </c>
      <c r="E475" s="8" t="s">
        <v>463</v>
      </c>
      <c r="F475" s="8" t="s">
        <v>123</v>
      </c>
      <c r="G475" s="9">
        <v>46307</v>
      </c>
      <c r="H475" s="9">
        <v>46339</v>
      </c>
      <c r="I475" s="8" t="s">
        <v>23</v>
      </c>
      <c r="J475" s="8" t="s">
        <v>23</v>
      </c>
      <c r="K475" s="9"/>
      <c r="L475" s="8" t="s">
        <v>576</v>
      </c>
      <c r="M475" s="8"/>
      <c r="N475" s="10"/>
      <c r="O475" s="8" t="s">
        <v>1023</v>
      </c>
    </row>
    <row r="476" ht="32" customHeight="1" spans="1:15">
      <c r="A476" s="8">
        <v>21</v>
      </c>
      <c r="B476" s="8" t="s">
        <v>335</v>
      </c>
      <c r="C476" s="8" t="s">
        <v>313</v>
      </c>
      <c r="D476" s="8" t="s">
        <v>135</v>
      </c>
      <c r="E476" s="8" t="s">
        <v>463</v>
      </c>
      <c r="F476" s="8" t="s">
        <v>123</v>
      </c>
      <c r="G476" s="9">
        <v>46307</v>
      </c>
      <c r="H476" s="9">
        <v>46339</v>
      </c>
      <c r="I476" s="8" t="s">
        <v>23</v>
      </c>
      <c r="J476" s="8" t="s">
        <v>23</v>
      </c>
      <c r="K476" s="9"/>
      <c r="L476" s="8" t="s">
        <v>576</v>
      </c>
      <c r="M476" s="8"/>
      <c r="N476" s="10"/>
      <c r="O476" s="8" t="s">
        <v>1024</v>
      </c>
    </row>
    <row r="477" ht="32" customHeight="1" spans="1:15">
      <c r="A477" s="8">
        <v>21</v>
      </c>
      <c r="B477" s="8" t="s">
        <v>337</v>
      </c>
      <c r="C477" s="8" t="s">
        <v>315</v>
      </c>
      <c r="D477" s="8" t="s">
        <v>135</v>
      </c>
      <c r="E477" s="8" t="s">
        <v>463</v>
      </c>
      <c r="F477" s="8" t="s">
        <v>123</v>
      </c>
      <c r="G477" s="9">
        <v>46307</v>
      </c>
      <c r="H477" s="9">
        <v>46339</v>
      </c>
      <c r="I477" s="8" t="s">
        <v>23</v>
      </c>
      <c r="J477" s="8" t="s">
        <v>23</v>
      </c>
      <c r="K477" s="9"/>
      <c r="L477" s="8" t="s">
        <v>576</v>
      </c>
      <c r="M477" s="8"/>
      <c r="N477" s="10"/>
      <c r="O477" s="8" t="s">
        <v>1025</v>
      </c>
    </row>
    <row r="478" ht="32" customHeight="1" spans="1:15">
      <c r="A478" s="8">
        <v>21</v>
      </c>
      <c r="B478" s="8" t="s">
        <v>410</v>
      </c>
      <c r="C478" s="8" t="s">
        <v>411</v>
      </c>
      <c r="D478" s="8" t="s">
        <v>135</v>
      </c>
      <c r="E478" s="8" t="s">
        <v>463</v>
      </c>
      <c r="F478" s="8" t="s">
        <v>123</v>
      </c>
      <c r="G478" s="9">
        <v>46307</v>
      </c>
      <c r="H478" s="9">
        <v>46339</v>
      </c>
      <c r="I478" s="8" t="s">
        <v>23</v>
      </c>
      <c r="J478" s="8" t="s">
        <v>23</v>
      </c>
      <c r="K478" s="9"/>
      <c r="L478" s="8" t="s">
        <v>576</v>
      </c>
      <c r="M478" s="8"/>
      <c r="N478" s="10"/>
      <c r="O478" s="8" t="s">
        <v>1026</v>
      </c>
    </row>
    <row r="479" ht="32" customHeight="1" spans="1:15">
      <c r="A479" s="8">
        <v>21</v>
      </c>
      <c r="B479" s="8" t="s">
        <v>412</v>
      </c>
      <c r="C479" s="8" t="s">
        <v>413</v>
      </c>
      <c r="D479" s="8" t="s">
        <v>135</v>
      </c>
      <c r="E479" s="8" t="s">
        <v>463</v>
      </c>
      <c r="F479" s="8" t="s">
        <v>123</v>
      </c>
      <c r="G479" s="9">
        <v>46307</v>
      </c>
      <c r="H479" s="9">
        <v>46339</v>
      </c>
      <c r="I479" s="8" t="s">
        <v>23</v>
      </c>
      <c r="J479" s="8" t="s">
        <v>23</v>
      </c>
      <c r="K479" s="9">
        <v>46261</v>
      </c>
      <c r="L479" s="8" t="s">
        <v>576</v>
      </c>
      <c r="M479" s="8"/>
      <c r="N479" s="10"/>
      <c r="O479" s="8" t="s">
        <v>1027</v>
      </c>
    </row>
    <row r="480" ht="32" customHeight="1" spans="1:15">
      <c r="A480" s="8">
        <v>21</v>
      </c>
      <c r="B480" s="8" t="s">
        <v>414</v>
      </c>
      <c r="C480" s="8" t="s">
        <v>415</v>
      </c>
      <c r="D480" s="8" t="s">
        <v>135</v>
      </c>
      <c r="E480" s="8" t="s">
        <v>463</v>
      </c>
      <c r="F480" s="8" t="s">
        <v>200</v>
      </c>
      <c r="G480" s="9">
        <v>46307</v>
      </c>
      <c r="H480" s="9">
        <v>46339</v>
      </c>
      <c r="I480" s="8" t="s">
        <v>23</v>
      </c>
      <c r="J480" s="8" t="s">
        <v>23</v>
      </c>
      <c r="K480" s="9">
        <v>46261</v>
      </c>
      <c r="L480" s="8" t="s">
        <v>576</v>
      </c>
      <c r="M480" s="8"/>
      <c r="N480" s="10"/>
      <c r="O480" s="8" t="s">
        <v>1028</v>
      </c>
    </row>
    <row r="481" ht="32" customHeight="1" spans="1:15">
      <c r="A481" s="8">
        <v>21</v>
      </c>
      <c r="B481" s="8" t="s">
        <v>416</v>
      </c>
      <c r="C481" s="8" t="s">
        <v>417</v>
      </c>
      <c r="D481" s="8" t="s">
        <v>135</v>
      </c>
      <c r="E481" s="8" t="s">
        <v>463</v>
      </c>
      <c r="F481" s="8" t="s">
        <v>200</v>
      </c>
      <c r="G481" s="9">
        <v>46307</v>
      </c>
      <c r="H481" s="9">
        <v>46339</v>
      </c>
      <c r="I481" s="8" t="s">
        <v>23</v>
      </c>
      <c r="J481" s="8" t="s">
        <v>23</v>
      </c>
      <c r="K481" s="9"/>
      <c r="L481" s="8" t="s">
        <v>576</v>
      </c>
      <c r="M481" s="8"/>
      <c r="N481" s="10"/>
      <c r="O481" s="8" t="s">
        <v>1029</v>
      </c>
    </row>
    <row r="482" ht="32" customHeight="1" spans="1:15">
      <c r="A482" s="8">
        <v>21</v>
      </c>
      <c r="B482" s="8" t="s">
        <v>418</v>
      </c>
      <c r="C482" s="8" t="s">
        <v>419</v>
      </c>
      <c r="D482" s="8" t="s">
        <v>135</v>
      </c>
      <c r="E482" s="8" t="s">
        <v>463</v>
      </c>
      <c r="F482" s="8" t="s">
        <v>123</v>
      </c>
      <c r="G482" s="9">
        <v>46307</v>
      </c>
      <c r="H482" s="9">
        <v>46339</v>
      </c>
      <c r="I482" s="8" t="s">
        <v>23</v>
      </c>
      <c r="J482" s="8" t="s">
        <v>23</v>
      </c>
      <c r="K482" s="9"/>
      <c r="L482" s="8" t="s">
        <v>576</v>
      </c>
      <c r="M482" s="8"/>
      <c r="N482" s="10"/>
      <c r="O482" s="8" t="s">
        <v>1030</v>
      </c>
    </row>
    <row r="483" ht="32" customHeight="1" spans="1:15">
      <c r="A483" s="8">
        <v>21</v>
      </c>
      <c r="B483" s="8" t="s">
        <v>420</v>
      </c>
      <c r="C483" s="8" t="s">
        <v>421</v>
      </c>
      <c r="D483" s="8" t="s">
        <v>135</v>
      </c>
      <c r="E483" s="8" t="s">
        <v>463</v>
      </c>
      <c r="F483" s="8" t="s">
        <v>123</v>
      </c>
      <c r="G483" s="9">
        <v>46307</v>
      </c>
      <c r="H483" s="9">
        <v>46339</v>
      </c>
      <c r="I483" s="8" t="s">
        <v>23</v>
      </c>
      <c r="J483" s="8" t="s">
        <v>23</v>
      </c>
      <c r="K483" s="9"/>
      <c r="L483" s="8" t="s">
        <v>576</v>
      </c>
      <c r="M483" s="8"/>
      <c r="N483" s="10"/>
      <c r="O483" s="8" t="s">
        <v>1031</v>
      </c>
    </row>
    <row r="484" ht="32" customHeight="1" spans="1:15">
      <c r="A484" s="8">
        <v>21</v>
      </c>
      <c r="B484" s="8" t="s">
        <v>422</v>
      </c>
      <c r="C484" s="8" t="s">
        <v>207</v>
      </c>
      <c r="D484" s="8" t="s">
        <v>135</v>
      </c>
      <c r="E484" s="8" t="s">
        <v>463</v>
      </c>
      <c r="F484" s="8" t="s">
        <v>123</v>
      </c>
      <c r="G484" s="9">
        <v>46307</v>
      </c>
      <c r="H484" s="9">
        <v>46339</v>
      </c>
      <c r="I484" s="8" t="s">
        <v>23</v>
      </c>
      <c r="J484" s="8" t="s">
        <v>23</v>
      </c>
      <c r="K484" s="9"/>
      <c r="L484" s="8" t="s">
        <v>576</v>
      </c>
      <c r="M484" s="8"/>
      <c r="N484" s="10"/>
      <c r="O484" s="8" t="s">
        <v>1032</v>
      </c>
    </row>
    <row r="485" ht="32" customHeight="1" spans="1:15">
      <c r="A485" s="8">
        <v>21</v>
      </c>
      <c r="B485" s="8" t="s">
        <v>423</v>
      </c>
      <c r="C485" s="8" t="s">
        <v>211</v>
      </c>
      <c r="D485" s="8" t="s">
        <v>135</v>
      </c>
      <c r="E485" s="8" t="s">
        <v>463</v>
      </c>
      <c r="F485" s="8" t="s">
        <v>123</v>
      </c>
      <c r="G485" s="9">
        <v>46307</v>
      </c>
      <c r="H485" s="9">
        <v>46339</v>
      </c>
      <c r="I485" s="8" t="s">
        <v>23</v>
      </c>
      <c r="J485" s="8" t="s">
        <v>23</v>
      </c>
      <c r="K485" s="9"/>
      <c r="L485" s="8" t="s">
        <v>576</v>
      </c>
      <c r="M485" s="8"/>
      <c r="N485" s="10"/>
      <c r="O485" s="8" t="s">
        <v>1033</v>
      </c>
    </row>
    <row r="486" ht="32" customHeight="1" spans="1:15">
      <c r="A486" s="8">
        <v>21</v>
      </c>
      <c r="B486" s="8" t="s">
        <v>424</v>
      </c>
      <c r="C486" s="8" t="s">
        <v>425</v>
      </c>
      <c r="D486" s="8" t="s">
        <v>135</v>
      </c>
      <c r="E486" s="8" t="s">
        <v>463</v>
      </c>
      <c r="F486" s="8" t="s">
        <v>123</v>
      </c>
      <c r="G486" s="9">
        <v>46307</v>
      </c>
      <c r="H486" s="9">
        <v>46339</v>
      </c>
      <c r="I486" s="8" t="s">
        <v>23</v>
      </c>
      <c r="J486" s="8" t="s">
        <v>23</v>
      </c>
      <c r="K486" s="9"/>
      <c r="L486" s="8" t="s">
        <v>576</v>
      </c>
      <c r="M486" s="8"/>
      <c r="N486" s="10"/>
      <c r="O486" s="8" t="s">
        <v>1034</v>
      </c>
    </row>
    <row r="487" ht="32" customHeight="1" spans="1:15">
      <c r="A487" s="8">
        <v>21</v>
      </c>
      <c r="B487" s="8" t="s">
        <v>426</v>
      </c>
      <c r="C487" s="8" t="s">
        <v>182</v>
      </c>
      <c r="D487" s="8" t="s">
        <v>135</v>
      </c>
      <c r="E487" s="8" t="s">
        <v>463</v>
      </c>
      <c r="F487" s="8" t="s">
        <v>123</v>
      </c>
      <c r="G487" s="9">
        <v>46307</v>
      </c>
      <c r="H487" s="9">
        <v>46339</v>
      </c>
      <c r="I487" s="8" t="s">
        <v>23</v>
      </c>
      <c r="J487" s="8" t="s">
        <v>23</v>
      </c>
      <c r="K487" s="9"/>
      <c r="L487" s="8" t="s">
        <v>576</v>
      </c>
      <c r="M487" s="8"/>
      <c r="N487" s="10"/>
      <c r="O487" s="8" t="s">
        <v>1035</v>
      </c>
    </row>
    <row r="488" ht="32" customHeight="1" spans="1:15">
      <c r="A488" s="8">
        <v>21</v>
      </c>
      <c r="B488" s="8" t="s">
        <v>427</v>
      </c>
      <c r="C488" s="8" t="s">
        <v>187</v>
      </c>
      <c r="D488" s="8" t="s">
        <v>135</v>
      </c>
      <c r="E488" s="8" t="s">
        <v>463</v>
      </c>
      <c r="F488" s="8" t="s">
        <v>123</v>
      </c>
      <c r="G488" s="9">
        <v>46307</v>
      </c>
      <c r="H488" s="9">
        <v>46339</v>
      </c>
      <c r="I488" s="8" t="s">
        <v>23</v>
      </c>
      <c r="J488" s="8" t="s">
        <v>23</v>
      </c>
      <c r="K488" s="9"/>
      <c r="L488" s="8" t="s">
        <v>576</v>
      </c>
      <c r="M488" s="8"/>
      <c r="N488" s="10"/>
      <c r="O488" s="8" t="s">
        <v>1036</v>
      </c>
    </row>
    <row r="489" ht="32" customHeight="1" spans="1:15">
      <c r="A489" s="8">
        <v>21</v>
      </c>
      <c r="B489" s="8" t="s">
        <v>428</v>
      </c>
      <c r="C489" s="8" t="s">
        <v>429</v>
      </c>
      <c r="D489" s="8" t="s">
        <v>135</v>
      </c>
      <c r="E489" s="8" t="s">
        <v>463</v>
      </c>
      <c r="F489" s="8" t="s">
        <v>200</v>
      </c>
      <c r="G489" s="9">
        <v>46307</v>
      </c>
      <c r="H489" s="9">
        <v>46339</v>
      </c>
      <c r="I489" s="8" t="s">
        <v>23</v>
      </c>
      <c r="J489" s="8" t="s">
        <v>23</v>
      </c>
      <c r="K489" s="9"/>
      <c r="L489" s="8" t="s">
        <v>576</v>
      </c>
      <c r="M489" s="8"/>
      <c r="N489" s="10"/>
      <c r="O489" s="8" t="s">
        <v>1037</v>
      </c>
    </row>
    <row r="490" ht="32" customHeight="1" spans="1:15">
      <c r="A490" s="8">
        <v>21</v>
      </c>
      <c r="B490" s="8" t="s">
        <v>435</v>
      </c>
      <c r="C490" s="8" t="s">
        <v>209</v>
      </c>
      <c r="D490" s="8" t="s">
        <v>135</v>
      </c>
      <c r="E490" s="8" t="s">
        <v>463</v>
      </c>
      <c r="F490" s="8" t="s">
        <v>123</v>
      </c>
      <c r="G490" s="9">
        <v>46307</v>
      </c>
      <c r="H490" s="9">
        <v>46339</v>
      </c>
      <c r="I490" s="8" t="s">
        <v>23</v>
      </c>
      <c r="J490" s="8" t="s">
        <v>23</v>
      </c>
      <c r="K490" s="9"/>
      <c r="L490" s="8" t="s">
        <v>576</v>
      </c>
      <c r="M490" s="8"/>
      <c r="N490" s="10"/>
      <c r="O490" s="8" t="s">
        <v>1038</v>
      </c>
    </row>
    <row r="491" ht="32" customHeight="1" spans="1:15">
      <c r="A491" s="8">
        <v>21</v>
      </c>
      <c r="B491" s="8" t="s">
        <v>132</v>
      </c>
      <c r="C491" s="8" t="s">
        <v>134</v>
      </c>
      <c r="D491" s="8" t="s">
        <v>135</v>
      </c>
      <c r="E491" s="8" t="s">
        <v>455</v>
      </c>
      <c r="F491" s="8" t="s">
        <v>122</v>
      </c>
      <c r="G491" s="9">
        <v>46307</v>
      </c>
      <c r="H491" s="9">
        <v>46339</v>
      </c>
      <c r="I491" s="8" t="s">
        <v>121</v>
      </c>
      <c r="J491" s="8" t="s">
        <v>121</v>
      </c>
      <c r="K491" s="9"/>
      <c r="L491" s="8" t="s">
        <v>576</v>
      </c>
      <c r="M491" s="8" t="s">
        <v>577</v>
      </c>
      <c r="N491" s="10"/>
      <c r="O491" s="8" t="s">
        <v>1039</v>
      </c>
    </row>
    <row r="492" ht="32" customHeight="1" spans="1:15">
      <c r="A492" s="8">
        <v>21</v>
      </c>
      <c r="B492" s="8" t="s">
        <v>168</v>
      </c>
      <c r="C492" s="8" t="s">
        <v>171</v>
      </c>
      <c r="D492" s="8" t="s">
        <v>135</v>
      </c>
      <c r="E492" s="8" t="s">
        <v>455</v>
      </c>
      <c r="F492" s="8" t="s">
        <v>122</v>
      </c>
      <c r="G492" s="9">
        <v>46307</v>
      </c>
      <c r="H492" s="9">
        <v>46339</v>
      </c>
      <c r="I492" s="8" t="s">
        <v>23</v>
      </c>
      <c r="J492" s="8" t="s">
        <v>157</v>
      </c>
      <c r="K492" s="9"/>
      <c r="L492" s="8" t="s">
        <v>576</v>
      </c>
      <c r="M492" s="8"/>
      <c r="N492" s="10"/>
      <c r="O492" s="8" t="s">
        <v>1040</v>
      </c>
    </row>
    <row r="493" ht="32" customHeight="1" spans="1:15">
      <c r="A493" s="8">
        <v>21</v>
      </c>
      <c r="B493" s="8" t="s">
        <v>176</v>
      </c>
      <c r="C493" s="8" t="s">
        <v>178</v>
      </c>
      <c r="D493" s="8" t="s">
        <v>135</v>
      </c>
      <c r="E493" s="8" t="s">
        <v>455</v>
      </c>
      <c r="F493" s="8" t="s">
        <v>122</v>
      </c>
      <c r="G493" s="9">
        <v>46307</v>
      </c>
      <c r="H493" s="9">
        <v>46339</v>
      </c>
      <c r="I493" s="8" t="s">
        <v>23</v>
      </c>
      <c r="J493" s="8" t="s">
        <v>23</v>
      </c>
      <c r="K493" s="9"/>
      <c r="L493" s="8" t="s">
        <v>576</v>
      </c>
      <c r="M493" s="8"/>
      <c r="N493" s="10"/>
      <c r="O493" s="8" t="s">
        <v>1041</v>
      </c>
    </row>
    <row r="494" ht="32" customHeight="1" spans="1:15">
      <c r="A494" s="8">
        <v>21</v>
      </c>
      <c r="B494" s="8" t="s">
        <v>179</v>
      </c>
      <c r="C494" s="8" t="s">
        <v>180</v>
      </c>
      <c r="D494" s="8" t="s">
        <v>135</v>
      </c>
      <c r="E494" s="8" t="s">
        <v>455</v>
      </c>
      <c r="F494" s="8" t="s">
        <v>122</v>
      </c>
      <c r="G494" s="9">
        <v>46307</v>
      </c>
      <c r="H494" s="9">
        <v>46339</v>
      </c>
      <c r="I494" s="8" t="s">
        <v>23</v>
      </c>
      <c r="J494" s="8" t="s">
        <v>23</v>
      </c>
      <c r="K494" s="9"/>
      <c r="L494" s="8" t="s">
        <v>576</v>
      </c>
      <c r="M494" s="8"/>
      <c r="N494" s="10"/>
      <c r="O494" s="8" t="s">
        <v>1042</v>
      </c>
    </row>
    <row r="495" ht="32" customHeight="1" spans="1:15">
      <c r="A495" s="8">
        <v>21</v>
      </c>
      <c r="B495" s="8" t="s">
        <v>181</v>
      </c>
      <c r="C495" s="8" t="s">
        <v>183</v>
      </c>
      <c r="D495" s="8" t="s">
        <v>135</v>
      </c>
      <c r="E495" s="8" t="s">
        <v>455</v>
      </c>
      <c r="F495" s="8" t="s">
        <v>122</v>
      </c>
      <c r="G495" s="9">
        <v>46307</v>
      </c>
      <c r="H495" s="9">
        <v>46339</v>
      </c>
      <c r="I495" s="8" t="s">
        <v>23</v>
      </c>
      <c r="J495" s="8" t="s">
        <v>23</v>
      </c>
      <c r="K495" s="9"/>
      <c r="L495" s="8" t="s">
        <v>576</v>
      </c>
      <c r="M495" s="8"/>
      <c r="N495" s="10"/>
      <c r="O495" s="8" t="s">
        <v>1043</v>
      </c>
    </row>
    <row r="496" ht="32" customHeight="1" spans="1:15">
      <c r="A496" s="8">
        <v>21</v>
      </c>
      <c r="B496" s="8" t="s">
        <v>184</v>
      </c>
      <c r="C496" s="8" t="s">
        <v>185</v>
      </c>
      <c r="D496" s="8" t="s">
        <v>135</v>
      </c>
      <c r="E496" s="8" t="s">
        <v>455</v>
      </c>
      <c r="F496" s="8" t="s">
        <v>122</v>
      </c>
      <c r="G496" s="9">
        <v>46307</v>
      </c>
      <c r="H496" s="9">
        <v>46339</v>
      </c>
      <c r="I496" s="8" t="s">
        <v>23</v>
      </c>
      <c r="J496" s="8" t="s">
        <v>23</v>
      </c>
      <c r="K496" s="9">
        <v>46261</v>
      </c>
      <c r="L496" s="8" t="s">
        <v>576</v>
      </c>
      <c r="M496" s="8"/>
      <c r="N496" s="10"/>
      <c r="O496" s="8" t="s">
        <v>1044</v>
      </c>
    </row>
    <row r="497" ht="32" customHeight="1" spans="1:15">
      <c r="A497" s="8">
        <v>21</v>
      </c>
      <c r="B497" s="8" t="s">
        <v>191</v>
      </c>
      <c r="C497" s="8" t="s">
        <v>192</v>
      </c>
      <c r="D497" s="8" t="s">
        <v>135</v>
      </c>
      <c r="E497" s="8" t="s">
        <v>455</v>
      </c>
      <c r="F497" s="8" t="s">
        <v>122</v>
      </c>
      <c r="G497" s="9">
        <v>46307</v>
      </c>
      <c r="H497" s="9">
        <v>46339</v>
      </c>
      <c r="I497" s="8" t="s">
        <v>23</v>
      </c>
      <c r="J497" s="8" t="s">
        <v>157</v>
      </c>
      <c r="K497" s="9">
        <v>46261</v>
      </c>
      <c r="L497" s="8" t="s">
        <v>576</v>
      </c>
      <c r="M497" s="8"/>
      <c r="N497" s="10"/>
      <c r="O497" s="8" t="s">
        <v>1045</v>
      </c>
    </row>
    <row r="498" ht="32" customHeight="1" spans="1:15">
      <c r="A498" s="8">
        <v>21</v>
      </c>
      <c r="B498" s="8" t="s">
        <v>193</v>
      </c>
      <c r="C498" s="8" t="s">
        <v>194</v>
      </c>
      <c r="D498" s="8" t="s">
        <v>135</v>
      </c>
      <c r="E498" s="8" t="s">
        <v>455</v>
      </c>
      <c r="F498" s="8" t="s">
        <v>122</v>
      </c>
      <c r="G498" s="9">
        <v>46307</v>
      </c>
      <c r="H498" s="9">
        <v>46339</v>
      </c>
      <c r="I498" s="8" t="s">
        <v>23</v>
      </c>
      <c r="J498" s="8" t="s">
        <v>157</v>
      </c>
      <c r="K498" s="9">
        <v>46261</v>
      </c>
      <c r="L498" s="8" t="s">
        <v>576</v>
      </c>
      <c r="M498" s="8"/>
      <c r="N498" s="10"/>
      <c r="O498" s="8" t="s">
        <v>1046</v>
      </c>
    </row>
    <row r="499" ht="32" customHeight="1" spans="1:15">
      <c r="A499" s="8">
        <v>21</v>
      </c>
      <c r="B499" s="8" t="s">
        <v>233</v>
      </c>
      <c r="C499" s="8" t="s">
        <v>235</v>
      </c>
      <c r="D499" s="8" t="s">
        <v>135</v>
      </c>
      <c r="E499" s="8" t="s">
        <v>455</v>
      </c>
      <c r="F499" s="8" t="s">
        <v>122</v>
      </c>
      <c r="G499" s="9">
        <v>46307</v>
      </c>
      <c r="H499" s="9">
        <v>46339</v>
      </c>
      <c r="I499" s="8" t="s">
        <v>121</v>
      </c>
      <c r="J499" s="8" t="s">
        <v>121</v>
      </c>
      <c r="K499" s="9"/>
      <c r="L499" s="8" t="s">
        <v>576</v>
      </c>
      <c r="M499" s="8" t="s">
        <v>577</v>
      </c>
      <c r="N499" s="10"/>
      <c r="O499" s="8" t="s">
        <v>1047</v>
      </c>
    </row>
    <row r="500" ht="32" customHeight="1" spans="1:15">
      <c r="A500" s="8">
        <v>21</v>
      </c>
      <c r="B500" s="8" t="s">
        <v>236</v>
      </c>
      <c r="C500" s="8" t="s">
        <v>237</v>
      </c>
      <c r="D500" s="8" t="s">
        <v>135</v>
      </c>
      <c r="E500" s="8" t="s">
        <v>455</v>
      </c>
      <c r="F500" s="8" t="s">
        <v>122</v>
      </c>
      <c r="G500" s="9">
        <v>46307</v>
      </c>
      <c r="H500" s="9">
        <v>46339</v>
      </c>
      <c r="I500" s="8" t="s">
        <v>23</v>
      </c>
      <c r="J500" s="8" t="s">
        <v>23</v>
      </c>
      <c r="K500" s="9"/>
      <c r="L500" s="8" t="s">
        <v>576</v>
      </c>
      <c r="M500" s="8"/>
      <c r="N500" s="10"/>
      <c r="O500" s="8" t="s">
        <v>1048</v>
      </c>
    </row>
    <row r="501" ht="32" customHeight="1" spans="1:15">
      <c r="A501" s="8">
        <v>21</v>
      </c>
      <c r="B501" s="8" t="s">
        <v>238</v>
      </c>
      <c r="C501" s="8" t="s">
        <v>237</v>
      </c>
      <c r="D501" s="8" t="s">
        <v>135</v>
      </c>
      <c r="E501" s="8" t="s">
        <v>455</v>
      </c>
      <c r="F501" s="8" t="s">
        <v>122</v>
      </c>
      <c r="G501" s="9">
        <v>46307</v>
      </c>
      <c r="H501" s="9">
        <v>46339</v>
      </c>
      <c r="I501" s="8" t="s">
        <v>23</v>
      </c>
      <c r="J501" s="8" t="s">
        <v>23</v>
      </c>
      <c r="K501" s="9">
        <v>46261</v>
      </c>
      <c r="L501" s="8" t="s">
        <v>576</v>
      </c>
      <c r="M501" s="8"/>
      <c r="N501" s="10"/>
      <c r="O501" s="8" t="s">
        <v>1049</v>
      </c>
    </row>
    <row r="502" ht="32" customHeight="1" spans="1:15">
      <c r="A502" s="8">
        <v>21</v>
      </c>
      <c r="B502" s="8" t="s">
        <v>240</v>
      </c>
      <c r="C502" s="8" t="s">
        <v>242</v>
      </c>
      <c r="D502" s="8" t="s">
        <v>135</v>
      </c>
      <c r="E502" s="8" t="s">
        <v>455</v>
      </c>
      <c r="F502" s="8" t="s">
        <v>122</v>
      </c>
      <c r="G502" s="9">
        <v>46307</v>
      </c>
      <c r="H502" s="9">
        <v>46339</v>
      </c>
      <c r="I502" s="8" t="s">
        <v>121</v>
      </c>
      <c r="J502" s="8" t="s">
        <v>121</v>
      </c>
      <c r="K502" s="9">
        <v>46261</v>
      </c>
      <c r="L502" s="8" t="s">
        <v>576</v>
      </c>
      <c r="M502" s="8"/>
      <c r="N502" s="10"/>
      <c r="O502" s="8" t="s">
        <v>1050</v>
      </c>
    </row>
    <row r="503" ht="32" customHeight="1" spans="1:15">
      <c r="A503" s="8">
        <v>21</v>
      </c>
      <c r="B503" s="8" t="s">
        <v>311</v>
      </c>
      <c r="C503" s="8" t="s">
        <v>313</v>
      </c>
      <c r="D503" s="8" t="s">
        <v>135</v>
      </c>
      <c r="E503" s="8" t="s">
        <v>455</v>
      </c>
      <c r="F503" s="8" t="s">
        <v>122</v>
      </c>
      <c r="G503" s="9">
        <v>46307</v>
      </c>
      <c r="H503" s="9">
        <v>46339</v>
      </c>
      <c r="I503" s="8" t="s">
        <v>23</v>
      </c>
      <c r="J503" s="8" t="s">
        <v>23</v>
      </c>
      <c r="K503" s="9"/>
      <c r="L503" s="8" t="s">
        <v>576</v>
      </c>
      <c r="M503" s="8"/>
      <c r="N503" s="10"/>
      <c r="O503" s="8" t="s">
        <v>1051</v>
      </c>
    </row>
    <row r="504" ht="32" customHeight="1" spans="1:15">
      <c r="A504" s="8">
        <v>21</v>
      </c>
      <c r="B504" s="8" t="s">
        <v>314</v>
      </c>
      <c r="C504" s="8" t="s">
        <v>315</v>
      </c>
      <c r="D504" s="8" t="s">
        <v>135</v>
      </c>
      <c r="E504" s="8" t="s">
        <v>455</v>
      </c>
      <c r="F504" s="8" t="s">
        <v>122</v>
      </c>
      <c r="G504" s="9">
        <v>46307</v>
      </c>
      <c r="H504" s="9">
        <v>46339</v>
      </c>
      <c r="I504" s="8" t="s">
        <v>23</v>
      </c>
      <c r="J504" s="8" t="s">
        <v>23</v>
      </c>
      <c r="K504" s="9">
        <v>46224</v>
      </c>
      <c r="L504" s="8" t="s">
        <v>576</v>
      </c>
      <c r="M504" s="8"/>
      <c r="N504" s="10"/>
      <c r="O504" s="8" t="s">
        <v>1052</v>
      </c>
    </row>
    <row r="505" ht="32" customHeight="1" spans="1:15">
      <c r="A505" s="8">
        <v>21</v>
      </c>
      <c r="B505" s="8" t="s">
        <v>316</v>
      </c>
      <c r="C505" s="8" t="s">
        <v>313</v>
      </c>
      <c r="D505" s="8" t="s">
        <v>135</v>
      </c>
      <c r="E505" s="8" t="s">
        <v>455</v>
      </c>
      <c r="F505" s="8" t="s">
        <v>122</v>
      </c>
      <c r="G505" s="9">
        <v>46307</v>
      </c>
      <c r="H505" s="9">
        <v>46339</v>
      </c>
      <c r="I505" s="8" t="s">
        <v>23</v>
      </c>
      <c r="J505" s="8" t="s">
        <v>23</v>
      </c>
      <c r="K505" s="9">
        <v>46224</v>
      </c>
      <c r="L505" s="8" t="s">
        <v>576</v>
      </c>
      <c r="M505" s="8"/>
      <c r="N505" s="10"/>
      <c r="O505" s="8" t="s">
        <v>1053</v>
      </c>
    </row>
    <row r="506" ht="32" customHeight="1" spans="1:15">
      <c r="A506" s="8">
        <v>21</v>
      </c>
      <c r="B506" s="8" t="s">
        <v>318</v>
      </c>
      <c r="C506" s="8" t="s">
        <v>319</v>
      </c>
      <c r="D506" s="8" t="s">
        <v>135</v>
      </c>
      <c r="E506" s="8" t="s">
        <v>455</v>
      </c>
      <c r="F506" s="8" t="s">
        <v>122</v>
      </c>
      <c r="G506" s="9">
        <v>46307</v>
      </c>
      <c r="H506" s="9">
        <v>46339</v>
      </c>
      <c r="I506" s="8" t="s">
        <v>23</v>
      </c>
      <c r="J506" s="8" t="s">
        <v>23</v>
      </c>
      <c r="K506" s="9">
        <v>46224</v>
      </c>
      <c r="L506" s="8" t="s">
        <v>576</v>
      </c>
      <c r="M506" s="8"/>
      <c r="N506" s="10"/>
      <c r="O506" s="8" t="s">
        <v>1054</v>
      </c>
    </row>
    <row r="507" ht="32" customHeight="1" spans="1:15">
      <c r="A507" s="8">
        <v>21</v>
      </c>
      <c r="B507" s="8" t="s">
        <v>326</v>
      </c>
      <c r="C507" s="8" t="s">
        <v>328</v>
      </c>
      <c r="D507" s="8" t="s">
        <v>135</v>
      </c>
      <c r="E507" s="8" t="s">
        <v>455</v>
      </c>
      <c r="F507" s="8" t="s">
        <v>122</v>
      </c>
      <c r="G507" s="9">
        <v>46307</v>
      </c>
      <c r="H507" s="9">
        <v>46339</v>
      </c>
      <c r="I507" s="8" t="s">
        <v>23</v>
      </c>
      <c r="J507" s="8" t="s">
        <v>23</v>
      </c>
      <c r="K507" s="9"/>
      <c r="L507" s="8" t="s">
        <v>576</v>
      </c>
      <c r="M507" s="8"/>
      <c r="N507" s="10"/>
      <c r="O507" s="8" t="s">
        <v>1055</v>
      </c>
    </row>
    <row r="508" ht="32" customHeight="1" spans="1:15">
      <c r="A508" s="8">
        <v>21</v>
      </c>
      <c r="B508" s="8" t="s">
        <v>329</v>
      </c>
      <c r="C508" s="8" t="s">
        <v>330</v>
      </c>
      <c r="D508" s="8" t="s">
        <v>135</v>
      </c>
      <c r="E508" s="8" t="s">
        <v>455</v>
      </c>
      <c r="F508" s="8" t="s">
        <v>122</v>
      </c>
      <c r="G508" s="9">
        <v>46307</v>
      </c>
      <c r="H508" s="9">
        <v>46339</v>
      </c>
      <c r="I508" s="8" t="s">
        <v>23</v>
      </c>
      <c r="J508" s="8" t="s">
        <v>23</v>
      </c>
      <c r="K508" s="9"/>
      <c r="L508" s="8" t="s">
        <v>576</v>
      </c>
      <c r="M508" s="8"/>
      <c r="N508" s="10"/>
      <c r="O508" s="8" t="s">
        <v>1056</v>
      </c>
    </row>
    <row r="509" ht="32" customHeight="1" spans="1:15">
      <c r="A509" s="8">
        <v>21</v>
      </c>
      <c r="B509" s="8" t="s">
        <v>331</v>
      </c>
      <c r="C509" s="8" t="s">
        <v>332</v>
      </c>
      <c r="D509" s="8" t="s">
        <v>135</v>
      </c>
      <c r="E509" s="8" t="s">
        <v>455</v>
      </c>
      <c r="F509" s="8" t="s">
        <v>122</v>
      </c>
      <c r="G509" s="9">
        <v>46307</v>
      </c>
      <c r="H509" s="9">
        <v>46339</v>
      </c>
      <c r="I509" s="8" t="s">
        <v>23</v>
      </c>
      <c r="J509" s="8" t="s">
        <v>23</v>
      </c>
      <c r="K509" s="9"/>
      <c r="L509" s="8" t="s">
        <v>576</v>
      </c>
      <c r="M509" s="8"/>
      <c r="N509" s="10"/>
      <c r="O509" s="8" t="s">
        <v>1057</v>
      </c>
    </row>
    <row r="510" ht="32" customHeight="1" spans="1:15">
      <c r="A510" s="8">
        <v>21</v>
      </c>
      <c r="B510" s="8" t="s">
        <v>333</v>
      </c>
      <c r="C510" s="8" t="s">
        <v>334</v>
      </c>
      <c r="D510" s="8" t="s">
        <v>135</v>
      </c>
      <c r="E510" s="8" t="s">
        <v>455</v>
      </c>
      <c r="F510" s="8" t="s">
        <v>122</v>
      </c>
      <c r="G510" s="9">
        <v>46307</v>
      </c>
      <c r="H510" s="9">
        <v>46339</v>
      </c>
      <c r="I510" s="8" t="s">
        <v>23</v>
      </c>
      <c r="J510" s="8" t="s">
        <v>23</v>
      </c>
      <c r="K510" s="9"/>
      <c r="L510" s="8" t="s">
        <v>576</v>
      </c>
      <c r="M510" s="8"/>
      <c r="N510" s="10"/>
      <c r="O510" s="8" t="s">
        <v>1058</v>
      </c>
    </row>
    <row r="511" ht="32" customHeight="1" spans="1:15">
      <c r="A511" s="8">
        <v>21</v>
      </c>
      <c r="B511" s="8" t="s">
        <v>335</v>
      </c>
      <c r="C511" s="8" t="s">
        <v>313</v>
      </c>
      <c r="D511" s="8" t="s">
        <v>135</v>
      </c>
      <c r="E511" s="8" t="s">
        <v>455</v>
      </c>
      <c r="F511" s="8" t="s">
        <v>122</v>
      </c>
      <c r="G511" s="9">
        <v>46307</v>
      </c>
      <c r="H511" s="9">
        <v>46339</v>
      </c>
      <c r="I511" s="8" t="s">
        <v>23</v>
      </c>
      <c r="J511" s="8" t="s">
        <v>23</v>
      </c>
      <c r="K511" s="9"/>
      <c r="L511" s="8" t="s">
        <v>576</v>
      </c>
      <c r="M511" s="8"/>
      <c r="N511" s="10"/>
      <c r="O511" s="8" t="s">
        <v>1059</v>
      </c>
    </row>
    <row r="512" ht="32" customHeight="1" spans="1:15">
      <c r="A512" s="8">
        <v>21</v>
      </c>
      <c r="B512" s="8" t="s">
        <v>337</v>
      </c>
      <c r="C512" s="8" t="s">
        <v>315</v>
      </c>
      <c r="D512" s="8" t="s">
        <v>135</v>
      </c>
      <c r="E512" s="8" t="s">
        <v>455</v>
      </c>
      <c r="F512" s="8" t="s">
        <v>122</v>
      </c>
      <c r="G512" s="9">
        <v>46307</v>
      </c>
      <c r="H512" s="9">
        <v>46339</v>
      </c>
      <c r="I512" s="8" t="s">
        <v>23</v>
      </c>
      <c r="J512" s="8" t="s">
        <v>23</v>
      </c>
      <c r="K512" s="9"/>
      <c r="L512" s="8" t="s">
        <v>576</v>
      </c>
      <c r="M512" s="8"/>
      <c r="N512" s="10"/>
      <c r="O512" s="8" t="s">
        <v>1060</v>
      </c>
    </row>
    <row r="513" ht="32" customHeight="1" spans="1:15">
      <c r="A513" s="8">
        <v>21</v>
      </c>
      <c r="B513" s="8" t="s">
        <v>410</v>
      </c>
      <c r="C513" s="8" t="s">
        <v>411</v>
      </c>
      <c r="D513" s="8" t="s">
        <v>135</v>
      </c>
      <c r="E513" s="8" t="s">
        <v>455</v>
      </c>
      <c r="F513" s="8" t="s">
        <v>122</v>
      </c>
      <c r="G513" s="9">
        <v>46307</v>
      </c>
      <c r="H513" s="9">
        <v>46339</v>
      </c>
      <c r="I513" s="8" t="s">
        <v>23</v>
      </c>
      <c r="J513" s="8" t="s">
        <v>23</v>
      </c>
      <c r="K513" s="9"/>
      <c r="L513" s="8" t="s">
        <v>576</v>
      </c>
      <c r="M513" s="8"/>
      <c r="N513" s="10"/>
      <c r="O513" s="8" t="s">
        <v>1061</v>
      </c>
    </row>
    <row r="514" ht="32" customHeight="1" spans="1:15">
      <c r="A514" s="8">
        <v>21</v>
      </c>
      <c r="B514" s="8" t="s">
        <v>412</v>
      </c>
      <c r="C514" s="8" t="s">
        <v>413</v>
      </c>
      <c r="D514" s="8" t="s">
        <v>135</v>
      </c>
      <c r="E514" s="8" t="s">
        <v>455</v>
      </c>
      <c r="F514" s="8" t="s">
        <v>122</v>
      </c>
      <c r="G514" s="9">
        <v>46307</v>
      </c>
      <c r="H514" s="9">
        <v>46339</v>
      </c>
      <c r="I514" s="8" t="s">
        <v>23</v>
      </c>
      <c r="J514" s="8" t="s">
        <v>23</v>
      </c>
      <c r="K514" s="9">
        <v>46261</v>
      </c>
      <c r="L514" s="8" t="s">
        <v>576</v>
      </c>
      <c r="M514" s="8"/>
      <c r="N514" s="10"/>
      <c r="O514" s="8" t="s">
        <v>1062</v>
      </c>
    </row>
    <row r="515" ht="32" customHeight="1" spans="1:15">
      <c r="A515" s="8">
        <v>21</v>
      </c>
      <c r="B515" s="8" t="s">
        <v>414</v>
      </c>
      <c r="C515" s="8" t="s">
        <v>415</v>
      </c>
      <c r="D515" s="8" t="s">
        <v>135</v>
      </c>
      <c r="E515" s="8" t="s">
        <v>455</v>
      </c>
      <c r="F515" s="8" t="s">
        <v>200</v>
      </c>
      <c r="G515" s="9">
        <v>46307</v>
      </c>
      <c r="H515" s="9">
        <v>46339</v>
      </c>
      <c r="I515" s="8" t="s">
        <v>23</v>
      </c>
      <c r="J515" s="8" t="s">
        <v>23</v>
      </c>
      <c r="K515" s="9">
        <v>46261</v>
      </c>
      <c r="L515" s="8" t="s">
        <v>576</v>
      </c>
      <c r="M515" s="8"/>
      <c r="N515" s="10"/>
      <c r="O515" s="8" t="s">
        <v>1063</v>
      </c>
    </row>
    <row r="516" ht="32" customHeight="1" spans="1:15">
      <c r="A516" s="8">
        <v>21</v>
      </c>
      <c r="B516" s="8" t="s">
        <v>416</v>
      </c>
      <c r="C516" s="8" t="s">
        <v>417</v>
      </c>
      <c r="D516" s="8" t="s">
        <v>135</v>
      </c>
      <c r="E516" s="8" t="s">
        <v>455</v>
      </c>
      <c r="F516" s="8" t="s">
        <v>200</v>
      </c>
      <c r="G516" s="9">
        <v>46307</v>
      </c>
      <c r="H516" s="9">
        <v>46339</v>
      </c>
      <c r="I516" s="8" t="s">
        <v>23</v>
      </c>
      <c r="J516" s="8" t="s">
        <v>23</v>
      </c>
      <c r="K516" s="9"/>
      <c r="L516" s="8" t="s">
        <v>576</v>
      </c>
      <c r="M516" s="8"/>
      <c r="N516" s="10"/>
      <c r="O516" s="8" t="s">
        <v>1064</v>
      </c>
    </row>
    <row r="517" ht="32" customHeight="1" spans="1:15">
      <c r="A517" s="8">
        <v>21</v>
      </c>
      <c r="B517" s="8" t="s">
        <v>418</v>
      </c>
      <c r="C517" s="8" t="s">
        <v>419</v>
      </c>
      <c r="D517" s="8" t="s">
        <v>135</v>
      </c>
      <c r="E517" s="8" t="s">
        <v>455</v>
      </c>
      <c r="F517" s="8" t="s">
        <v>122</v>
      </c>
      <c r="G517" s="9">
        <v>46307</v>
      </c>
      <c r="H517" s="9">
        <v>46339</v>
      </c>
      <c r="I517" s="8" t="s">
        <v>23</v>
      </c>
      <c r="J517" s="8" t="s">
        <v>23</v>
      </c>
      <c r="K517" s="9"/>
      <c r="L517" s="8" t="s">
        <v>576</v>
      </c>
      <c r="M517" s="8"/>
      <c r="N517" s="10"/>
      <c r="O517" s="8" t="s">
        <v>1065</v>
      </c>
    </row>
    <row r="518" ht="32" customHeight="1" spans="1:15">
      <c r="A518" s="8">
        <v>21</v>
      </c>
      <c r="B518" s="8" t="s">
        <v>420</v>
      </c>
      <c r="C518" s="8" t="s">
        <v>421</v>
      </c>
      <c r="D518" s="8" t="s">
        <v>135</v>
      </c>
      <c r="E518" s="8" t="s">
        <v>455</v>
      </c>
      <c r="F518" s="8" t="s">
        <v>122</v>
      </c>
      <c r="G518" s="9">
        <v>46307</v>
      </c>
      <c r="H518" s="9">
        <v>46339</v>
      </c>
      <c r="I518" s="8" t="s">
        <v>23</v>
      </c>
      <c r="J518" s="8" t="s">
        <v>23</v>
      </c>
      <c r="K518" s="9"/>
      <c r="L518" s="8" t="s">
        <v>576</v>
      </c>
      <c r="M518" s="8"/>
      <c r="N518" s="10"/>
      <c r="O518" s="8" t="s">
        <v>1066</v>
      </c>
    </row>
    <row r="519" ht="32" customHeight="1" spans="1:15">
      <c r="A519" s="8">
        <v>21</v>
      </c>
      <c r="B519" s="8" t="s">
        <v>422</v>
      </c>
      <c r="C519" s="8" t="s">
        <v>207</v>
      </c>
      <c r="D519" s="8" t="s">
        <v>135</v>
      </c>
      <c r="E519" s="8" t="s">
        <v>455</v>
      </c>
      <c r="F519" s="8" t="s">
        <v>122</v>
      </c>
      <c r="G519" s="9">
        <v>46307</v>
      </c>
      <c r="H519" s="9">
        <v>46339</v>
      </c>
      <c r="I519" s="8" t="s">
        <v>23</v>
      </c>
      <c r="J519" s="8" t="s">
        <v>23</v>
      </c>
      <c r="K519" s="9"/>
      <c r="L519" s="8" t="s">
        <v>576</v>
      </c>
      <c r="M519" s="8"/>
      <c r="N519" s="10"/>
      <c r="O519" s="8" t="s">
        <v>1067</v>
      </c>
    </row>
    <row r="520" ht="32" customHeight="1" spans="1:15">
      <c r="A520" s="8">
        <v>21</v>
      </c>
      <c r="B520" s="8" t="s">
        <v>423</v>
      </c>
      <c r="C520" s="8" t="s">
        <v>211</v>
      </c>
      <c r="D520" s="8" t="s">
        <v>135</v>
      </c>
      <c r="E520" s="8" t="s">
        <v>455</v>
      </c>
      <c r="F520" s="8" t="s">
        <v>122</v>
      </c>
      <c r="G520" s="9">
        <v>46307</v>
      </c>
      <c r="H520" s="9">
        <v>46339</v>
      </c>
      <c r="I520" s="8" t="s">
        <v>23</v>
      </c>
      <c r="J520" s="8" t="s">
        <v>23</v>
      </c>
      <c r="K520" s="9"/>
      <c r="L520" s="8" t="s">
        <v>576</v>
      </c>
      <c r="M520" s="8"/>
      <c r="N520" s="10"/>
      <c r="O520" s="8" t="s">
        <v>1068</v>
      </c>
    </row>
    <row r="521" ht="32" customHeight="1" spans="1:15">
      <c r="A521" s="8">
        <v>21</v>
      </c>
      <c r="B521" s="8" t="s">
        <v>424</v>
      </c>
      <c r="C521" s="8" t="s">
        <v>425</v>
      </c>
      <c r="D521" s="8" t="s">
        <v>135</v>
      </c>
      <c r="E521" s="8" t="s">
        <v>455</v>
      </c>
      <c r="F521" s="8" t="s">
        <v>122</v>
      </c>
      <c r="G521" s="9">
        <v>46307</v>
      </c>
      <c r="H521" s="9">
        <v>46339</v>
      </c>
      <c r="I521" s="8" t="s">
        <v>23</v>
      </c>
      <c r="J521" s="8" t="s">
        <v>23</v>
      </c>
      <c r="K521" s="9"/>
      <c r="L521" s="8" t="s">
        <v>576</v>
      </c>
      <c r="M521" s="8"/>
      <c r="N521" s="10"/>
      <c r="O521" s="8" t="s">
        <v>1069</v>
      </c>
    </row>
    <row r="522" ht="32" customHeight="1" spans="1:15">
      <c r="A522" s="8">
        <v>21</v>
      </c>
      <c r="B522" s="8" t="s">
        <v>426</v>
      </c>
      <c r="C522" s="8" t="s">
        <v>182</v>
      </c>
      <c r="D522" s="8" t="s">
        <v>135</v>
      </c>
      <c r="E522" s="8" t="s">
        <v>455</v>
      </c>
      <c r="F522" s="8" t="s">
        <v>122</v>
      </c>
      <c r="G522" s="9">
        <v>46307</v>
      </c>
      <c r="H522" s="9">
        <v>46339</v>
      </c>
      <c r="I522" s="8" t="s">
        <v>23</v>
      </c>
      <c r="J522" s="8" t="s">
        <v>23</v>
      </c>
      <c r="K522" s="9"/>
      <c r="L522" s="8" t="s">
        <v>576</v>
      </c>
      <c r="M522" s="8"/>
      <c r="N522" s="10"/>
      <c r="O522" s="8" t="s">
        <v>1070</v>
      </c>
    </row>
    <row r="523" ht="32" customHeight="1" spans="1:15">
      <c r="A523" s="8">
        <v>21</v>
      </c>
      <c r="B523" s="8" t="s">
        <v>427</v>
      </c>
      <c r="C523" s="8" t="s">
        <v>187</v>
      </c>
      <c r="D523" s="8" t="s">
        <v>135</v>
      </c>
      <c r="E523" s="8" t="s">
        <v>455</v>
      </c>
      <c r="F523" s="8" t="s">
        <v>122</v>
      </c>
      <c r="G523" s="9">
        <v>46307</v>
      </c>
      <c r="H523" s="9">
        <v>46339</v>
      </c>
      <c r="I523" s="8" t="s">
        <v>23</v>
      </c>
      <c r="J523" s="8" t="s">
        <v>23</v>
      </c>
      <c r="K523" s="9"/>
      <c r="L523" s="8" t="s">
        <v>576</v>
      </c>
      <c r="M523" s="8"/>
      <c r="N523" s="10"/>
      <c r="O523" s="8" t="s">
        <v>1071</v>
      </c>
    </row>
    <row r="524" ht="32" customHeight="1" spans="1:15">
      <c r="A524" s="8">
        <v>21</v>
      </c>
      <c r="B524" s="8" t="s">
        <v>428</v>
      </c>
      <c r="C524" s="8" t="s">
        <v>429</v>
      </c>
      <c r="D524" s="8" t="s">
        <v>135</v>
      </c>
      <c r="E524" s="8" t="s">
        <v>455</v>
      </c>
      <c r="F524" s="8" t="s">
        <v>200</v>
      </c>
      <c r="G524" s="9">
        <v>46307</v>
      </c>
      <c r="H524" s="9">
        <v>46339</v>
      </c>
      <c r="I524" s="8" t="s">
        <v>23</v>
      </c>
      <c r="J524" s="8" t="s">
        <v>23</v>
      </c>
      <c r="K524" s="9"/>
      <c r="L524" s="8" t="s">
        <v>576</v>
      </c>
      <c r="M524" s="8"/>
      <c r="N524" s="10"/>
      <c r="O524" s="8" t="s">
        <v>1072</v>
      </c>
    </row>
    <row r="525" ht="32" customHeight="1" spans="1:15">
      <c r="A525" s="8">
        <v>21</v>
      </c>
      <c r="B525" s="8" t="s">
        <v>435</v>
      </c>
      <c r="C525" s="8" t="s">
        <v>209</v>
      </c>
      <c r="D525" s="8" t="s">
        <v>135</v>
      </c>
      <c r="E525" s="8" t="s">
        <v>455</v>
      </c>
      <c r="F525" s="8" t="s">
        <v>122</v>
      </c>
      <c r="G525" s="9">
        <v>46307</v>
      </c>
      <c r="H525" s="9">
        <v>46339</v>
      </c>
      <c r="I525" s="8" t="s">
        <v>23</v>
      </c>
      <c r="J525" s="8" t="s">
        <v>23</v>
      </c>
      <c r="K525" s="9"/>
      <c r="L525" s="8" t="s">
        <v>576</v>
      </c>
      <c r="M525" s="8"/>
      <c r="N525" s="10"/>
      <c r="O525" s="8" t="s">
        <v>1073</v>
      </c>
    </row>
    <row r="526" ht="32" customHeight="1" spans="1:15">
      <c r="A526" s="8">
        <v>23</v>
      </c>
      <c r="B526" s="8" t="s">
        <v>132</v>
      </c>
      <c r="C526" s="8" t="s">
        <v>134</v>
      </c>
      <c r="D526" s="8" t="s">
        <v>135</v>
      </c>
      <c r="E526" s="8" t="s">
        <v>460</v>
      </c>
      <c r="F526" s="8" t="s">
        <v>124</v>
      </c>
      <c r="G526" s="9">
        <v>46342</v>
      </c>
      <c r="H526" s="9">
        <v>46353</v>
      </c>
      <c r="I526" s="8" t="s">
        <v>121</v>
      </c>
      <c r="J526" s="8" t="s">
        <v>121</v>
      </c>
      <c r="K526" s="9"/>
      <c r="L526" s="8" t="s">
        <v>576</v>
      </c>
      <c r="M526" s="8" t="s">
        <v>577</v>
      </c>
      <c r="N526" s="10"/>
      <c r="O526" s="8" t="s">
        <v>1074</v>
      </c>
    </row>
    <row r="527" ht="32" customHeight="1" spans="1:15">
      <c r="A527" s="8">
        <v>23</v>
      </c>
      <c r="B527" s="8" t="s">
        <v>168</v>
      </c>
      <c r="C527" s="8" t="s">
        <v>171</v>
      </c>
      <c r="D527" s="8" t="s">
        <v>135</v>
      </c>
      <c r="E527" s="8" t="s">
        <v>460</v>
      </c>
      <c r="F527" s="8" t="s">
        <v>124</v>
      </c>
      <c r="G527" s="9">
        <v>46342</v>
      </c>
      <c r="H527" s="9">
        <v>46353</v>
      </c>
      <c r="I527" s="8" t="s">
        <v>23</v>
      </c>
      <c r="J527" s="8" t="s">
        <v>157</v>
      </c>
      <c r="K527" s="9"/>
      <c r="L527" s="8" t="s">
        <v>576</v>
      </c>
      <c r="M527" s="8"/>
      <c r="N527" s="10"/>
      <c r="O527" s="8" t="s">
        <v>1075</v>
      </c>
    </row>
    <row r="528" ht="32" customHeight="1" spans="1:15">
      <c r="A528" s="8">
        <v>23</v>
      </c>
      <c r="B528" s="8" t="s">
        <v>172</v>
      </c>
      <c r="C528" s="8" t="s">
        <v>173</v>
      </c>
      <c r="D528" s="8" t="s">
        <v>135</v>
      </c>
      <c r="E528" s="8" t="s">
        <v>460</v>
      </c>
      <c r="F528" s="8" t="s">
        <v>124</v>
      </c>
      <c r="G528" s="9">
        <v>46342</v>
      </c>
      <c r="H528" s="9">
        <v>46353</v>
      </c>
      <c r="I528" s="8" t="s">
        <v>157</v>
      </c>
      <c r="J528" s="8" t="s">
        <v>157</v>
      </c>
      <c r="K528" s="9"/>
      <c r="L528" s="8" t="s">
        <v>576</v>
      </c>
      <c r="M528" s="8"/>
      <c r="N528" s="10"/>
      <c r="O528" s="8" t="s">
        <v>1076</v>
      </c>
    </row>
    <row r="529" ht="32" customHeight="1" spans="1:15">
      <c r="A529" s="8">
        <v>23</v>
      </c>
      <c r="B529" s="8" t="s">
        <v>174</v>
      </c>
      <c r="C529" s="8" t="s">
        <v>175</v>
      </c>
      <c r="D529" s="8" t="s">
        <v>135</v>
      </c>
      <c r="E529" s="8" t="s">
        <v>460</v>
      </c>
      <c r="F529" s="8" t="s">
        <v>124</v>
      </c>
      <c r="G529" s="9">
        <v>46342</v>
      </c>
      <c r="H529" s="9">
        <v>46353</v>
      </c>
      <c r="I529" s="8" t="s">
        <v>157</v>
      </c>
      <c r="J529" s="8" t="s">
        <v>157</v>
      </c>
      <c r="K529" s="9"/>
      <c r="L529" s="8" t="s">
        <v>576</v>
      </c>
      <c r="M529" s="8"/>
      <c r="N529" s="10"/>
      <c r="O529" s="8" t="s">
        <v>1077</v>
      </c>
    </row>
    <row r="530" ht="32" customHeight="1" spans="1:15">
      <c r="A530" s="8">
        <v>23</v>
      </c>
      <c r="B530" s="8" t="s">
        <v>176</v>
      </c>
      <c r="C530" s="8" t="s">
        <v>178</v>
      </c>
      <c r="D530" s="8" t="s">
        <v>135</v>
      </c>
      <c r="E530" s="8" t="s">
        <v>460</v>
      </c>
      <c r="F530" s="8" t="s">
        <v>124</v>
      </c>
      <c r="G530" s="9">
        <v>46342</v>
      </c>
      <c r="H530" s="9">
        <v>46353</v>
      </c>
      <c r="I530" s="8" t="s">
        <v>23</v>
      </c>
      <c r="J530" s="8" t="s">
        <v>23</v>
      </c>
      <c r="K530" s="9"/>
      <c r="L530" s="8" t="s">
        <v>576</v>
      </c>
      <c r="M530" s="8"/>
      <c r="N530" s="10"/>
      <c r="O530" s="8" t="s">
        <v>1078</v>
      </c>
    </row>
    <row r="531" ht="32" customHeight="1" spans="1:15">
      <c r="A531" s="8">
        <v>23</v>
      </c>
      <c r="B531" s="8" t="s">
        <v>179</v>
      </c>
      <c r="C531" s="8" t="s">
        <v>180</v>
      </c>
      <c r="D531" s="8" t="s">
        <v>135</v>
      </c>
      <c r="E531" s="8" t="s">
        <v>460</v>
      </c>
      <c r="F531" s="8" t="s">
        <v>124</v>
      </c>
      <c r="G531" s="9">
        <v>46342</v>
      </c>
      <c r="H531" s="9">
        <v>46353</v>
      </c>
      <c r="I531" s="8" t="s">
        <v>23</v>
      </c>
      <c r="J531" s="8" t="s">
        <v>23</v>
      </c>
      <c r="K531" s="9"/>
      <c r="L531" s="8" t="s">
        <v>576</v>
      </c>
      <c r="M531" s="8"/>
      <c r="N531" s="10"/>
      <c r="O531" s="8" t="s">
        <v>1079</v>
      </c>
    </row>
    <row r="532" ht="32" customHeight="1" spans="1:15">
      <c r="A532" s="8">
        <v>23</v>
      </c>
      <c r="B532" s="8" t="s">
        <v>181</v>
      </c>
      <c r="C532" s="8" t="s">
        <v>183</v>
      </c>
      <c r="D532" s="8" t="s">
        <v>135</v>
      </c>
      <c r="E532" s="8" t="s">
        <v>460</v>
      </c>
      <c r="F532" s="8" t="s">
        <v>124</v>
      </c>
      <c r="G532" s="9">
        <v>46342</v>
      </c>
      <c r="H532" s="9">
        <v>46353</v>
      </c>
      <c r="I532" s="8" t="s">
        <v>23</v>
      </c>
      <c r="J532" s="8" t="s">
        <v>23</v>
      </c>
      <c r="K532" s="9"/>
      <c r="L532" s="8" t="s">
        <v>576</v>
      </c>
      <c r="M532" s="8"/>
      <c r="N532" s="10"/>
      <c r="O532" s="8" t="s">
        <v>1080</v>
      </c>
    </row>
    <row r="533" ht="32" customHeight="1" spans="1:15">
      <c r="A533" s="8">
        <v>23</v>
      </c>
      <c r="B533" s="8" t="s">
        <v>184</v>
      </c>
      <c r="C533" s="8" t="s">
        <v>185</v>
      </c>
      <c r="D533" s="8" t="s">
        <v>135</v>
      </c>
      <c r="E533" s="8" t="s">
        <v>460</v>
      </c>
      <c r="F533" s="8" t="s">
        <v>124</v>
      </c>
      <c r="G533" s="9">
        <v>46342</v>
      </c>
      <c r="H533" s="9">
        <v>46353</v>
      </c>
      <c r="I533" s="8" t="s">
        <v>23</v>
      </c>
      <c r="J533" s="8" t="s">
        <v>23</v>
      </c>
      <c r="K533" s="9">
        <v>46261</v>
      </c>
      <c r="L533" s="8" t="s">
        <v>576</v>
      </c>
      <c r="M533" s="8"/>
      <c r="N533" s="10"/>
      <c r="O533" s="8" t="s">
        <v>1081</v>
      </c>
    </row>
    <row r="534" ht="32" customHeight="1" spans="1:15">
      <c r="A534" s="8">
        <v>23</v>
      </c>
      <c r="B534" s="8" t="s">
        <v>186</v>
      </c>
      <c r="C534" s="8" t="s">
        <v>188</v>
      </c>
      <c r="D534" s="8" t="s">
        <v>135</v>
      </c>
      <c r="E534" s="8" t="s">
        <v>460</v>
      </c>
      <c r="F534" s="8" t="s">
        <v>124</v>
      </c>
      <c r="G534" s="9">
        <v>46342</v>
      </c>
      <c r="H534" s="9">
        <v>46353</v>
      </c>
      <c r="I534" s="8" t="s">
        <v>157</v>
      </c>
      <c r="J534" s="8" t="s">
        <v>157</v>
      </c>
      <c r="K534" s="9">
        <v>46261</v>
      </c>
      <c r="L534" s="8" t="s">
        <v>576</v>
      </c>
      <c r="M534" s="8"/>
      <c r="N534" s="10"/>
      <c r="O534" s="8" t="s">
        <v>1082</v>
      </c>
    </row>
    <row r="535" ht="32" customHeight="1" spans="1:15">
      <c r="A535" s="8">
        <v>23</v>
      </c>
      <c r="B535" s="8" t="s">
        <v>189</v>
      </c>
      <c r="C535" s="8" t="s">
        <v>190</v>
      </c>
      <c r="D535" s="8" t="s">
        <v>135</v>
      </c>
      <c r="E535" s="8" t="s">
        <v>460</v>
      </c>
      <c r="F535" s="8" t="s">
        <v>124</v>
      </c>
      <c r="G535" s="9">
        <v>46342</v>
      </c>
      <c r="H535" s="9">
        <v>46353</v>
      </c>
      <c r="I535" s="8" t="s">
        <v>157</v>
      </c>
      <c r="J535" s="8" t="s">
        <v>157</v>
      </c>
      <c r="K535" s="9">
        <v>46261</v>
      </c>
      <c r="L535" s="8" t="s">
        <v>576</v>
      </c>
      <c r="M535" s="8"/>
      <c r="N535" s="10"/>
      <c r="O535" s="8" t="s">
        <v>1083</v>
      </c>
    </row>
    <row r="536" ht="32" customHeight="1" spans="1:15">
      <c r="A536" s="8">
        <v>23</v>
      </c>
      <c r="B536" s="8" t="s">
        <v>191</v>
      </c>
      <c r="C536" s="8" t="s">
        <v>192</v>
      </c>
      <c r="D536" s="8" t="s">
        <v>135</v>
      </c>
      <c r="E536" s="8" t="s">
        <v>460</v>
      </c>
      <c r="F536" s="8" t="s">
        <v>124</v>
      </c>
      <c r="G536" s="9">
        <v>46342</v>
      </c>
      <c r="H536" s="9">
        <v>46353</v>
      </c>
      <c r="I536" s="8" t="s">
        <v>23</v>
      </c>
      <c r="J536" s="8" t="s">
        <v>157</v>
      </c>
      <c r="K536" s="9">
        <v>46261</v>
      </c>
      <c r="L536" s="8" t="s">
        <v>576</v>
      </c>
      <c r="M536" s="8"/>
      <c r="N536" s="10"/>
      <c r="O536" s="8" t="s">
        <v>1084</v>
      </c>
    </row>
    <row r="537" ht="32" customHeight="1" spans="1:15">
      <c r="A537" s="8">
        <v>23</v>
      </c>
      <c r="B537" s="8" t="s">
        <v>193</v>
      </c>
      <c r="C537" s="8" t="s">
        <v>194</v>
      </c>
      <c r="D537" s="8" t="s">
        <v>135</v>
      </c>
      <c r="E537" s="8" t="s">
        <v>460</v>
      </c>
      <c r="F537" s="8" t="s">
        <v>124</v>
      </c>
      <c r="G537" s="9">
        <v>46342</v>
      </c>
      <c r="H537" s="9">
        <v>46353</v>
      </c>
      <c r="I537" s="8" t="s">
        <v>23</v>
      </c>
      <c r="J537" s="8" t="s">
        <v>157</v>
      </c>
      <c r="K537" s="9">
        <v>46261</v>
      </c>
      <c r="L537" s="8" t="s">
        <v>576</v>
      </c>
      <c r="M537" s="8"/>
      <c r="N537" s="10"/>
      <c r="O537" s="8" t="s">
        <v>1085</v>
      </c>
    </row>
    <row r="538" ht="32" customHeight="1" spans="1:15">
      <c r="A538" s="8">
        <v>23</v>
      </c>
      <c r="B538" s="8" t="s">
        <v>195</v>
      </c>
      <c r="C538" s="8" t="s">
        <v>196</v>
      </c>
      <c r="D538" s="8" t="s">
        <v>135</v>
      </c>
      <c r="E538" s="8" t="s">
        <v>460</v>
      </c>
      <c r="F538" s="8" t="s">
        <v>124</v>
      </c>
      <c r="G538" s="9">
        <v>46342</v>
      </c>
      <c r="H538" s="9">
        <v>46353</v>
      </c>
      <c r="I538" s="8" t="s">
        <v>157</v>
      </c>
      <c r="J538" s="8" t="s">
        <v>157</v>
      </c>
      <c r="K538" s="9">
        <v>46261</v>
      </c>
      <c r="L538" s="8" t="s">
        <v>576</v>
      </c>
      <c r="M538" s="8"/>
      <c r="N538" s="10"/>
      <c r="O538" s="8" t="s">
        <v>1086</v>
      </c>
    </row>
    <row r="539" ht="32" customHeight="1" spans="1:15">
      <c r="A539" s="8">
        <v>23</v>
      </c>
      <c r="B539" s="8" t="s">
        <v>197</v>
      </c>
      <c r="C539" s="8" t="s">
        <v>199</v>
      </c>
      <c r="D539" s="8" t="s">
        <v>135</v>
      </c>
      <c r="E539" s="8" t="s">
        <v>460</v>
      </c>
      <c r="F539" s="8" t="s">
        <v>124</v>
      </c>
      <c r="G539" s="9">
        <v>46342</v>
      </c>
      <c r="H539" s="9">
        <v>46353</v>
      </c>
      <c r="I539" s="8" t="s">
        <v>23</v>
      </c>
      <c r="J539" s="8" t="s">
        <v>23</v>
      </c>
      <c r="K539" s="9"/>
      <c r="L539" s="8" t="s">
        <v>576</v>
      </c>
      <c r="M539" s="8"/>
      <c r="N539" s="10"/>
      <c r="O539" s="8" t="s">
        <v>1087</v>
      </c>
    </row>
    <row r="540" ht="32" customHeight="1" spans="1:15">
      <c r="A540" s="8">
        <v>23</v>
      </c>
      <c r="B540" s="8" t="s">
        <v>201</v>
      </c>
      <c r="C540" s="8" t="s">
        <v>202</v>
      </c>
      <c r="D540" s="8" t="s">
        <v>135</v>
      </c>
      <c r="E540" s="8" t="s">
        <v>460</v>
      </c>
      <c r="F540" s="8" t="s">
        <v>124</v>
      </c>
      <c r="G540" s="9">
        <v>46342</v>
      </c>
      <c r="H540" s="9">
        <v>46353</v>
      </c>
      <c r="I540" s="8" t="s">
        <v>23</v>
      </c>
      <c r="J540" s="8" t="s">
        <v>23</v>
      </c>
      <c r="K540" s="9"/>
      <c r="L540" s="8" t="s">
        <v>576</v>
      </c>
      <c r="M540" s="8"/>
      <c r="N540" s="10"/>
      <c r="O540" s="8" t="s">
        <v>1088</v>
      </c>
    </row>
    <row r="541" ht="32" customHeight="1" spans="1:15">
      <c r="A541" s="8">
        <v>23</v>
      </c>
      <c r="B541" s="8" t="s">
        <v>203</v>
      </c>
      <c r="C541" s="8" t="s">
        <v>204</v>
      </c>
      <c r="D541" s="8" t="s">
        <v>135</v>
      </c>
      <c r="E541" s="8" t="s">
        <v>460</v>
      </c>
      <c r="F541" s="8" t="s">
        <v>124</v>
      </c>
      <c r="G541" s="9">
        <v>46342</v>
      </c>
      <c r="H541" s="9">
        <v>46353</v>
      </c>
      <c r="I541" s="8" t="s">
        <v>23</v>
      </c>
      <c r="J541" s="8" t="s">
        <v>23</v>
      </c>
      <c r="K541" s="9"/>
      <c r="L541" s="8" t="s">
        <v>576</v>
      </c>
      <c r="M541" s="8"/>
      <c r="N541" s="10"/>
      <c r="O541" s="8" t="s">
        <v>1089</v>
      </c>
    </row>
    <row r="542" ht="32" customHeight="1" spans="1:15">
      <c r="A542" s="8">
        <v>23</v>
      </c>
      <c r="B542" s="8" t="s">
        <v>205</v>
      </c>
      <c r="C542" s="8" t="s">
        <v>207</v>
      </c>
      <c r="D542" s="8" t="s">
        <v>135</v>
      </c>
      <c r="E542" s="8" t="s">
        <v>460</v>
      </c>
      <c r="F542" s="8" t="s">
        <v>124</v>
      </c>
      <c r="G542" s="9">
        <v>46342</v>
      </c>
      <c r="H542" s="9">
        <v>46353</v>
      </c>
      <c r="I542" s="8" t="s">
        <v>157</v>
      </c>
      <c r="J542" s="8" t="s">
        <v>157</v>
      </c>
      <c r="K542" s="9"/>
      <c r="L542" s="8" t="s">
        <v>576</v>
      </c>
      <c r="M542" s="8"/>
      <c r="N542" s="10"/>
      <c r="O542" s="8" t="s">
        <v>1090</v>
      </c>
    </row>
    <row r="543" ht="32" customHeight="1" spans="1:15">
      <c r="A543" s="8">
        <v>23</v>
      </c>
      <c r="B543" s="8" t="s">
        <v>208</v>
      </c>
      <c r="C543" s="8" t="s">
        <v>209</v>
      </c>
      <c r="D543" s="8" t="s">
        <v>135</v>
      </c>
      <c r="E543" s="8" t="s">
        <v>460</v>
      </c>
      <c r="F543" s="8" t="s">
        <v>124</v>
      </c>
      <c r="G543" s="9">
        <v>46342</v>
      </c>
      <c r="H543" s="9">
        <v>46353</v>
      </c>
      <c r="I543" s="8" t="s">
        <v>157</v>
      </c>
      <c r="J543" s="8" t="s">
        <v>157</v>
      </c>
      <c r="K543" s="9"/>
      <c r="L543" s="8" t="s">
        <v>576</v>
      </c>
      <c r="M543" s="8"/>
      <c r="N543" s="10"/>
      <c r="O543" s="8" t="s">
        <v>1091</v>
      </c>
    </row>
    <row r="544" ht="32" customHeight="1" spans="1:15">
      <c r="A544" s="8">
        <v>23</v>
      </c>
      <c r="B544" s="8" t="s">
        <v>210</v>
      </c>
      <c r="C544" s="8" t="s">
        <v>211</v>
      </c>
      <c r="D544" s="8" t="s">
        <v>135</v>
      </c>
      <c r="E544" s="8" t="s">
        <v>460</v>
      </c>
      <c r="F544" s="8" t="s">
        <v>124</v>
      </c>
      <c r="G544" s="9">
        <v>46342</v>
      </c>
      <c r="H544" s="9">
        <v>46353</v>
      </c>
      <c r="I544" s="8" t="s">
        <v>157</v>
      </c>
      <c r="J544" s="8" t="s">
        <v>157</v>
      </c>
      <c r="K544" s="9"/>
      <c r="L544" s="8" t="s">
        <v>576</v>
      </c>
      <c r="M544" s="8"/>
      <c r="N544" s="10"/>
      <c r="O544" s="8" t="s">
        <v>1092</v>
      </c>
    </row>
    <row r="545" ht="32" customHeight="1" spans="1:15">
      <c r="A545" s="8">
        <v>23</v>
      </c>
      <c r="B545" s="8" t="s">
        <v>233</v>
      </c>
      <c r="C545" s="8" t="s">
        <v>235</v>
      </c>
      <c r="D545" s="8" t="s">
        <v>135</v>
      </c>
      <c r="E545" s="8" t="s">
        <v>460</v>
      </c>
      <c r="F545" s="8" t="s">
        <v>124</v>
      </c>
      <c r="G545" s="9">
        <v>46342</v>
      </c>
      <c r="H545" s="9">
        <v>46353</v>
      </c>
      <c r="I545" s="8" t="s">
        <v>121</v>
      </c>
      <c r="J545" s="8" t="s">
        <v>121</v>
      </c>
      <c r="K545" s="9"/>
      <c r="L545" s="8" t="s">
        <v>576</v>
      </c>
      <c r="M545" s="8" t="s">
        <v>577</v>
      </c>
      <c r="N545" s="10"/>
      <c r="O545" s="8" t="s">
        <v>1093</v>
      </c>
    </row>
    <row r="546" ht="32" customHeight="1" spans="1:15">
      <c r="A546" s="8">
        <v>23</v>
      </c>
      <c r="B546" s="8" t="s">
        <v>236</v>
      </c>
      <c r="C546" s="8" t="s">
        <v>237</v>
      </c>
      <c r="D546" s="8" t="s">
        <v>135</v>
      </c>
      <c r="E546" s="8" t="s">
        <v>460</v>
      </c>
      <c r="F546" s="8" t="s">
        <v>124</v>
      </c>
      <c r="G546" s="9">
        <v>46342</v>
      </c>
      <c r="H546" s="9">
        <v>46353</v>
      </c>
      <c r="I546" s="8" t="s">
        <v>23</v>
      </c>
      <c r="J546" s="8" t="s">
        <v>23</v>
      </c>
      <c r="K546" s="9"/>
      <c r="L546" s="8" t="s">
        <v>576</v>
      </c>
      <c r="M546" s="8"/>
      <c r="N546" s="10"/>
      <c r="O546" s="8" t="s">
        <v>1094</v>
      </c>
    </row>
    <row r="547" ht="32" customHeight="1" spans="1:15">
      <c r="A547" s="8">
        <v>23</v>
      </c>
      <c r="B547" s="8" t="s">
        <v>238</v>
      </c>
      <c r="C547" s="8" t="s">
        <v>237</v>
      </c>
      <c r="D547" s="8" t="s">
        <v>135</v>
      </c>
      <c r="E547" s="8" t="s">
        <v>460</v>
      </c>
      <c r="F547" s="8" t="s">
        <v>124</v>
      </c>
      <c r="G547" s="9">
        <v>46342</v>
      </c>
      <c r="H547" s="9">
        <v>46353</v>
      </c>
      <c r="I547" s="8" t="s">
        <v>23</v>
      </c>
      <c r="J547" s="8" t="s">
        <v>23</v>
      </c>
      <c r="K547" s="9">
        <v>46261</v>
      </c>
      <c r="L547" s="8" t="s">
        <v>576</v>
      </c>
      <c r="M547" s="8"/>
      <c r="N547" s="10"/>
      <c r="O547" s="8" t="s">
        <v>1095</v>
      </c>
    </row>
    <row r="548" ht="32" customHeight="1" spans="1:15">
      <c r="A548" s="8">
        <v>23</v>
      </c>
      <c r="B548" s="8" t="s">
        <v>240</v>
      </c>
      <c r="C548" s="8" t="s">
        <v>242</v>
      </c>
      <c r="D548" s="8" t="s">
        <v>135</v>
      </c>
      <c r="E548" s="8" t="s">
        <v>460</v>
      </c>
      <c r="F548" s="8" t="s">
        <v>124</v>
      </c>
      <c r="G548" s="9">
        <v>46342</v>
      </c>
      <c r="H548" s="9">
        <v>46353</v>
      </c>
      <c r="I548" s="8" t="s">
        <v>121</v>
      </c>
      <c r="J548" s="8" t="s">
        <v>121</v>
      </c>
      <c r="K548" s="9">
        <v>46261</v>
      </c>
      <c r="L548" s="8" t="s">
        <v>576</v>
      </c>
      <c r="M548" s="8"/>
      <c r="N548" s="10"/>
      <c r="O548" s="8" t="s">
        <v>1096</v>
      </c>
    </row>
    <row r="549" ht="32" customHeight="1" spans="1:15">
      <c r="A549" s="8">
        <v>23</v>
      </c>
      <c r="B549" s="8" t="s">
        <v>311</v>
      </c>
      <c r="C549" s="8" t="s">
        <v>313</v>
      </c>
      <c r="D549" s="8" t="s">
        <v>135</v>
      </c>
      <c r="E549" s="8" t="s">
        <v>460</v>
      </c>
      <c r="F549" s="8" t="s">
        <v>124</v>
      </c>
      <c r="G549" s="9">
        <v>46342</v>
      </c>
      <c r="H549" s="9">
        <v>46353</v>
      </c>
      <c r="I549" s="8" t="s">
        <v>23</v>
      </c>
      <c r="J549" s="8" t="s">
        <v>23</v>
      </c>
      <c r="K549" s="9"/>
      <c r="L549" s="8" t="s">
        <v>576</v>
      </c>
      <c r="M549" s="8"/>
      <c r="N549" s="10"/>
      <c r="O549" s="8" t="s">
        <v>1097</v>
      </c>
    </row>
    <row r="550" ht="32" customHeight="1" spans="1:15">
      <c r="A550" s="8">
        <v>23</v>
      </c>
      <c r="B550" s="8" t="s">
        <v>314</v>
      </c>
      <c r="C550" s="8" t="s">
        <v>315</v>
      </c>
      <c r="D550" s="8" t="s">
        <v>135</v>
      </c>
      <c r="E550" s="8" t="s">
        <v>460</v>
      </c>
      <c r="F550" s="8" t="s">
        <v>124</v>
      </c>
      <c r="G550" s="9">
        <v>46342</v>
      </c>
      <c r="H550" s="9">
        <v>46353</v>
      </c>
      <c r="I550" s="8" t="s">
        <v>23</v>
      </c>
      <c r="J550" s="8" t="s">
        <v>23</v>
      </c>
      <c r="K550" s="9">
        <v>46224</v>
      </c>
      <c r="L550" s="8" t="s">
        <v>576</v>
      </c>
      <c r="M550" s="8"/>
      <c r="N550" s="10"/>
      <c r="O550" s="8" t="s">
        <v>1098</v>
      </c>
    </row>
    <row r="551" ht="32" customHeight="1" spans="1:15">
      <c r="A551" s="8">
        <v>23</v>
      </c>
      <c r="B551" s="8" t="s">
        <v>316</v>
      </c>
      <c r="C551" s="8" t="s">
        <v>313</v>
      </c>
      <c r="D551" s="8" t="s">
        <v>135</v>
      </c>
      <c r="E551" s="8" t="s">
        <v>460</v>
      </c>
      <c r="F551" s="8" t="s">
        <v>124</v>
      </c>
      <c r="G551" s="9">
        <v>46342</v>
      </c>
      <c r="H551" s="9">
        <v>46353</v>
      </c>
      <c r="I551" s="8" t="s">
        <v>23</v>
      </c>
      <c r="J551" s="8" t="s">
        <v>23</v>
      </c>
      <c r="K551" s="9">
        <v>46224</v>
      </c>
      <c r="L551" s="8" t="s">
        <v>576</v>
      </c>
      <c r="M551" s="8"/>
      <c r="N551" s="10"/>
      <c r="O551" s="8" t="s">
        <v>1099</v>
      </c>
    </row>
    <row r="552" ht="32" customHeight="1" spans="1:15">
      <c r="A552" s="8">
        <v>23</v>
      </c>
      <c r="B552" s="8" t="s">
        <v>318</v>
      </c>
      <c r="C552" s="8" t="s">
        <v>319</v>
      </c>
      <c r="D552" s="8" t="s">
        <v>135</v>
      </c>
      <c r="E552" s="8" t="s">
        <v>460</v>
      </c>
      <c r="F552" s="8" t="s">
        <v>124</v>
      </c>
      <c r="G552" s="9">
        <v>46342</v>
      </c>
      <c r="H552" s="9">
        <v>46353</v>
      </c>
      <c r="I552" s="8" t="s">
        <v>23</v>
      </c>
      <c r="J552" s="8" t="s">
        <v>23</v>
      </c>
      <c r="K552" s="9">
        <v>46224</v>
      </c>
      <c r="L552" s="8" t="s">
        <v>576</v>
      </c>
      <c r="M552" s="8"/>
      <c r="N552" s="10"/>
      <c r="O552" s="8" t="s">
        <v>1100</v>
      </c>
    </row>
    <row r="553" ht="32" customHeight="1" spans="1:15">
      <c r="A553" s="8">
        <v>23</v>
      </c>
      <c r="B553" s="8" t="s">
        <v>320</v>
      </c>
      <c r="C553" s="8" t="s">
        <v>313</v>
      </c>
      <c r="D553" s="8" t="s">
        <v>135</v>
      </c>
      <c r="E553" s="8" t="s">
        <v>460</v>
      </c>
      <c r="F553" s="8" t="s">
        <v>124</v>
      </c>
      <c r="G553" s="9">
        <v>46342</v>
      </c>
      <c r="H553" s="9">
        <v>46353</v>
      </c>
      <c r="I553" s="8" t="s">
        <v>23</v>
      </c>
      <c r="J553" s="8" t="s">
        <v>23</v>
      </c>
      <c r="K553" s="9">
        <v>46224</v>
      </c>
      <c r="L553" s="8" t="s">
        <v>576</v>
      </c>
      <c r="M553" s="8"/>
      <c r="N553" s="10"/>
      <c r="O553" s="8" t="s">
        <v>1101</v>
      </c>
    </row>
    <row r="554" ht="32" customHeight="1" spans="1:15">
      <c r="A554" s="8">
        <v>23</v>
      </c>
      <c r="B554" s="8" t="s">
        <v>322</v>
      </c>
      <c r="C554" s="8" t="s">
        <v>315</v>
      </c>
      <c r="D554" s="8" t="s">
        <v>135</v>
      </c>
      <c r="E554" s="8" t="s">
        <v>460</v>
      </c>
      <c r="F554" s="8" t="s">
        <v>124</v>
      </c>
      <c r="G554" s="9">
        <v>46342</v>
      </c>
      <c r="H554" s="9">
        <v>46353</v>
      </c>
      <c r="I554" s="8" t="s">
        <v>23</v>
      </c>
      <c r="J554" s="8" t="s">
        <v>23</v>
      </c>
      <c r="K554" s="9">
        <v>46224</v>
      </c>
      <c r="L554" s="8" t="s">
        <v>576</v>
      </c>
      <c r="M554" s="8"/>
      <c r="N554" s="10"/>
      <c r="O554" s="8" t="s">
        <v>1102</v>
      </c>
    </row>
    <row r="555" ht="32" customHeight="1" spans="1:15">
      <c r="A555" s="8">
        <v>23</v>
      </c>
      <c r="B555" s="8" t="s">
        <v>323</v>
      </c>
      <c r="C555" s="8" t="s">
        <v>313</v>
      </c>
      <c r="D555" s="8" t="s">
        <v>135</v>
      </c>
      <c r="E555" s="8" t="s">
        <v>460</v>
      </c>
      <c r="F555" s="8" t="s">
        <v>124</v>
      </c>
      <c r="G555" s="9">
        <v>46342</v>
      </c>
      <c r="H555" s="9">
        <v>46353</v>
      </c>
      <c r="I555" s="8" t="s">
        <v>23</v>
      </c>
      <c r="J555" s="8" t="s">
        <v>23</v>
      </c>
      <c r="K555" s="9">
        <v>46224</v>
      </c>
      <c r="L555" s="8" t="s">
        <v>576</v>
      </c>
      <c r="M555" s="8"/>
      <c r="N555" s="10"/>
      <c r="O555" s="8" t="s">
        <v>1103</v>
      </c>
    </row>
    <row r="556" ht="32" customHeight="1" spans="1:15">
      <c r="A556" s="8">
        <v>23</v>
      </c>
      <c r="B556" s="8" t="s">
        <v>325</v>
      </c>
      <c r="C556" s="8" t="s">
        <v>315</v>
      </c>
      <c r="D556" s="8" t="s">
        <v>135</v>
      </c>
      <c r="E556" s="8" t="s">
        <v>460</v>
      </c>
      <c r="F556" s="8" t="s">
        <v>124</v>
      </c>
      <c r="G556" s="9">
        <v>46342</v>
      </c>
      <c r="H556" s="9">
        <v>46353</v>
      </c>
      <c r="I556" s="8" t="s">
        <v>23</v>
      </c>
      <c r="J556" s="8" t="s">
        <v>23</v>
      </c>
      <c r="K556" s="9"/>
      <c r="L556" s="8" t="s">
        <v>576</v>
      </c>
      <c r="M556" s="8"/>
      <c r="N556" s="10"/>
      <c r="O556" s="8" t="s">
        <v>1104</v>
      </c>
    </row>
    <row r="557" ht="32" customHeight="1" spans="1:15">
      <c r="A557" s="8">
        <v>23</v>
      </c>
      <c r="B557" s="8" t="s">
        <v>326</v>
      </c>
      <c r="C557" s="8" t="s">
        <v>328</v>
      </c>
      <c r="D557" s="8" t="s">
        <v>135</v>
      </c>
      <c r="E557" s="8" t="s">
        <v>460</v>
      </c>
      <c r="F557" s="8" t="s">
        <v>124</v>
      </c>
      <c r="G557" s="9">
        <v>46342</v>
      </c>
      <c r="H557" s="9">
        <v>46353</v>
      </c>
      <c r="I557" s="8" t="s">
        <v>23</v>
      </c>
      <c r="J557" s="8" t="s">
        <v>23</v>
      </c>
      <c r="K557" s="9"/>
      <c r="L557" s="8" t="s">
        <v>576</v>
      </c>
      <c r="M557" s="8"/>
      <c r="N557" s="10"/>
      <c r="O557" s="8" t="s">
        <v>1105</v>
      </c>
    </row>
    <row r="558" ht="32" customHeight="1" spans="1:15">
      <c r="A558" s="8">
        <v>23</v>
      </c>
      <c r="B558" s="8" t="s">
        <v>329</v>
      </c>
      <c r="C558" s="8" t="s">
        <v>330</v>
      </c>
      <c r="D558" s="8" t="s">
        <v>135</v>
      </c>
      <c r="E558" s="8" t="s">
        <v>460</v>
      </c>
      <c r="F558" s="8" t="s">
        <v>124</v>
      </c>
      <c r="G558" s="9">
        <v>46342</v>
      </c>
      <c r="H558" s="9">
        <v>46353</v>
      </c>
      <c r="I558" s="8" t="s">
        <v>23</v>
      </c>
      <c r="J558" s="8" t="s">
        <v>23</v>
      </c>
      <c r="K558" s="9"/>
      <c r="L558" s="8" t="s">
        <v>576</v>
      </c>
      <c r="M558" s="8"/>
      <c r="N558" s="10"/>
      <c r="O558" s="8" t="s">
        <v>1106</v>
      </c>
    </row>
    <row r="559" ht="32" customHeight="1" spans="1:15">
      <c r="A559" s="8">
        <v>23</v>
      </c>
      <c r="B559" s="8" t="s">
        <v>331</v>
      </c>
      <c r="C559" s="8" t="s">
        <v>332</v>
      </c>
      <c r="D559" s="8" t="s">
        <v>135</v>
      </c>
      <c r="E559" s="8" t="s">
        <v>460</v>
      </c>
      <c r="F559" s="8" t="s">
        <v>124</v>
      </c>
      <c r="G559" s="9">
        <v>46342</v>
      </c>
      <c r="H559" s="9">
        <v>46353</v>
      </c>
      <c r="I559" s="8" t="s">
        <v>23</v>
      </c>
      <c r="J559" s="8" t="s">
        <v>23</v>
      </c>
      <c r="K559" s="9"/>
      <c r="L559" s="8" t="s">
        <v>576</v>
      </c>
      <c r="M559" s="8"/>
      <c r="N559" s="10"/>
      <c r="O559" s="8" t="s">
        <v>1107</v>
      </c>
    </row>
    <row r="560" ht="32" customHeight="1" spans="1:15">
      <c r="A560" s="8">
        <v>23</v>
      </c>
      <c r="B560" s="8" t="s">
        <v>333</v>
      </c>
      <c r="C560" s="8" t="s">
        <v>334</v>
      </c>
      <c r="D560" s="8" t="s">
        <v>135</v>
      </c>
      <c r="E560" s="8" t="s">
        <v>460</v>
      </c>
      <c r="F560" s="8" t="s">
        <v>124</v>
      </c>
      <c r="G560" s="9">
        <v>46342</v>
      </c>
      <c r="H560" s="9">
        <v>46353</v>
      </c>
      <c r="I560" s="8" t="s">
        <v>23</v>
      </c>
      <c r="J560" s="8" t="s">
        <v>23</v>
      </c>
      <c r="K560" s="9"/>
      <c r="L560" s="8" t="s">
        <v>576</v>
      </c>
      <c r="M560" s="8"/>
      <c r="N560" s="10"/>
      <c r="O560" s="8" t="s">
        <v>1108</v>
      </c>
    </row>
    <row r="561" ht="32" customHeight="1" spans="1:15">
      <c r="A561" s="8">
        <v>23</v>
      </c>
      <c r="B561" s="8" t="s">
        <v>335</v>
      </c>
      <c r="C561" s="8" t="s">
        <v>313</v>
      </c>
      <c r="D561" s="8" t="s">
        <v>135</v>
      </c>
      <c r="E561" s="8" t="s">
        <v>460</v>
      </c>
      <c r="F561" s="8" t="s">
        <v>124</v>
      </c>
      <c r="G561" s="9">
        <v>46342</v>
      </c>
      <c r="H561" s="9">
        <v>46353</v>
      </c>
      <c r="I561" s="8" t="s">
        <v>23</v>
      </c>
      <c r="J561" s="8" t="s">
        <v>23</v>
      </c>
      <c r="K561" s="9"/>
      <c r="L561" s="8" t="s">
        <v>576</v>
      </c>
      <c r="M561" s="8"/>
      <c r="N561" s="10"/>
      <c r="O561" s="8" t="s">
        <v>1109</v>
      </c>
    </row>
    <row r="562" ht="32" customHeight="1" spans="1:15">
      <c r="A562" s="8">
        <v>23</v>
      </c>
      <c r="B562" s="8" t="s">
        <v>337</v>
      </c>
      <c r="C562" s="8" t="s">
        <v>315</v>
      </c>
      <c r="D562" s="8" t="s">
        <v>135</v>
      </c>
      <c r="E562" s="8" t="s">
        <v>460</v>
      </c>
      <c r="F562" s="8" t="s">
        <v>124</v>
      </c>
      <c r="G562" s="9">
        <v>46342</v>
      </c>
      <c r="H562" s="9">
        <v>46353</v>
      </c>
      <c r="I562" s="8" t="s">
        <v>23</v>
      </c>
      <c r="J562" s="8" t="s">
        <v>23</v>
      </c>
      <c r="K562" s="9"/>
      <c r="L562" s="8" t="s">
        <v>576</v>
      </c>
      <c r="M562" s="8"/>
      <c r="N562" s="10"/>
      <c r="O562" s="8" t="s">
        <v>1110</v>
      </c>
    </row>
    <row r="563" ht="32" customHeight="1" spans="1:15">
      <c r="A563" s="8">
        <v>23</v>
      </c>
      <c r="B563" s="8" t="s">
        <v>410</v>
      </c>
      <c r="C563" s="8" t="s">
        <v>411</v>
      </c>
      <c r="D563" s="8" t="s">
        <v>135</v>
      </c>
      <c r="E563" s="8" t="s">
        <v>460</v>
      </c>
      <c r="F563" s="8" t="s">
        <v>124</v>
      </c>
      <c r="G563" s="9">
        <v>46342</v>
      </c>
      <c r="H563" s="9">
        <v>46353</v>
      </c>
      <c r="I563" s="8" t="s">
        <v>23</v>
      </c>
      <c r="J563" s="8" t="s">
        <v>23</v>
      </c>
      <c r="K563" s="9"/>
      <c r="L563" s="8" t="s">
        <v>576</v>
      </c>
      <c r="M563" s="8"/>
      <c r="N563" s="10"/>
      <c r="O563" s="8" t="s">
        <v>1111</v>
      </c>
    </row>
    <row r="564" ht="32" customHeight="1" spans="1:15">
      <c r="A564" s="8">
        <v>23</v>
      </c>
      <c r="B564" s="8" t="s">
        <v>412</v>
      </c>
      <c r="C564" s="8" t="s">
        <v>413</v>
      </c>
      <c r="D564" s="8" t="s">
        <v>135</v>
      </c>
      <c r="E564" s="8" t="s">
        <v>460</v>
      </c>
      <c r="F564" s="8" t="s">
        <v>124</v>
      </c>
      <c r="G564" s="9">
        <v>46342</v>
      </c>
      <c r="H564" s="9">
        <v>46353</v>
      </c>
      <c r="I564" s="8" t="s">
        <v>23</v>
      </c>
      <c r="J564" s="8" t="s">
        <v>23</v>
      </c>
      <c r="K564" s="9">
        <v>46261</v>
      </c>
      <c r="L564" s="8" t="s">
        <v>576</v>
      </c>
      <c r="M564" s="8"/>
      <c r="N564" s="10"/>
      <c r="O564" s="8" t="s">
        <v>1112</v>
      </c>
    </row>
    <row r="565" ht="32" customHeight="1" spans="1:15">
      <c r="A565" s="8">
        <v>23</v>
      </c>
      <c r="B565" s="8" t="s">
        <v>414</v>
      </c>
      <c r="C565" s="8" t="s">
        <v>415</v>
      </c>
      <c r="D565" s="8" t="s">
        <v>135</v>
      </c>
      <c r="E565" s="8" t="s">
        <v>460</v>
      </c>
      <c r="F565" s="8" t="s">
        <v>124</v>
      </c>
      <c r="G565" s="9">
        <v>46342</v>
      </c>
      <c r="H565" s="9">
        <v>46353</v>
      </c>
      <c r="I565" s="8" t="s">
        <v>23</v>
      </c>
      <c r="J565" s="8" t="s">
        <v>23</v>
      </c>
      <c r="K565" s="9">
        <v>46261</v>
      </c>
      <c r="L565" s="8" t="s">
        <v>576</v>
      </c>
      <c r="M565" s="8"/>
      <c r="N565" s="10"/>
      <c r="O565" s="8" t="s">
        <v>1113</v>
      </c>
    </row>
    <row r="566" ht="32" customHeight="1" spans="1:15">
      <c r="A566" s="8">
        <v>23</v>
      </c>
      <c r="B566" s="8" t="s">
        <v>416</v>
      </c>
      <c r="C566" s="8" t="s">
        <v>417</v>
      </c>
      <c r="D566" s="8" t="s">
        <v>135</v>
      </c>
      <c r="E566" s="8" t="s">
        <v>460</v>
      </c>
      <c r="F566" s="8" t="s">
        <v>124</v>
      </c>
      <c r="G566" s="9">
        <v>46342</v>
      </c>
      <c r="H566" s="9">
        <v>46353</v>
      </c>
      <c r="I566" s="8" t="s">
        <v>23</v>
      </c>
      <c r="J566" s="8" t="s">
        <v>23</v>
      </c>
      <c r="K566" s="9"/>
      <c r="L566" s="8" t="s">
        <v>576</v>
      </c>
      <c r="M566" s="8"/>
      <c r="N566" s="10"/>
      <c r="O566" s="8" t="s">
        <v>1114</v>
      </c>
    </row>
    <row r="567" ht="32" customHeight="1" spans="1:15">
      <c r="A567" s="8">
        <v>23</v>
      </c>
      <c r="B567" s="8" t="s">
        <v>418</v>
      </c>
      <c r="C567" s="8" t="s">
        <v>419</v>
      </c>
      <c r="D567" s="8" t="s">
        <v>135</v>
      </c>
      <c r="E567" s="8" t="s">
        <v>460</v>
      </c>
      <c r="F567" s="8" t="s">
        <v>124</v>
      </c>
      <c r="G567" s="9">
        <v>46342</v>
      </c>
      <c r="H567" s="9">
        <v>46353</v>
      </c>
      <c r="I567" s="8" t="s">
        <v>23</v>
      </c>
      <c r="J567" s="8" t="s">
        <v>23</v>
      </c>
      <c r="K567" s="9"/>
      <c r="L567" s="8" t="s">
        <v>576</v>
      </c>
      <c r="M567" s="8"/>
      <c r="N567" s="10"/>
      <c r="O567" s="8" t="s">
        <v>1115</v>
      </c>
    </row>
    <row r="568" ht="32" customHeight="1" spans="1:15">
      <c r="A568" s="8">
        <v>23</v>
      </c>
      <c r="B568" s="8" t="s">
        <v>420</v>
      </c>
      <c r="C568" s="8" t="s">
        <v>421</v>
      </c>
      <c r="D568" s="8" t="s">
        <v>135</v>
      </c>
      <c r="E568" s="8" t="s">
        <v>460</v>
      </c>
      <c r="F568" s="8" t="s">
        <v>124</v>
      </c>
      <c r="G568" s="9">
        <v>46342</v>
      </c>
      <c r="H568" s="9">
        <v>46353</v>
      </c>
      <c r="I568" s="8" t="s">
        <v>23</v>
      </c>
      <c r="J568" s="8" t="s">
        <v>23</v>
      </c>
      <c r="K568" s="9"/>
      <c r="L568" s="8" t="s">
        <v>576</v>
      </c>
      <c r="M568" s="8"/>
      <c r="N568" s="10"/>
      <c r="O568" s="8" t="s">
        <v>1116</v>
      </c>
    </row>
    <row r="569" ht="32" customHeight="1" spans="1:15">
      <c r="A569" s="8">
        <v>23</v>
      </c>
      <c r="B569" s="8" t="s">
        <v>422</v>
      </c>
      <c r="C569" s="8" t="s">
        <v>207</v>
      </c>
      <c r="D569" s="8" t="s">
        <v>135</v>
      </c>
      <c r="E569" s="8" t="s">
        <v>460</v>
      </c>
      <c r="F569" s="8" t="s">
        <v>124</v>
      </c>
      <c r="G569" s="9">
        <v>46342</v>
      </c>
      <c r="H569" s="9">
        <v>46353</v>
      </c>
      <c r="I569" s="8" t="s">
        <v>23</v>
      </c>
      <c r="J569" s="8" t="s">
        <v>23</v>
      </c>
      <c r="K569" s="9"/>
      <c r="L569" s="8" t="s">
        <v>576</v>
      </c>
      <c r="M569" s="8"/>
      <c r="N569" s="10"/>
      <c r="O569" s="8" t="s">
        <v>1117</v>
      </c>
    </row>
    <row r="570" ht="32" customHeight="1" spans="1:15">
      <c r="A570" s="8">
        <v>23</v>
      </c>
      <c r="B570" s="8" t="s">
        <v>423</v>
      </c>
      <c r="C570" s="8" t="s">
        <v>211</v>
      </c>
      <c r="D570" s="8" t="s">
        <v>135</v>
      </c>
      <c r="E570" s="8" t="s">
        <v>460</v>
      </c>
      <c r="F570" s="8" t="s">
        <v>124</v>
      </c>
      <c r="G570" s="9">
        <v>46342</v>
      </c>
      <c r="H570" s="9">
        <v>46353</v>
      </c>
      <c r="I570" s="8" t="s">
        <v>23</v>
      </c>
      <c r="J570" s="8" t="s">
        <v>23</v>
      </c>
      <c r="K570" s="9"/>
      <c r="L570" s="8" t="s">
        <v>576</v>
      </c>
      <c r="M570" s="8"/>
      <c r="N570" s="10"/>
      <c r="O570" s="8" t="s">
        <v>1118</v>
      </c>
    </row>
    <row r="571" ht="32" customHeight="1" spans="1:15">
      <c r="A571" s="8">
        <v>23</v>
      </c>
      <c r="B571" s="8" t="s">
        <v>424</v>
      </c>
      <c r="C571" s="8" t="s">
        <v>425</v>
      </c>
      <c r="D571" s="8" t="s">
        <v>135</v>
      </c>
      <c r="E571" s="8" t="s">
        <v>460</v>
      </c>
      <c r="F571" s="8" t="s">
        <v>124</v>
      </c>
      <c r="G571" s="9">
        <v>46342</v>
      </c>
      <c r="H571" s="9">
        <v>46353</v>
      </c>
      <c r="I571" s="8" t="s">
        <v>23</v>
      </c>
      <c r="J571" s="8" t="s">
        <v>23</v>
      </c>
      <c r="K571" s="9"/>
      <c r="L571" s="8" t="s">
        <v>576</v>
      </c>
      <c r="M571" s="8"/>
      <c r="N571" s="10"/>
      <c r="O571" s="8" t="s">
        <v>1119</v>
      </c>
    </row>
    <row r="572" ht="32" customHeight="1" spans="1:15">
      <c r="A572" s="8">
        <v>23</v>
      </c>
      <c r="B572" s="8" t="s">
        <v>426</v>
      </c>
      <c r="C572" s="8" t="s">
        <v>182</v>
      </c>
      <c r="D572" s="8" t="s">
        <v>135</v>
      </c>
      <c r="E572" s="8" t="s">
        <v>460</v>
      </c>
      <c r="F572" s="8" t="s">
        <v>124</v>
      </c>
      <c r="G572" s="9">
        <v>46342</v>
      </c>
      <c r="H572" s="9">
        <v>46353</v>
      </c>
      <c r="I572" s="8" t="s">
        <v>23</v>
      </c>
      <c r="J572" s="8" t="s">
        <v>23</v>
      </c>
      <c r="K572" s="9"/>
      <c r="L572" s="8" t="s">
        <v>576</v>
      </c>
      <c r="M572" s="8"/>
      <c r="N572" s="10"/>
      <c r="O572" s="8" t="s">
        <v>1120</v>
      </c>
    </row>
    <row r="573" ht="32" customHeight="1" spans="1:15">
      <c r="A573" s="8">
        <v>23</v>
      </c>
      <c r="B573" s="8" t="s">
        <v>427</v>
      </c>
      <c r="C573" s="8" t="s">
        <v>187</v>
      </c>
      <c r="D573" s="8" t="s">
        <v>135</v>
      </c>
      <c r="E573" s="8" t="s">
        <v>460</v>
      </c>
      <c r="F573" s="8" t="s">
        <v>124</v>
      </c>
      <c r="G573" s="9">
        <v>46342</v>
      </c>
      <c r="H573" s="9">
        <v>46353</v>
      </c>
      <c r="I573" s="8" t="s">
        <v>23</v>
      </c>
      <c r="J573" s="8" t="s">
        <v>23</v>
      </c>
      <c r="K573" s="9"/>
      <c r="L573" s="8" t="s">
        <v>576</v>
      </c>
      <c r="M573" s="8"/>
      <c r="N573" s="10"/>
      <c r="O573" s="8" t="s">
        <v>1121</v>
      </c>
    </row>
    <row r="574" ht="32" customHeight="1" spans="1:15">
      <c r="A574" s="8">
        <v>23</v>
      </c>
      <c r="B574" s="8" t="s">
        <v>428</v>
      </c>
      <c r="C574" s="8" t="s">
        <v>429</v>
      </c>
      <c r="D574" s="8" t="s">
        <v>135</v>
      </c>
      <c r="E574" s="8" t="s">
        <v>460</v>
      </c>
      <c r="F574" s="8" t="s">
        <v>124</v>
      </c>
      <c r="G574" s="9">
        <v>46342</v>
      </c>
      <c r="H574" s="9">
        <v>46353</v>
      </c>
      <c r="I574" s="8" t="s">
        <v>23</v>
      </c>
      <c r="J574" s="8" t="s">
        <v>23</v>
      </c>
      <c r="K574" s="9"/>
      <c r="L574" s="8" t="s">
        <v>576</v>
      </c>
      <c r="M574" s="8"/>
      <c r="N574" s="10"/>
      <c r="O574" s="8" t="s">
        <v>1122</v>
      </c>
    </row>
    <row r="575" ht="32" customHeight="1" spans="1:15">
      <c r="A575" s="8">
        <v>23</v>
      </c>
      <c r="B575" s="8" t="s">
        <v>430</v>
      </c>
      <c r="C575" s="8" t="s">
        <v>216</v>
      </c>
      <c r="D575" s="8" t="s">
        <v>135</v>
      </c>
      <c r="E575" s="8" t="s">
        <v>460</v>
      </c>
      <c r="F575" s="8" t="s">
        <v>124</v>
      </c>
      <c r="G575" s="9">
        <v>46342</v>
      </c>
      <c r="H575" s="9">
        <v>46353</v>
      </c>
      <c r="I575" s="8" t="s">
        <v>121</v>
      </c>
      <c r="J575" s="8" t="s">
        <v>121</v>
      </c>
      <c r="K575" s="9">
        <v>46261</v>
      </c>
      <c r="L575" s="8" t="s">
        <v>576</v>
      </c>
      <c r="M575" s="8"/>
      <c r="N575" s="10"/>
      <c r="O575" s="8" t="s">
        <v>1123</v>
      </c>
    </row>
    <row r="576" ht="32" customHeight="1" spans="1:15">
      <c r="A576" s="8">
        <v>23</v>
      </c>
      <c r="B576" s="8" t="s">
        <v>431</v>
      </c>
      <c r="C576" s="8" t="s">
        <v>223</v>
      </c>
      <c r="D576" s="8" t="s">
        <v>135</v>
      </c>
      <c r="E576" s="8" t="s">
        <v>460</v>
      </c>
      <c r="F576" s="8" t="s">
        <v>124</v>
      </c>
      <c r="G576" s="9">
        <v>46342</v>
      </c>
      <c r="H576" s="9">
        <v>46353</v>
      </c>
      <c r="I576" s="8" t="s">
        <v>121</v>
      </c>
      <c r="J576" s="8" t="s">
        <v>121</v>
      </c>
      <c r="K576" s="9">
        <v>46261</v>
      </c>
      <c r="L576" s="8" t="s">
        <v>576</v>
      </c>
      <c r="M576" s="8"/>
      <c r="N576" s="10"/>
      <c r="O576" s="8" t="s">
        <v>1124</v>
      </c>
    </row>
    <row r="577" ht="32" customHeight="1" spans="1:15">
      <c r="A577" s="8">
        <v>23</v>
      </c>
      <c r="B577" s="8" t="s">
        <v>432</v>
      </c>
      <c r="C577" s="8" t="s">
        <v>230</v>
      </c>
      <c r="D577" s="8" t="s">
        <v>135</v>
      </c>
      <c r="E577" s="8" t="s">
        <v>460</v>
      </c>
      <c r="F577" s="8" t="s">
        <v>124</v>
      </c>
      <c r="G577" s="9">
        <v>46342</v>
      </c>
      <c r="H577" s="9">
        <v>46353</v>
      </c>
      <c r="I577" s="8" t="s">
        <v>121</v>
      </c>
      <c r="J577" s="8" t="s">
        <v>121</v>
      </c>
      <c r="K577" s="9"/>
      <c r="L577" s="8" t="s">
        <v>576</v>
      </c>
      <c r="M577" s="8" t="s">
        <v>577</v>
      </c>
      <c r="N577" s="10"/>
      <c r="O577" s="8" t="s">
        <v>1125</v>
      </c>
    </row>
    <row r="578" ht="32" customHeight="1" spans="1:15">
      <c r="A578" s="8">
        <v>23</v>
      </c>
      <c r="B578" s="8" t="s">
        <v>435</v>
      </c>
      <c r="C578" s="8" t="s">
        <v>209</v>
      </c>
      <c r="D578" s="8" t="s">
        <v>135</v>
      </c>
      <c r="E578" s="8" t="s">
        <v>460</v>
      </c>
      <c r="F578" s="8" t="s">
        <v>124</v>
      </c>
      <c r="G578" s="9">
        <v>46342</v>
      </c>
      <c r="H578" s="9">
        <v>46353</v>
      </c>
      <c r="I578" s="8" t="s">
        <v>23</v>
      </c>
      <c r="J578" s="8" t="s">
        <v>23</v>
      </c>
      <c r="K578" s="9"/>
      <c r="L578" s="8" t="s">
        <v>576</v>
      </c>
      <c r="M578" s="8"/>
      <c r="N578" s="10"/>
      <c r="O578" s="8" t="s">
        <v>1126</v>
      </c>
    </row>
    <row r="579" ht="32" customHeight="1" spans="1:15">
      <c r="A579" s="8" t="s">
        <v>1127</v>
      </c>
      <c r="B579" s="8" t="s">
        <v>260</v>
      </c>
      <c r="C579" s="8" t="s">
        <v>262</v>
      </c>
      <c r="D579" s="8" t="s">
        <v>119</v>
      </c>
      <c r="E579" s="8" t="s">
        <v>464</v>
      </c>
      <c r="F579" s="8" t="s">
        <v>120</v>
      </c>
      <c r="G579" s="9"/>
      <c r="H579" s="9"/>
      <c r="I579" s="8" t="s">
        <v>121</v>
      </c>
      <c r="J579" s="8" t="s">
        <v>121</v>
      </c>
      <c r="K579" s="9">
        <v>46224</v>
      </c>
      <c r="L579" s="8" t="s">
        <v>576</v>
      </c>
      <c r="M579" s="8" t="s">
        <v>1128</v>
      </c>
      <c r="N579" s="10"/>
      <c r="O579" s="8" t="s">
        <v>1129</v>
      </c>
    </row>
    <row r="580" ht="32" customHeight="1" spans="1:15">
      <c r="A580" s="8" t="s">
        <v>1127</v>
      </c>
      <c r="B580" s="8" t="s">
        <v>282</v>
      </c>
      <c r="C580" s="8" t="s">
        <v>284</v>
      </c>
      <c r="D580" s="8" t="s">
        <v>119</v>
      </c>
      <c r="E580" s="8" t="s">
        <v>464</v>
      </c>
      <c r="F580" s="8" t="s">
        <v>120</v>
      </c>
      <c r="G580" s="9"/>
      <c r="H580" s="9"/>
      <c r="I580" s="8" t="s">
        <v>121</v>
      </c>
      <c r="J580" s="8" t="s">
        <v>121</v>
      </c>
      <c r="K580" s="9">
        <v>46224</v>
      </c>
      <c r="L580" s="8" t="s">
        <v>576</v>
      </c>
      <c r="M580" s="8" t="s">
        <v>1128</v>
      </c>
      <c r="N580" s="10"/>
      <c r="O580" s="8" t="s">
        <v>1130</v>
      </c>
    </row>
    <row r="581" ht="32" customHeight="1" spans="1:15">
      <c r="A581" s="8" t="s">
        <v>1127</v>
      </c>
      <c r="B581" s="8" t="s">
        <v>285</v>
      </c>
      <c r="C581" s="8" t="s">
        <v>286</v>
      </c>
      <c r="D581" s="8" t="s">
        <v>119</v>
      </c>
      <c r="E581" s="8" t="s">
        <v>464</v>
      </c>
      <c r="F581" s="8" t="s">
        <v>120</v>
      </c>
      <c r="G581" s="9"/>
      <c r="H581" s="9"/>
      <c r="I581" s="8" t="s">
        <v>121</v>
      </c>
      <c r="J581" s="8" t="s">
        <v>121</v>
      </c>
      <c r="K581" s="9">
        <v>46224</v>
      </c>
      <c r="L581" s="8" t="s">
        <v>576</v>
      </c>
      <c r="M581" s="8" t="s">
        <v>1128</v>
      </c>
      <c r="N581" s="10"/>
      <c r="O581" s="8" t="s">
        <v>1131</v>
      </c>
    </row>
    <row r="582" ht="32" customHeight="1" spans="1:15">
      <c r="A582" s="8" t="s">
        <v>1127</v>
      </c>
      <c r="B582" s="8" t="s">
        <v>287</v>
      </c>
      <c r="C582" s="8" t="s">
        <v>288</v>
      </c>
      <c r="D582" s="8" t="s">
        <v>119</v>
      </c>
      <c r="E582" s="8" t="s">
        <v>464</v>
      </c>
      <c r="F582" s="8" t="s">
        <v>120</v>
      </c>
      <c r="G582" s="9"/>
      <c r="H582" s="9"/>
      <c r="I582" s="8" t="s">
        <v>121</v>
      </c>
      <c r="J582" s="8" t="s">
        <v>121</v>
      </c>
      <c r="K582" s="9">
        <v>46224</v>
      </c>
      <c r="L582" s="8" t="s">
        <v>576</v>
      </c>
      <c r="M582" s="8" t="s">
        <v>1128</v>
      </c>
      <c r="N582" s="10"/>
      <c r="O582" s="8" t="s">
        <v>1132</v>
      </c>
    </row>
    <row r="583" ht="32" customHeight="1" spans="1:15">
      <c r="A583" s="8" t="s">
        <v>1127</v>
      </c>
      <c r="B583" s="8" t="s">
        <v>377</v>
      </c>
      <c r="C583" s="8" t="s">
        <v>378</v>
      </c>
      <c r="D583" s="8"/>
      <c r="E583" s="8" t="s">
        <v>464</v>
      </c>
      <c r="F583" s="8"/>
      <c r="G583" s="9"/>
      <c r="H583" s="9"/>
      <c r="I583" s="8"/>
      <c r="J583" s="8" t="s">
        <v>1133</v>
      </c>
      <c r="K583" s="9"/>
      <c r="L583" s="8" t="s">
        <v>576</v>
      </c>
      <c r="M583" s="8" t="s">
        <v>1134</v>
      </c>
      <c r="N583" s="10"/>
      <c r="O583" s="8" t="s">
        <v>1135</v>
      </c>
    </row>
    <row r="584" ht="32" customHeight="1" spans="1:15">
      <c r="A584" s="8" t="s">
        <v>1127</v>
      </c>
      <c r="B584" s="8" t="s">
        <v>379</v>
      </c>
      <c r="C584" s="8" t="s">
        <v>380</v>
      </c>
      <c r="D584" s="8"/>
      <c r="E584" s="8" t="s">
        <v>464</v>
      </c>
      <c r="F584" s="8"/>
      <c r="G584" s="9"/>
      <c r="H584" s="9"/>
      <c r="I584" s="8"/>
      <c r="J584" s="8" t="s">
        <v>1133</v>
      </c>
      <c r="K584" s="9"/>
      <c r="L584" s="8" t="s">
        <v>576</v>
      </c>
      <c r="M584" s="8" t="s">
        <v>1134</v>
      </c>
      <c r="N584" s="10"/>
      <c r="O584" s="8" t="s">
        <v>1136</v>
      </c>
    </row>
    <row r="585" ht="32" customHeight="1" spans="1:15">
      <c r="A585" s="8" t="s">
        <v>1127</v>
      </c>
      <c r="B585" s="8" t="s">
        <v>381</v>
      </c>
      <c r="C585" s="8" t="s">
        <v>382</v>
      </c>
      <c r="D585" s="8"/>
      <c r="E585" s="8" t="s">
        <v>464</v>
      </c>
      <c r="F585" s="8"/>
      <c r="G585" s="9"/>
      <c r="H585" s="9"/>
      <c r="I585" s="8"/>
      <c r="J585" s="8" t="s">
        <v>1133</v>
      </c>
      <c r="K585" s="9"/>
      <c r="L585" s="8" t="s">
        <v>576</v>
      </c>
      <c r="M585" s="8" t="s">
        <v>1134</v>
      </c>
      <c r="N585" s="10"/>
      <c r="O585" s="8" t="s">
        <v>1137</v>
      </c>
    </row>
    <row r="586" ht="32" customHeight="1" spans="1:15">
      <c r="A586" s="8" t="s">
        <v>1127</v>
      </c>
      <c r="B586" s="8" t="s">
        <v>383</v>
      </c>
      <c r="C586" s="8" t="s">
        <v>384</v>
      </c>
      <c r="D586" s="8"/>
      <c r="E586" s="8" t="s">
        <v>464</v>
      </c>
      <c r="F586" s="8"/>
      <c r="G586" s="9"/>
      <c r="H586" s="9"/>
      <c r="I586" s="8"/>
      <c r="J586" s="8" t="s">
        <v>1133</v>
      </c>
      <c r="K586" s="9"/>
      <c r="L586" s="8" t="s">
        <v>576</v>
      </c>
      <c r="M586" s="8" t="s">
        <v>1134</v>
      </c>
      <c r="N586" s="10"/>
      <c r="O586" s="8" t="s">
        <v>1138</v>
      </c>
    </row>
    <row r="587" ht="32" customHeight="1" spans="1:15">
      <c r="A587" s="8" t="s">
        <v>1127</v>
      </c>
      <c r="B587" s="8" t="s">
        <v>385</v>
      </c>
      <c r="C587" s="8" t="s">
        <v>386</v>
      </c>
      <c r="D587" s="8"/>
      <c r="E587" s="8" t="s">
        <v>464</v>
      </c>
      <c r="F587" s="8"/>
      <c r="G587" s="9"/>
      <c r="H587" s="9"/>
      <c r="I587" s="8"/>
      <c r="J587" s="8" t="s">
        <v>1133</v>
      </c>
      <c r="K587" s="9"/>
      <c r="L587" s="8" t="s">
        <v>576</v>
      </c>
      <c r="M587" s="8" t="s">
        <v>1134</v>
      </c>
      <c r="N587" s="10"/>
      <c r="O587" s="8" t="s">
        <v>1139</v>
      </c>
    </row>
    <row r="588" ht="32" customHeight="1" spans="1:15">
      <c r="A588" s="8" t="s">
        <v>1127</v>
      </c>
      <c r="B588" s="8" t="s">
        <v>387</v>
      </c>
      <c r="C588" s="8" t="s">
        <v>388</v>
      </c>
      <c r="D588" s="8"/>
      <c r="E588" s="8" t="s">
        <v>464</v>
      </c>
      <c r="F588" s="8"/>
      <c r="G588" s="9"/>
      <c r="H588" s="9"/>
      <c r="I588" s="8"/>
      <c r="J588" s="8" t="s">
        <v>1133</v>
      </c>
      <c r="K588" s="9"/>
      <c r="L588" s="8" t="s">
        <v>576</v>
      </c>
      <c r="M588" s="8" t="s">
        <v>1134</v>
      </c>
      <c r="N588" s="10"/>
      <c r="O588" s="8" t="s">
        <v>1140</v>
      </c>
    </row>
    <row r="589" ht="32" customHeight="1" spans="1:15">
      <c r="A589" s="8" t="s">
        <v>1127</v>
      </c>
      <c r="B589" s="8" t="s">
        <v>389</v>
      </c>
      <c r="C589" s="8" t="s">
        <v>391</v>
      </c>
      <c r="D589" s="8" t="s">
        <v>119</v>
      </c>
      <c r="E589" s="8" t="s">
        <v>464</v>
      </c>
      <c r="F589" s="8" t="s">
        <v>120</v>
      </c>
      <c r="G589" s="9"/>
      <c r="H589" s="9"/>
      <c r="I589" s="8" t="s">
        <v>121</v>
      </c>
      <c r="J589" s="8" t="s">
        <v>121</v>
      </c>
      <c r="K589" s="9"/>
      <c r="L589" s="8" t="s">
        <v>576</v>
      </c>
      <c r="M589" s="8" t="s">
        <v>1141</v>
      </c>
      <c r="N589" s="10"/>
      <c r="O589" s="8" t="s">
        <v>1142</v>
      </c>
    </row>
    <row r="590" ht="32" customHeight="1" spans="1:15">
      <c r="A590" s="8" t="s">
        <v>1127</v>
      </c>
      <c r="B590" s="8" t="s">
        <v>392</v>
      </c>
      <c r="C590" s="8" t="s">
        <v>393</v>
      </c>
      <c r="D590" s="8" t="s">
        <v>119</v>
      </c>
      <c r="E590" s="8" t="s">
        <v>464</v>
      </c>
      <c r="F590" s="8" t="s">
        <v>120</v>
      </c>
      <c r="G590" s="9"/>
      <c r="H590" s="9"/>
      <c r="I590" s="8" t="s">
        <v>121</v>
      </c>
      <c r="J590" s="8" t="s">
        <v>121</v>
      </c>
      <c r="K590" s="9"/>
      <c r="L590" s="8" t="s">
        <v>576</v>
      </c>
      <c r="M590" s="8" t="s">
        <v>1141</v>
      </c>
      <c r="N590" s="10"/>
      <c r="O590" s="8" t="s">
        <v>1143</v>
      </c>
    </row>
    <row r="591" ht="32" customHeight="1" spans="1:15">
      <c r="A591" s="8" t="s">
        <v>1127</v>
      </c>
      <c r="B591" s="8" t="s">
        <v>394</v>
      </c>
      <c r="C591" s="8" t="s">
        <v>395</v>
      </c>
      <c r="D591" s="8" t="s">
        <v>119</v>
      </c>
      <c r="E591" s="8" t="s">
        <v>464</v>
      </c>
      <c r="F591" s="8" t="s">
        <v>120</v>
      </c>
      <c r="G591" s="9"/>
      <c r="H591" s="9"/>
      <c r="I591" s="8" t="s">
        <v>121</v>
      </c>
      <c r="J591" s="8" t="s">
        <v>121</v>
      </c>
      <c r="K591" s="9"/>
      <c r="L591" s="8" t="s">
        <v>576</v>
      </c>
      <c r="M591" s="8" t="s">
        <v>1141</v>
      </c>
      <c r="N591" s="10"/>
      <c r="O591" s="8" t="s">
        <v>1144</v>
      </c>
    </row>
    <row r="592" ht="32" customHeight="1" spans="1:15">
      <c r="A592" s="8" t="s">
        <v>1127</v>
      </c>
      <c r="B592" s="8" t="s">
        <v>396</v>
      </c>
      <c r="C592" s="8" t="s">
        <v>397</v>
      </c>
      <c r="D592" s="8" t="s">
        <v>119</v>
      </c>
      <c r="E592" s="8" t="s">
        <v>464</v>
      </c>
      <c r="F592" s="8" t="s">
        <v>120</v>
      </c>
      <c r="G592" s="9"/>
      <c r="H592" s="9"/>
      <c r="I592" s="8" t="s">
        <v>121</v>
      </c>
      <c r="J592" s="8" t="s">
        <v>121</v>
      </c>
      <c r="K592" s="9"/>
      <c r="L592" s="8" t="s">
        <v>576</v>
      </c>
      <c r="M592" s="8" t="s">
        <v>1141</v>
      </c>
      <c r="N592" s="10"/>
      <c r="O592" s="8" t="s">
        <v>1145</v>
      </c>
    </row>
    <row r="593" ht="32" customHeight="1" spans="1:15">
      <c r="A593" s="8" t="s">
        <v>1127</v>
      </c>
      <c r="B593" s="8" t="s">
        <v>377</v>
      </c>
      <c r="C593" s="8" t="s">
        <v>378</v>
      </c>
      <c r="D593" s="8"/>
      <c r="E593" s="8" t="s">
        <v>463</v>
      </c>
      <c r="F593" s="8"/>
      <c r="G593" s="9"/>
      <c r="H593" s="9"/>
      <c r="I593" s="8"/>
      <c r="J593" s="8" t="s">
        <v>1133</v>
      </c>
      <c r="K593" s="9"/>
      <c r="L593" s="8" t="s">
        <v>576</v>
      </c>
      <c r="M593" s="8" t="s">
        <v>1134</v>
      </c>
      <c r="N593" s="10"/>
      <c r="O593" s="8" t="s">
        <v>1146</v>
      </c>
    </row>
    <row r="594" ht="32" customHeight="1" spans="1:15">
      <c r="A594" s="8" t="s">
        <v>1127</v>
      </c>
      <c r="B594" s="8" t="s">
        <v>379</v>
      </c>
      <c r="C594" s="8" t="s">
        <v>380</v>
      </c>
      <c r="D594" s="8"/>
      <c r="E594" s="8" t="s">
        <v>463</v>
      </c>
      <c r="F594" s="8"/>
      <c r="G594" s="9"/>
      <c r="H594" s="9"/>
      <c r="I594" s="8"/>
      <c r="J594" s="8" t="s">
        <v>1133</v>
      </c>
      <c r="K594" s="9"/>
      <c r="L594" s="8" t="s">
        <v>576</v>
      </c>
      <c r="M594" s="8" t="s">
        <v>1134</v>
      </c>
      <c r="N594" s="10"/>
      <c r="O594" s="8" t="s">
        <v>1147</v>
      </c>
    </row>
    <row r="595" ht="32" customHeight="1" spans="1:15">
      <c r="A595" s="8" t="s">
        <v>1127</v>
      </c>
      <c r="B595" s="8" t="s">
        <v>381</v>
      </c>
      <c r="C595" s="8" t="s">
        <v>382</v>
      </c>
      <c r="D595" s="8"/>
      <c r="E595" s="8" t="s">
        <v>463</v>
      </c>
      <c r="F595" s="8"/>
      <c r="G595" s="9"/>
      <c r="H595" s="9"/>
      <c r="I595" s="8"/>
      <c r="J595" s="8" t="s">
        <v>1133</v>
      </c>
      <c r="K595" s="9"/>
      <c r="L595" s="8" t="s">
        <v>576</v>
      </c>
      <c r="M595" s="8" t="s">
        <v>1134</v>
      </c>
      <c r="N595" s="10"/>
      <c r="O595" s="8" t="s">
        <v>1148</v>
      </c>
    </row>
    <row r="596" ht="32" customHeight="1" spans="1:15">
      <c r="A596" s="8" t="s">
        <v>1127</v>
      </c>
      <c r="B596" s="8" t="s">
        <v>383</v>
      </c>
      <c r="C596" s="8" t="s">
        <v>384</v>
      </c>
      <c r="D596" s="8"/>
      <c r="E596" s="8" t="s">
        <v>463</v>
      </c>
      <c r="F596" s="8"/>
      <c r="G596" s="9"/>
      <c r="H596" s="9"/>
      <c r="I596" s="8"/>
      <c r="J596" s="8" t="s">
        <v>1133</v>
      </c>
      <c r="K596" s="9"/>
      <c r="L596" s="8" t="s">
        <v>576</v>
      </c>
      <c r="M596" s="8" t="s">
        <v>1134</v>
      </c>
      <c r="N596" s="10"/>
      <c r="O596" s="8" t="s">
        <v>1149</v>
      </c>
    </row>
    <row r="597" ht="32" customHeight="1" spans="1:15">
      <c r="A597" s="8" t="s">
        <v>1127</v>
      </c>
      <c r="B597" s="8" t="s">
        <v>385</v>
      </c>
      <c r="C597" s="8" t="s">
        <v>386</v>
      </c>
      <c r="D597" s="8"/>
      <c r="E597" s="8" t="s">
        <v>463</v>
      </c>
      <c r="F597" s="8"/>
      <c r="G597" s="9"/>
      <c r="H597" s="9"/>
      <c r="I597" s="8"/>
      <c r="J597" s="8" t="s">
        <v>1133</v>
      </c>
      <c r="K597" s="9"/>
      <c r="L597" s="8" t="s">
        <v>576</v>
      </c>
      <c r="M597" s="8" t="s">
        <v>1134</v>
      </c>
      <c r="N597" s="10"/>
      <c r="O597" s="8" t="s">
        <v>1150</v>
      </c>
    </row>
    <row r="598" ht="32" customHeight="1" spans="1:15">
      <c r="A598" s="8" t="s">
        <v>1127</v>
      </c>
      <c r="B598" s="8" t="s">
        <v>387</v>
      </c>
      <c r="C598" s="8" t="s">
        <v>388</v>
      </c>
      <c r="D598" s="8"/>
      <c r="E598" s="8" t="s">
        <v>463</v>
      </c>
      <c r="F598" s="8"/>
      <c r="G598" s="9"/>
      <c r="H598" s="9"/>
      <c r="I598" s="8"/>
      <c r="J598" s="8" t="s">
        <v>1133</v>
      </c>
      <c r="K598" s="9"/>
      <c r="L598" s="8" t="s">
        <v>576</v>
      </c>
      <c r="M598" s="8" t="s">
        <v>1134</v>
      </c>
      <c r="N598" s="10"/>
      <c r="O598" s="8" t="s">
        <v>1151</v>
      </c>
    </row>
    <row r="599" ht="32" customHeight="1" spans="1:15">
      <c r="A599" s="8" t="s">
        <v>1127</v>
      </c>
      <c r="B599" s="8" t="s">
        <v>377</v>
      </c>
      <c r="C599" s="8" t="s">
        <v>378</v>
      </c>
      <c r="D599" s="8"/>
      <c r="E599" s="8" t="s">
        <v>455</v>
      </c>
      <c r="F599" s="8"/>
      <c r="G599" s="9"/>
      <c r="H599" s="9"/>
      <c r="I599" s="8"/>
      <c r="J599" s="8" t="s">
        <v>1133</v>
      </c>
      <c r="K599" s="9"/>
      <c r="L599" s="8" t="s">
        <v>576</v>
      </c>
      <c r="M599" s="8" t="s">
        <v>1134</v>
      </c>
      <c r="N599" s="10"/>
      <c r="O599" s="8" t="s">
        <v>1152</v>
      </c>
    </row>
    <row r="600" ht="32" customHeight="1" spans="1:15">
      <c r="A600" s="8" t="s">
        <v>1127</v>
      </c>
      <c r="B600" s="8" t="s">
        <v>379</v>
      </c>
      <c r="C600" s="8" t="s">
        <v>380</v>
      </c>
      <c r="D600" s="8"/>
      <c r="E600" s="8" t="s">
        <v>455</v>
      </c>
      <c r="F600" s="8"/>
      <c r="G600" s="9"/>
      <c r="H600" s="9"/>
      <c r="I600" s="8"/>
      <c r="J600" s="8" t="s">
        <v>1133</v>
      </c>
      <c r="K600" s="9"/>
      <c r="L600" s="8" t="s">
        <v>576</v>
      </c>
      <c r="M600" s="8" t="s">
        <v>1134</v>
      </c>
      <c r="N600" s="10"/>
      <c r="O600" s="8" t="s">
        <v>1153</v>
      </c>
    </row>
    <row r="601" ht="32" customHeight="1" spans="1:15">
      <c r="A601" s="8" t="s">
        <v>1127</v>
      </c>
      <c r="B601" s="8" t="s">
        <v>381</v>
      </c>
      <c r="C601" s="8" t="s">
        <v>382</v>
      </c>
      <c r="D601" s="8"/>
      <c r="E601" s="8" t="s">
        <v>455</v>
      </c>
      <c r="F601" s="8"/>
      <c r="G601" s="9"/>
      <c r="H601" s="9"/>
      <c r="I601" s="8"/>
      <c r="J601" s="8" t="s">
        <v>1133</v>
      </c>
      <c r="K601" s="9"/>
      <c r="L601" s="8" t="s">
        <v>576</v>
      </c>
      <c r="M601" s="8" t="s">
        <v>1134</v>
      </c>
      <c r="N601" s="10"/>
      <c r="O601" s="8" t="s">
        <v>1154</v>
      </c>
    </row>
    <row r="602" ht="32" customHeight="1" spans="1:15">
      <c r="A602" s="8" t="s">
        <v>1127</v>
      </c>
      <c r="B602" s="8" t="s">
        <v>383</v>
      </c>
      <c r="C602" s="8" t="s">
        <v>384</v>
      </c>
      <c r="D602" s="8"/>
      <c r="E602" s="8" t="s">
        <v>455</v>
      </c>
      <c r="F602" s="8"/>
      <c r="G602" s="9"/>
      <c r="H602" s="9"/>
      <c r="I602" s="8"/>
      <c r="J602" s="8" t="s">
        <v>1133</v>
      </c>
      <c r="K602" s="9"/>
      <c r="L602" s="8" t="s">
        <v>576</v>
      </c>
      <c r="M602" s="8" t="s">
        <v>1134</v>
      </c>
      <c r="N602" s="10"/>
      <c r="O602" s="8" t="s">
        <v>1155</v>
      </c>
    </row>
    <row r="603" ht="32" customHeight="1" spans="1:15">
      <c r="A603" s="8" t="s">
        <v>1127</v>
      </c>
      <c r="B603" s="8" t="s">
        <v>385</v>
      </c>
      <c r="C603" s="8" t="s">
        <v>386</v>
      </c>
      <c r="D603" s="8"/>
      <c r="E603" s="8" t="s">
        <v>455</v>
      </c>
      <c r="F603" s="8"/>
      <c r="G603" s="9"/>
      <c r="H603" s="9"/>
      <c r="I603" s="8"/>
      <c r="J603" s="8" t="s">
        <v>1133</v>
      </c>
      <c r="K603" s="9"/>
      <c r="L603" s="8" t="s">
        <v>576</v>
      </c>
      <c r="M603" s="8" t="s">
        <v>1134</v>
      </c>
      <c r="N603" s="10"/>
      <c r="O603" s="8" t="s">
        <v>1156</v>
      </c>
    </row>
    <row r="604" ht="32" customHeight="1" spans="1:15">
      <c r="A604" s="8" t="s">
        <v>1127</v>
      </c>
      <c r="B604" s="8" t="s">
        <v>387</v>
      </c>
      <c r="C604" s="8" t="s">
        <v>388</v>
      </c>
      <c r="D604" s="8"/>
      <c r="E604" s="8" t="s">
        <v>455</v>
      </c>
      <c r="F604" s="8"/>
      <c r="G604" s="9"/>
      <c r="H604" s="9"/>
      <c r="I604" s="8"/>
      <c r="J604" s="8" t="s">
        <v>1133</v>
      </c>
      <c r="K604" s="9"/>
      <c r="L604" s="8" t="s">
        <v>576</v>
      </c>
      <c r="M604" s="8" t="s">
        <v>1134</v>
      </c>
      <c r="N604" s="10"/>
      <c r="O604" s="8" t="s">
        <v>1157</v>
      </c>
    </row>
    <row r="605" ht="32" customHeight="1" spans="1:15">
      <c r="A605" s="8" t="s">
        <v>1127</v>
      </c>
      <c r="B605" s="8" t="s">
        <v>377</v>
      </c>
      <c r="C605" s="8" t="s">
        <v>378</v>
      </c>
      <c r="D605" s="8"/>
      <c r="E605" s="8" t="s">
        <v>460</v>
      </c>
      <c r="F605" s="8"/>
      <c r="G605" s="9"/>
      <c r="H605" s="9"/>
      <c r="I605" s="8"/>
      <c r="J605" s="8" t="s">
        <v>1133</v>
      </c>
      <c r="K605" s="9"/>
      <c r="L605" s="8" t="s">
        <v>576</v>
      </c>
      <c r="M605" s="8" t="s">
        <v>1134</v>
      </c>
      <c r="N605" s="10"/>
      <c r="O605" s="8" t="s">
        <v>1158</v>
      </c>
    </row>
    <row r="606" ht="32" customHeight="1" spans="1:15">
      <c r="A606" s="8" t="s">
        <v>1127</v>
      </c>
      <c r="B606" s="8" t="s">
        <v>379</v>
      </c>
      <c r="C606" s="8" t="s">
        <v>380</v>
      </c>
      <c r="D606" s="8"/>
      <c r="E606" s="8" t="s">
        <v>460</v>
      </c>
      <c r="F606" s="8"/>
      <c r="G606" s="9"/>
      <c r="H606" s="9"/>
      <c r="I606" s="8"/>
      <c r="J606" s="8" t="s">
        <v>1133</v>
      </c>
      <c r="K606" s="9"/>
      <c r="L606" s="8" t="s">
        <v>576</v>
      </c>
      <c r="M606" s="8" t="s">
        <v>1134</v>
      </c>
      <c r="N606" s="10"/>
      <c r="O606" s="8" t="s">
        <v>1159</v>
      </c>
    </row>
    <row r="607" ht="32" customHeight="1" spans="1:15">
      <c r="A607" s="8" t="s">
        <v>1127</v>
      </c>
      <c r="B607" s="8" t="s">
        <v>381</v>
      </c>
      <c r="C607" s="8" t="s">
        <v>382</v>
      </c>
      <c r="D607" s="8"/>
      <c r="E607" s="8" t="s">
        <v>460</v>
      </c>
      <c r="F607" s="8"/>
      <c r="G607" s="9"/>
      <c r="H607" s="9"/>
      <c r="I607" s="8"/>
      <c r="J607" s="8" t="s">
        <v>1133</v>
      </c>
      <c r="K607" s="9"/>
      <c r="L607" s="8" t="s">
        <v>576</v>
      </c>
      <c r="M607" s="8" t="s">
        <v>1134</v>
      </c>
      <c r="N607" s="10"/>
      <c r="O607" s="8" t="s">
        <v>1160</v>
      </c>
    </row>
    <row r="608" ht="32" customHeight="1" spans="1:15">
      <c r="A608" s="8" t="s">
        <v>1127</v>
      </c>
      <c r="B608" s="8" t="s">
        <v>383</v>
      </c>
      <c r="C608" s="8" t="s">
        <v>384</v>
      </c>
      <c r="D608" s="8"/>
      <c r="E608" s="8" t="s">
        <v>460</v>
      </c>
      <c r="F608" s="8"/>
      <c r="G608" s="9"/>
      <c r="H608" s="9"/>
      <c r="I608" s="8"/>
      <c r="J608" s="8" t="s">
        <v>1133</v>
      </c>
      <c r="K608" s="9"/>
      <c r="L608" s="8" t="s">
        <v>576</v>
      </c>
      <c r="M608" s="8" t="s">
        <v>1134</v>
      </c>
      <c r="N608" s="10"/>
      <c r="O608" s="8" t="s">
        <v>1161</v>
      </c>
    </row>
    <row r="609" ht="32" customHeight="1" spans="1:15">
      <c r="A609" s="8" t="s">
        <v>1127</v>
      </c>
      <c r="B609" s="8" t="s">
        <v>385</v>
      </c>
      <c r="C609" s="8" t="s">
        <v>386</v>
      </c>
      <c r="D609" s="8"/>
      <c r="E609" s="8" t="s">
        <v>460</v>
      </c>
      <c r="F609" s="8"/>
      <c r="G609" s="9"/>
      <c r="H609" s="9"/>
      <c r="I609" s="8"/>
      <c r="J609" s="8" t="s">
        <v>1133</v>
      </c>
      <c r="K609" s="9"/>
      <c r="L609" s="8" t="s">
        <v>576</v>
      </c>
      <c r="M609" s="8" t="s">
        <v>1134</v>
      </c>
      <c r="N609" s="10"/>
      <c r="O609" s="8" t="s">
        <v>1162</v>
      </c>
    </row>
    <row r="610" ht="32" customHeight="1" spans="1:15">
      <c r="A610" s="8" t="s">
        <v>1127</v>
      </c>
      <c r="B610" s="8" t="s">
        <v>387</v>
      </c>
      <c r="C610" s="8" t="s">
        <v>388</v>
      </c>
      <c r="D610" s="8"/>
      <c r="E610" s="8" t="s">
        <v>460</v>
      </c>
      <c r="F610" s="8"/>
      <c r="G610" s="9"/>
      <c r="H610" s="9"/>
      <c r="I610" s="8"/>
      <c r="J610" s="8" t="s">
        <v>1133</v>
      </c>
      <c r="K610" s="9"/>
      <c r="L610" s="8" t="s">
        <v>576</v>
      </c>
      <c r="M610" s="8" t="s">
        <v>1134</v>
      </c>
      <c r="N610" s="10"/>
      <c r="O610" s="8" t="s">
        <v>1163</v>
      </c>
    </row>
  </sheetData>
  <mergeCells count="3">
    <mergeCell ref="A1:L1"/>
    <mergeCell ref="A2:L2"/>
    <mergeCell ref="A29:N2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A1" sqref="A1"/>
    </sheetView>
  </sheetViews>
  <sheetFormatPr defaultColWidth="9" defaultRowHeight="16.8" outlineLevelRow="7" outlineLevelCol="1"/>
  <sheetData>
    <row r="1" spans="1:2">
      <c r="A1" t="s">
        <v>1164</v>
      </c>
      <c r="B1" t="s">
        <v>1165</v>
      </c>
    </row>
    <row r="2" spans="1:2">
      <c r="A2" t="s">
        <v>1166</v>
      </c>
      <c r="B2" t="s">
        <v>1167</v>
      </c>
    </row>
    <row r="3" spans="1:2">
      <c r="A3" t="s">
        <v>1168</v>
      </c>
      <c r="B3" t="s">
        <v>1169</v>
      </c>
    </row>
    <row r="4" spans="1:2">
      <c r="A4" t="s">
        <v>1170</v>
      </c>
      <c r="B4" t="s">
        <v>1171</v>
      </c>
    </row>
    <row r="5" spans="1:2">
      <c r="A5" t="s">
        <v>1172</v>
      </c>
      <c r="B5" t="s">
        <v>1173</v>
      </c>
    </row>
    <row r="6" spans="1:2">
      <c r="A6" t="s">
        <v>1174</v>
      </c>
      <c r="B6" t="s">
        <v>1175</v>
      </c>
    </row>
    <row r="7" spans="1:2">
      <c r="A7" t="s">
        <v>1176</v>
      </c>
      <c r="B7" s="1">
        <v>46281</v>
      </c>
    </row>
    <row r="8" spans="1:2">
      <c r="A8" t="s">
        <v>1177</v>
      </c>
      <c r="B8" s="1">
        <v>46283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里程碑计划</vt:lpstr>
      <vt:lpstr>项目总控台账</vt:lpstr>
      <vt:lpstr>资源计划</vt:lpstr>
      <vt:lpstr>周迭代计划</vt:lpstr>
      <vt:lpstr>_数据接口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zlyyh</cp:lastModifiedBy>
  <dcterms:created xsi:type="dcterms:W3CDTF">2026-09-16T09:28:00Z</dcterms:created>
  <dcterms:modified xsi:type="dcterms:W3CDTF">2026-09-16T09:30:49Z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A73B7BC8379F605549F1A96A5D4705DA_42</vt:lpwstr>
  </property>
  <property fmtid="{D5CDD505-2E9C-101B-9397-08002B2CF9AE}" pid="3" name="KSOProductBuildVer">
    <vt:lpwstr>2052-12.1.25869.25869</vt:lpwstr>
  </property>
  <property fmtid="{D5CDD505-2E9C-101B-9397-08002B2CF9AE}" pid="4" name="CalculationRule">
    <vt:i4>0</vt:i4>
  </property>
</Properties>
</file>
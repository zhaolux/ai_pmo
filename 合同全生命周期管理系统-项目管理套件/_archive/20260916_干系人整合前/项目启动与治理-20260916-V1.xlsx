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700"/>
  </bookViews>
  <sheets>
    <sheet name="相关方管理" sheetId="1" r:id="rId1"/>
    <sheet name="_数据接口" sheetId="2" state="hidden" r:id="rId2"/>
  </sheets>
  <externalReferences>
    <externalReference r:id="rId3"/>
  </externalReferences>
  <definedNames>
    <definedName name="_xlnm._FilterDatabase" localSheetId="0" hidden="1">相关方管理!$A$8:$AC$108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<sst xmlns="http://schemas.openxmlformats.org/spreadsheetml/2006/main" count="52" uniqueCount="52">
  <si>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项目相关方管理</t>
  </si>
  <si>
    <t>持续跟踪影响力、支持度、沟通节奏和待办行动，黄色单元格由项目团队维护。</t>
  </si>
  <si>
    <t>相关方总数</t>
  </si>
  <si>
    <t>高权力相关方</t>
  </si>
  <si>
    <t>重点管理人数</t>
  </si>
  <si>
    <t>当前不支持人数</t>
  </si>
  <si>
    <t>存在支持差距</t>
  </si>
  <si>
    <t>沟通逾期人数</t>
  </si>
  <si>
    <t>未关闭行动数</t>
  </si>
  <si>
    <t>待升级事项</t>
  </si>
  <si>
    <t>相关方管理明细</t>
  </si>
  <si>
    <t>相关方ID</t>
  </si>
  <si>
    <t>姓名/组织</t>
  </si>
  <si>
    <t>所属单位/部门</t>
  </si>
  <si>
    <t>职务/角色</t>
  </si>
  <si>
    <t>相关方类别</t>
  </si>
  <si>
    <t>项目责任</t>
  </si>
  <si>
    <t>关注事项</t>
  </si>
  <si>
    <t>权力等级</t>
  </si>
  <si>
    <t>关注度</t>
  </si>
  <si>
    <t>当前支持度</t>
  </si>
  <si>
    <t>目标支持度</t>
  </si>
  <si>
    <t>支持差距</t>
  </si>
  <si>
    <t>影响方向</t>
  </si>
  <si>
    <t>管理策略</t>
  </si>
  <si>
    <t>沟通方式</t>
  </si>
  <si>
    <t>沟通频率</t>
  </si>
  <si>
    <t>沟通内容</t>
  </si>
  <si>
    <t>关系责任人</t>
  </si>
  <si>
    <t>最近沟通日期</t>
  </si>
  <si>
    <t>下次沟通日期</t>
  </si>
  <si>
    <t>当前诉求/意见</t>
  </si>
  <si>
    <t>待办行动</t>
  </si>
  <si>
    <t>行动责任人</t>
  </si>
  <si>
    <t>承诺完成日期</t>
  </si>
  <si>
    <t>行动状态</t>
  </si>
  <si>
    <t>是否需要升级</t>
  </si>
  <si>
    <t>升级对象</t>
  </si>
  <si>
    <t>风险提示</t>
  </si>
  <si>
    <t>备注</t>
  </si>
  <si>
    <t>字段</t>
  </si>
  <si>
    <t>值</t>
  </si>
  <si>
    <t>Project_ID</t>
  </si>
  <si>
    <t>ECM-2026</t>
  </si>
  <si>
    <t>项目名称</t>
  </si>
  <si>
    <t>能源行业合同全生命周期管理系统</t>
  </si>
  <si>
    <t>模块编码</t>
  </si>
  <si>
    <t>01</t>
  </si>
  <si>
    <t>生成日期</t>
  </si>
  <si>
    <t>2026-09-16</t>
  </si>
  <si>
    <t>中央数据库</t>
  </si>
  <si>
    <t>../90_项目数据中心/ai_pmo.db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</si>
</sst>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7">
    <font>
      <sz val="11"/>
      <color theme="1"/>
      <name val="宋体"/>
      <charset val="134"/>
      <scheme val="minor"/>
    </font>
    <font>
      <b/>
      <sz val="16"/>
      <color rgb="FF17365D"/>
      <name val="Carlito"/>
      <charset val="134"/>
    </font>
    <font>
      <i/>
      <sz val="10"/>
      <color rgb="FF5B6573"/>
      <name val="Carlito"/>
      <charset val="134"/>
    </font>
    <font>
      <b/>
      <sz val="10"/>
      <color rgb="FFFFFFFF"/>
      <name val="Carlito"/>
      <charset val="134"/>
    </font>
    <font>
      <b/>
      <sz val="15"/>
      <color rgb="FF17365D"/>
      <name val="Carlito"/>
      <charset val="134"/>
    </font>
    <font>
      <b/>
      <sz val="12"/>
      <color rgb="FF17365D"/>
      <name val="Carlito"/>
      <charset val="134"/>
    </font>
    <font>
      <sz val="10"/>
      <color rgb="FF1F2937"/>
      <name val="Carlito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/>
      <right/>
      <top style="thin">
        <color rgb="FFD9E1F2"/>
      </top>
      <bottom style="thin">
        <color rgb="FFD9E1F2"/>
      </bottom>
      <diagonal/>
    </border>
    <border>
      <left/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6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9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4" fillId="3" borderId="1" xfId="0" applyFont="1" applyFill="1" applyBorder="1" applyAlignment="1">
      <alignment horizontal="center" vertical="center"/>
    </xf>
    <xf numFmtId="0" fontId="5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top" wrapText="1"/>
    </xf>
    <xf numFmtId="0" fontId="6" fillId="5" borderId="1" xfId="0" applyFont="1" applyFill="1" applyBorder="1" applyAlignment="1">
      <alignment vertical="top" wrapText="1"/>
    </xf>
    <xf numFmtId="176" fontId="6" fillId="5" borderId="1" xfId="0" applyNumberFormat="1" applyFont="1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39033;&#30446;&#39550;&#39542;&#33329;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/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8064A2"/>
    <pageSetUpPr fitToPage="1"/>
  </sheetPr>
  <dimension ref="A1:AC108"/>
  <sheetViews>
    <sheetView showGridLines="0" tabSelected="1" workbookViewId="0">
      <pane ySplit="8" topLeftCell="A9" activePane="bottomLeft" state="frozen"/>
      <selection/>
      <selection pane="bottomLeft" activeCell="R9" sqref="R9"/>
    </sheetView>
  </sheetViews>
  <sheetFormatPr defaultColWidth="9" defaultRowHeight="16.8"/>
  <cols>
    <col min="1" max="1" width="13" customWidth="1"/>
    <col min="2" max="2" width="18" customWidth="1"/>
    <col min="3" max="3" width="20" customWidth="1"/>
    <col min="4" max="4" width="18" customWidth="1"/>
    <col min="5" max="5" width="15" customWidth="1"/>
    <col min="6" max="6" width="24" customWidth="1"/>
    <col min="7" max="7" width="28" customWidth="1"/>
    <col min="8" max="8" width="11" customWidth="1"/>
    <col min="10" max="10" width="14" customWidth="1"/>
    <col min="12" max="12" width="11" customWidth="1"/>
    <col min="14" max="14" width="14" customWidth="1"/>
    <col min="15" max="15" width="16" customWidth="1"/>
    <col min="16" max="16" width="13" customWidth="1"/>
    <col min="17" max="17" width="24" customWidth="1"/>
    <col min="18" max="18" width="15" customWidth="1"/>
    <col min="19" max="19" width="14" customWidth="1"/>
    <col min="21" max="21" width="30" customWidth="1"/>
    <col min="23" max="23" width="15" customWidth="1"/>
    <col min="24" max="24" width="14" customWidth="1"/>
    <col min="25" max="25" width="13" customWidth="1"/>
    <col min="26" max="26" width="14" customWidth="1"/>
    <col min="27" max="27" width="18" customWidth="1"/>
    <col min="28" max="28" width="28" customWidth="1"/>
    <col min="29" max="29" width="24" customWidth="1"/>
  </cols>
  <sheetData>
    <row r="1" ht="28" customHeight="1" spans="1:29">
      <c r="A1" s="1" t="s">
        <v>0</v>
      </c>
    </row>
    <row r="2" spans="1:29">
      <c r="A2" s="2" t="s">
        <v>1</v>
      </c>
    </row>
    <row r="4" spans="1:29">
      <c r="A4" s="3" t="s">
        <v>2</v>
      </c>
      <c r="B4" s="4"/>
      <c r="C4" s="5"/>
      <c r="D4" s="3" t="s">
        <v>3</v>
      </c>
      <c r="E4" s="4"/>
      <c r="F4" s="5"/>
      <c r="G4" s="3" t="s">
        <v>4</v>
      </c>
      <c r="H4" s="4"/>
      <c r="I4" s="5"/>
      <c r="J4" s="3" t="s">
        <v>5</v>
      </c>
      <c r="K4" s="4"/>
      <c r="L4" s="5"/>
      <c r="M4" s="3" t="s">
        <v>6</v>
      </c>
      <c r="N4" s="4"/>
      <c r="O4" s="5"/>
      <c r="P4" s="3" t="s">
        <v>7</v>
      </c>
      <c r="Q4" s="4"/>
      <c r="R4" s="5"/>
      <c r="S4" s="3" t="s">
        <v>8</v>
      </c>
      <c r="T4" s="4"/>
      <c r="U4" s="5"/>
      <c r="V4" s="3" t="s">
        <v>9</v>
      </c>
      <c r="W4" s="4"/>
      <c r="X4" s="5"/>
    </row>
    <row r="5" ht="22" customHeight="1" spans="1:29">
      <c r="A5" s="6">
        <f>COUNTIFS($B$9:$B$108,"&lt;&gt;")</f>
        <v>0</v>
      </c>
      <c r="B5" s="4"/>
      <c r="C5" s="5"/>
      <c r="D5" s="6">
        <f>COUNTIFS($B$9:$B$108,"&lt;&gt;",$H$9:$H$108,"高")</f>
        <v>0</v>
      </c>
      <c r="E5" s="4"/>
      <c r="F5" s="5"/>
      <c r="G5" s="6">
        <f>COUNTIFS($B$9:$B$108,"&lt;&gt;",$N$9:$N$108,"重点管理")</f>
        <v>0</v>
      </c>
      <c r="H5" s="4"/>
      <c r="I5" s="5"/>
      <c r="J5" s="6">
        <f>COUNTIFS($B$9:$B$108,"&lt;&gt;",$J$9:$J$108,"抵触")+COUNTIFS($B$9:$B$108,"&lt;&gt;",$J$9:$J$108,"不支持")</f>
        <v>0</v>
      </c>
      <c r="K5" s="4"/>
      <c r="L5" s="5"/>
      <c r="M5" s="6">
        <f>COUNTIFS($B$9:$B$108,"&lt;&gt;",$L$9:$L$108,"&gt;0")</f>
        <v>0</v>
      </c>
      <c r="N5" s="4"/>
      <c r="O5" s="5"/>
      <c r="P5" s="6">
        <f>COUNTIFS($B$9:$B$108,"&lt;&gt;",$T$9:$T$108,"&lt;"&amp;'[1]#REF'!$B$3,$T$9:$T$108,"&lt;&gt;")</f>
        <v>0</v>
      </c>
      <c r="Q5" s="4"/>
      <c r="R5" s="5"/>
      <c r="S5" s="6">
        <f>COUNTIFS($B$9:$B$108,"&lt;&gt;",$Y$9:$Y$108,"&lt;&gt;已完成",$V$9:$V$108,"&lt;&gt;")</f>
        <v>0</v>
      </c>
      <c r="T5" s="4"/>
      <c r="U5" s="5"/>
      <c r="V5" s="6">
        <f>COUNTIFS($B$9:$B$108,"&lt;&gt;",$Z$9:$Z$108,"是")</f>
        <v>0</v>
      </c>
      <c r="W5" s="4"/>
      <c r="X5" s="5"/>
    </row>
    <row r="7" ht="17.6" customHeight="1" spans="1:29">
      <c r="A7" s="7" t="s">
        <v>10</v>
      </c>
    </row>
    <row r="8" ht="34" customHeight="1" spans="1:29">
      <c r="A8" s="8" t="s">
        <v>11</v>
      </c>
      <c r="B8" s="8" t="s">
        <v>12</v>
      </c>
      <c r="C8" s="8" t="s">
        <v>13</v>
      </c>
      <c r="D8" s="8" t="s">
        <v>14</v>
      </c>
      <c r="E8" s="8" t="s">
        <v>15</v>
      </c>
      <c r="F8" s="8" t="s">
        <v>16</v>
      </c>
      <c r="G8" s="8" t="s">
        <v>17</v>
      </c>
      <c r="H8" s="8" t="s">
        <v>18</v>
      </c>
      <c r="I8" s="8" t="s">
        <v>19</v>
      </c>
      <c r="J8" s="8" t="s">
        <v>20</v>
      </c>
      <c r="K8" s="8" t="s">
        <v>21</v>
      </c>
      <c r="L8" s="8" t="s">
        <v>22</v>
      </c>
      <c r="M8" s="8" t="s">
        <v>23</v>
      </c>
      <c r="N8" s="8" t="s">
        <v>24</v>
      </c>
      <c r="O8" s="8" t="s">
        <v>25</v>
      </c>
      <c r="P8" s="8" t="s">
        <v>26</v>
      </c>
      <c r="Q8" s="8" t="s">
        <v>27</v>
      </c>
      <c r="R8" s="8" t="s">
        <v>28</v>
      </c>
      <c r="S8" s="8" t="s">
        <v>29</v>
      </c>
      <c r="T8" s="8" t="s">
        <v>30</v>
      </c>
      <c r="U8" s="8" t="s">
        <v>31</v>
      </c>
      <c r="V8" s="8" t="s">
        <v>32</v>
      </c>
      <c r="W8" s="8" t="s">
        <v>33</v>
      </c>
      <c r="X8" s="8" t="s">
        <v>34</v>
      </c>
      <c r="Y8" s="8" t="s">
        <v>35</v>
      </c>
      <c r="Z8" s="8" t="s">
        <v>36</v>
      </c>
      <c r="AA8" s="8" t="s">
        <v>37</v>
      </c>
      <c r="AB8" s="8" t="s">
        <v>38</v>
      </c>
      <c r="AC8" s="8" t="s">
        <v>39</v>
      </c>
    </row>
    <row r="9" spans="1:29">
      <c r="A9" s="9" t="str">
        <f t="shared" ref="A9:A72" si="0">IF(B9="","","SH-"&amp;TEXT(ROW()-8,"000"))</f>
        <v/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9" t="str">
        <f t="shared" ref="L9:L72" si="1">IF(OR(J9="",K9=""),"",IF(K9="抵触",1,IF(K9="不支持",2,IF(K9="中立",3,IF(K9="支持",4,IF(K9="积极推动",5,"")))))-IF(J9="抵触",1,IF(J9="不支持",2,IF(J9="中立",3,IF(J9="支持",4,IF(J9="积极推动",5,""))))))</f>
        <v/>
      </c>
      <c r="M9" s="10"/>
      <c r="N9" s="10" t="str">
        <f t="shared" ref="N9:N72" si="2">IF(OR(H9="",I9=""),"",IF(AND(H9="高",I9="高"),"重点管理",IF(H9="高","保持满意",IF(I9="高","保持沟通","监督观察"))))</f>
        <v/>
      </c>
      <c r="O9" s="10"/>
      <c r="P9" s="10"/>
      <c r="Q9" s="10"/>
      <c r="R9" s="10"/>
      <c r="S9" s="11"/>
      <c r="T9" s="11"/>
      <c r="U9" s="10"/>
      <c r="V9" s="10"/>
      <c r="W9" s="10"/>
      <c r="X9" s="11"/>
      <c r="Y9" s="10"/>
      <c r="Z9" s="10"/>
      <c r="AA9" s="10"/>
      <c r="AB9" s="9" t="str">
        <f>IF(B9="","",IF(AND(H9="高",OR(J9="抵触",J9="不支持")),"高权力不支持；","")&amp;IF(L9&gt;0,"存在支持差距；","")&amp;IF(AND(T9&lt;&gt;"",T9&lt;'[1]#REF'!$B$3),"沟通逾期；","")&amp;IF(AND(V9&lt;&gt;"",X9&lt;'[1]#REF'!$B$3,Y9&lt;&gt;"已完成"),"行动逾期；","")&amp;IF(AND(Z9="是",AA9=""),"未填升级对象",""))</f>
        <v/>
      </c>
      <c r="AC9" s="10"/>
    </row>
    <row r="10" spans="1:29">
      <c r="A10" s="9" t="str">
        <f t="shared" si="0"/>
        <v/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9" t="str">
        <f t="shared" si="1"/>
        <v/>
      </c>
      <c r="M10" s="10"/>
      <c r="N10" s="10" t="str">
        <f t="shared" si="2"/>
        <v/>
      </c>
      <c r="O10" s="10"/>
      <c r="P10" s="10"/>
      <c r="Q10" s="10"/>
      <c r="R10" s="10"/>
      <c r="S10" s="11"/>
      <c r="T10" s="11"/>
      <c r="U10" s="10"/>
      <c r="V10" s="10"/>
      <c r="W10" s="10"/>
      <c r="X10" s="11"/>
      <c r="Y10" s="10"/>
      <c r="Z10" s="10"/>
      <c r="AA10" s="10"/>
      <c r="AB10" s="9" t="str">
        <f>IF(B10="","",IF(AND(H10="高",OR(J10="抵触",J10="不支持")),"高权力不支持；","")&amp;IF(L10&gt;0,"存在支持差距；","")&amp;IF(AND(T10&lt;&gt;"",T10&lt;'[1]#REF'!$B$3),"沟通逾期；","")&amp;IF(AND(V10&lt;&gt;"",X10&lt;'[1]#REF'!$B$3,Y10&lt;&gt;"已完成"),"行动逾期；","")&amp;IF(AND(Z10="是",AA10=""),"未填升级对象",""))</f>
        <v/>
      </c>
      <c r="AC10" s="10"/>
    </row>
    <row r="11" spans="1:29">
      <c r="A11" s="9" t="str">
        <f t="shared" si="0"/>
        <v/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9" t="str">
        <f t="shared" si="1"/>
        <v/>
      </c>
      <c r="M11" s="10"/>
      <c r="N11" s="10" t="str">
        <f t="shared" si="2"/>
        <v/>
      </c>
      <c r="O11" s="10"/>
      <c r="P11" s="10"/>
      <c r="Q11" s="10"/>
      <c r="R11" s="10"/>
      <c r="S11" s="11"/>
      <c r="T11" s="11"/>
      <c r="U11" s="10"/>
      <c r="V11" s="10"/>
      <c r="W11" s="10"/>
      <c r="X11" s="11"/>
      <c r="Y11" s="10"/>
      <c r="Z11" s="10"/>
      <c r="AA11" s="10"/>
      <c r="AB11" s="9" t="str">
        <f>IF(B11="","",IF(AND(H11="高",OR(J11="抵触",J11="不支持")),"高权力不支持；","")&amp;IF(L11&gt;0,"存在支持差距；","")&amp;IF(AND(T11&lt;&gt;"",T11&lt;'[1]#REF'!$B$3),"沟通逾期；","")&amp;IF(AND(V11&lt;&gt;"",X11&lt;'[1]#REF'!$B$3,Y11&lt;&gt;"已完成"),"行动逾期；","")&amp;IF(AND(Z11="是",AA11=""),"未填升级对象",""))</f>
        <v/>
      </c>
      <c r="AC11" s="10"/>
    </row>
    <row r="12" spans="1:29">
      <c r="A12" s="9" t="str">
        <f t="shared" si="0"/>
        <v/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9" t="str">
        <f t="shared" si="1"/>
        <v/>
      </c>
      <c r="M12" s="10"/>
      <c r="N12" s="10" t="str">
        <f t="shared" si="2"/>
        <v/>
      </c>
      <c r="O12" s="10"/>
      <c r="P12" s="10"/>
      <c r="Q12" s="10"/>
      <c r="R12" s="10"/>
      <c r="S12" s="11"/>
      <c r="T12" s="11"/>
      <c r="U12" s="10"/>
      <c r="V12" s="10"/>
      <c r="W12" s="10"/>
      <c r="X12" s="11"/>
      <c r="Y12" s="10"/>
      <c r="Z12" s="10"/>
      <c r="AA12" s="10"/>
      <c r="AB12" s="9" t="str">
        <f>IF(B12="","",IF(AND(H12="高",OR(J12="抵触",J12="不支持")),"高权力不支持；","")&amp;IF(L12&gt;0,"存在支持差距；","")&amp;IF(AND(T12&lt;&gt;"",T12&lt;'[1]#REF'!$B$3),"沟通逾期；","")&amp;IF(AND(V12&lt;&gt;"",X12&lt;'[1]#REF'!$B$3,Y12&lt;&gt;"已完成"),"行动逾期；","")&amp;IF(AND(Z12="是",AA12=""),"未填升级对象",""))</f>
        <v/>
      </c>
      <c r="AC12" s="10"/>
    </row>
    <row r="13" spans="1:29">
      <c r="A13" s="9" t="str">
        <f t="shared" si="0"/>
        <v/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9" t="str">
        <f t="shared" si="1"/>
        <v/>
      </c>
      <c r="M13" s="10"/>
      <c r="N13" s="10" t="str">
        <f t="shared" si="2"/>
        <v/>
      </c>
      <c r="O13" s="10"/>
      <c r="P13" s="10"/>
      <c r="Q13" s="10"/>
      <c r="R13" s="10"/>
      <c r="S13" s="11"/>
      <c r="T13" s="11"/>
      <c r="U13" s="10"/>
      <c r="V13" s="10"/>
      <c r="W13" s="10"/>
      <c r="X13" s="11"/>
      <c r="Y13" s="10"/>
      <c r="Z13" s="10"/>
      <c r="AA13" s="10"/>
      <c r="AB13" s="9" t="str">
        <f>IF(B13="","",IF(AND(H13="高",OR(J13="抵触",J13="不支持")),"高权力不支持；","")&amp;IF(L13&gt;0,"存在支持差距；","")&amp;IF(AND(T13&lt;&gt;"",T13&lt;'[1]#REF'!$B$3),"沟通逾期；","")&amp;IF(AND(V13&lt;&gt;"",X13&lt;'[1]#REF'!$B$3,Y13&lt;&gt;"已完成"),"行动逾期；","")&amp;IF(AND(Z13="是",AA13=""),"未填升级对象",""))</f>
        <v/>
      </c>
      <c r="AC13" s="10"/>
    </row>
    <row r="14" spans="1:29">
      <c r="A14" s="9" t="str">
        <f t="shared" si="0"/>
        <v/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9" t="str">
        <f t="shared" si="1"/>
        <v/>
      </c>
      <c r="M14" s="10"/>
      <c r="N14" s="10" t="str">
        <f t="shared" si="2"/>
        <v/>
      </c>
      <c r="O14" s="10"/>
      <c r="P14" s="10"/>
      <c r="Q14" s="10"/>
      <c r="R14" s="10"/>
      <c r="S14" s="11"/>
      <c r="T14" s="11"/>
      <c r="U14" s="10"/>
      <c r="V14" s="10"/>
      <c r="W14" s="10"/>
      <c r="X14" s="11"/>
      <c r="Y14" s="10"/>
      <c r="Z14" s="10"/>
      <c r="AA14" s="10"/>
      <c r="AB14" s="9" t="str">
        <f>IF(B14="","",IF(AND(H14="高",OR(J14="抵触",J14="不支持")),"高权力不支持；","")&amp;IF(L14&gt;0,"存在支持差距；","")&amp;IF(AND(T14&lt;&gt;"",T14&lt;'[1]#REF'!$B$3),"沟通逾期；","")&amp;IF(AND(V14&lt;&gt;"",X14&lt;'[1]#REF'!$B$3,Y14&lt;&gt;"已完成"),"行动逾期；","")&amp;IF(AND(Z14="是",AA14=""),"未填升级对象",""))</f>
        <v/>
      </c>
      <c r="AC14" s="10"/>
    </row>
    <row r="15" spans="1:29">
      <c r="A15" s="9" t="str">
        <f t="shared" si="0"/>
        <v/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9" t="str">
        <f t="shared" si="1"/>
        <v/>
      </c>
      <c r="M15" s="10"/>
      <c r="N15" s="10" t="str">
        <f t="shared" si="2"/>
        <v/>
      </c>
      <c r="O15" s="10"/>
      <c r="P15" s="10"/>
      <c r="Q15" s="10"/>
      <c r="R15" s="10"/>
      <c r="S15" s="11"/>
      <c r="T15" s="11"/>
      <c r="U15" s="10"/>
      <c r="V15" s="10"/>
      <c r="W15" s="10"/>
      <c r="X15" s="11"/>
      <c r="Y15" s="10"/>
      <c r="Z15" s="10"/>
      <c r="AA15" s="10"/>
      <c r="AB15" s="9" t="str">
        <f>IF(B15="","",IF(AND(H15="高",OR(J15="抵触",J15="不支持")),"高权力不支持；","")&amp;IF(L15&gt;0,"存在支持差距；","")&amp;IF(AND(T15&lt;&gt;"",T15&lt;'[1]#REF'!$B$3),"沟通逾期；","")&amp;IF(AND(V15&lt;&gt;"",X15&lt;'[1]#REF'!$B$3,Y15&lt;&gt;"已完成"),"行动逾期；","")&amp;IF(AND(Z15="是",AA15=""),"未填升级对象",""))</f>
        <v/>
      </c>
      <c r="AC15" s="10"/>
    </row>
    <row r="16" spans="1:29">
      <c r="A16" s="9" t="str">
        <f t="shared" si="0"/>
        <v/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9" t="str">
        <f t="shared" si="1"/>
        <v/>
      </c>
      <c r="M16" s="10"/>
      <c r="N16" s="10" t="str">
        <f t="shared" si="2"/>
        <v/>
      </c>
      <c r="O16" s="10"/>
      <c r="P16" s="10"/>
      <c r="Q16" s="10"/>
      <c r="R16" s="10"/>
      <c r="S16" s="11"/>
      <c r="T16" s="11"/>
      <c r="U16" s="10"/>
      <c r="V16" s="10"/>
      <c r="W16" s="10"/>
      <c r="X16" s="11"/>
      <c r="Y16" s="10"/>
      <c r="Z16" s="10"/>
      <c r="AA16" s="10"/>
      <c r="AB16" s="9" t="str">
        <f>IF(B16="","",IF(AND(H16="高",OR(J16="抵触",J16="不支持")),"高权力不支持；","")&amp;IF(L16&gt;0,"存在支持差距；","")&amp;IF(AND(T16&lt;&gt;"",T16&lt;'[1]#REF'!$B$3),"沟通逾期；","")&amp;IF(AND(V16&lt;&gt;"",X16&lt;'[1]#REF'!$B$3,Y16&lt;&gt;"已完成"),"行动逾期；","")&amp;IF(AND(Z16="是",AA16=""),"未填升级对象",""))</f>
        <v/>
      </c>
      <c r="AC16" s="10"/>
    </row>
    <row r="17" spans="1:29">
      <c r="A17" s="9" t="str">
        <f t="shared" si="0"/>
        <v/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9" t="str">
        <f t="shared" si="1"/>
        <v/>
      </c>
      <c r="M17" s="10"/>
      <c r="N17" s="10" t="str">
        <f t="shared" si="2"/>
        <v/>
      </c>
      <c r="O17" s="10"/>
      <c r="P17" s="10"/>
      <c r="Q17" s="10"/>
      <c r="R17" s="10"/>
      <c r="S17" s="11"/>
      <c r="T17" s="11"/>
      <c r="U17" s="10"/>
      <c r="V17" s="10"/>
      <c r="W17" s="10"/>
      <c r="X17" s="11"/>
      <c r="Y17" s="10"/>
      <c r="Z17" s="10"/>
      <c r="AA17" s="10"/>
      <c r="AB17" s="9" t="str">
        <f>IF(B17="","",IF(AND(H17="高",OR(J17="抵触",J17="不支持")),"高权力不支持；","")&amp;IF(L17&gt;0,"存在支持差距；","")&amp;IF(AND(T17&lt;&gt;"",T17&lt;'[1]#REF'!$B$3),"沟通逾期；","")&amp;IF(AND(V17&lt;&gt;"",X17&lt;'[1]#REF'!$B$3,Y17&lt;&gt;"已完成"),"行动逾期；","")&amp;IF(AND(Z17="是",AA17=""),"未填升级对象",""))</f>
        <v/>
      </c>
      <c r="AC17" s="10"/>
    </row>
    <row r="18" spans="1:29">
      <c r="A18" s="9" t="str">
        <f t="shared" si="0"/>
        <v/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9" t="str">
        <f t="shared" si="1"/>
        <v/>
      </c>
      <c r="M18" s="10"/>
      <c r="N18" s="10" t="str">
        <f t="shared" si="2"/>
        <v/>
      </c>
      <c r="O18" s="10"/>
      <c r="P18" s="10"/>
      <c r="Q18" s="10"/>
      <c r="R18" s="10"/>
      <c r="S18" s="11"/>
      <c r="T18" s="11"/>
      <c r="U18" s="10"/>
      <c r="V18" s="10"/>
      <c r="W18" s="10"/>
      <c r="X18" s="11"/>
      <c r="Y18" s="10"/>
      <c r="Z18" s="10"/>
      <c r="AA18" s="10"/>
      <c r="AB18" s="9" t="str">
        <f>IF(B18="","",IF(AND(H18="高",OR(J18="抵触",J18="不支持")),"高权力不支持；","")&amp;IF(L18&gt;0,"存在支持差距；","")&amp;IF(AND(T18&lt;&gt;"",T18&lt;'[1]#REF'!$B$3),"沟通逾期；","")&amp;IF(AND(V18&lt;&gt;"",X18&lt;'[1]#REF'!$B$3,Y18&lt;&gt;"已完成"),"行动逾期；","")&amp;IF(AND(Z18="是",AA18=""),"未填升级对象",""))</f>
        <v/>
      </c>
      <c r="AC18" s="10"/>
    </row>
    <row r="19" spans="1:29">
      <c r="A19" s="9" t="str">
        <f t="shared" si="0"/>
        <v/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9" t="str">
        <f t="shared" si="1"/>
        <v/>
      </c>
      <c r="M19" s="10"/>
      <c r="N19" s="10" t="str">
        <f t="shared" si="2"/>
        <v/>
      </c>
      <c r="O19" s="10"/>
      <c r="P19" s="10"/>
      <c r="Q19" s="10"/>
      <c r="R19" s="10"/>
      <c r="S19" s="11"/>
      <c r="T19" s="11"/>
      <c r="U19" s="10"/>
      <c r="V19" s="10"/>
      <c r="W19" s="10"/>
      <c r="X19" s="11"/>
      <c r="Y19" s="10"/>
      <c r="Z19" s="10"/>
      <c r="AA19" s="10"/>
      <c r="AB19" s="9" t="str">
        <f>IF(B19="","",IF(AND(H19="高",OR(J19="抵触",J19="不支持")),"高权力不支持；","")&amp;IF(L19&gt;0,"存在支持差距；","")&amp;IF(AND(T19&lt;&gt;"",T19&lt;'[1]#REF'!$B$3),"沟通逾期；","")&amp;IF(AND(V19&lt;&gt;"",X19&lt;'[1]#REF'!$B$3,Y19&lt;&gt;"已完成"),"行动逾期；","")&amp;IF(AND(Z19="是",AA19=""),"未填升级对象",""))</f>
        <v/>
      </c>
      <c r="AC19" s="10"/>
    </row>
    <row r="20" spans="1:29">
      <c r="A20" s="9" t="str">
        <f t="shared" si="0"/>
        <v/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9" t="str">
        <f t="shared" si="1"/>
        <v/>
      </c>
      <c r="M20" s="10"/>
      <c r="N20" s="10" t="str">
        <f t="shared" si="2"/>
        <v/>
      </c>
      <c r="O20" s="10"/>
      <c r="P20" s="10"/>
      <c r="Q20" s="10"/>
      <c r="R20" s="10"/>
      <c r="S20" s="11"/>
      <c r="T20" s="11"/>
      <c r="U20" s="10"/>
      <c r="V20" s="10"/>
      <c r="W20" s="10"/>
      <c r="X20" s="11"/>
      <c r="Y20" s="10"/>
      <c r="Z20" s="10"/>
      <c r="AA20" s="10"/>
      <c r="AB20" s="9" t="str">
        <f>IF(B20="","",IF(AND(H20="高",OR(J20="抵触",J20="不支持")),"高权力不支持；","")&amp;IF(L20&gt;0,"存在支持差距；","")&amp;IF(AND(T20&lt;&gt;"",T20&lt;'[1]#REF'!$B$3),"沟通逾期；","")&amp;IF(AND(V20&lt;&gt;"",X20&lt;'[1]#REF'!$B$3,Y20&lt;&gt;"已完成"),"行动逾期；","")&amp;IF(AND(Z20="是",AA20=""),"未填升级对象",""))</f>
        <v/>
      </c>
      <c r="AC20" s="10"/>
    </row>
    <row r="21" spans="1:29">
      <c r="A21" s="9" t="str">
        <f t="shared" si="0"/>
        <v/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9" t="str">
        <f t="shared" si="1"/>
        <v/>
      </c>
      <c r="M21" s="10"/>
      <c r="N21" s="10" t="str">
        <f t="shared" si="2"/>
        <v/>
      </c>
      <c r="O21" s="10"/>
      <c r="P21" s="10"/>
      <c r="Q21" s="10"/>
      <c r="R21" s="10"/>
      <c r="S21" s="11"/>
      <c r="T21" s="11"/>
      <c r="U21" s="10"/>
      <c r="V21" s="10"/>
      <c r="W21" s="10"/>
      <c r="X21" s="11"/>
      <c r="Y21" s="10"/>
      <c r="Z21" s="10"/>
      <c r="AA21" s="10"/>
      <c r="AB21" s="9" t="str">
        <f>IF(B21="","",IF(AND(H21="高",OR(J21="抵触",J21="不支持")),"高权力不支持；","")&amp;IF(L21&gt;0,"存在支持差距；","")&amp;IF(AND(T21&lt;&gt;"",T21&lt;'[1]#REF'!$B$3),"沟通逾期；","")&amp;IF(AND(V21&lt;&gt;"",X21&lt;'[1]#REF'!$B$3,Y21&lt;&gt;"已完成"),"行动逾期；","")&amp;IF(AND(Z21="是",AA21=""),"未填升级对象",""))</f>
        <v/>
      </c>
      <c r="AC21" s="10"/>
    </row>
    <row r="22" spans="1:29">
      <c r="A22" s="9" t="str">
        <f t="shared" si="0"/>
        <v/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9" t="str">
        <f t="shared" si="1"/>
        <v/>
      </c>
      <c r="M22" s="10"/>
      <c r="N22" s="10" t="str">
        <f t="shared" si="2"/>
        <v/>
      </c>
      <c r="O22" s="10"/>
      <c r="P22" s="10"/>
      <c r="Q22" s="10"/>
      <c r="R22" s="10"/>
      <c r="S22" s="11"/>
      <c r="T22" s="11"/>
      <c r="U22" s="10"/>
      <c r="V22" s="10"/>
      <c r="W22" s="10"/>
      <c r="X22" s="11"/>
      <c r="Y22" s="10"/>
      <c r="Z22" s="10"/>
      <c r="AA22" s="10"/>
      <c r="AB22" s="9" t="str">
        <f>IF(B22="","",IF(AND(H22="高",OR(J22="抵触",J22="不支持")),"高权力不支持；","")&amp;IF(L22&gt;0,"存在支持差距；","")&amp;IF(AND(T22&lt;&gt;"",T22&lt;'[1]#REF'!$B$3),"沟通逾期；","")&amp;IF(AND(V22&lt;&gt;"",X22&lt;'[1]#REF'!$B$3,Y22&lt;&gt;"已完成"),"行动逾期；","")&amp;IF(AND(Z22="是",AA22=""),"未填升级对象",""))</f>
        <v/>
      </c>
      <c r="AC22" s="10"/>
    </row>
    <row r="23" spans="1:29">
      <c r="A23" s="9" t="str">
        <f t="shared" si="0"/>
        <v/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9" t="str">
        <f t="shared" si="1"/>
        <v/>
      </c>
      <c r="M23" s="10"/>
      <c r="N23" s="10" t="str">
        <f t="shared" si="2"/>
        <v/>
      </c>
      <c r="O23" s="10"/>
      <c r="P23" s="10"/>
      <c r="Q23" s="10"/>
      <c r="R23" s="10"/>
      <c r="S23" s="11"/>
      <c r="T23" s="11"/>
      <c r="U23" s="10"/>
      <c r="V23" s="10"/>
      <c r="W23" s="10"/>
      <c r="X23" s="11"/>
      <c r="Y23" s="10"/>
      <c r="Z23" s="10"/>
      <c r="AA23" s="10"/>
      <c r="AB23" s="9" t="str">
        <f>IF(B23="","",IF(AND(H23="高",OR(J23="抵触",J23="不支持")),"高权力不支持；","")&amp;IF(L23&gt;0,"存在支持差距；","")&amp;IF(AND(T23&lt;&gt;"",T23&lt;'[1]#REF'!$B$3),"沟通逾期；","")&amp;IF(AND(V23&lt;&gt;"",X23&lt;'[1]#REF'!$B$3,Y23&lt;&gt;"已完成"),"行动逾期；","")&amp;IF(AND(Z23="是",AA23=""),"未填升级对象",""))</f>
        <v/>
      </c>
      <c r="AC23" s="10"/>
    </row>
    <row r="24" spans="1:29">
      <c r="A24" s="9" t="str">
        <f t="shared" si="0"/>
        <v/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9" t="str">
        <f t="shared" si="1"/>
        <v/>
      </c>
      <c r="M24" s="10"/>
      <c r="N24" s="10" t="str">
        <f t="shared" si="2"/>
        <v/>
      </c>
      <c r="O24" s="10"/>
      <c r="P24" s="10"/>
      <c r="Q24" s="10"/>
      <c r="R24" s="10"/>
      <c r="S24" s="11"/>
      <c r="T24" s="11"/>
      <c r="U24" s="10"/>
      <c r="V24" s="10"/>
      <c r="W24" s="10"/>
      <c r="X24" s="11"/>
      <c r="Y24" s="10"/>
      <c r="Z24" s="10"/>
      <c r="AA24" s="10"/>
      <c r="AB24" s="9" t="str">
        <f>IF(B24="","",IF(AND(H24="高",OR(J24="抵触",J24="不支持")),"高权力不支持；","")&amp;IF(L24&gt;0,"存在支持差距；","")&amp;IF(AND(T24&lt;&gt;"",T24&lt;'[1]#REF'!$B$3),"沟通逾期；","")&amp;IF(AND(V24&lt;&gt;"",X24&lt;'[1]#REF'!$B$3,Y24&lt;&gt;"已完成"),"行动逾期；","")&amp;IF(AND(Z24="是",AA24=""),"未填升级对象",""))</f>
        <v/>
      </c>
      <c r="AC24" s="10"/>
    </row>
    <row r="25" spans="1:29">
      <c r="A25" s="9" t="str">
        <f t="shared" si="0"/>
        <v/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9" t="str">
        <f t="shared" si="1"/>
        <v/>
      </c>
      <c r="M25" s="10"/>
      <c r="N25" s="10" t="str">
        <f t="shared" si="2"/>
        <v/>
      </c>
      <c r="O25" s="10"/>
      <c r="P25" s="10"/>
      <c r="Q25" s="10"/>
      <c r="R25" s="10"/>
      <c r="S25" s="11"/>
      <c r="T25" s="11"/>
      <c r="U25" s="10"/>
      <c r="V25" s="10"/>
      <c r="W25" s="10"/>
      <c r="X25" s="11"/>
      <c r="Y25" s="10"/>
      <c r="Z25" s="10"/>
      <c r="AA25" s="10"/>
      <c r="AB25" s="9" t="str">
        <f>IF(B25="","",IF(AND(H25="高",OR(J25="抵触",J25="不支持")),"高权力不支持；","")&amp;IF(L25&gt;0,"存在支持差距；","")&amp;IF(AND(T25&lt;&gt;"",T25&lt;'[1]#REF'!$B$3),"沟通逾期；","")&amp;IF(AND(V25&lt;&gt;"",X25&lt;'[1]#REF'!$B$3,Y25&lt;&gt;"已完成"),"行动逾期；","")&amp;IF(AND(Z25="是",AA25=""),"未填升级对象",""))</f>
        <v/>
      </c>
      <c r="AC25" s="10"/>
    </row>
    <row r="26" spans="1:29">
      <c r="A26" s="9" t="str">
        <f t="shared" si="0"/>
        <v/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9" t="str">
        <f t="shared" si="1"/>
        <v/>
      </c>
      <c r="M26" s="10"/>
      <c r="N26" s="10" t="str">
        <f t="shared" si="2"/>
        <v/>
      </c>
      <c r="O26" s="10"/>
      <c r="P26" s="10"/>
      <c r="Q26" s="10"/>
      <c r="R26" s="10"/>
      <c r="S26" s="11"/>
      <c r="T26" s="11"/>
      <c r="U26" s="10"/>
      <c r="V26" s="10"/>
      <c r="W26" s="10"/>
      <c r="X26" s="11"/>
      <c r="Y26" s="10"/>
      <c r="Z26" s="10"/>
      <c r="AA26" s="10"/>
      <c r="AB26" s="9" t="str">
        <f>IF(B26="","",IF(AND(H26="高",OR(J26="抵触",J26="不支持")),"高权力不支持；","")&amp;IF(L26&gt;0,"存在支持差距；","")&amp;IF(AND(T26&lt;&gt;"",T26&lt;'[1]#REF'!$B$3),"沟通逾期；","")&amp;IF(AND(V26&lt;&gt;"",X26&lt;'[1]#REF'!$B$3,Y26&lt;&gt;"已完成"),"行动逾期；","")&amp;IF(AND(Z26="是",AA26=""),"未填升级对象",""))</f>
        <v/>
      </c>
      <c r="AC26" s="10"/>
    </row>
    <row r="27" spans="1:29">
      <c r="A27" s="9" t="str">
        <f t="shared" si="0"/>
        <v/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9" t="str">
        <f t="shared" si="1"/>
        <v/>
      </c>
      <c r="M27" s="10"/>
      <c r="N27" s="10" t="str">
        <f t="shared" si="2"/>
        <v/>
      </c>
      <c r="O27" s="10"/>
      <c r="P27" s="10"/>
      <c r="Q27" s="10"/>
      <c r="R27" s="10"/>
      <c r="S27" s="11"/>
      <c r="T27" s="11"/>
      <c r="U27" s="10"/>
      <c r="V27" s="10"/>
      <c r="W27" s="10"/>
      <c r="X27" s="11"/>
      <c r="Y27" s="10"/>
      <c r="Z27" s="10"/>
      <c r="AA27" s="10"/>
      <c r="AB27" s="9" t="str">
        <f>IF(B27="","",IF(AND(H27="高",OR(J27="抵触",J27="不支持")),"高权力不支持；","")&amp;IF(L27&gt;0,"存在支持差距；","")&amp;IF(AND(T27&lt;&gt;"",T27&lt;'[1]#REF'!$B$3),"沟通逾期；","")&amp;IF(AND(V27&lt;&gt;"",X27&lt;'[1]#REF'!$B$3,Y27&lt;&gt;"已完成"),"行动逾期；","")&amp;IF(AND(Z27="是",AA27=""),"未填升级对象",""))</f>
        <v/>
      </c>
      <c r="AC27" s="10"/>
    </row>
    <row r="28" spans="1:29">
      <c r="A28" s="9" t="str">
        <f t="shared" si="0"/>
        <v/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9" t="str">
        <f t="shared" si="1"/>
        <v/>
      </c>
      <c r="M28" s="10"/>
      <c r="N28" s="10" t="str">
        <f t="shared" si="2"/>
        <v/>
      </c>
      <c r="O28" s="10"/>
      <c r="P28" s="10"/>
      <c r="Q28" s="10"/>
      <c r="R28" s="10"/>
      <c r="S28" s="11"/>
      <c r="T28" s="11"/>
      <c r="U28" s="10"/>
      <c r="V28" s="10"/>
      <c r="W28" s="10"/>
      <c r="X28" s="11"/>
      <c r="Y28" s="10"/>
      <c r="Z28" s="10"/>
      <c r="AA28" s="10"/>
      <c r="AB28" s="9" t="str">
        <f>IF(B28="","",IF(AND(H28="高",OR(J28="抵触",J28="不支持")),"高权力不支持；","")&amp;IF(L28&gt;0,"存在支持差距；","")&amp;IF(AND(T28&lt;&gt;"",T28&lt;'[1]#REF'!$B$3),"沟通逾期；","")&amp;IF(AND(V28&lt;&gt;"",X28&lt;'[1]#REF'!$B$3,Y28&lt;&gt;"已完成"),"行动逾期；","")&amp;IF(AND(Z28="是",AA28=""),"未填升级对象",""))</f>
        <v/>
      </c>
      <c r="AC28" s="10"/>
    </row>
    <row r="29" spans="1:29">
      <c r="A29" s="9" t="str">
        <f t="shared" si="0"/>
        <v/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9" t="str">
        <f t="shared" si="1"/>
        <v/>
      </c>
      <c r="M29" s="10"/>
      <c r="N29" s="10" t="str">
        <f t="shared" si="2"/>
        <v/>
      </c>
      <c r="O29" s="10"/>
      <c r="P29" s="10"/>
      <c r="Q29" s="10"/>
      <c r="R29" s="10"/>
      <c r="S29" s="11"/>
      <c r="T29" s="11"/>
      <c r="U29" s="10"/>
      <c r="V29" s="10"/>
      <c r="W29" s="10"/>
      <c r="X29" s="11"/>
      <c r="Y29" s="10"/>
      <c r="Z29" s="10"/>
      <c r="AA29" s="10"/>
      <c r="AB29" s="9" t="str">
        <f>IF(B29="","",IF(AND(H29="高",OR(J29="抵触",J29="不支持")),"高权力不支持；","")&amp;IF(L29&gt;0,"存在支持差距；","")&amp;IF(AND(T29&lt;&gt;"",T29&lt;'[1]#REF'!$B$3),"沟通逾期；","")&amp;IF(AND(V29&lt;&gt;"",X29&lt;'[1]#REF'!$B$3,Y29&lt;&gt;"已完成"),"行动逾期；","")&amp;IF(AND(Z29="是",AA29=""),"未填升级对象",""))</f>
        <v/>
      </c>
      <c r="AC29" s="10"/>
    </row>
    <row r="30" spans="1:29">
      <c r="A30" s="9" t="str">
        <f t="shared" si="0"/>
        <v/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9" t="str">
        <f t="shared" si="1"/>
        <v/>
      </c>
      <c r="M30" s="10"/>
      <c r="N30" s="10" t="str">
        <f t="shared" si="2"/>
        <v/>
      </c>
      <c r="O30" s="10"/>
      <c r="P30" s="10"/>
      <c r="Q30" s="10"/>
      <c r="R30" s="10"/>
      <c r="S30" s="11"/>
      <c r="T30" s="11"/>
      <c r="U30" s="10"/>
      <c r="V30" s="10"/>
      <c r="W30" s="10"/>
      <c r="X30" s="11"/>
      <c r="Y30" s="10"/>
      <c r="Z30" s="10"/>
      <c r="AA30" s="10"/>
      <c r="AB30" s="9" t="str">
        <f>IF(B30="","",IF(AND(H30="高",OR(J30="抵触",J30="不支持")),"高权力不支持；","")&amp;IF(L30&gt;0,"存在支持差距；","")&amp;IF(AND(T30&lt;&gt;"",T30&lt;'[1]#REF'!$B$3),"沟通逾期；","")&amp;IF(AND(V30&lt;&gt;"",X30&lt;'[1]#REF'!$B$3,Y30&lt;&gt;"已完成"),"行动逾期；","")&amp;IF(AND(Z30="是",AA30=""),"未填升级对象",""))</f>
        <v/>
      </c>
      <c r="AC30" s="10"/>
    </row>
    <row r="31" spans="1:29">
      <c r="A31" s="9" t="str">
        <f t="shared" si="0"/>
        <v/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9" t="str">
        <f t="shared" si="1"/>
        <v/>
      </c>
      <c r="M31" s="10"/>
      <c r="N31" s="10" t="str">
        <f t="shared" si="2"/>
        <v/>
      </c>
      <c r="O31" s="10"/>
      <c r="P31" s="10"/>
      <c r="Q31" s="10"/>
      <c r="R31" s="10"/>
      <c r="S31" s="11"/>
      <c r="T31" s="11"/>
      <c r="U31" s="10"/>
      <c r="V31" s="10"/>
      <c r="W31" s="10"/>
      <c r="X31" s="11"/>
      <c r="Y31" s="10"/>
      <c r="Z31" s="10"/>
      <c r="AA31" s="10"/>
      <c r="AB31" s="9" t="str">
        <f>IF(B31="","",IF(AND(H31="高",OR(J31="抵触",J31="不支持")),"高权力不支持；","")&amp;IF(L31&gt;0,"存在支持差距；","")&amp;IF(AND(T31&lt;&gt;"",T31&lt;'[1]#REF'!$B$3),"沟通逾期；","")&amp;IF(AND(V31&lt;&gt;"",X31&lt;'[1]#REF'!$B$3,Y31&lt;&gt;"已完成"),"行动逾期；","")&amp;IF(AND(Z31="是",AA31=""),"未填升级对象",""))</f>
        <v/>
      </c>
      <c r="AC31" s="10"/>
    </row>
    <row r="32" spans="1:29">
      <c r="A32" s="9" t="str">
        <f t="shared" si="0"/>
        <v/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9" t="str">
        <f t="shared" si="1"/>
        <v/>
      </c>
      <c r="M32" s="10"/>
      <c r="N32" s="10" t="str">
        <f t="shared" si="2"/>
        <v/>
      </c>
      <c r="O32" s="10"/>
      <c r="P32" s="10"/>
      <c r="Q32" s="10"/>
      <c r="R32" s="10"/>
      <c r="S32" s="11"/>
      <c r="T32" s="11"/>
      <c r="U32" s="10"/>
      <c r="V32" s="10"/>
      <c r="W32" s="10"/>
      <c r="X32" s="11"/>
      <c r="Y32" s="10"/>
      <c r="Z32" s="10"/>
      <c r="AA32" s="10"/>
      <c r="AB32" s="9" t="str">
        <f>IF(B32="","",IF(AND(H32="高",OR(J32="抵触",J32="不支持")),"高权力不支持；","")&amp;IF(L32&gt;0,"存在支持差距；","")&amp;IF(AND(T32&lt;&gt;"",T32&lt;'[1]#REF'!$B$3),"沟通逾期；","")&amp;IF(AND(V32&lt;&gt;"",X32&lt;'[1]#REF'!$B$3,Y32&lt;&gt;"已完成"),"行动逾期；","")&amp;IF(AND(Z32="是",AA32=""),"未填升级对象",""))</f>
        <v/>
      </c>
      <c r="AC32" s="10"/>
    </row>
    <row r="33" spans="1:29">
      <c r="A33" s="9" t="str">
        <f t="shared" si="0"/>
        <v/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9" t="str">
        <f t="shared" si="1"/>
        <v/>
      </c>
      <c r="M33" s="10"/>
      <c r="N33" s="10" t="str">
        <f t="shared" si="2"/>
        <v/>
      </c>
      <c r="O33" s="10"/>
      <c r="P33" s="10"/>
      <c r="Q33" s="10"/>
      <c r="R33" s="10"/>
      <c r="S33" s="11"/>
      <c r="T33" s="11"/>
      <c r="U33" s="10"/>
      <c r="V33" s="10"/>
      <c r="W33" s="10"/>
      <c r="X33" s="11"/>
      <c r="Y33" s="10"/>
      <c r="Z33" s="10"/>
      <c r="AA33" s="10"/>
      <c r="AB33" s="9" t="str">
        <f>IF(B33="","",IF(AND(H33="高",OR(J33="抵触",J33="不支持")),"高权力不支持；","")&amp;IF(L33&gt;0,"存在支持差距；","")&amp;IF(AND(T33&lt;&gt;"",T33&lt;'[1]#REF'!$B$3),"沟通逾期；","")&amp;IF(AND(V33&lt;&gt;"",X33&lt;'[1]#REF'!$B$3,Y33&lt;&gt;"已完成"),"行动逾期；","")&amp;IF(AND(Z33="是",AA33=""),"未填升级对象",""))</f>
        <v/>
      </c>
      <c r="AC33" s="10"/>
    </row>
    <row r="34" spans="1:29">
      <c r="A34" s="9" t="str">
        <f t="shared" si="0"/>
        <v/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9" t="str">
        <f t="shared" si="1"/>
        <v/>
      </c>
      <c r="M34" s="10"/>
      <c r="N34" s="10" t="str">
        <f t="shared" si="2"/>
        <v/>
      </c>
      <c r="O34" s="10"/>
      <c r="P34" s="10"/>
      <c r="Q34" s="10"/>
      <c r="R34" s="10"/>
      <c r="S34" s="11"/>
      <c r="T34" s="11"/>
      <c r="U34" s="10"/>
      <c r="V34" s="10"/>
      <c r="W34" s="10"/>
      <c r="X34" s="11"/>
      <c r="Y34" s="10"/>
      <c r="Z34" s="10"/>
      <c r="AA34" s="10"/>
      <c r="AB34" s="9" t="str">
        <f>IF(B34="","",IF(AND(H34="高",OR(J34="抵触",J34="不支持")),"高权力不支持；","")&amp;IF(L34&gt;0,"存在支持差距；","")&amp;IF(AND(T34&lt;&gt;"",T34&lt;'[1]#REF'!$B$3),"沟通逾期；","")&amp;IF(AND(V34&lt;&gt;"",X34&lt;'[1]#REF'!$B$3,Y34&lt;&gt;"已完成"),"行动逾期；","")&amp;IF(AND(Z34="是",AA34=""),"未填升级对象",""))</f>
        <v/>
      </c>
      <c r="AC34" s="10"/>
    </row>
    <row r="35" spans="1:29">
      <c r="A35" s="9" t="str">
        <f t="shared" si="0"/>
        <v/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9" t="str">
        <f t="shared" si="1"/>
        <v/>
      </c>
      <c r="M35" s="10"/>
      <c r="N35" s="10" t="str">
        <f t="shared" si="2"/>
        <v/>
      </c>
      <c r="O35" s="10"/>
      <c r="P35" s="10"/>
      <c r="Q35" s="10"/>
      <c r="R35" s="10"/>
      <c r="S35" s="11"/>
      <c r="T35" s="11"/>
      <c r="U35" s="10"/>
      <c r="V35" s="10"/>
      <c r="W35" s="10"/>
      <c r="X35" s="11"/>
      <c r="Y35" s="10"/>
      <c r="Z35" s="10"/>
      <c r="AA35" s="10"/>
      <c r="AB35" s="9" t="str">
        <f>IF(B35="","",IF(AND(H35="高",OR(J35="抵触",J35="不支持")),"高权力不支持；","")&amp;IF(L35&gt;0,"存在支持差距；","")&amp;IF(AND(T35&lt;&gt;"",T35&lt;'[1]#REF'!$B$3),"沟通逾期；","")&amp;IF(AND(V35&lt;&gt;"",X35&lt;'[1]#REF'!$B$3,Y35&lt;&gt;"已完成"),"行动逾期；","")&amp;IF(AND(Z35="是",AA35=""),"未填升级对象",""))</f>
        <v/>
      </c>
      <c r="AC35" s="10"/>
    </row>
    <row r="36" spans="1:29">
      <c r="A36" s="9" t="str">
        <f t="shared" si="0"/>
        <v/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9" t="str">
        <f t="shared" si="1"/>
        <v/>
      </c>
      <c r="M36" s="10"/>
      <c r="N36" s="10" t="str">
        <f t="shared" si="2"/>
        <v/>
      </c>
      <c r="O36" s="10"/>
      <c r="P36" s="10"/>
      <c r="Q36" s="10"/>
      <c r="R36" s="10"/>
      <c r="S36" s="11"/>
      <c r="T36" s="11"/>
      <c r="U36" s="10"/>
      <c r="V36" s="10"/>
      <c r="W36" s="10"/>
      <c r="X36" s="11"/>
      <c r="Y36" s="10"/>
      <c r="Z36" s="10"/>
      <c r="AA36" s="10"/>
      <c r="AB36" s="9" t="str">
        <f>IF(B36="","",IF(AND(H36="高",OR(J36="抵触",J36="不支持")),"高权力不支持；","")&amp;IF(L36&gt;0,"存在支持差距；","")&amp;IF(AND(T36&lt;&gt;"",T36&lt;'[1]#REF'!$B$3),"沟通逾期；","")&amp;IF(AND(V36&lt;&gt;"",X36&lt;'[1]#REF'!$B$3,Y36&lt;&gt;"已完成"),"行动逾期；","")&amp;IF(AND(Z36="是",AA36=""),"未填升级对象",""))</f>
        <v/>
      </c>
      <c r="AC36" s="10"/>
    </row>
    <row r="37" spans="1:29">
      <c r="A37" s="9" t="str">
        <f t="shared" si="0"/>
        <v/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9" t="str">
        <f t="shared" si="1"/>
        <v/>
      </c>
      <c r="M37" s="10"/>
      <c r="N37" s="10" t="str">
        <f t="shared" si="2"/>
        <v/>
      </c>
      <c r="O37" s="10"/>
      <c r="P37" s="10"/>
      <c r="Q37" s="10"/>
      <c r="R37" s="10"/>
      <c r="S37" s="11"/>
      <c r="T37" s="11"/>
      <c r="U37" s="10"/>
      <c r="V37" s="10"/>
      <c r="W37" s="10"/>
      <c r="X37" s="11"/>
      <c r="Y37" s="10"/>
      <c r="Z37" s="10"/>
      <c r="AA37" s="10"/>
      <c r="AB37" s="9" t="str">
        <f>IF(B37="","",IF(AND(H37="高",OR(J37="抵触",J37="不支持")),"高权力不支持；","")&amp;IF(L37&gt;0,"存在支持差距；","")&amp;IF(AND(T37&lt;&gt;"",T37&lt;'[1]#REF'!$B$3),"沟通逾期；","")&amp;IF(AND(V37&lt;&gt;"",X37&lt;'[1]#REF'!$B$3,Y37&lt;&gt;"已完成"),"行动逾期；","")&amp;IF(AND(Z37="是",AA37=""),"未填升级对象",""))</f>
        <v/>
      </c>
      <c r="AC37" s="10"/>
    </row>
    <row r="38" spans="1:29">
      <c r="A38" s="9" t="str">
        <f t="shared" si="0"/>
        <v/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9" t="str">
        <f t="shared" si="1"/>
        <v/>
      </c>
      <c r="M38" s="10"/>
      <c r="N38" s="10" t="str">
        <f t="shared" si="2"/>
        <v/>
      </c>
      <c r="O38" s="10"/>
      <c r="P38" s="10"/>
      <c r="Q38" s="10"/>
      <c r="R38" s="10"/>
      <c r="S38" s="11"/>
      <c r="T38" s="11"/>
      <c r="U38" s="10"/>
      <c r="V38" s="10"/>
      <c r="W38" s="10"/>
      <c r="X38" s="11"/>
      <c r="Y38" s="10"/>
      <c r="Z38" s="10"/>
      <c r="AA38" s="10"/>
      <c r="AB38" s="9" t="str">
        <f>IF(B38="","",IF(AND(H38="高",OR(J38="抵触",J38="不支持")),"高权力不支持；","")&amp;IF(L38&gt;0,"存在支持差距；","")&amp;IF(AND(T38&lt;&gt;"",T38&lt;'[1]#REF'!$B$3),"沟通逾期；","")&amp;IF(AND(V38&lt;&gt;"",X38&lt;'[1]#REF'!$B$3,Y38&lt;&gt;"已完成"),"行动逾期；","")&amp;IF(AND(Z38="是",AA38=""),"未填升级对象",""))</f>
        <v/>
      </c>
      <c r="AC38" s="10"/>
    </row>
    <row r="39" spans="1:29">
      <c r="A39" s="9" t="str">
        <f t="shared" si="0"/>
        <v/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9" t="str">
        <f t="shared" si="1"/>
        <v/>
      </c>
      <c r="M39" s="10"/>
      <c r="N39" s="10" t="str">
        <f t="shared" si="2"/>
        <v/>
      </c>
      <c r="O39" s="10"/>
      <c r="P39" s="10"/>
      <c r="Q39" s="10"/>
      <c r="R39" s="10"/>
      <c r="S39" s="11"/>
      <c r="T39" s="11"/>
      <c r="U39" s="10"/>
      <c r="V39" s="10"/>
      <c r="W39" s="10"/>
      <c r="X39" s="11"/>
      <c r="Y39" s="10"/>
      <c r="Z39" s="10"/>
      <c r="AA39" s="10"/>
      <c r="AB39" s="9" t="str">
        <f>IF(B39="","",IF(AND(H39="高",OR(J39="抵触",J39="不支持")),"高权力不支持；","")&amp;IF(L39&gt;0,"存在支持差距；","")&amp;IF(AND(T39&lt;&gt;"",T39&lt;'[1]#REF'!$B$3),"沟通逾期；","")&amp;IF(AND(V39&lt;&gt;"",X39&lt;'[1]#REF'!$B$3,Y39&lt;&gt;"已完成"),"行动逾期；","")&amp;IF(AND(Z39="是",AA39=""),"未填升级对象",""))</f>
        <v/>
      </c>
      <c r="AC39" s="10"/>
    </row>
    <row r="40" spans="1:29">
      <c r="A40" s="9" t="str">
        <f t="shared" si="0"/>
        <v/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9" t="str">
        <f t="shared" si="1"/>
        <v/>
      </c>
      <c r="M40" s="10"/>
      <c r="N40" s="10" t="str">
        <f t="shared" si="2"/>
        <v/>
      </c>
      <c r="O40" s="10"/>
      <c r="P40" s="10"/>
      <c r="Q40" s="10"/>
      <c r="R40" s="10"/>
      <c r="S40" s="11"/>
      <c r="T40" s="11"/>
      <c r="U40" s="10"/>
      <c r="V40" s="10"/>
      <c r="W40" s="10"/>
      <c r="X40" s="11"/>
      <c r="Y40" s="10"/>
      <c r="Z40" s="10"/>
      <c r="AA40" s="10"/>
      <c r="AB40" s="9" t="str">
        <f>IF(B40="","",IF(AND(H40="高",OR(J40="抵触",J40="不支持")),"高权力不支持；","")&amp;IF(L40&gt;0,"存在支持差距；","")&amp;IF(AND(T40&lt;&gt;"",T40&lt;'[1]#REF'!$B$3),"沟通逾期；","")&amp;IF(AND(V40&lt;&gt;"",X40&lt;'[1]#REF'!$B$3,Y40&lt;&gt;"已完成"),"行动逾期；","")&amp;IF(AND(Z40="是",AA40=""),"未填升级对象",""))</f>
        <v/>
      </c>
      <c r="AC40" s="10"/>
    </row>
    <row r="41" spans="1:29">
      <c r="A41" s="9" t="str">
        <f t="shared" si="0"/>
        <v/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9" t="str">
        <f t="shared" si="1"/>
        <v/>
      </c>
      <c r="M41" s="10"/>
      <c r="N41" s="10" t="str">
        <f t="shared" si="2"/>
        <v/>
      </c>
      <c r="O41" s="10"/>
      <c r="P41" s="10"/>
      <c r="Q41" s="10"/>
      <c r="R41" s="10"/>
      <c r="S41" s="11"/>
      <c r="T41" s="11"/>
      <c r="U41" s="10"/>
      <c r="V41" s="10"/>
      <c r="W41" s="10"/>
      <c r="X41" s="11"/>
      <c r="Y41" s="10"/>
      <c r="Z41" s="10"/>
      <c r="AA41" s="10"/>
      <c r="AB41" s="9" t="str">
        <f>IF(B41="","",IF(AND(H41="高",OR(J41="抵触",J41="不支持")),"高权力不支持；","")&amp;IF(L41&gt;0,"存在支持差距；","")&amp;IF(AND(T41&lt;&gt;"",T41&lt;'[1]#REF'!$B$3),"沟通逾期；","")&amp;IF(AND(V41&lt;&gt;"",X41&lt;'[1]#REF'!$B$3,Y41&lt;&gt;"已完成"),"行动逾期；","")&amp;IF(AND(Z41="是",AA41=""),"未填升级对象",""))</f>
        <v/>
      </c>
      <c r="AC41" s="10"/>
    </row>
    <row r="42" spans="1:29">
      <c r="A42" s="9" t="str">
        <f t="shared" si="0"/>
        <v/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9" t="str">
        <f t="shared" si="1"/>
        <v/>
      </c>
      <c r="M42" s="10"/>
      <c r="N42" s="10" t="str">
        <f t="shared" si="2"/>
        <v/>
      </c>
      <c r="O42" s="10"/>
      <c r="P42" s="10"/>
      <c r="Q42" s="10"/>
      <c r="R42" s="10"/>
      <c r="S42" s="11"/>
      <c r="T42" s="11"/>
      <c r="U42" s="10"/>
      <c r="V42" s="10"/>
      <c r="W42" s="10"/>
      <c r="X42" s="11"/>
      <c r="Y42" s="10"/>
      <c r="Z42" s="10"/>
      <c r="AA42" s="10"/>
      <c r="AB42" s="9" t="str">
        <f>IF(B42="","",IF(AND(H42="高",OR(J42="抵触",J42="不支持")),"高权力不支持；","")&amp;IF(L42&gt;0,"存在支持差距；","")&amp;IF(AND(T42&lt;&gt;"",T42&lt;'[1]#REF'!$B$3),"沟通逾期；","")&amp;IF(AND(V42&lt;&gt;"",X42&lt;'[1]#REF'!$B$3,Y42&lt;&gt;"已完成"),"行动逾期；","")&amp;IF(AND(Z42="是",AA42=""),"未填升级对象",""))</f>
        <v/>
      </c>
      <c r="AC42" s="10"/>
    </row>
    <row r="43" spans="1:29">
      <c r="A43" s="9" t="str">
        <f t="shared" si="0"/>
        <v/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9" t="str">
        <f t="shared" si="1"/>
        <v/>
      </c>
      <c r="M43" s="10"/>
      <c r="N43" s="10" t="str">
        <f t="shared" si="2"/>
        <v/>
      </c>
      <c r="O43" s="10"/>
      <c r="P43" s="10"/>
      <c r="Q43" s="10"/>
      <c r="R43" s="10"/>
      <c r="S43" s="11"/>
      <c r="T43" s="11"/>
      <c r="U43" s="10"/>
      <c r="V43" s="10"/>
      <c r="W43" s="10"/>
      <c r="X43" s="11"/>
      <c r="Y43" s="10"/>
      <c r="Z43" s="10"/>
      <c r="AA43" s="10"/>
      <c r="AB43" s="9" t="str">
        <f>IF(B43="","",IF(AND(H43="高",OR(J43="抵触",J43="不支持")),"高权力不支持；","")&amp;IF(L43&gt;0,"存在支持差距；","")&amp;IF(AND(T43&lt;&gt;"",T43&lt;'[1]#REF'!$B$3),"沟通逾期；","")&amp;IF(AND(V43&lt;&gt;"",X43&lt;'[1]#REF'!$B$3,Y43&lt;&gt;"已完成"),"行动逾期；","")&amp;IF(AND(Z43="是",AA43=""),"未填升级对象",""))</f>
        <v/>
      </c>
      <c r="AC43" s="10"/>
    </row>
    <row r="44" spans="1:29">
      <c r="A44" s="9" t="str">
        <f t="shared" si="0"/>
        <v/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9" t="str">
        <f t="shared" si="1"/>
        <v/>
      </c>
      <c r="M44" s="10"/>
      <c r="N44" s="10" t="str">
        <f t="shared" si="2"/>
        <v/>
      </c>
      <c r="O44" s="10"/>
      <c r="P44" s="10"/>
      <c r="Q44" s="10"/>
      <c r="R44" s="10"/>
      <c r="S44" s="11"/>
      <c r="T44" s="11"/>
      <c r="U44" s="10"/>
      <c r="V44" s="10"/>
      <c r="W44" s="10"/>
      <c r="X44" s="11"/>
      <c r="Y44" s="10"/>
      <c r="Z44" s="10"/>
      <c r="AA44" s="10"/>
      <c r="AB44" s="9" t="str">
        <f>IF(B44="","",IF(AND(H44="高",OR(J44="抵触",J44="不支持")),"高权力不支持；","")&amp;IF(L44&gt;0,"存在支持差距；","")&amp;IF(AND(T44&lt;&gt;"",T44&lt;'[1]#REF'!$B$3),"沟通逾期；","")&amp;IF(AND(V44&lt;&gt;"",X44&lt;'[1]#REF'!$B$3,Y44&lt;&gt;"已完成"),"行动逾期；","")&amp;IF(AND(Z44="是",AA44=""),"未填升级对象",""))</f>
        <v/>
      </c>
      <c r="AC44" s="10"/>
    </row>
    <row r="45" spans="1:29">
      <c r="A45" s="9" t="str">
        <f t="shared" si="0"/>
        <v/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9" t="str">
        <f t="shared" si="1"/>
        <v/>
      </c>
      <c r="M45" s="10"/>
      <c r="N45" s="10" t="str">
        <f t="shared" si="2"/>
        <v/>
      </c>
      <c r="O45" s="10"/>
      <c r="P45" s="10"/>
      <c r="Q45" s="10"/>
      <c r="R45" s="10"/>
      <c r="S45" s="11"/>
      <c r="T45" s="11"/>
      <c r="U45" s="10"/>
      <c r="V45" s="10"/>
      <c r="W45" s="10"/>
      <c r="X45" s="11"/>
      <c r="Y45" s="10"/>
      <c r="Z45" s="10"/>
      <c r="AA45" s="10"/>
      <c r="AB45" s="9" t="str">
        <f>IF(B45="","",IF(AND(H45="高",OR(J45="抵触",J45="不支持")),"高权力不支持；","")&amp;IF(L45&gt;0,"存在支持差距；","")&amp;IF(AND(T45&lt;&gt;"",T45&lt;'[1]#REF'!$B$3),"沟通逾期；","")&amp;IF(AND(V45&lt;&gt;"",X45&lt;'[1]#REF'!$B$3,Y45&lt;&gt;"已完成"),"行动逾期；","")&amp;IF(AND(Z45="是",AA45=""),"未填升级对象",""))</f>
        <v/>
      </c>
      <c r="AC45" s="10"/>
    </row>
    <row r="46" spans="1:29">
      <c r="A46" s="9" t="str">
        <f t="shared" si="0"/>
        <v/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9" t="str">
        <f t="shared" si="1"/>
        <v/>
      </c>
      <c r="M46" s="10"/>
      <c r="N46" s="10" t="str">
        <f t="shared" si="2"/>
        <v/>
      </c>
      <c r="O46" s="10"/>
      <c r="P46" s="10"/>
      <c r="Q46" s="10"/>
      <c r="R46" s="10"/>
      <c r="S46" s="11"/>
      <c r="T46" s="11"/>
      <c r="U46" s="10"/>
      <c r="V46" s="10"/>
      <c r="W46" s="10"/>
      <c r="X46" s="11"/>
      <c r="Y46" s="10"/>
      <c r="Z46" s="10"/>
      <c r="AA46" s="10"/>
      <c r="AB46" s="9" t="str">
        <f>IF(B46="","",IF(AND(H46="高",OR(J46="抵触",J46="不支持")),"高权力不支持；","")&amp;IF(L46&gt;0,"存在支持差距；","")&amp;IF(AND(T46&lt;&gt;"",T46&lt;'[1]#REF'!$B$3),"沟通逾期；","")&amp;IF(AND(V46&lt;&gt;"",X46&lt;'[1]#REF'!$B$3,Y46&lt;&gt;"已完成"),"行动逾期；","")&amp;IF(AND(Z46="是",AA46=""),"未填升级对象",""))</f>
        <v/>
      </c>
      <c r="AC46" s="10"/>
    </row>
    <row r="47" spans="1:29">
      <c r="A47" s="9" t="str">
        <f t="shared" si="0"/>
        <v/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9" t="str">
        <f t="shared" si="1"/>
        <v/>
      </c>
      <c r="M47" s="10"/>
      <c r="N47" s="10" t="str">
        <f t="shared" si="2"/>
        <v/>
      </c>
      <c r="O47" s="10"/>
      <c r="P47" s="10"/>
      <c r="Q47" s="10"/>
      <c r="R47" s="10"/>
      <c r="S47" s="11"/>
      <c r="T47" s="11"/>
      <c r="U47" s="10"/>
      <c r="V47" s="10"/>
      <c r="W47" s="10"/>
      <c r="X47" s="11"/>
      <c r="Y47" s="10"/>
      <c r="Z47" s="10"/>
      <c r="AA47" s="10"/>
      <c r="AB47" s="9" t="str">
        <f>IF(B47="","",IF(AND(H47="高",OR(J47="抵触",J47="不支持")),"高权力不支持；","")&amp;IF(L47&gt;0,"存在支持差距；","")&amp;IF(AND(T47&lt;&gt;"",T47&lt;'[1]#REF'!$B$3),"沟通逾期；","")&amp;IF(AND(V47&lt;&gt;"",X47&lt;'[1]#REF'!$B$3,Y47&lt;&gt;"已完成"),"行动逾期；","")&amp;IF(AND(Z47="是",AA47=""),"未填升级对象",""))</f>
        <v/>
      </c>
      <c r="AC47" s="10"/>
    </row>
    <row r="48" spans="1:29">
      <c r="A48" s="9" t="str">
        <f t="shared" si="0"/>
        <v/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9" t="str">
        <f t="shared" si="1"/>
        <v/>
      </c>
      <c r="M48" s="10"/>
      <c r="N48" s="10" t="str">
        <f t="shared" si="2"/>
        <v/>
      </c>
      <c r="O48" s="10"/>
      <c r="P48" s="10"/>
      <c r="Q48" s="10"/>
      <c r="R48" s="10"/>
      <c r="S48" s="11"/>
      <c r="T48" s="11"/>
      <c r="U48" s="10"/>
      <c r="V48" s="10"/>
      <c r="W48" s="10"/>
      <c r="X48" s="11"/>
      <c r="Y48" s="10"/>
      <c r="Z48" s="10"/>
      <c r="AA48" s="10"/>
      <c r="AB48" s="9" t="str">
        <f>IF(B48="","",IF(AND(H48="高",OR(J48="抵触",J48="不支持")),"高权力不支持；","")&amp;IF(L48&gt;0,"存在支持差距；","")&amp;IF(AND(T48&lt;&gt;"",T48&lt;'[1]#REF'!$B$3),"沟通逾期；","")&amp;IF(AND(V48&lt;&gt;"",X48&lt;'[1]#REF'!$B$3,Y48&lt;&gt;"已完成"),"行动逾期；","")&amp;IF(AND(Z48="是",AA48=""),"未填升级对象",""))</f>
        <v/>
      </c>
      <c r="AC48" s="10"/>
    </row>
    <row r="49" spans="1:29">
      <c r="A49" s="9" t="str">
        <f t="shared" si="0"/>
        <v/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9" t="str">
        <f t="shared" si="1"/>
        <v/>
      </c>
      <c r="M49" s="10"/>
      <c r="N49" s="10" t="str">
        <f t="shared" si="2"/>
        <v/>
      </c>
      <c r="O49" s="10"/>
      <c r="P49" s="10"/>
      <c r="Q49" s="10"/>
      <c r="R49" s="10"/>
      <c r="S49" s="11"/>
      <c r="T49" s="11"/>
      <c r="U49" s="10"/>
      <c r="V49" s="10"/>
      <c r="W49" s="10"/>
      <c r="X49" s="11"/>
      <c r="Y49" s="10"/>
      <c r="Z49" s="10"/>
      <c r="AA49" s="10"/>
      <c r="AB49" s="9" t="str">
        <f>IF(B49="","",IF(AND(H49="高",OR(J49="抵触",J49="不支持")),"高权力不支持；","")&amp;IF(L49&gt;0,"存在支持差距；","")&amp;IF(AND(T49&lt;&gt;"",T49&lt;'[1]#REF'!$B$3),"沟通逾期；","")&amp;IF(AND(V49&lt;&gt;"",X49&lt;'[1]#REF'!$B$3,Y49&lt;&gt;"已完成"),"行动逾期；","")&amp;IF(AND(Z49="是",AA49=""),"未填升级对象",""))</f>
        <v/>
      </c>
      <c r="AC49" s="10"/>
    </row>
    <row r="50" spans="1:29">
      <c r="A50" s="9" t="str">
        <f t="shared" si="0"/>
        <v/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9" t="str">
        <f t="shared" si="1"/>
        <v/>
      </c>
      <c r="M50" s="10"/>
      <c r="N50" s="10" t="str">
        <f t="shared" si="2"/>
        <v/>
      </c>
      <c r="O50" s="10"/>
      <c r="P50" s="10"/>
      <c r="Q50" s="10"/>
      <c r="R50" s="10"/>
      <c r="S50" s="11"/>
      <c r="T50" s="11"/>
      <c r="U50" s="10"/>
      <c r="V50" s="10"/>
      <c r="W50" s="10"/>
      <c r="X50" s="11"/>
      <c r="Y50" s="10"/>
      <c r="Z50" s="10"/>
      <c r="AA50" s="10"/>
      <c r="AB50" s="9" t="str">
        <f>IF(B50="","",IF(AND(H50="高",OR(J50="抵触",J50="不支持")),"高权力不支持；","")&amp;IF(L50&gt;0,"存在支持差距；","")&amp;IF(AND(T50&lt;&gt;"",T50&lt;'[1]#REF'!$B$3),"沟通逾期；","")&amp;IF(AND(V50&lt;&gt;"",X50&lt;'[1]#REF'!$B$3,Y50&lt;&gt;"已完成"),"行动逾期；","")&amp;IF(AND(Z50="是",AA50=""),"未填升级对象",""))</f>
        <v/>
      </c>
      <c r="AC50" s="10"/>
    </row>
    <row r="51" spans="1:29">
      <c r="A51" s="9" t="str">
        <f t="shared" si="0"/>
        <v/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9" t="str">
        <f t="shared" si="1"/>
        <v/>
      </c>
      <c r="M51" s="10"/>
      <c r="N51" s="10" t="str">
        <f t="shared" si="2"/>
        <v/>
      </c>
      <c r="O51" s="10"/>
      <c r="P51" s="10"/>
      <c r="Q51" s="10"/>
      <c r="R51" s="10"/>
      <c r="S51" s="11"/>
      <c r="T51" s="11"/>
      <c r="U51" s="10"/>
      <c r="V51" s="10"/>
      <c r="W51" s="10"/>
      <c r="X51" s="11"/>
      <c r="Y51" s="10"/>
      <c r="Z51" s="10"/>
      <c r="AA51" s="10"/>
      <c r="AB51" s="9" t="str">
        <f>IF(B51="","",IF(AND(H51="高",OR(J51="抵触",J51="不支持")),"高权力不支持；","")&amp;IF(L51&gt;0,"存在支持差距；","")&amp;IF(AND(T51&lt;&gt;"",T51&lt;'[1]#REF'!$B$3),"沟通逾期；","")&amp;IF(AND(V51&lt;&gt;"",X51&lt;'[1]#REF'!$B$3,Y51&lt;&gt;"已完成"),"行动逾期；","")&amp;IF(AND(Z51="是",AA51=""),"未填升级对象",""))</f>
        <v/>
      </c>
      <c r="AC51" s="10"/>
    </row>
    <row r="52" spans="1:29">
      <c r="A52" s="9" t="str">
        <f t="shared" si="0"/>
        <v/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9" t="str">
        <f t="shared" si="1"/>
        <v/>
      </c>
      <c r="M52" s="10"/>
      <c r="N52" s="10" t="str">
        <f t="shared" si="2"/>
        <v/>
      </c>
      <c r="O52" s="10"/>
      <c r="P52" s="10"/>
      <c r="Q52" s="10"/>
      <c r="R52" s="10"/>
      <c r="S52" s="11"/>
      <c r="T52" s="11"/>
      <c r="U52" s="10"/>
      <c r="V52" s="10"/>
      <c r="W52" s="10"/>
      <c r="X52" s="11"/>
      <c r="Y52" s="10"/>
      <c r="Z52" s="10"/>
      <c r="AA52" s="10"/>
      <c r="AB52" s="9" t="str">
        <f>IF(B52="","",IF(AND(H52="高",OR(J52="抵触",J52="不支持")),"高权力不支持；","")&amp;IF(L52&gt;0,"存在支持差距；","")&amp;IF(AND(T52&lt;&gt;"",T52&lt;'[1]#REF'!$B$3),"沟通逾期；","")&amp;IF(AND(V52&lt;&gt;"",X52&lt;'[1]#REF'!$B$3,Y52&lt;&gt;"已完成"),"行动逾期；","")&amp;IF(AND(Z52="是",AA52=""),"未填升级对象",""))</f>
        <v/>
      </c>
      <c r="AC52" s="10"/>
    </row>
    <row r="53" spans="1:29">
      <c r="A53" s="9" t="str">
        <f t="shared" si="0"/>
        <v/>
      </c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9" t="str">
        <f t="shared" si="1"/>
        <v/>
      </c>
      <c r="M53" s="10"/>
      <c r="N53" s="10" t="str">
        <f t="shared" si="2"/>
        <v/>
      </c>
      <c r="O53" s="10"/>
      <c r="P53" s="10"/>
      <c r="Q53" s="10"/>
      <c r="R53" s="10"/>
      <c r="S53" s="11"/>
      <c r="T53" s="11"/>
      <c r="U53" s="10"/>
      <c r="V53" s="10"/>
      <c r="W53" s="10"/>
      <c r="X53" s="11"/>
      <c r="Y53" s="10"/>
      <c r="Z53" s="10"/>
      <c r="AA53" s="10"/>
      <c r="AB53" s="9" t="str">
        <f>IF(B53="","",IF(AND(H53="高",OR(J53="抵触",J53="不支持")),"高权力不支持；","")&amp;IF(L53&gt;0,"存在支持差距；","")&amp;IF(AND(T53&lt;&gt;"",T53&lt;'[1]#REF'!$B$3),"沟通逾期；","")&amp;IF(AND(V53&lt;&gt;"",X53&lt;'[1]#REF'!$B$3,Y53&lt;&gt;"已完成"),"行动逾期；","")&amp;IF(AND(Z53="是",AA53=""),"未填升级对象",""))</f>
        <v/>
      </c>
      <c r="AC53" s="10"/>
    </row>
    <row r="54" spans="1:29">
      <c r="A54" s="9" t="str">
        <f t="shared" si="0"/>
        <v/>
      </c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9" t="str">
        <f t="shared" si="1"/>
        <v/>
      </c>
      <c r="M54" s="10"/>
      <c r="N54" s="10" t="str">
        <f t="shared" si="2"/>
        <v/>
      </c>
      <c r="O54" s="10"/>
      <c r="P54" s="10"/>
      <c r="Q54" s="10"/>
      <c r="R54" s="10"/>
      <c r="S54" s="11"/>
      <c r="T54" s="11"/>
      <c r="U54" s="10"/>
      <c r="V54" s="10"/>
      <c r="W54" s="10"/>
      <c r="X54" s="11"/>
      <c r="Y54" s="10"/>
      <c r="Z54" s="10"/>
      <c r="AA54" s="10"/>
      <c r="AB54" s="9" t="str">
        <f>IF(B54="","",IF(AND(H54="高",OR(J54="抵触",J54="不支持")),"高权力不支持；","")&amp;IF(L54&gt;0,"存在支持差距；","")&amp;IF(AND(T54&lt;&gt;"",T54&lt;'[1]#REF'!$B$3),"沟通逾期；","")&amp;IF(AND(V54&lt;&gt;"",X54&lt;'[1]#REF'!$B$3,Y54&lt;&gt;"已完成"),"行动逾期；","")&amp;IF(AND(Z54="是",AA54=""),"未填升级对象",""))</f>
        <v/>
      </c>
      <c r="AC54" s="10"/>
    </row>
    <row r="55" spans="1:29">
      <c r="A55" s="9" t="str">
        <f t="shared" si="0"/>
        <v/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9" t="str">
        <f t="shared" si="1"/>
        <v/>
      </c>
      <c r="M55" s="10"/>
      <c r="N55" s="10" t="str">
        <f t="shared" si="2"/>
        <v/>
      </c>
      <c r="O55" s="10"/>
      <c r="P55" s="10"/>
      <c r="Q55" s="10"/>
      <c r="R55" s="10"/>
      <c r="S55" s="11"/>
      <c r="T55" s="11"/>
      <c r="U55" s="10"/>
      <c r="V55" s="10"/>
      <c r="W55" s="10"/>
      <c r="X55" s="11"/>
      <c r="Y55" s="10"/>
      <c r="Z55" s="10"/>
      <c r="AA55" s="10"/>
      <c r="AB55" s="9" t="str">
        <f>IF(B55="","",IF(AND(H55="高",OR(J55="抵触",J55="不支持")),"高权力不支持；","")&amp;IF(L55&gt;0,"存在支持差距；","")&amp;IF(AND(T55&lt;&gt;"",T55&lt;'[1]#REF'!$B$3),"沟通逾期；","")&amp;IF(AND(V55&lt;&gt;"",X55&lt;'[1]#REF'!$B$3,Y55&lt;&gt;"已完成"),"行动逾期；","")&amp;IF(AND(Z55="是",AA55=""),"未填升级对象",""))</f>
        <v/>
      </c>
      <c r="AC55" s="10"/>
    </row>
    <row r="56" spans="1:29">
      <c r="A56" s="9" t="str">
        <f t="shared" si="0"/>
        <v/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9" t="str">
        <f t="shared" si="1"/>
        <v/>
      </c>
      <c r="M56" s="10"/>
      <c r="N56" s="10" t="str">
        <f t="shared" si="2"/>
        <v/>
      </c>
      <c r="O56" s="10"/>
      <c r="P56" s="10"/>
      <c r="Q56" s="10"/>
      <c r="R56" s="10"/>
      <c r="S56" s="11"/>
      <c r="T56" s="11"/>
      <c r="U56" s="10"/>
      <c r="V56" s="10"/>
      <c r="W56" s="10"/>
      <c r="X56" s="11"/>
      <c r="Y56" s="10"/>
      <c r="Z56" s="10"/>
      <c r="AA56" s="10"/>
      <c r="AB56" s="9" t="str">
        <f>IF(B56="","",IF(AND(H56="高",OR(J56="抵触",J56="不支持")),"高权力不支持；","")&amp;IF(L56&gt;0,"存在支持差距；","")&amp;IF(AND(T56&lt;&gt;"",T56&lt;'[1]#REF'!$B$3),"沟通逾期；","")&amp;IF(AND(V56&lt;&gt;"",X56&lt;'[1]#REF'!$B$3,Y56&lt;&gt;"已完成"),"行动逾期；","")&amp;IF(AND(Z56="是",AA56=""),"未填升级对象",""))</f>
        <v/>
      </c>
      <c r="AC56" s="10"/>
    </row>
    <row r="57" spans="1:29">
      <c r="A57" s="9" t="str">
        <f t="shared" si="0"/>
        <v/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9" t="str">
        <f t="shared" si="1"/>
        <v/>
      </c>
      <c r="M57" s="10"/>
      <c r="N57" s="10" t="str">
        <f t="shared" si="2"/>
        <v/>
      </c>
      <c r="O57" s="10"/>
      <c r="P57" s="10"/>
      <c r="Q57" s="10"/>
      <c r="R57" s="10"/>
      <c r="S57" s="11"/>
      <c r="T57" s="11"/>
      <c r="U57" s="10"/>
      <c r="V57" s="10"/>
      <c r="W57" s="10"/>
      <c r="X57" s="11"/>
      <c r="Y57" s="10"/>
      <c r="Z57" s="10"/>
      <c r="AA57" s="10"/>
      <c r="AB57" s="9" t="str">
        <f>IF(B57="","",IF(AND(H57="高",OR(J57="抵触",J57="不支持")),"高权力不支持；","")&amp;IF(L57&gt;0,"存在支持差距；","")&amp;IF(AND(T57&lt;&gt;"",T57&lt;'[1]#REF'!$B$3),"沟通逾期；","")&amp;IF(AND(V57&lt;&gt;"",X57&lt;'[1]#REF'!$B$3,Y57&lt;&gt;"已完成"),"行动逾期；","")&amp;IF(AND(Z57="是",AA57=""),"未填升级对象",""))</f>
        <v/>
      </c>
      <c r="AC57" s="10"/>
    </row>
    <row r="58" spans="1:29">
      <c r="A58" s="9" t="str">
        <f t="shared" si="0"/>
        <v/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9" t="str">
        <f t="shared" si="1"/>
        <v/>
      </c>
      <c r="M58" s="10"/>
      <c r="N58" s="10" t="str">
        <f t="shared" si="2"/>
        <v/>
      </c>
      <c r="O58" s="10"/>
      <c r="P58" s="10"/>
      <c r="Q58" s="10"/>
      <c r="R58" s="10"/>
      <c r="S58" s="11"/>
      <c r="T58" s="11"/>
      <c r="U58" s="10"/>
      <c r="V58" s="10"/>
      <c r="W58" s="10"/>
      <c r="X58" s="11"/>
      <c r="Y58" s="10"/>
      <c r="Z58" s="10"/>
      <c r="AA58" s="10"/>
      <c r="AB58" s="9" t="str">
        <f>IF(B58="","",IF(AND(H58="高",OR(J58="抵触",J58="不支持")),"高权力不支持；","")&amp;IF(L58&gt;0,"存在支持差距；","")&amp;IF(AND(T58&lt;&gt;"",T58&lt;'[1]#REF'!$B$3),"沟通逾期；","")&amp;IF(AND(V58&lt;&gt;"",X58&lt;'[1]#REF'!$B$3,Y58&lt;&gt;"已完成"),"行动逾期；","")&amp;IF(AND(Z58="是",AA58=""),"未填升级对象",""))</f>
        <v/>
      </c>
      <c r="AC58" s="10"/>
    </row>
    <row r="59" spans="1:29">
      <c r="A59" s="9" t="str">
        <f t="shared" si="0"/>
        <v/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9" t="str">
        <f t="shared" si="1"/>
        <v/>
      </c>
      <c r="M59" s="10"/>
      <c r="N59" s="10" t="str">
        <f t="shared" si="2"/>
        <v/>
      </c>
      <c r="O59" s="10"/>
      <c r="P59" s="10"/>
      <c r="Q59" s="10"/>
      <c r="R59" s="10"/>
      <c r="S59" s="11"/>
      <c r="T59" s="11"/>
      <c r="U59" s="10"/>
      <c r="V59" s="10"/>
      <c r="W59" s="10"/>
      <c r="X59" s="11"/>
      <c r="Y59" s="10"/>
      <c r="Z59" s="10"/>
      <c r="AA59" s="10"/>
      <c r="AB59" s="9" t="str">
        <f>IF(B59="","",IF(AND(H59="高",OR(J59="抵触",J59="不支持")),"高权力不支持；","")&amp;IF(L59&gt;0,"存在支持差距；","")&amp;IF(AND(T59&lt;&gt;"",T59&lt;'[1]#REF'!$B$3),"沟通逾期；","")&amp;IF(AND(V59&lt;&gt;"",X59&lt;'[1]#REF'!$B$3,Y59&lt;&gt;"已完成"),"行动逾期；","")&amp;IF(AND(Z59="是",AA59=""),"未填升级对象",""))</f>
        <v/>
      </c>
      <c r="AC59" s="10"/>
    </row>
    <row r="60" spans="1:29">
      <c r="A60" s="9" t="str">
        <f t="shared" si="0"/>
        <v/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9" t="str">
        <f t="shared" si="1"/>
        <v/>
      </c>
      <c r="M60" s="10"/>
      <c r="N60" s="10" t="str">
        <f t="shared" si="2"/>
        <v/>
      </c>
      <c r="O60" s="10"/>
      <c r="P60" s="10"/>
      <c r="Q60" s="10"/>
      <c r="R60" s="10"/>
      <c r="S60" s="11"/>
      <c r="T60" s="11"/>
      <c r="U60" s="10"/>
      <c r="V60" s="10"/>
      <c r="W60" s="10"/>
      <c r="X60" s="11"/>
      <c r="Y60" s="10"/>
      <c r="Z60" s="10"/>
      <c r="AA60" s="10"/>
      <c r="AB60" s="9" t="str">
        <f>IF(B60="","",IF(AND(H60="高",OR(J60="抵触",J60="不支持")),"高权力不支持；","")&amp;IF(L60&gt;0,"存在支持差距；","")&amp;IF(AND(T60&lt;&gt;"",T60&lt;'[1]#REF'!$B$3),"沟通逾期；","")&amp;IF(AND(V60&lt;&gt;"",X60&lt;'[1]#REF'!$B$3,Y60&lt;&gt;"已完成"),"行动逾期；","")&amp;IF(AND(Z60="是",AA60=""),"未填升级对象",""))</f>
        <v/>
      </c>
      <c r="AC60" s="10"/>
    </row>
    <row r="61" spans="1:29">
      <c r="A61" s="9" t="str">
        <f t="shared" si="0"/>
        <v/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9" t="str">
        <f t="shared" si="1"/>
        <v/>
      </c>
      <c r="M61" s="10"/>
      <c r="N61" s="10" t="str">
        <f t="shared" si="2"/>
        <v/>
      </c>
      <c r="O61" s="10"/>
      <c r="P61" s="10"/>
      <c r="Q61" s="10"/>
      <c r="R61" s="10"/>
      <c r="S61" s="11"/>
      <c r="T61" s="11"/>
      <c r="U61" s="10"/>
      <c r="V61" s="10"/>
      <c r="W61" s="10"/>
      <c r="X61" s="11"/>
      <c r="Y61" s="10"/>
      <c r="Z61" s="10"/>
      <c r="AA61" s="10"/>
      <c r="AB61" s="9" t="str">
        <f>IF(B61="","",IF(AND(H61="高",OR(J61="抵触",J61="不支持")),"高权力不支持；","")&amp;IF(L61&gt;0,"存在支持差距；","")&amp;IF(AND(T61&lt;&gt;"",T61&lt;'[1]#REF'!$B$3),"沟通逾期；","")&amp;IF(AND(V61&lt;&gt;"",X61&lt;'[1]#REF'!$B$3,Y61&lt;&gt;"已完成"),"行动逾期；","")&amp;IF(AND(Z61="是",AA61=""),"未填升级对象",""))</f>
        <v/>
      </c>
      <c r="AC61" s="10"/>
    </row>
    <row r="62" spans="1:29">
      <c r="A62" s="9" t="str">
        <f t="shared" si="0"/>
        <v/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9" t="str">
        <f t="shared" si="1"/>
        <v/>
      </c>
      <c r="M62" s="10"/>
      <c r="N62" s="10" t="str">
        <f t="shared" si="2"/>
        <v/>
      </c>
      <c r="O62" s="10"/>
      <c r="P62" s="10"/>
      <c r="Q62" s="10"/>
      <c r="R62" s="10"/>
      <c r="S62" s="11"/>
      <c r="T62" s="11"/>
      <c r="U62" s="10"/>
      <c r="V62" s="10"/>
      <c r="W62" s="10"/>
      <c r="X62" s="11"/>
      <c r="Y62" s="10"/>
      <c r="Z62" s="10"/>
      <c r="AA62" s="10"/>
      <c r="AB62" s="9" t="str">
        <f>IF(B62="","",IF(AND(H62="高",OR(J62="抵触",J62="不支持")),"高权力不支持；","")&amp;IF(L62&gt;0,"存在支持差距；","")&amp;IF(AND(T62&lt;&gt;"",T62&lt;'[1]#REF'!$B$3),"沟通逾期；","")&amp;IF(AND(V62&lt;&gt;"",X62&lt;'[1]#REF'!$B$3,Y62&lt;&gt;"已完成"),"行动逾期；","")&amp;IF(AND(Z62="是",AA62=""),"未填升级对象",""))</f>
        <v/>
      </c>
      <c r="AC62" s="10"/>
    </row>
    <row r="63" spans="1:29">
      <c r="A63" s="9" t="str">
        <f t="shared" si="0"/>
        <v/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9" t="str">
        <f t="shared" si="1"/>
        <v/>
      </c>
      <c r="M63" s="10"/>
      <c r="N63" s="10" t="str">
        <f t="shared" si="2"/>
        <v/>
      </c>
      <c r="O63" s="10"/>
      <c r="P63" s="10"/>
      <c r="Q63" s="10"/>
      <c r="R63" s="10"/>
      <c r="S63" s="11"/>
      <c r="T63" s="11"/>
      <c r="U63" s="10"/>
      <c r="V63" s="10"/>
      <c r="W63" s="10"/>
      <c r="X63" s="11"/>
      <c r="Y63" s="10"/>
      <c r="Z63" s="10"/>
      <c r="AA63" s="10"/>
      <c r="AB63" s="9" t="str">
        <f>IF(B63="","",IF(AND(H63="高",OR(J63="抵触",J63="不支持")),"高权力不支持；","")&amp;IF(L63&gt;0,"存在支持差距；","")&amp;IF(AND(T63&lt;&gt;"",T63&lt;'[1]#REF'!$B$3),"沟通逾期；","")&amp;IF(AND(V63&lt;&gt;"",X63&lt;'[1]#REF'!$B$3,Y63&lt;&gt;"已完成"),"行动逾期；","")&amp;IF(AND(Z63="是",AA63=""),"未填升级对象",""))</f>
        <v/>
      </c>
      <c r="AC63" s="10"/>
    </row>
    <row r="64" spans="1:29">
      <c r="A64" s="9" t="str">
        <f t="shared" si="0"/>
        <v/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9" t="str">
        <f t="shared" si="1"/>
        <v/>
      </c>
      <c r="M64" s="10"/>
      <c r="N64" s="10" t="str">
        <f t="shared" si="2"/>
        <v/>
      </c>
      <c r="O64" s="10"/>
      <c r="P64" s="10"/>
      <c r="Q64" s="10"/>
      <c r="R64" s="10"/>
      <c r="S64" s="11"/>
      <c r="T64" s="11"/>
      <c r="U64" s="10"/>
      <c r="V64" s="10"/>
      <c r="W64" s="10"/>
      <c r="X64" s="11"/>
      <c r="Y64" s="10"/>
      <c r="Z64" s="10"/>
      <c r="AA64" s="10"/>
      <c r="AB64" s="9" t="str">
        <f>IF(B64="","",IF(AND(H64="高",OR(J64="抵触",J64="不支持")),"高权力不支持；","")&amp;IF(L64&gt;0,"存在支持差距；","")&amp;IF(AND(T64&lt;&gt;"",T64&lt;'[1]#REF'!$B$3),"沟通逾期；","")&amp;IF(AND(V64&lt;&gt;"",X64&lt;'[1]#REF'!$B$3,Y64&lt;&gt;"已完成"),"行动逾期；","")&amp;IF(AND(Z64="是",AA64=""),"未填升级对象",""))</f>
        <v/>
      </c>
      <c r="AC64" s="10"/>
    </row>
    <row r="65" spans="1:29">
      <c r="A65" s="9" t="str">
        <f t="shared" si="0"/>
        <v/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9" t="str">
        <f t="shared" si="1"/>
        <v/>
      </c>
      <c r="M65" s="10"/>
      <c r="N65" s="10" t="str">
        <f t="shared" si="2"/>
        <v/>
      </c>
      <c r="O65" s="10"/>
      <c r="P65" s="10"/>
      <c r="Q65" s="10"/>
      <c r="R65" s="10"/>
      <c r="S65" s="11"/>
      <c r="T65" s="11"/>
      <c r="U65" s="10"/>
      <c r="V65" s="10"/>
      <c r="W65" s="10"/>
      <c r="X65" s="11"/>
      <c r="Y65" s="10"/>
      <c r="Z65" s="10"/>
      <c r="AA65" s="10"/>
      <c r="AB65" s="9" t="str">
        <f>IF(B65="","",IF(AND(H65="高",OR(J65="抵触",J65="不支持")),"高权力不支持；","")&amp;IF(L65&gt;0,"存在支持差距；","")&amp;IF(AND(T65&lt;&gt;"",T65&lt;'[1]#REF'!$B$3),"沟通逾期；","")&amp;IF(AND(V65&lt;&gt;"",X65&lt;'[1]#REF'!$B$3,Y65&lt;&gt;"已完成"),"行动逾期；","")&amp;IF(AND(Z65="是",AA65=""),"未填升级对象",""))</f>
        <v/>
      </c>
      <c r="AC65" s="10"/>
    </row>
    <row r="66" spans="1:29">
      <c r="A66" s="9" t="str">
        <f t="shared" si="0"/>
        <v/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9" t="str">
        <f t="shared" si="1"/>
        <v/>
      </c>
      <c r="M66" s="10"/>
      <c r="N66" s="10" t="str">
        <f t="shared" si="2"/>
        <v/>
      </c>
      <c r="O66" s="10"/>
      <c r="P66" s="10"/>
      <c r="Q66" s="10"/>
      <c r="R66" s="10"/>
      <c r="S66" s="11"/>
      <c r="T66" s="11"/>
      <c r="U66" s="10"/>
      <c r="V66" s="10"/>
      <c r="W66" s="10"/>
      <c r="X66" s="11"/>
      <c r="Y66" s="10"/>
      <c r="Z66" s="10"/>
      <c r="AA66" s="10"/>
      <c r="AB66" s="9" t="str">
        <f>IF(B66="","",IF(AND(H66="高",OR(J66="抵触",J66="不支持")),"高权力不支持；","")&amp;IF(L66&gt;0,"存在支持差距；","")&amp;IF(AND(T66&lt;&gt;"",T66&lt;'[1]#REF'!$B$3),"沟通逾期；","")&amp;IF(AND(V66&lt;&gt;"",X66&lt;'[1]#REF'!$B$3,Y66&lt;&gt;"已完成"),"行动逾期；","")&amp;IF(AND(Z66="是",AA66=""),"未填升级对象",""))</f>
        <v/>
      </c>
      <c r="AC66" s="10"/>
    </row>
    <row r="67" spans="1:29">
      <c r="A67" s="9" t="str">
        <f t="shared" si="0"/>
        <v/>
      </c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9" t="str">
        <f t="shared" si="1"/>
        <v/>
      </c>
      <c r="M67" s="10"/>
      <c r="N67" s="10" t="str">
        <f t="shared" si="2"/>
        <v/>
      </c>
      <c r="O67" s="10"/>
      <c r="P67" s="10"/>
      <c r="Q67" s="10"/>
      <c r="R67" s="10"/>
      <c r="S67" s="11"/>
      <c r="T67" s="11"/>
      <c r="U67" s="10"/>
      <c r="V67" s="10"/>
      <c r="W67" s="10"/>
      <c r="X67" s="11"/>
      <c r="Y67" s="10"/>
      <c r="Z67" s="10"/>
      <c r="AA67" s="10"/>
      <c r="AB67" s="9" t="str">
        <f>IF(B67="","",IF(AND(H67="高",OR(J67="抵触",J67="不支持")),"高权力不支持；","")&amp;IF(L67&gt;0,"存在支持差距；","")&amp;IF(AND(T67&lt;&gt;"",T67&lt;'[1]#REF'!$B$3),"沟通逾期；","")&amp;IF(AND(V67&lt;&gt;"",X67&lt;'[1]#REF'!$B$3,Y67&lt;&gt;"已完成"),"行动逾期；","")&amp;IF(AND(Z67="是",AA67=""),"未填升级对象",""))</f>
        <v/>
      </c>
      <c r="AC67" s="10"/>
    </row>
    <row r="68" spans="1:29">
      <c r="A68" s="9" t="str">
        <f t="shared" si="0"/>
        <v/>
      </c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9" t="str">
        <f t="shared" si="1"/>
        <v/>
      </c>
      <c r="M68" s="10"/>
      <c r="N68" s="10" t="str">
        <f t="shared" si="2"/>
        <v/>
      </c>
      <c r="O68" s="10"/>
      <c r="P68" s="10"/>
      <c r="Q68" s="10"/>
      <c r="R68" s="10"/>
      <c r="S68" s="11"/>
      <c r="T68" s="11"/>
      <c r="U68" s="10"/>
      <c r="V68" s="10"/>
      <c r="W68" s="10"/>
      <c r="X68" s="11"/>
      <c r="Y68" s="10"/>
      <c r="Z68" s="10"/>
      <c r="AA68" s="10"/>
      <c r="AB68" s="9" t="str">
        <f>IF(B68="","",IF(AND(H68="高",OR(J68="抵触",J68="不支持")),"高权力不支持；","")&amp;IF(L68&gt;0,"存在支持差距；","")&amp;IF(AND(T68&lt;&gt;"",T68&lt;'[1]#REF'!$B$3),"沟通逾期；","")&amp;IF(AND(V68&lt;&gt;"",X68&lt;'[1]#REF'!$B$3,Y68&lt;&gt;"已完成"),"行动逾期；","")&amp;IF(AND(Z68="是",AA68=""),"未填升级对象",""))</f>
        <v/>
      </c>
      <c r="AC68" s="10"/>
    </row>
    <row r="69" spans="1:29">
      <c r="A69" s="9" t="str">
        <f t="shared" si="0"/>
        <v/>
      </c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9" t="str">
        <f t="shared" si="1"/>
        <v/>
      </c>
      <c r="M69" s="10"/>
      <c r="N69" s="10" t="str">
        <f t="shared" si="2"/>
        <v/>
      </c>
      <c r="O69" s="10"/>
      <c r="P69" s="10"/>
      <c r="Q69" s="10"/>
      <c r="R69" s="10"/>
      <c r="S69" s="11"/>
      <c r="T69" s="11"/>
      <c r="U69" s="10"/>
      <c r="V69" s="10"/>
      <c r="W69" s="10"/>
      <c r="X69" s="11"/>
      <c r="Y69" s="10"/>
      <c r="Z69" s="10"/>
      <c r="AA69" s="10"/>
      <c r="AB69" s="9" t="str">
        <f>IF(B69="","",IF(AND(H69="高",OR(J69="抵触",J69="不支持")),"高权力不支持；","")&amp;IF(L69&gt;0,"存在支持差距；","")&amp;IF(AND(T69&lt;&gt;"",T69&lt;'[1]#REF'!$B$3),"沟通逾期；","")&amp;IF(AND(V69&lt;&gt;"",X69&lt;'[1]#REF'!$B$3,Y69&lt;&gt;"已完成"),"行动逾期；","")&amp;IF(AND(Z69="是",AA69=""),"未填升级对象",""))</f>
        <v/>
      </c>
      <c r="AC69" s="10"/>
    </row>
    <row r="70" spans="1:29">
      <c r="A70" s="9" t="str">
        <f t="shared" si="0"/>
        <v/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9" t="str">
        <f t="shared" si="1"/>
        <v/>
      </c>
      <c r="M70" s="10"/>
      <c r="N70" s="10" t="str">
        <f t="shared" si="2"/>
        <v/>
      </c>
      <c r="O70" s="10"/>
      <c r="P70" s="10"/>
      <c r="Q70" s="10"/>
      <c r="R70" s="10"/>
      <c r="S70" s="11"/>
      <c r="T70" s="11"/>
      <c r="U70" s="10"/>
      <c r="V70" s="10"/>
      <c r="W70" s="10"/>
      <c r="X70" s="11"/>
      <c r="Y70" s="10"/>
      <c r="Z70" s="10"/>
      <c r="AA70" s="10"/>
      <c r="AB70" s="9" t="str">
        <f>IF(B70="","",IF(AND(H70="高",OR(J70="抵触",J70="不支持")),"高权力不支持；","")&amp;IF(L70&gt;0,"存在支持差距；","")&amp;IF(AND(T70&lt;&gt;"",T70&lt;'[1]#REF'!$B$3),"沟通逾期；","")&amp;IF(AND(V70&lt;&gt;"",X70&lt;'[1]#REF'!$B$3,Y70&lt;&gt;"已完成"),"行动逾期；","")&amp;IF(AND(Z70="是",AA70=""),"未填升级对象",""))</f>
        <v/>
      </c>
      <c r="AC70" s="10"/>
    </row>
    <row r="71" spans="1:29">
      <c r="A71" s="9" t="str">
        <f t="shared" si="0"/>
        <v/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9" t="str">
        <f t="shared" si="1"/>
        <v/>
      </c>
      <c r="M71" s="10"/>
      <c r="N71" s="10" t="str">
        <f t="shared" si="2"/>
        <v/>
      </c>
      <c r="O71" s="10"/>
      <c r="P71" s="10"/>
      <c r="Q71" s="10"/>
      <c r="R71" s="10"/>
      <c r="S71" s="11"/>
      <c r="T71" s="11"/>
      <c r="U71" s="10"/>
      <c r="V71" s="10"/>
      <c r="W71" s="10"/>
      <c r="X71" s="11"/>
      <c r="Y71" s="10"/>
      <c r="Z71" s="10"/>
      <c r="AA71" s="10"/>
      <c r="AB71" s="9" t="str">
        <f>IF(B71="","",IF(AND(H71="高",OR(J71="抵触",J71="不支持")),"高权力不支持；","")&amp;IF(L71&gt;0,"存在支持差距；","")&amp;IF(AND(T71&lt;&gt;"",T71&lt;'[1]#REF'!$B$3),"沟通逾期；","")&amp;IF(AND(V71&lt;&gt;"",X71&lt;'[1]#REF'!$B$3,Y71&lt;&gt;"已完成"),"行动逾期；","")&amp;IF(AND(Z71="是",AA71=""),"未填升级对象",""))</f>
        <v/>
      </c>
      <c r="AC71" s="10"/>
    </row>
    <row r="72" spans="1:29">
      <c r="A72" s="9" t="str">
        <f t="shared" si="0"/>
        <v/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9" t="str">
        <f t="shared" si="1"/>
        <v/>
      </c>
      <c r="M72" s="10"/>
      <c r="N72" s="10" t="str">
        <f t="shared" si="2"/>
        <v/>
      </c>
      <c r="O72" s="10"/>
      <c r="P72" s="10"/>
      <c r="Q72" s="10"/>
      <c r="R72" s="10"/>
      <c r="S72" s="11"/>
      <c r="T72" s="11"/>
      <c r="U72" s="10"/>
      <c r="V72" s="10"/>
      <c r="W72" s="10"/>
      <c r="X72" s="11"/>
      <c r="Y72" s="10"/>
      <c r="Z72" s="10"/>
      <c r="AA72" s="10"/>
      <c r="AB72" s="9" t="str">
        <f>IF(B72="","",IF(AND(H72="高",OR(J72="抵触",J72="不支持")),"高权力不支持；","")&amp;IF(L72&gt;0,"存在支持差距；","")&amp;IF(AND(T72&lt;&gt;"",T72&lt;'[1]#REF'!$B$3),"沟通逾期；","")&amp;IF(AND(V72&lt;&gt;"",X72&lt;'[1]#REF'!$B$3,Y72&lt;&gt;"已完成"),"行动逾期；","")&amp;IF(AND(Z72="是",AA72=""),"未填升级对象",""))</f>
        <v/>
      </c>
      <c r="AC72" s="10"/>
    </row>
    <row r="73" spans="1:29">
      <c r="A73" s="9" t="str">
        <f t="shared" ref="A73:A108" si="3">IF(B73="","","SH-"&amp;TEXT(ROW()-8,"000"))</f>
        <v/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9" t="str">
        <f t="shared" ref="L73:L108" si="4">IF(OR(J73="",K73=""),"",IF(K73="抵触",1,IF(K73="不支持",2,IF(K73="中立",3,IF(K73="支持",4,IF(K73="积极推动",5,"")))))-IF(J73="抵触",1,IF(J73="不支持",2,IF(J73="中立",3,IF(J73="支持",4,IF(J73="积极推动",5,""))))))</f>
        <v/>
      </c>
      <c r="M73" s="10"/>
      <c r="N73" s="10" t="str">
        <f t="shared" ref="N73:N108" si="5">IF(OR(H73="",I73=""),"",IF(AND(H73="高",I73="高"),"重点管理",IF(H73="高","保持满意",IF(I73="高","保持沟通","监督观察"))))</f>
        <v/>
      </c>
      <c r="O73" s="10"/>
      <c r="P73" s="10"/>
      <c r="Q73" s="10"/>
      <c r="R73" s="10"/>
      <c r="S73" s="11"/>
      <c r="T73" s="11"/>
      <c r="U73" s="10"/>
      <c r="V73" s="10"/>
      <c r="W73" s="10"/>
      <c r="X73" s="11"/>
      <c r="Y73" s="10"/>
      <c r="Z73" s="10"/>
      <c r="AA73" s="10"/>
      <c r="AB73" s="9" t="str">
        <f>IF(B73="","",IF(AND(H73="高",OR(J73="抵触",J73="不支持")),"高权力不支持；","")&amp;IF(L73&gt;0,"存在支持差距；","")&amp;IF(AND(T73&lt;&gt;"",T73&lt;'[1]#REF'!$B$3),"沟通逾期；","")&amp;IF(AND(V73&lt;&gt;"",X73&lt;'[1]#REF'!$B$3,Y73&lt;&gt;"已完成"),"行动逾期；","")&amp;IF(AND(Z73="是",AA73=""),"未填升级对象",""))</f>
        <v/>
      </c>
      <c r="AC73" s="10"/>
    </row>
    <row r="74" spans="1:29">
      <c r="A74" s="9" t="str">
        <f t="shared" si="3"/>
        <v/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9" t="str">
        <f t="shared" si="4"/>
        <v/>
      </c>
      <c r="M74" s="10"/>
      <c r="N74" s="10" t="str">
        <f t="shared" si="5"/>
        <v/>
      </c>
      <c r="O74" s="10"/>
      <c r="P74" s="10"/>
      <c r="Q74" s="10"/>
      <c r="R74" s="10"/>
      <c r="S74" s="11"/>
      <c r="T74" s="11"/>
      <c r="U74" s="10"/>
      <c r="V74" s="10"/>
      <c r="W74" s="10"/>
      <c r="X74" s="11"/>
      <c r="Y74" s="10"/>
      <c r="Z74" s="10"/>
      <c r="AA74" s="10"/>
      <c r="AB74" s="9" t="str">
        <f>IF(B74="","",IF(AND(H74="高",OR(J74="抵触",J74="不支持")),"高权力不支持；","")&amp;IF(L74&gt;0,"存在支持差距；","")&amp;IF(AND(T74&lt;&gt;"",T74&lt;'[1]#REF'!$B$3),"沟通逾期；","")&amp;IF(AND(V74&lt;&gt;"",X74&lt;'[1]#REF'!$B$3,Y74&lt;&gt;"已完成"),"行动逾期；","")&amp;IF(AND(Z74="是",AA74=""),"未填升级对象",""))</f>
        <v/>
      </c>
      <c r="AC74" s="10"/>
    </row>
    <row r="75" spans="1:29">
      <c r="A75" s="9" t="str">
        <f t="shared" si="3"/>
        <v/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9" t="str">
        <f t="shared" si="4"/>
        <v/>
      </c>
      <c r="M75" s="10"/>
      <c r="N75" s="10" t="str">
        <f t="shared" si="5"/>
        <v/>
      </c>
      <c r="O75" s="10"/>
      <c r="P75" s="10"/>
      <c r="Q75" s="10"/>
      <c r="R75" s="10"/>
      <c r="S75" s="11"/>
      <c r="T75" s="11"/>
      <c r="U75" s="10"/>
      <c r="V75" s="10"/>
      <c r="W75" s="10"/>
      <c r="X75" s="11"/>
      <c r="Y75" s="10"/>
      <c r="Z75" s="10"/>
      <c r="AA75" s="10"/>
      <c r="AB75" s="9" t="str">
        <f>IF(B75="","",IF(AND(H75="高",OR(J75="抵触",J75="不支持")),"高权力不支持；","")&amp;IF(L75&gt;0,"存在支持差距；","")&amp;IF(AND(T75&lt;&gt;"",T75&lt;'[1]#REF'!$B$3),"沟通逾期；","")&amp;IF(AND(V75&lt;&gt;"",X75&lt;'[1]#REF'!$B$3,Y75&lt;&gt;"已完成"),"行动逾期；","")&amp;IF(AND(Z75="是",AA75=""),"未填升级对象",""))</f>
        <v/>
      </c>
      <c r="AC75" s="10"/>
    </row>
    <row r="76" spans="1:29">
      <c r="A76" s="9" t="str">
        <f t="shared" si="3"/>
        <v/>
      </c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9" t="str">
        <f t="shared" si="4"/>
        <v/>
      </c>
      <c r="M76" s="10"/>
      <c r="N76" s="10" t="str">
        <f t="shared" si="5"/>
        <v/>
      </c>
      <c r="O76" s="10"/>
      <c r="P76" s="10"/>
      <c r="Q76" s="10"/>
      <c r="R76" s="10"/>
      <c r="S76" s="11"/>
      <c r="T76" s="11"/>
      <c r="U76" s="10"/>
      <c r="V76" s="10"/>
      <c r="W76" s="10"/>
      <c r="X76" s="11"/>
      <c r="Y76" s="10"/>
      <c r="Z76" s="10"/>
      <c r="AA76" s="10"/>
      <c r="AB76" s="9" t="str">
        <f>IF(B76="","",IF(AND(H76="高",OR(J76="抵触",J76="不支持")),"高权力不支持；","")&amp;IF(L76&gt;0,"存在支持差距；","")&amp;IF(AND(T76&lt;&gt;"",T76&lt;'[1]#REF'!$B$3),"沟通逾期；","")&amp;IF(AND(V76&lt;&gt;"",X76&lt;'[1]#REF'!$B$3,Y76&lt;&gt;"已完成"),"行动逾期；","")&amp;IF(AND(Z76="是",AA76=""),"未填升级对象",""))</f>
        <v/>
      </c>
      <c r="AC76" s="10"/>
    </row>
    <row r="77" spans="1:29">
      <c r="A77" s="9" t="str">
        <f t="shared" si="3"/>
        <v/>
      </c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9" t="str">
        <f t="shared" si="4"/>
        <v/>
      </c>
      <c r="M77" s="10"/>
      <c r="N77" s="10" t="str">
        <f t="shared" si="5"/>
        <v/>
      </c>
      <c r="O77" s="10"/>
      <c r="P77" s="10"/>
      <c r="Q77" s="10"/>
      <c r="R77" s="10"/>
      <c r="S77" s="11"/>
      <c r="T77" s="11"/>
      <c r="U77" s="10"/>
      <c r="V77" s="10"/>
      <c r="W77" s="10"/>
      <c r="X77" s="11"/>
      <c r="Y77" s="10"/>
      <c r="Z77" s="10"/>
      <c r="AA77" s="10"/>
      <c r="AB77" s="9" t="str">
        <f>IF(B77="","",IF(AND(H77="高",OR(J77="抵触",J77="不支持")),"高权力不支持；","")&amp;IF(L77&gt;0,"存在支持差距；","")&amp;IF(AND(T77&lt;&gt;"",T77&lt;'[1]#REF'!$B$3),"沟通逾期；","")&amp;IF(AND(V77&lt;&gt;"",X77&lt;'[1]#REF'!$B$3,Y77&lt;&gt;"已完成"),"行动逾期；","")&amp;IF(AND(Z77="是",AA77=""),"未填升级对象",""))</f>
        <v/>
      </c>
      <c r="AC77" s="10"/>
    </row>
    <row r="78" spans="1:29">
      <c r="A78" s="9" t="str">
        <f t="shared" si="3"/>
        <v/>
      </c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9" t="str">
        <f t="shared" si="4"/>
        <v/>
      </c>
      <c r="M78" s="10"/>
      <c r="N78" s="10" t="str">
        <f t="shared" si="5"/>
        <v/>
      </c>
      <c r="O78" s="10"/>
      <c r="P78" s="10"/>
      <c r="Q78" s="10"/>
      <c r="R78" s="10"/>
      <c r="S78" s="11"/>
      <c r="T78" s="11"/>
      <c r="U78" s="10"/>
      <c r="V78" s="10"/>
      <c r="W78" s="10"/>
      <c r="X78" s="11"/>
      <c r="Y78" s="10"/>
      <c r="Z78" s="10"/>
      <c r="AA78" s="10"/>
      <c r="AB78" s="9" t="str">
        <f>IF(B78="","",IF(AND(H78="高",OR(J78="抵触",J78="不支持")),"高权力不支持；","")&amp;IF(L78&gt;0,"存在支持差距；","")&amp;IF(AND(T78&lt;&gt;"",T78&lt;'[1]#REF'!$B$3),"沟通逾期；","")&amp;IF(AND(V78&lt;&gt;"",X78&lt;'[1]#REF'!$B$3,Y78&lt;&gt;"已完成"),"行动逾期；","")&amp;IF(AND(Z78="是",AA78=""),"未填升级对象",""))</f>
        <v/>
      </c>
      <c r="AC78" s="10"/>
    </row>
    <row r="79" spans="1:29">
      <c r="A79" s="9" t="str">
        <f t="shared" si="3"/>
        <v/>
      </c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9" t="str">
        <f t="shared" si="4"/>
        <v/>
      </c>
      <c r="M79" s="10"/>
      <c r="N79" s="10" t="str">
        <f t="shared" si="5"/>
        <v/>
      </c>
      <c r="O79" s="10"/>
      <c r="P79" s="10"/>
      <c r="Q79" s="10"/>
      <c r="R79" s="10"/>
      <c r="S79" s="11"/>
      <c r="T79" s="11"/>
      <c r="U79" s="10"/>
      <c r="V79" s="10"/>
      <c r="W79" s="10"/>
      <c r="X79" s="11"/>
      <c r="Y79" s="10"/>
      <c r="Z79" s="10"/>
      <c r="AA79" s="10"/>
      <c r="AB79" s="9" t="str">
        <f>IF(B79="","",IF(AND(H79="高",OR(J79="抵触",J79="不支持")),"高权力不支持；","")&amp;IF(L79&gt;0,"存在支持差距；","")&amp;IF(AND(T79&lt;&gt;"",T79&lt;'[1]#REF'!$B$3),"沟通逾期；","")&amp;IF(AND(V79&lt;&gt;"",X79&lt;'[1]#REF'!$B$3,Y79&lt;&gt;"已完成"),"行动逾期；","")&amp;IF(AND(Z79="是",AA79=""),"未填升级对象",""))</f>
        <v/>
      </c>
      <c r="AC79" s="10"/>
    </row>
    <row r="80" spans="1:29">
      <c r="A80" s="9" t="str">
        <f t="shared" si="3"/>
        <v/>
      </c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9" t="str">
        <f t="shared" si="4"/>
        <v/>
      </c>
      <c r="M80" s="10"/>
      <c r="N80" s="10" t="str">
        <f t="shared" si="5"/>
        <v/>
      </c>
      <c r="O80" s="10"/>
      <c r="P80" s="10"/>
      <c r="Q80" s="10"/>
      <c r="R80" s="10"/>
      <c r="S80" s="11"/>
      <c r="T80" s="11"/>
      <c r="U80" s="10"/>
      <c r="V80" s="10"/>
      <c r="W80" s="10"/>
      <c r="X80" s="11"/>
      <c r="Y80" s="10"/>
      <c r="Z80" s="10"/>
      <c r="AA80" s="10"/>
      <c r="AB80" s="9" t="str">
        <f>IF(B80="","",IF(AND(H80="高",OR(J80="抵触",J80="不支持")),"高权力不支持；","")&amp;IF(L80&gt;0,"存在支持差距；","")&amp;IF(AND(T80&lt;&gt;"",T80&lt;'[1]#REF'!$B$3),"沟通逾期；","")&amp;IF(AND(V80&lt;&gt;"",X80&lt;'[1]#REF'!$B$3,Y80&lt;&gt;"已完成"),"行动逾期；","")&amp;IF(AND(Z80="是",AA80=""),"未填升级对象",""))</f>
        <v/>
      </c>
      <c r="AC80" s="10"/>
    </row>
    <row r="81" spans="1:29">
      <c r="A81" s="9" t="str">
        <f t="shared" si="3"/>
        <v/>
      </c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9" t="str">
        <f t="shared" si="4"/>
        <v/>
      </c>
      <c r="M81" s="10"/>
      <c r="N81" s="10" t="str">
        <f t="shared" si="5"/>
        <v/>
      </c>
      <c r="O81" s="10"/>
      <c r="P81" s="10"/>
      <c r="Q81" s="10"/>
      <c r="R81" s="10"/>
      <c r="S81" s="11"/>
      <c r="T81" s="11"/>
      <c r="U81" s="10"/>
      <c r="V81" s="10"/>
      <c r="W81" s="10"/>
      <c r="X81" s="11"/>
      <c r="Y81" s="10"/>
      <c r="Z81" s="10"/>
      <c r="AA81" s="10"/>
      <c r="AB81" s="9" t="str">
        <f>IF(B81="","",IF(AND(H81="高",OR(J81="抵触",J81="不支持")),"高权力不支持；","")&amp;IF(L81&gt;0,"存在支持差距；","")&amp;IF(AND(T81&lt;&gt;"",T81&lt;'[1]#REF'!$B$3),"沟通逾期；","")&amp;IF(AND(V81&lt;&gt;"",X81&lt;'[1]#REF'!$B$3,Y81&lt;&gt;"已完成"),"行动逾期；","")&amp;IF(AND(Z81="是",AA81=""),"未填升级对象",""))</f>
        <v/>
      </c>
      <c r="AC81" s="10"/>
    </row>
    <row r="82" spans="1:29">
      <c r="A82" s="9" t="str">
        <f t="shared" si="3"/>
        <v/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9" t="str">
        <f t="shared" si="4"/>
        <v/>
      </c>
      <c r="M82" s="10"/>
      <c r="N82" s="10" t="str">
        <f t="shared" si="5"/>
        <v/>
      </c>
      <c r="O82" s="10"/>
      <c r="P82" s="10"/>
      <c r="Q82" s="10"/>
      <c r="R82" s="10"/>
      <c r="S82" s="11"/>
      <c r="T82" s="11"/>
      <c r="U82" s="10"/>
      <c r="V82" s="10"/>
      <c r="W82" s="10"/>
      <c r="X82" s="11"/>
      <c r="Y82" s="10"/>
      <c r="Z82" s="10"/>
      <c r="AA82" s="10"/>
      <c r="AB82" s="9" t="str">
        <f>IF(B82="","",IF(AND(H82="高",OR(J82="抵触",J82="不支持")),"高权力不支持；","")&amp;IF(L82&gt;0,"存在支持差距；","")&amp;IF(AND(T82&lt;&gt;"",T82&lt;'[1]#REF'!$B$3),"沟通逾期；","")&amp;IF(AND(V82&lt;&gt;"",X82&lt;'[1]#REF'!$B$3,Y82&lt;&gt;"已完成"),"行动逾期；","")&amp;IF(AND(Z82="是",AA82=""),"未填升级对象",""))</f>
        <v/>
      </c>
      <c r="AC82" s="10"/>
    </row>
    <row r="83" spans="1:29">
      <c r="A83" s="9" t="str">
        <f t="shared" si="3"/>
        <v/>
      </c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9" t="str">
        <f t="shared" si="4"/>
        <v/>
      </c>
      <c r="M83" s="10"/>
      <c r="N83" s="10" t="str">
        <f t="shared" si="5"/>
        <v/>
      </c>
      <c r="O83" s="10"/>
      <c r="P83" s="10"/>
      <c r="Q83" s="10"/>
      <c r="R83" s="10"/>
      <c r="S83" s="11"/>
      <c r="T83" s="11"/>
      <c r="U83" s="10"/>
      <c r="V83" s="10"/>
      <c r="W83" s="10"/>
      <c r="X83" s="11"/>
      <c r="Y83" s="10"/>
      <c r="Z83" s="10"/>
      <c r="AA83" s="10"/>
      <c r="AB83" s="9" t="str">
        <f>IF(B83="","",IF(AND(H83="高",OR(J83="抵触",J83="不支持")),"高权力不支持；","")&amp;IF(L83&gt;0,"存在支持差距；","")&amp;IF(AND(T83&lt;&gt;"",T83&lt;'[1]#REF'!$B$3),"沟通逾期；","")&amp;IF(AND(V83&lt;&gt;"",X83&lt;'[1]#REF'!$B$3,Y83&lt;&gt;"已完成"),"行动逾期；","")&amp;IF(AND(Z83="是",AA83=""),"未填升级对象",""))</f>
        <v/>
      </c>
      <c r="AC83" s="10"/>
    </row>
    <row r="84" spans="1:29">
      <c r="A84" s="9" t="str">
        <f t="shared" si="3"/>
        <v/>
      </c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9" t="str">
        <f t="shared" si="4"/>
        <v/>
      </c>
      <c r="M84" s="10"/>
      <c r="N84" s="10" t="str">
        <f t="shared" si="5"/>
        <v/>
      </c>
      <c r="O84" s="10"/>
      <c r="P84" s="10"/>
      <c r="Q84" s="10"/>
      <c r="R84" s="10"/>
      <c r="S84" s="11"/>
      <c r="T84" s="11"/>
      <c r="U84" s="10"/>
      <c r="V84" s="10"/>
      <c r="W84" s="10"/>
      <c r="X84" s="11"/>
      <c r="Y84" s="10"/>
      <c r="Z84" s="10"/>
      <c r="AA84" s="10"/>
      <c r="AB84" s="9" t="str">
        <f>IF(B84="","",IF(AND(H84="高",OR(J84="抵触",J84="不支持")),"高权力不支持；","")&amp;IF(L84&gt;0,"存在支持差距；","")&amp;IF(AND(T84&lt;&gt;"",T84&lt;'[1]#REF'!$B$3),"沟通逾期；","")&amp;IF(AND(V84&lt;&gt;"",X84&lt;'[1]#REF'!$B$3,Y84&lt;&gt;"已完成"),"行动逾期；","")&amp;IF(AND(Z84="是",AA84=""),"未填升级对象",""))</f>
        <v/>
      </c>
      <c r="AC84" s="10"/>
    </row>
    <row r="85" spans="1:29">
      <c r="A85" s="9" t="str">
        <f t="shared" si="3"/>
        <v/>
      </c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9" t="str">
        <f t="shared" si="4"/>
        <v/>
      </c>
      <c r="M85" s="10"/>
      <c r="N85" s="10" t="str">
        <f t="shared" si="5"/>
        <v/>
      </c>
      <c r="O85" s="10"/>
      <c r="P85" s="10"/>
      <c r="Q85" s="10"/>
      <c r="R85" s="10"/>
      <c r="S85" s="11"/>
      <c r="T85" s="11"/>
      <c r="U85" s="10"/>
      <c r="V85" s="10"/>
      <c r="W85" s="10"/>
      <c r="X85" s="11"/>
      <c r="Y85" s="10"/>
      <c r="Z85" s="10"/>
      <c r="AA85" s="10"/>
      <c r="AB85" s="9" t="str">
        <f>IF(B85="","",IF(AND(H85="高",OR(J85="抵触",J85="不支持")),"高权力不支持；","")&amp;IF(L85&gt;0,"存在支持差距；","")&amp;IF(AND(T85&lt;&gt;"",T85&lt;'[1]#REF'!$B$3),"沟通逾期；","")&amp;IF(AND(V85&lt;&gt;"",X85&lt;'[1]#REF'!$B$3,Y85&lt;&gt;"已完成"),"行动逾期；","")&amp;IF(AND(Z85="是",AA85=""),"未填升级对象",""))</f>
        <v/>
      </c>
      <c r="AC85" s="10"/>
    </row>
    <row r="86" spans="1:29">
      <c r="A86" s="9" t="str">
        <f t="shared" si="3"/>
        <v/>
      </c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9" t="str">
        <f t="shared" si="4"/>
        <v/>
      </c>
      <c r="M86" s="10"/>
      <c r="N86" s="10" t="str">
        <f t="shared" si="5"/>
        <v/>
      </c>
      <c r="O86" s="10"/>
      <c r="P86" s="10"/>
      <c r="Q86" s="10"/>
      <c r="R86" s="10"/>
      <c r="S86" s="11"/>
      <c r="T86" s="11"/>
      <c r="U86" s="10"/>
      <c r="V86" s="10"/>
      <c r="W86" s="10"/>
      <c r="X86" s="11"/>
      <c r="Y86" s="10"/>
      <c r="Z86" s="10"/>
      <c r="AA86" s="10"/>
      <c r="AB86" s="9" t="str">
        <f>IF(B86="","",IF(AND(H86="高",OR(J86="抵触",J86="不支持")),"高权力不支持；","")&amp;IF(L86&gt;0,"存在支持差距；","")&amp;IF(AND(T86&lt;&gt;"",T86&lt;'[1]#REF'!$B$3),"沟通逾期；","")&amp;IF(AND(V86&lt;&gt;"",X86&lt;'[1]#REF'!$B$3,Y86&lt;&gt;"已完成"),"行动逾期；","")&amp;IF(AND(Z86="是",AA86=""),"未填升级对象",""))</f>
        <v/>
      </c>
      <c r="AC86" s="10"/>
    </row>
    <row r="87" spans="1:29">
      <c r="A87" s="9" t="str">
        <f t="shared" si="3"/>
        <v/>
      </c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9" t="str">
        <f t="shared" si="4"/>
        <v/>
      </c>
      <c r="M87" s="10"/>
      <c r="N87" s="10" t="str">
        <f t="shared" si="5"/>
        <v/>
      </c>
      <c r="O87" s="10"/>
      <c r="P87" s="10"/>
      <c r="Q87" s="10"/>
      <c r="R87" s="10"/>
      <c r="S87" s="11"/>
      <c r="T87" s="11"/>
      <c r="U87" s="10"/>
      <c r="V87" s="10"/>
      <c r="W87" s="10"/>
      <c r="X87" s="11"/>
      <c r="Y87" s="10"/>
      <c r="Z87" s="10"/>
      <c r="AA87" s="10"/>
      <c r="AB87" s="9" t="str">
        <f>IF(B87="","",IF(AND(H87="高",OR(J87="抵触",J87="不支持")),"高权力不支持；","")&amp;IF(L87&gt;0,"存在支持差距；","")&amp;IF(AND(T87&lt;&gt;"",T87&lt;'[1]#REF'!$B$3),"沟通逾期；","")&amp;IF(AND(V87&lt;&gt;"",X87&lt;'[1]#REF'!$B$3,Y87&lt;&gt;"已完成"),"行动逾期；","")&amp;IF(AND(Z87="是",AA87=""),"未填升级对象",""))</f>
        <v/>
      </c>
      <c r="AC87" s="10"/>
    </row>
    <row r="88" spans="1:29">
      <c r="A88" s="9" t="str">
        <f t="shared" si="3"/>
        <v/>
      </c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9" t="str">
        <f t="shared" si="4"/>
        <v/>
      </c>
      <c r="M88" s="10"/>
      <c r="N88" s="10" t="str">
        <f t="shared" si="5"/>
        <v/>
      </c>
      <c r="O88" s="10"/>
      <c r="P88" s="10"/>
      <c r="Q88" s="10"/>
      <c r="R88" s="10"/>
      <c r="S88" s="11"/>
      <c r="T88" s="11"/>
      <c r="U88" s="10"/>
      <c r="V88" s="10"/>
      <c r="W88" s="10"/>
      <c r="X88" s="11"/>
      <c r="Y88" s="10"/>
      <c r="Z88" s="10"/>
      <c r="AA88" s="10"/>
      <c r="AB88" s="9" t="str">
        <f>IF(B88="","",IF(AND(H88="高",OR(J88="抵触",J88="不支持")),"高权力不支持；","")&amp;IF(L88&gt;0,"存在支持差距；","")&amp;IF(AND(T88&lt;&gt;"",T88&lt;'[1]#REF'!$B$3),"沟通逾期；","")&amp;IF(AND(V88&lt;&gt;"",X88&lt;'[1]#REF'!$B$3,Y88&lt;&gt;"已完成"),"行动逾期；","")&amp;IF(AND(Z88="是",AA88=""),"未填升级对象",""))</f>
        <v/>
      </c>
      <c r="AC88" s="10"/>
    </row>
    <row r="89" spans="1:29">
      <c r="A89" s="9" t="str">
        <f t="shared" si="3"/>
        <v/>
      </c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9" t="str">
        <f t="shared" si="4"/>
        <v/>
      </c>
      <c r="M89" s="10"/>
      <c r="N89" s="10" t="str">
        <f t="shared" si="5"/>
        <v/>
      </c>
      <c r="O89" s="10"/>
      <c r="P89" s="10"/>
      <c r="Q89" s="10"/>
      <c r="R89" s="10"/>
      <c r="S89" s="11"/>
      <c r="T89" s="11"/>
      <c r="U89" s="10"/>
      <c r="V89" s="10"/>
      <c r="W89" s="10"/>
      <c r="X89" s="11"/>
      <c r="Y89" s="10"/>
      <c r="Z89" s="10"/>
      <c r="AA89" s="10"/>
      <c r="AB89" s="9" t="str">
        <f>IF(B89="","",IF(AND(H89="高",OR(J89="抵触",J89="不支持")),"高权力不支持；","")&amp;IF(L89&gt;0,"存在支持差距；","")&amp;IF(AND(T89&lt;&gt;"",T89&lt;'[1]#REF'!$B$3),"沟通逾期；","")&amp;IF(AND(V89&lt;&gt;"",X89&lt;'[1]#REF'!$B$3,Y89&lt;&gt;"已完成"),"行动逾期；","")&amp;IF(AND(Z89="是",AA89=""),"未填升级对象",""))</f>
        <v/>
      </c>
      <c r="AC89" s="10"/>
    </row>
    <row r="90" spans="1:29">
      <c r="A90" s="9" t="str">
        <f t="shared" si="3"/>
        <v/>
      </c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9" t="str">
        <f t="shared" si="4"/>
        <v/>
      </c>
      <c r="M90" s="10"/>
      <c r="N90" s="10" t="str">
        <f t="shared" si="5"/>
        <v/>
      </c>
      <c r="O90" s="10"/>
      <c r="P90" s="10"/>
      <c r="Q90" s="10"/>
      <c r="R90" s="10"/>
      <c r="S90" s="11"/>
      <c r="T90" s="11"/>
      <c r="U90" s="10"/>
      <c r="V90" s="10"/>
      <c r="W90" s="10"/>
      <c r="X90" s="11"/>
      <c r="Y90" s="10"/>
      <c r="Z90" s="10"/>
      <c r="AA90" s="10"/>
      <c r="AB90" s="9" t="str">
        <f>IF(B90="","",IF(AND(H90="高",OR(J90="抵触",J90="不支持")),"高权力不支持；","")&amp;IF(L90&gt;0,"存在支持差距；","")&amp;IF(AND(T90&lt;&gt;"",T90&lt;'[1]#REF'!$B$3),"沟通逾期；","")&amp;IF(AND(V90&lt;&gt;"",X90&lt;'[1]#REF'!$B$3,Y90&lt;&gt;"已完成"),"行动逾期；","")&amp;IF(AND(Z90="是",AA90=""),"未填升级对象",""))</f>
        <v/>
      </c>
      <c r="AC90" s="10"/>
    </row>
    <row r="91" spans="1:29">
      <c r="A91" s="9" t="str">
        <f t="shared" si="3"/>
        <v/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9" t="str">
        <f t="shared" si="4"/>
        <v/>
      </c>
      <c r="M91" s="10"/>
      <c r="N91" s="10" t="str">
        <f t="shared" si="5"/>
        <v/>
      </c>
      <c r="O91" s="10"/>
      <c r="P91" s="10"/>
      <c r="Q91" s="10"/>
      <c r="R91" s="10"/>
      <c r="S91" s="11"/>
      <c r="T91" s="11"/>
      <c r="U91" s="10"/>
      <c r="V91" s="10"/>
      <c r="W91" s="10"/>
      <c r="X91" s="11"/>
      <c r="Y91" s="10"/>
      <c r="Z91" s="10"/>
      <c r="AA91" s="10"/>
      <c r="AB91" s="9" t="str">
        <f>IF(B91="","",IF(AND(H91="高",OR(J91="抵触",J91="不支持")),"高权力不支持；","")&amp;IF(L91&gt;0,"存在支持差距；","")&amp;IF(AND(T91&lt;&gt;"",T91&lt;'[1]#REF'!$B$3),"沟通逾期；","")&amp;IF(AND(V91&lt;&gt;"",X91&lt;'[1]#REF'!$B$3,Y91&lt;&gt;"已完成"),"行动逾期；","")&amp;IF(AND(Z91="是",AA91=""),"未填升级对象",""))</f>
        <v/>
      </c>
      <c r="AC91" s="10"/>
    </row>
    <row r="92" spans="1:29">
      <c r="A92" s="9" t="str">
        <f t="shared" si="3"/>
        <v/>
      </c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9" t="str">
        <f t="shared" si="4"/>
        <v/>
      </c>
      <c r="M92" s="10"/>
      <c r="N92" s="10" t="str">
        <f t="shared" si="5"/>
        <v/>
      </c>
      <c r="O92" s="10"/>
      <c r="P92" s="10"/>
      <c r="Q92" s="10"/>
      <c r="R92" s="10"/>
      <c r="S92" s="11"/>
      <c r="T92" s="11"/>
      <c r="U92" s="10"/>
      <c r="V92" s="10"/>
      <c r="W92" s="10"/>
      <c r="X92" s="11"/>
      <c r="Y92" s="10"/>
      <c r="Z92" s="10"/>
      <c r="AA92" s="10"/>
      <c r="AB92" s="9" t="str">
        <f>IF(B92="","",IF(AND(H92="高",OR(J92="抵触",J92="不支持")),"高权力不支持；","")&amp;IF(L92&gt;0,"存在支持差距；","")&amp;IF(AND(T92&lt;&gt;"",T92&lt;'[1]#REF'!$B$3),"沟通逾期；","")&amp;IF(AND(V92&lt;&gt;"",X92&lt;'[1]#REF'!$B$3,Y92&lt;&gt;"已完成"),"行动逾期；","")&amp;IF(AND(Z92="是",AA92=""),"未填升级对象",""))</f>
        <v/>
      </c>
      <c r="AC92" s="10"/>
    </row>
    <row r="93" spans="1:29">
      <c r="A93" s="9" t="str">
        <f t="shared" si="3"/>
        <v/>
      </c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9" t="str">
        <f t="shared" si="4"/>
        <v/>
      </c>
      <c r="M93" s="10"/>
      <c r="N93" s="10" t="str">
        <f t="shared" si="5"/>
        <v/>
      </c>
      <c r="O93" s="10"/>
      <c r="P93" s="10"/>
      <c r="Q93" s="10"/>
      <c r="R93" s="10"/>
      <c r="S93" s="11"/>
      <c r="T93" s="11"/>
      <c r="U93" s="10"/>
      <c r="V93" s="10"/>
      <c r="W93" s="10"/>
      <c r="X93" s="11"/>
      <c r="Y93" s="10"/>
      <c r="Z93" s="10"/>
      <c r="AA93" s="10"/>
      <c r="AB93" s="9" t="str">
        <f>IF(B93="","",IF(AND(H93="高",OR(J93="抵触",J93="不支持")),"高权力不支持；","")&amp;IF(L93&gt;0,"存在支持差距；","")&amp;IF(AND(T93&lt;&gt;"",T93&lt;'[1]#REF'!$B$3),"沟通逾期；","")&amp;IF(AND(V93&lt;&gt;"",X93&lt;'[1]#REF'!$B$3,Y93&lt;&gt;"已完成"),"行动逾期；","")&amp;IF(AND(Z93="是",AA93=""),"未填升级对象",""))</f>
        <v/>
      </c>
      <c r="AC93" s="10"/>
    </row>
    <row r="94" spans="1:29">
      <c r="A94" s="9" t="str">
        <f t="shared" si="3"/>
        <v/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9" t="str">
        <f t="shared" si="4"/>
        <v/>
      </c>
      <c r="M94" s="10"/>
      <c r="N94" s="10" t="str">
        <f t="shared" si="5"/>
        <v/>
      </c>
      <c r="O94" s="10"/>
      <c r="P94" s="10"/>
      <c r="Q94" s="10"/>
      <c r="R94" s="10"/>
      <c r="S94" s="11"/>
      <c r="T94" s="11"/>
      <c r="U94" s="10"/>
      <c r="V94" s="10"/>
      <c r="W94" s="10"/>
      <c r="X94" s="11"/>
      <c r="Y94" s="10"/>
      <c r="Z94" s="10"/>
      <c r="AA94" s="10"/>
      <c r="AB94" s="9" t="str">
        <f>IF(B94="","",IF(AND(H94="高",OR(J94="抵触",J94="不支持")),"高权力不支持；","")&amp;IF(L94&gt;0,"存在支持差距；","")&amp;IF(AND(T94&lt;&gt;"",T94&lt;'[1]#REF'!$B$3),"沟通逾期；","")&amp;IF(AND(V94&lt;&gt;"",X94&lt;'[1]#REF'!$B$3,Y94&lt;&gt;"已完成"),"行动逾期；","")&amp;IF(AND(Z94="是",AA94=""),"未填升级对象",""))</f>
        <v/>
      </c>
      <c r="AC94" s="10"/>
    </row>
    <row r="95" spans="1:29">
      <c r="A95" s="9" t="str">
        <f t="shared" si="3"/>
        <v/>
      </c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9" t="str">
        <f t="shared" si="4"/>
        <v/>
      </c>
      <c r="M95" s="10"/>
      <c r="N95" s="10" t="str">
        <f t="shared" si="5"/>
        <v/>
      </c>
      <c r="O95" s="10"/>
      <c r="P95" s="10"/>
      <c r="Q95" s="10"/>
      <c r="R95" s="10"/>
      <c r="S95" s="11"/>
      <c r="T95" s="11"/>
      <c r="U95" s="10"/>
      <c r="V95" s="10"/>
      <c r="W95" s="10"/>
      <c r="X95" s="11"/>
      <c r="Y95" s="10"/>
      <c r="Z95" s="10"/>
      <c r="AA95" s="10"/>
      <c r="AB95" s="9" t="str">
        <f>IF(B95="","",IF(AND(H95="高",OR(J95="抵触",J95="不支持")),"高权力不支持；","")&amp;IF(L95&gt;0,"存在支持差距；","")&amp;IF(AND(T95&lt;&gt;"",T95&lt;'[1]#REF'!$B$3),"沟通逾期；","")&amp;IF(AND(V95&lt;&gt;"",X95&lt;'[1]#REF'!$B$3,Y95&lt;&gt;"已完成"),"行动逾期；","")&amp;IF(AND(Z95="是",AA95=""),"未填升级对象",""))</f>
        <v/>
      </c>
      <c r="AC95" s="10"/>
    </row>
    <row r="96" spans="1:29">
      <c r="A96" s="9" t="str">
        <f t="shared" si="3"/>
        <v/>
      </c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9" t="str">
        <f t="shared" si="4"/>
        <v/>
      </c>
      <c r="M96" s="10"/>
      <c r="N96" s="10" t="str">
        <f t="shared" si="5"/>
        <v/>
      </c>
      <c r="O96" s="10"/>
      <c r="P96" s="10"/>
      <c r="Q96" s="10"/>
      <c r="R96" s="10"/>
      <c r="S96" s="11"/>
      <c r="T96" s="11"/>
      <c r="U96" s="10"/>
      <c r="V96" s="10"/>
      <c r="W96" s="10"/>
      <c r="X96" s="11"/>
      <c r="Y96" s="10"/>
      <c r="Z96" s="10"/>
      <c r="AA96" s="10"/>
      <c r="AB96" s="9" t="str">
        <f>IF(B96="","",IF(AND(H96="高",OR(J96="抵触",J96="不支持")),"高权力不支持；","")&amp;IF(L96&gt;0,"存在支持差距；","")&amp;IF(AND(T96&lt;&gt;"",T96&lt;'[1]#REF'!$B$3),"沟通逾期；","")&amp;IF(AND(V96&lt;&gt;"",X96&lt;'[1]#REF'!$B$3,Y96&lt;&gt;"已完成"),"行动逾期；","")&amp;IF(AND(Z96="是",AA96=""),"未填升级对象",""))</f>
        <v/>
      </c>
      <c r="AC96" s="10"/>
    </row>
    <row r="97" spans="1:29">
      <c r="A97" s="9" t="str">
        <f t="shared" si="3"/>
        <v/>
      </c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9" t="str">
        <f t="shared" si="4"/>
        <v/>
      </c>
      <c r="M97" s="10"/>
      <c r="N97" s="10" t="str">
        <f t="shared" si="5"/>
        <v/>
      </c>
      <c r="O97" s="10"/>
      <c r="P97" s="10"/>
      <c r="Q97" s="10"/>
      <c r="R97" s="10"/>
      <c r="S97" s="11"/>
      <c r="T97" s="11"/>
      <c r="U97" s="10"/>
      <c r="V97" s="10"/>
      <c r="W97" s="10"/>
      <c r="X97" s="11"/>
      <c r="Y97" s="10"/>
      <c r="Z97" s="10"/>
      <c r="AA97" s="10"/>
      <c r="AB97" s="9" t="str">
        <f>IF(B97="","",IF(AND(H97="高",OR(J97="抵触",J97="不支持")),"高权力不支持；","")&amp;IF(L97&gt;0,"存在支持差距；","")&amp;IF(AND(T97&lt;&gt;"",T97&lt;'[1]#REF'!$B$3),"沟通逾期；","")&amp;IF(AND(V97&lt;&gt;"",X97&lt;'[1]#REF'!$B$3,Y97&lt;&gt;"已完成"),"行动逾期；","")&amp;IF(AND(Z97="是",AA97=""),"未填升级对象",""))</f>
        <v/>
      </c>
      <c r="AC97" s="10"/>
    </row>
    <row r="98" spans="1:29">
      <c r="A98" s="9" t="str">
        <f t="shared" si="3"/>
        <v/>
      </c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9" t="str">
        <f t="shared" si="4"/>
        <v/>
      </c>
      <c r="M98" s="10"/>
      <c r="N98" s="10" t="str">
        <f t="shared" si="5"/>
        <v/>
      </c>
      <c r="O98" s="10"/>
      <c r="P98" s="10"/>
      <c r="Q98" s="10"/>
      <c r="R98" s="10"/>
      <c r="S98" s="11"/>
      <c r="T98" s="11"/>
      <c r="U98" s="10"/>
      <c r="V98" s="10"/>
      <c r="W98" s="10"/>
      <c r="X98" s="11"/>
      <c r="Y98" s="10"/>
      <c r="Z98" s="10"/>
      <c r="AA98" s="10"/>
      <c r="AB98" s="9" t="str">
        <f>IF(B98="","",IF(AND(H98="高",OR(J98="抵触",J98="不支持")),"高权力不支持；","")&amp;IF(L98&gt;0,"存在支持差距；","")&amp;IF(AND(T98&lt;&gt;"",T98&lt;'[1]#REF'!$B$3),"沟通逾期；","")&amp;IF(AND(V98&lt;&gt;"",X98&lt;'[1]#REF'!$B$3,Y98&lt;&gt;"已完成"),"行动逾期；","")&amp;IF(AND(Z98="是",AA98=""),"未填升级对象",""))</f>
        <v/>
      </c>
      <c r="AC98" s="10"/>
    </row>
    <row r="99" spans="1:29">
      <c r="A99" s="9" t="str">
        <f t="shared" si="3"/>
        <v/>
      </c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9" t="str">
        <f t="shared" si="4"/>
        <v/>
      </c>
      <c r="M99" s="10"/>
      <c r="N99" s="10" t="str">
        <f t="shared" si="5"/>
        <v/>
      </c>
      <c r="O99" s="10"/>
      <c r="P99" s="10"/>
      <c r="Q99" s="10"/>
      <c r="R99" s="10"/>
      <c r="S99" s="11"/>
      <c r="T99" s="11"/>
      <c r="U99" s="10"/>
      <c r="V99" s="10"/>
      <c r="W99" s="10"/>
      <c r="X99" s="11"/>
      <c r="Y99" s="10"/>
      <c r="Z99" s="10"/>
      <c r="AA99" s="10"/>
      <c r="AB99" s="9" t="str">
        <f>IF(B99="","",IF(AND(H99="高",OR(J99="抵触",J99="不支持")),"高权力不支持；","")&amp;IF(L99&gt;0,"存在支持差距；","")&amp;IF(AND(T99&lt;&gt;"",T99&lt;'[1]#REF'!$B$3),"沟通逾期；","")&amp;IF(AND(V99&lt;&gt;"",X99&lt;'[1]#REF'!$B$3,Y99&lt;&gt;"已完成"),"行动逾期；","")&amp;IF(AND(Z99="是",AA99=""),"未填升级对象",""))</f>
        <v/>
      </c>
      <c r="AC99" s="10"/>
    </row>
    <row r="100" spans="1:29">
      <c r="A100" s="9" t="str">
        <f t="shared" si="3"/>
        <v/>
      </c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9" t="str">
        <f t="shared" si="4"/>
        <v/>
      </c>
      <c r="M100" s="10"/>
      <c r="N100" s="10" t="str">
        <f t="shared" si="5"/>
        <v/>
      </c>
      <c r="O100" s="10"/>
      <c r="P100" s="10"/>
      <c r="Q100" s="10"/>
      <c r="R100" s="10"/>
      <c r="S100" s="11"/>
      <c r="T100" s="11"/>
      <c r="U100" s="10"/>
      <c r="V100" s="10"/>
      <c r="W100" s="10"/>
      <c r="X100" s="11"/>
      <c r="Y100" s="10"/>
      <c r="Z100" s="10"/>
      <c r="AA100" s="10"/>
      <c r="AB100" s="9" t="str">
        <f>IF(B100="","",IF(AND(H100="高",OR(J100="抵触",J100="不支持")),"高权力不支持；","")&amp;IF(L100&gt;0,"存在支持差距；","")&amp;IF(AND(T100&lt;&gt;"",T100&lt;'[1]#REF'!$B$3),"沟通逾期；","")&amp;IF(AND(V100&lt;&gt;"",X100&lt;'[1]#REF'!$B$3,Y100&lt;&gt;"已完成"),"行动逾期；","")&amp;IF(AND(Z100="是",AA100=""),"未填升级对象",""))</f>
        <v/>
      </c>
      <c r="AC100" s="10"/>
    </row>
    <row r="101" spans="1:29">
      <c r="A101" s="9" t="str">
        <f t="shared" si="3"/>
        <v/>
      </c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9" t="str">
        <f t="shared" si="4"/>
        <v/>
      </c>
      <c r="M101" s="10"/>
      <c r="N101" s="10" t="str">
        <f t="shared" si="5"/>
        <v/>
      </c>
      <c r="O101" s="10"/>
      <c r="P101" s="10"/>
      <c r="Q101" s="10"/>
      <c r="R101" s="10"/>
      <c r="S101" s="11"/>
      <c r="T101" s="11"/>
      <c r="U101" s="10"/>
      <c r="V101" s="10"/>
      <c r="W101" s="10"/>
      <c r="X101" s="11"/>
      <c r="Y101" s="10"/>
      <c r="Z101" s="10"/>
      <c r="AA101" s="10"/>
      <c r="AB101" s="9" t="str">
        <f>IF(B101="","",IF(AND(H101="高",OR(J101="抵触",J101="不支持")),"高权力不支持；","")&amp;IF(L101&gt;0,"存在支持差距；","")&amp;IF(AND(T101&lt;&gt;"",T101&lt;'[1]#REF'!$B$3),"沟通逾期；","")&amp;IF(AND(V101&lt;&gt;"",X101&lt;'[1]#REF'!$B$3,Y101&lt;&gt;"已完成"),"行动逾期；","")&amp;IF(AND(Z101="是",AA101=""),"未填升级对象",""))</f>
        <v/>
      </c>
      <c r="AC101" s="10"/>
    </row>
    <row r="102" spans="1:29">
      <c r="A102" s="9" t="str">
        <f t="shared" si="3"/>
        <v/>
      </c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9" t="str">
        <f t="shared" si="4"/>
        <v/>
      </c>
      <c r="M102" s="10"/>
      <c r="N102" s="10" t="str">
        <f t="shared" si="5"/>
        <v/>
      </c>
      <c r="O102" s="10"/>
      <c r="P102" s="10"/>
      <c r="Q102" s="10"/>
      <c r="R102" s="10"/>
      <c r="S102" s="11"/>
      <c r="T102" s="11"/>
      <c r="U102" s="10"/>
      <c r="V102" s="10"/>
      <c r="W102" s="10"/>
      <c r="X102" s="11"/>
      <c r="Y102" s="10"/>
      <c r="Z102" s="10"/>
      <c r="AA102" s="10"/>
      <c r="AB102" s="9" t="str">
        <f>IF(B102="","",IF(AND(H102="高",OR(J102="抵触",J102="不支持")),"高权力不支持；","")&amp;IF(L102&gt;0,"存在支持差距；","")&amp;IF(AND(T102&lt;&gt;"",T102&lt;'[1]#REF'!$B$3),"沟通逾期；","")&amp;IF(AND(V102&lt;&gt;"",X102&lt;'[1]#REF'!$B$3,Y102&lt;&gt;"已完成"),"行动逾期；","")&amp;IF(AND(Z102="是",AA102=""),"未填升级对象",""))</f>
        <v/>
      </c>
      <c r="AC102" s="10"/>
    </row>
    <row r="103" spans="1:29">
      <c r="A103" s="9" t="str">
        <f t="shared" si="3"/>
        <v/>
      </c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9" t="str">
        <f t="shared" si="4"/>
        <v/>
      </c>
      <c r="M103" s="10"/>
      <c r="N103" s="10" t="str">
        <f t="shared" si="5"/>
        <v/>
      </c>
      <c r="O103" s="10"/>
      <c r="P103" s="10"/>
      <c r="Q103" s="10"/>
      <c r="R103" s="10"/>
      <c r="S103" s="11"/>
      <c r="T103" s="11"/>
      <c r="U103" s="10"/>
      <c r="V103" s="10"/>
      <c r="W103" s="10"/>
      <c r="X103" s="11"/>
      <c r="Y103" s="10"/>
      <c r="Z103" s="10"/>
      <c r="AA103" s="10"/>
      <c r="AB103" s="9" t="str">
        <f>IF(B103="","",IF(AND(H103="高",OR(J103="抵触",J103="不支持")),"高权力不支持；","")&amp;IF(L103&gt;0,"存在支持差距；","")&amp;IF(AND(T103&lt;&gt;"",T103&lt;'[1]#REF'!$B$3),"沟通逾期；","")&amp;IF(AND(V103&lt;&gt;"",X103&lt;'[1]#REF'!$B$3,Y103&lt;&gt;"已完成"),"行动逾期；","")&amp;IF(AND(Z103="是",AA103=""),"未填升级对象",""))</f>
        <v/>
      </c>
      <c r="AC103" s="10"/>
    </row>
    <row r="104" spans="1:29">
      <c r="A104" s="9" t="str">
        <f t="shared" si="3"/>
        <v/>
      </c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9" t="str">
        <f t="shared" si="4"/>
        <v/>
      </c>
      <c r="M104" s="10"/>
      <c r="N104" s="10" t="str">
        <f t="shared" si="5"/>
        <v/>
      </c>
      <c r="O104" s="10"/>
      <c r="P104" s="10"/>
      <c r="Q104" s="10"/>
      <c r="R104" s="10"/>
      <c r="S104" s="11"/>
      <c r="T104" s="11"/>
      <c r="U104" s="10"/>
      <c r="V104" s="10"/>
      <c r="W104" s="10"/>
      <c r="X104" s="11"/>
      <c r="Y104" s="10"/>
      <c r="Z104" s="10"/>
      <c r="AA104" s="10"/>
      <c r="AB104" s="9" t="str">
        <f>IF(B104="","",IF(AND(H104="高",OR(J104="抵触",J104="不支持")),"高权力不支持；","")&amp;IF(L104&gt;0,"存在支持差距；","")&amp;IF(AND(T104&lt;&gt;"",T104&lt;'[1]#REF'!$B$3),"沟通逾期；","")&amp;IF(AND(V104&lt;&gt;"",X104&lt;'[1]#REF'!$B$3,Y104&lt;&gt;"已完成"),"行动逾期；","")&amp;IF(AND(Z104="是",AA104=""),"未填升级对象",""))</f>
        <v/>
      </c>
      <c r="AC104" s="10"/>
    </row>
    <row r="105" spans="1:29">
      <c r="A105" s="9" t="str">
        <f t="shared" si="3"/>
        <v/>
      </c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9" t="str">
        <f t="shared" si="4"/>
        <v/>
      </c>
      <c r="M105" s="10"/>
      <c r="N105" s="10" t="str">
        <f t="shared" si="5"/>
        <v/>
      </c>
      <c r="O105" s="10"/>
      <c r="P105" s="10"/>
      <c r="Q105" s="10"/>
      <c r="R105" s="10"/>
      <c r="S105" s="11"/>
      <c r="T105" s="11"/>
      <c r="U105" s="10"/>
      <c r="V105" s="10"/>
      <c r="W105" s="10"/>
      <c r="X105" s="11"/>
      <c r="Y105" s="10"/>
      <c r="Z105" s="10"/>
      <c r="AA105" s="10"/>
      <c r="AB105" s="9" t="str">
        <f>IF(B105="","",IF(AND(H105="高",OR(J105="抵触",J105="不支持")),"高权力不支持；","")&amp;IF(L105&gt;0,"存在支持差距；","")&amp;IF(AND(T105&lt;&gt;"",T105&lt;'[1]#REF'!$B$3),"沟通逾期；","")&amp;IF(AND(V105&lt;&gt;"",X105&lt;'[1]#REF'!$B$3,Y105&lt;&gt;"已完成"),"行动逾期；","")&amp;IF(AND(Z105="是",AA105=""),"未填升级对象",""))</f>
        <v/>
      </c>
      <c r="AC105" s="10"/>
    </row>
    <row r="106" spans="1:29">
      <c r="A106" s="9" t="str">
        <f t="shared" si="3"/>
        <v/>
      </c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9" t="str">
        <f t="shared" si="4"/>
        <v/>
      </c>
      <c r="M106" s="10"/>
      <c r="N106" s="10" t="str">
        <f t="shared" si="5"/>
        <v/>
      </c>
      <c r="O106" s="10"/>
      <c r="P106" s="10"/>
      <c r="Q106" s="10"/>
      <c r="R106" s="10"/>
      <c r="S106" s="11"/>
      <c r="T106" s="11"/>
      <c r="U106" s="10"/>
      <c r="V106" s="10"/>
      <c r="W106" s="10"/>
      <c r="X106" s="11"/>
      <c r="Y106" s="10"/>
      <c r="Z106" s="10"/>
      <c r="AA106" s="10"/>
      <c r="AB106" s="9" t="str">
        <f>IF(B106="","",IF(AND(H106="高",OR(J106="抵触",J106="不支持")),"高权力不支持；","")&amp;IF(L106&gt;0,"存在支持差距；","")&amp;IF(AND(T106&lt;&gt;"",T106&lt;'[1]#REF'!$B$3),"沟通逾期；","")&amp;IF(AND(V106&lt;&gt;"",X106&lt;'[1]#REF'!$B$3,Y106&lt;&gt;"已完成"),"行动逾期；","")&amp;IF(AND(Z106="是",AA106=""),"未填升级对象",""))</f>
        <v/>
      </c>
      <c r="AC106" s="10"/>
    </row>
    <row r="107" spans="1:29">
      <c r="A107" s="9" t="str">
        <f t="shared" si="3"/>
        <v/>
      </c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9" t="str">
        <f t="shared" si="4"/>
        <v/>
      </c>
      <c r="M107" s="10"/>
      <c r="N107" s="10" t="str">
        <f t="shared" si="5"/>
        <v/>
      </c>
      <c r="O107" s="10"/>
      <c r="P107" s="10"/>
      <c r="Q107" s="10"/>
      <c r="R107" s="10"/>
      <c r="S107" s="11"/>
      <c r="T107" s="11"/>
      <c r="U107" s="10"/>
      <c r="V107" s="10"/>
      <c r="W107" s="10"/>
      <c r="X107" s="11"/>
      <c r="Y107" s="10"/>
      <c r="Z107" s="10"/>
      <c r="AA107" s="10"/>
      <c r="AB107" s="9" t="str">
        <f>IF(B107="","",IF(AND(H107="高",OR(J107="抵触",J107="不支持")),"高权力不支持；","")&amp;IF(L107&gt;0,"存在支持差距；","")&amp;IF(AND(T107&lt;&gt;"",T107&lt;'[1]#REF'!$B$3),"沟通逾期；","")&amp;IF(AND(V107&lt;&gt;"",X107&lt;'[1]#REF'!$B$3,Y107&lt;&gt;"已完成"),"行动逾期；","")&amp;IF(AND(Z107="是",AA107=""),"未填升级对象",""))</f>
        <v/>
      </c>
      <c r="AC107" s="10"/>
    </row>
    <row r="108" spans="1:29">
      <c r="A108" s="9" t="str">
        <f t="shared" si="3"/>
        <v/>
      </c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9" t="str">
        <f t="shared" si="4"/>
        <v/>
      </c>
      <c r="M108" s="10"/>
      <c r="N108" s="10" t="str">
        <f t="shared" si="5"/>
        <v/>
      </c>
      <c r="O108" s="10"/>
      <c r="P108" s="10"/>
      <c r="Q108" s="10"/>
      <c r="R108" s="10"/>
      <c r="S108" s="11"/>
      <c r="T108" s="11"/>
      <c r="U108" s="10"/>
      <c r="V108" s="10"/>
      <c r="W108" s="10"/>
      <c r="X108" s="11"/>
      <c r="Y108" s="10"/>
      <c r="Z108" s="10"/>
      <c r="AA108" s="10"/>
      <c r="AB108" s="9" t="str">
        <f>IF(B108="","",IF(AND(H108="高",OR(J108="抵触",J108="不支持")),"高权力不支持；","")&amp;IF(L108&gt;0,"存在支持差距；","")&amp;IF(AND(T108&lt;&gt;"",T108&lt;'[1]#REF'!$B$3),"沟通逾期；","")&amp;IF(AND(V108&lt;&gt;"",X108&lt;'[1]#REF'!$B$3,Y108&lt;&gt;"已完成"),"行动逾期；","")&amp;IF(AND(Z108="是",AA108=""),"未填升级对象",""))</f>
        <v/>
      </c>
      <c r="AC108" s="10"/>
    </row>
  </sheetData>
  <autoFilter xmlns:etc="http://www.wps.cn/officeDocument/2017/etCustomData" ref="A8:AC108" etc:filterBottomFollowUsedRange="0">
    <extLst/>
  </autoFilter>
  <mergeCells count="18">
    <mergeCell ref="A1:AC1"/>
    <mergeCell ref="A2:AC2"/>
    <mergeCell ref="A4:C4"/>
    <mergeCell ref="D4:F4"/>
    <mergeCell ref="G4:I4"/>
    <mergeCell ref="J4:L4"/>
    <mergeCell ref="M4:O4"/>
    <mergeCell ref="P4:R4"/>
    <mergeCell ref="S4:U4"/>
    <mergeCell ref="V4:X4"/>
    <mergeCell ref="A5:C5"/>
    <mergeCell ref="D5:F5"/>
    <mergeCell ref="G5:I5"/>
    <mergeCell ref="J5:L5"/>
    <mergeCell ref="M5:O5"/>
    <mergeCell ref="P5:R5"/>
    <mergeCell ref="S5:U5"/>
    <mergeCell ref="V5:X5"/>
  </mergeCells>
  <dataValidations count="8">
    <dataValidation type="list" allowBlank="1" sqref="E9:E108">
      <formula1>"决策方,业务方,建设方,使用方,监管方,供应商"</formula1>
    </dataValidation>
    <dataValidation type="list" allowBlank="1" sqref="M9:M108">
      <formula1>"正向,中性,负向"</formula1>
    </dataValidation>
    <dataValidation type="list" allowBlank="1" sqref="O9:O108">
      <formula1>"会议,周报,专题汇报,邮件,即时沟通"</formula1>
    </dataValidation>
    <dataValidation type="list" allowBlank="1" sqref="P9:P108">
      <formula1>"随时,每周,双周,每月,里程碑"</formula1>
    </dataValidation>
    <dataValidation type="list" allowBlank="1" sqref="Y9:Y108">
      <formula1>"未开始,进行中,已完成,暂停"</formula1>
    </dataValidation>
    <dataValidation type="list" allowBlank="1" sqref="Z9:Z108">
      <formula1>"是,否"</formula1>
    </dataValidation>
    <dataValidation type="list" allowBlank="1" sqref="H9:I108">
      <formula1>"高,中,低"</formula1>
    </dataValidation>
    <dataValidation type="list" allowBlank="1" sqref="J9:K108">
      <formula1>"抵触,不支持,中立,支持,积极推动"</formula1>
    </dataValidation>
  </dataValidations>
  <pageMargins left="0.75" right="0.75" top="1" bottom="1" header="0.5" footer="0.5"/>
  <pageSetup paperSize="1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1" sqref="A1"/>
    </sheetView>
  </sheetViews>
  <sheetFormatPr defaultColWidth="9" defaultRowHeight="16.8" outlineLevelRow="5" outlineLevelCol="1"/>
  <sheetData>
    <row r="1" spans="1:2">
      <c r="A1" t="s">
        <v>40</v>
      </c>
      <c r="B1" t="s">
        <v>41</v>
      </c>
    </row>
    <row r="2" spans="1:2">
      <c r="A2" t="s">
        <v>42</v>
      </c>
      <c r="B2" t="s">
        <v>43</v>
      </c>
    </row>
    <row r="3" spans="1:2">
      <c r="A3" t="s">
        <v>44</v>
      </c>
      <c r="B3" t="s">
        <v>45</v>
      </c>
    </row>
    <row r="4" spans="1:2">
      <c r="A4" t="s">
        <v>46</v>
      </c>
      <c r="B4" t="s">
        <v>47</v>
      </c>
    </row>
    <row r="5" spans="1:2">
      <c r="A5" t="s">
        <v>48</v>
      </c>
      <c r="B5" t="s">
        <v>49</v>
      </c>
    </row>
    <row r="6" spans="1:2">
      <c r="A6" t="s">
        <v>50</v>
      </c>
      <c r="B6" t="s">
        <v>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相关方管理</vt:lpstr>
      <vt:lpstr>_数据接口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zlyyh</cp:lastModifiedBy>
  <dcterms:created xsi:type="dcterms:W3CDTF">2026-09-16T08:44:00Z</dcterms:created>
  <dcterms:modified xsi:type="dcterms:W3CDTF">2026-09-16T13:53:08Z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EBB22970A4C9AC6AC42EAA6A20DBF45F_42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
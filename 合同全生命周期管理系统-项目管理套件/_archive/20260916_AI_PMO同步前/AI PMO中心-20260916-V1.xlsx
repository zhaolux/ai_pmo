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驾驶舱" sheetId="1" state="visible" r:id="rId1"/>
    <sheet xmlns:r="http://schemas.openxmlformats.org/officeDocument/2006/relationships" name="AI项目诊断" sheetId="2" state="visible" r:id="rId2"/>
    <sheet xmlns:r="http://schemas.openxmlformats.org/officeDocument/2006/relationships" name="数据质量检查" sheetId="3" state="visible" r:id="rId3"/>
    <sheet xmlns:r="http://schemas.openxmlformats.org/officeDocument/2006/relationships" name="两周督办" sheetId="4" state="visible" r:id="rId4"/>
    <sheet xmlns:r="http://schemas.openxmlformats.org/officeDocument/2006/relationships" name="PMO周报" sheetId="5" state="visible" r:id="rId5"/>
    <sheet xmlns:r="http://schemas.openxmlformats.org/officeDocument/2006/relationships" name="AI运行日志" sheetId="6" state="visible" r:id="rId6"/>
    <sheet xmlns:r="http://schemas.openxmlformats.org/officeDocument/2006/relationships" name="_数据接口" sheetId="7" state="hidden" r:id="rId7"/>
  </sheets>
  <definedNames>
    <definedName name="_xlnm._FilterDatabase" localSheetId="2" hidden="1">'数据质量检查'!$A$4:$J$149</definedName>
    <definedName name="_xlnm._FilterDatabase" localSheetId="3" hidden="1">'两周督办'!$A$4:$M$149</definedName>
    <definedName name="_xlnm._FilterDatabase" localSheetId="5" hidden="1">'AI运行日志'!$A$4:$L$104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\-mm\-dd"/>
    <numFmt numFmtId="166" formatCode="0.0"/>
    <numFmt numFmtId="167" formatCode="\¥#,##0"/>
    <numFmt numFmtId="168" formatCode="yyyy\-mm\-dd\ hh:mm"/>
  </numFmts>
  <fonts count="16">
    <font>
      <name val="Calibri"/>
      <family val="2"/>
      <color theme="1"/>
      <sz val="11"/>
      <scheme val="minor"/>
    </font>
    <font>
      <name val="Carlito"/>
      <charset val="134"/>
      <b val="1"/>
      <color rgb="FFFFFFFF"/>
      <sz val="11"/>
    </font>
    <font>
      <name val="Carlito"/>
      <charset val="134"/>
      <sz val="11"/>
    </font>
    <font>
      <name val="Carlito"/>
      <charset val="134"/>
      <b val="1"/>
      <color rgb="FF17365D"/>
      <sz val="11"/>
    </font>
    <font>
      <name val="Carlito"/>
      <charset val="134"/>
      <b val="1"/>
      <color rgb="FFFFFFFF"/>
      <sz val="10"/>
    </font>
    <font>
      <name val="Carlito"/>
      <charset val="134"/>
      <b val="1"/>
      <color rgb="FF17365D"/>
      <sz val="14"/>
    </font>
    <font>
      <name val="Carlito"/>
      <charset val="134"/>
      <color rgb="FF1F2937"/>
      <sz val="11"/>
    </font>
    <font>
      <name val="Carlito"/>
      <charset val="134"/>
      <b val="1"/>
      <color rgb="FF17365D"/>
      <sz val="10"/>
    </font>
    <font>
      <name val="Carlito"/>
      <charset val="134"/>
      <color rgb="FF1F2937"/>
      <sz val="10"/>
    </font>
    <font>
      <name val="Carlito"/>
      <charset val="134"/>
      <b val="1"/>
      <color rgb="FF17365D"/>
      <sz val="15"/>
    </font>
    <font>
      <name val="Carlito"/>
      <charset val="134"/>
      <i val="1"/>
      <color rgb="FF6B7280"/>
      <sz val="9"/>
    </font>
    <font>
      <name val="Carlito"/>
      <charset val="134"/>
      <b val="1"/>
      <color rgb="FF17365D"/>
      <sz val="16"/>
    </font>
    <font>
      <name val="Carlito"/>
      <charset val="134"/>
      <i val="1"/>
      <color rgb="FF5B6573"/>
      <sz val="10"/>
    </font>
    <font>
      <name val="Carlito"/>
      <charset val="134"/>
      <color rgb="FF5B6573"/>
      <sz val="10"/>
    </font>
    <font>
      <name val="Carlito"/>
      <charset val="134"/>
      <b val="1"/>
      <color rgb="FF17365D"/>
      <sz val="18"/>
    </font>
    <font>
      <name val="Carlito"/>
      <charset val="134"/>
      <b val="1"/>
      <color rgb="FF17365D"/>
      <sz val="12"/>
    </font>
  </fonts>
  <fills count="10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1" pivotButton="0" quotePrefix="0" xfId="0"/>
    <xf numFmtId="165" fontId="3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9" fontId="6" fillId="0" borderId="1" applyAlignment="1" pivotButton="0" quotePrefix="0" xfId="0">
      <alignment vertical="center"/>
    </xf>
    <xf numFmtId="0" fontId="6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/>
    </xf>
    <xf numFmtId="0" fontId="7" fillId="6" borderId="1" pivotButton="0" quotePrefix="0" xfId="0"/>
    <xf numFmtId="167" fontId="8" fillId="7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/>
    </xf>
    <xf numFmtId="167" fontId="8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0" fontId="3" fillId="3" borderId="10" pivotButton="0" quotePrefix="0" xfId="0"/>
    <xf numFmtId="0" fontId="1" fillId="2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2" fillId="0" borderId="1" pivotButton="0" quotePrefix="0" xfId="0"/>
    <xf numFmtId="165" fontId="2" fillId="0" borderId="1" pivotButton="0" quotePrefix="0" xfId="0"/>
    <xf numFmtId="0" fontId="2" fillId="7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3" fillId="0" borderId="1" pivotButton="0" quotePrefix="0" xfId="0"/>
    <xf numFmtId="165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9" fontId="8" fillId="0" borderId="1" applyAlignment="1" pivotButton="0" quotePrefix="0" xfId="0">
      <alignment vertical="top" wrapText="1"/>
    </xf>
    <xf numFmtId="168" fontId="8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rich>
      </tx>
      <layout/>
      <overlay val="0"/>
    </title>
    <plotArea>
      <layout/>
      <doughnutChart>
        <varyColors val="1"/>
        <ser>
          <idx val="0"/>
          <order val="0"/>
          <tx>
            <strRef>
              <f>"任务数"</f>
              <strCache>
                <ptCount val="1"/>
                <pt idx="0">
                  <v>任务数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explosion val="0"/>
          <dPt>
            <idx val="0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Lbls>
            <delete val="1"/>
          </dLbls>
          <cat>
            <strRef>
              <f>项目驾驶舱!$A$10:$A$13</f>
              <strCache>
                <ptCount val="4"/>
                <pt idx="0">
                  <v>已完成</v>
                </pt>
                <pt idx="1">
                  <v>进行中</v>
                </pt>
                <pt idx="2">
                  <v>未开始</v>
                </pt>
                <pt idx="3">
                  <v>暂停</v>
                </pt>
              </strCache>
            </strRef>
          </cat>
          <val>
            <numRef>
              <f>项目驾驶舱!$B$10:$B$13</f>
              <numCache>
                <formatCode>General</formatCode>
                <ptCount val="4"/>
                <pt idx="0">
                  <v>73</v>
                </pt>
                <pt idx="1">
                  <v>23</v>
                </pt>
                <pt idx="2">
                  <v>43</v>
                </pt>
                <pt idx="3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1"/>
      </doughnutChart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"任务数"</f>
              <strCache>
                <ptCount val="1"/>
                <pt idx="0">
                  <v>任务数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项目驾驶舱!$D$10:$D$12</f>
              <strCache>
                <ptCount val="3"/>
                <pt idx="0">
                  <v>第一批次</v>
                </pt>
                <pt idx="1">
                  <v>第二批次</v>
                </pt>
                <pt idx="2">
                  <v>其他</v>
                </pt>
              </strCache>
            </strRef>
          </cat>
          <val>
            <numRef>
              <f>项目驾驶舱!$E$10:$E$12</f>
              <numCache>
                <formatCode>General</formatCode>
                <ptCount val="3"/>
                <pt idx="0">
                  <v>61</v>
                </pt>
                <pt idx="1">
                  <v>78</v>
                </pt>
                <pt idx="2">
                  <v>6</v>
                </pt>
              </numCache>
            </numRef>
          </val>
        </ser>
        <ser>
          <idx val="1"/>
          <order val="1"/>
          <tx>
            <strRef>
              <f>"已完成"</f>
              <strCache>
                <ptCount val="1"/>
                <pt idx="0">
                  <v>已完成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0"/>
          <dLbls>
            <delete val="1"/>
          </dLbls>
          <cat>
            <strRef>
              <f>项目驾驶舱!$D$10:$D$12</f>
              <strCache>
                <ptCount val="3"/>
                <pt idx="0">
                  <v>第一批次</v>
                </pt>
                <pt idx="1">
                  <v>第二批次</v>
                </pt>
                <pt idx="2">
                  <v>其他</v>
                </pt>
              </strCache>
            </strRef>
          </cat>
          <val>
            <numRef>
              <f>项目驾驶舱!$F$10:$F$12</f>
              <numCache>
                <formatCode>General</formatCode>
                <ptCount val="3"/>
                <pt idx="0">
                  <v>57</v>
                </pt>
                <pt idx="1">
                  <v>16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/>
            </a:r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健康状态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AI项目诊断!$I$14</f>
              <strCache>
                <ptCount val="1"/>
                <pt idx="0">
                  <v>数量</v>
                </pt>
              </strCache>
            </strRef>
          </tx>
          <spPr>
            <a:ln xmlns:a="http://schemas.openxmlformats.org/drawingml/2006/main" w="12700">
              <a:solidFill>
                <a:schemeClr val="lt1"/>
              </a:solidFill>
              <a:prstDash val="solid"/>
              <a:round/>
            </a:ln>
          </spPr>
          <invertIfNegative val="0"/>
          <dLbls>
            <delete val="1"/>
          </dLbls>
          <cat>
            <strRef>
              <f>AI项目诊断!$H$15:$H$18</f>
              <strCache>
                <ptCount val="4"/>
                <pt idx="0">
                  <v>绿</v>
                </pt>
                <pt idx="1">
                  <v>黄</v>
                </pt>
                <pt idx="2">
                  <v>红</v>
                </pt>
                <pt idx="3">
                  <v>灰</v>
                </pt>
              </strCache>
            </strRef>
          </cat>
          <val>
            <numRef>
              <f>AI项目诊断!$I$15:$I$18</f>
              <numCache>
                <formatCode>General</formatCode>
                <ptCount val="4"/>
                <pt idx="0">
                  <v>3</v>
                </pt>
                <pt idx="1">
                  <v>0</v>
                </pt>
                <pt idx="2">
                  <v>3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维度数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8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21</row>
      <rowOff>0</rowOff>
    </from>
    <to>
      <col>8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7</col>
      <colOff>0</colOff>
      <row>19</row>
      <rowOff>0</rowOff>
    </from>
    <ext cx="3600000" cy="2629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ColWidth="9" defaultRowHeight="16.8"/>
  <cols>
    <col width="14" customWidth="1" min="1" max="1"/>
    <col width="12" customWidth="1" min="2" max="2"/>
    <col width="14" customWidth="1" min="4" max="4"/>
    <col width="12" customWidth="1" min="5" max="5"/>
    <col width="18" customWidth="1" min="10" max="10"/>
    <col width="14" customWidth="1" min="11" max="11"/>
    <col width="8.97058823529412" customWidth="1" min="12" max="12"/>
    <col width="18" customWidth="1" min="13" max="13"/>
    <col width="16" customWidth="1" min="14" max="14"/>
  </cols>
  <sheetData>
    <row r="1" ht="34" customHeight="1">
      <c r="A1" s="1" t="inlineStr">
        <is>
          <t>华能交易中心港口交易平台｜项目管理驾驶舱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/>
    <row r="3">
      <c r="A3" s="4" t="inlineStr">
        <is>
          <t>统计日期</t>
        </is>
      </c>
      <c r="B3" s="5" t="n">
        <v>46276</v>
      </c>
    </row>
    <row r="4"/>
    <row r="5" ht="30" customHeight="1">
      <c r="A5" s="6" t="inlineStr">
        <is>
          <t>总任务数</t>
        </is>
      </c>
      <c r="B5" s="6" t="inlineStr">
        <is>
          <t>已完成</t>
        </is>
      </c>
      <c r="C5" s="6" t="inlineStr">
        <is>
          <t>进行中</t>
        </is>
      </c>
      <c r="D5" s="6" t="inlineStr">
        <is>
          <t>未开始</t>
        </is>
      </c>
      <c r="E5" s="6" t="inlineStr">
        <is>
          <t>暂停</t>
        </is>
      </c>
      <c r="F5" s="6" t="inlineStr">
        <is>
          <t>平均进度</t>
        </is>
      </c>
      <c r="G5" s="6" t="inlineStr">
        <is>
          <t>已延期</t>
        </is>
      </c>
      <c r="H5" s="6" t="inlineStr">
        <is>
          <t>临近到期</t>
        </is>
      </c>
      <c r="I5" s="6" t="inlineStr">
        <is>
          <t>高风险</t>
        </is>
      </c>
      <c r="J5" s="6" t="inlineStr">
        <is>
          <t>未关闭问题</t>
        </is>
      </c>
      <c r="K5" s="6" t="inlineStr">
        <is>
          <t>待决变更</t>
        </is>
      </c>
      <c r="L5" s="6" t="inlineStr">
        <is>
          <t>里程碑达成</t>
        </is>
      </c>
      <c r="M5" s="6" t="inlineStr">
        <is>
          <t>集成完成</t>
        </is>
      </c>
      <c r="N5" s="6" t="inlineStr">
        <is>
          <t>交付物完成</t>
        </is>
      </c>
    </row>
    <row r="6" ht="42" customHeight="1">
      <c r="A6" s="7">
        <f>COUNTA(项目总控台账!$A$4:$A$203)</f>
        <v/>
      </c>
      <c r="B6" s="7">
        <f>COUNTIF(项目总控台账!$G$4:$G$203,"已完成")</f>
        <v/>
      </c>
      <c r="C6" s="7">
        <f>COUNTIF(项目总控台账!$G$4:$G$203,"进行中")</f>
        <v/>
      </c>
      <c r="D6" s="7">
        <f>COUNTIF(项目总控台账!$G$4:$G$203,"未开始")</f>
        <v/>
      </c>
      <c r="E6" s="7">
        <f>COUNTIF(项目总控台账!$G$4:$G$203,"暂停")</f>
        <v/>
      </c>
      <c r="F6" s="8">
        <f>AVERAGE(项目总控台账!$AB$4:$AB$203)</f>
        <v/>
      </c>
      <c r="G6" s="7">
        <f>COUNTIF(项目总控台账!$AC$4:$AC$203,"已延期")</f>
        <v/>
      </c>
      <c r="H6" s="7">
        <f>COUNTIF(项目总控台账!$AC$4:$AC$203,"临近到期")</f>
        <v/>
      </c>
      <c r="I6" s="7">
        <f>COUNTIFS(风险问题台账!$D$4:$D$103,"高",风险问题台账!$K$4:$K$103,"&lt;&gt;已关闭")</f>
        <v/>
      </c>
      <c r="J6" s="7">
        <f>COUNTIF(风险问题台账!$K$4:$K$103,"处理中")+COUNTIF(风险问题台账!$K$4:$K$103,"待处理")</f>
        <v/>
      </c>
      <c r="K6" s="7">
        <f>COUNTIF(变更台账!$G$4:$G$53,"评估中")+COUNTIF(变更台账!$G$4:$G$53,"待审批")</f>
        <v/>
      </c>
      <c r="L6" s="8">
        <f>IFERROR(COUNTIF(里程碑计划!$G$4:$G$23,"已完成")/COUNTA(里程碑计划!$A$4:$A$23),0)</f>
        <v/>
      </c>
      <c r="M6" s="8">
        <f>IFERROR(COUNTIF(集成管理!$G$4:$G$53,"已完成")/COUNTA(集成管理!$A$4:$A$53),0)</f>
        <v/>
      </c>
      <c r="N6" s="8">
        <f>IFERROR(COUNTIF(交付物台账!$G$4:$G$53,"已完成")/COUNTA(交付物台账!$A$4:$A$53),0)</f>
        <v/>
      </c>
    </row>
    <row r="7" ht="24" customHeight="1">
      <c r="A7" s="9" t="inlineStr">
        <is>
          <t>综合进度</t>
        </is>
      </c>
      <c r="B7" s="2" t="n"/>
      <c r="C7" s="3" t="n"/>
      <c r="D7" s="9" t="inlineStr">
        <is>
          <t>任务完成率</t>
        </is>
      </c>
      <c r="E7" s="2" t="n"/>
      <c r="F7" s="3" t="n"/>
      <c r="G7" s="9" t="inlineStr">
        <is>
          <t>计划投入人天</t>
        </is>
      </c>
      <c r="H7" s="2" t="n"/>
      <c r="I7" s="3" t="n"/>
      <c r="J7" s="9" t="inlineStr">
        <is>
          <t>计划人工成本</t>
        </is>
      </c>
      <c r="K7" s="2" t="n"/>
      <c r="L7" s="3" t="n"/>
      <c r="M7" s="9" t="inlineStr">
        <is>
          <t>人日单价</t>
        </is>
      </c>
      <c r="N7" s="3" t="n"/>
    </row>
    <row r="8" ht="30" customHeight="1">
      <c r="A8" s="10">
        <f>AVERAGE(项目总控台账!$AB$4:$AB$148)</f>
        <v/>
      </c>
      <c r="B8" s="2" t="n"/>
      <c r="C8" s="3" t="n"/>
      <c r="D8" s="10">
        <f>COUNTIF(项目总控台账!$G$4:$G$148,"已完成")/COUNTIF(项目总控台账!$A$4:$A$148,"&lt;&gt;")</f>
        <v/>
      </c>
      <c r="E8" s="2" t="n"/>
      <c r="F8" s="3" t="n"/>
      <c r="G8" s="11">
        <f>SUM(资源计划!$H$5:$H$10)/8</f>
        <v/>
      </c>
      <c r="H8" s="2" t="n"/>
      <c r="I8" s="3" t="n"/>
      <c r="J8" s="12">
        <f>G8*M8</f>
        <v/>
      </c>
      <c r="K8" s="2" t="n"/>
      <c r="L8" s="3" t="n"/>
      <c r="M8" s="13" t="n">
        <v>1200</v>
      </c>
      <c r="N8" s="3" t="n"/>
    </row>
    <row r="9" ht="30" customHeight="1">
      <c r="A9" s="6" t="inlineStr">
        <is>
          <t>状态</t>
        </is>
      </c>
      <c r="B9" s="6" t="inlineStr">
        <is>
          <t>任务数</t>
        </is>
      </c>
      <c r="D9" s="6" t="inlineStr">
        <is>
          <t>批次</t>
        </is>
      </c>
      <c r="E9" s="6" t="inlineStr">
        <is>
          <t>任务数</t>
        </is>
      </c>
      <c r="F9" s="6" t="inlineStr">
        <is>
          <t>已完成</t>
        </is>
      </c>
      <c r="G9" s="6" t="inlineStr">
        <is>
          <t>完成率</t>
        </is>
      </c>
    </row>
    <row r="10">
      <c r="A10" s="14" t="inlineStr">
        <is>
          <t>已完成</t>
        </is>
      </c>
      <c r="B10" s="14">
        <f>B6</f>
        <v/>
      </c>
      <c r="D10" s="14" t="inlineStr">
        <is>
          <t>第一批次</t>
        </is>
      </c>
      <c r="E10" s="14">
        <f>COUNTIF(项目总控台账!$F$4:$F$203,D10)</f>
        <v/>
      </c>
      <c r="F10" s="14">
        <f>COUNTIFS(项目总控台账!$F$4:$F$203,D10,项目总控台账!$G$4:$G$203,"已完成")</f>
        <v/>
      </c>
      <c r="G10" s="15">
        <f>IFERROR(F10/E10,0)</f>
        <v/>
      </c>
    </row>
    <row r="11">
      <c r="A11" s="14" t="inlineStr">
        <is>
          <t>进行中</t>
        </is>
      </c>
      <c r="B11" s="14">
        <f>C6</f>
        <v/>
      </c>
      <c r="D11" s="14" t="inlineStr">
        <is>
          <t>第二批次</t>
        </is>
      </c>
      <c r="E11" s="14">
        <f>COUNTIF(项目总控台账!$F$4:$F$203,D11)</f>
        <v/>
      </c>
      <c r="F11" s="14">
        <f>COUNTIFS(项目总控台账!$F$4:$F$203,D11,项目总控台账!$G$4:$G$203,"已完成")</f>
        <v/>
      </c>
      <c r="G11" s="15">
        <f>IFERROR(F11/E11,0)</f>
        <v/>
      </c>
    </row>
    <row r="12">
      <c r="A12" s="14" t="inlineStr">
        <is>
          <t>未开始</t>
        </is>
      </c>
      <c r="B12" s="14">
        <f>D6</f>
        <v/>
      </c>
      <c r="D12" s="14" t="inlineStr">
        <is>
          <t>其他</t>
        </is>
      </c>
      <c r="E12" s="14">
        <f>$A$6-E10-E11</f>
        <v/>
      </c>
      <c r="F12" s="14">
        <f>$B$6-F10-F11</f>
        <v/>
      </c>
      <c r="G12" s="15">
        <f>IFERROR(F12/E12,0)</f>
        <v/>
      </c>
    </row>
    <row r="13">
      <c r="A13" s="14" t="inlineStr">
        <is>
          <t>暂停</t>
        </is>
      </c>
      <c r="B13" s="14">
        <f>E6</f>
        <v/>
      </c>
    </row>
    <row r="14"/>
    <row r="15"/>
    <row r="16">
      <c r="A16" s="4" t="inlineStr">
        <is>
          <t>管理关注点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>
      <c r="A17" s="16">
        <f>"截至 "&amp;TEXT($B$3,"yyyy-mm-dd")&amp;"：延期任务 "&amp;G6&amp;" 项，临近到期 "&amp;H6&amp;" 项，高风险 "&amp;I6&amp;" 项。建议优先处理外部系统集成依赖、第二批次未启动任务及无明确上线日期的功能。"</f>
        <v/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8" t="n"/>
    </row>
    <row r="18">
      <c r="A18" s="19" t="n"/>
      <c r="N18" s="20" t="n"/>
    </row>
    <row r="19">
      <c r="A19" s="19" t="n"/>
      <c r="N19" s="20" t="n"/>
    </row>
    <row r="20">
      <c r="A20" s="2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3" t="n"/>
    </row>
    <row r="21"/>
    <row r="22" ht="17.6" customHeight="1">
      <c r="A22" s="24" t="inlineStr">
        <is>
          <t>相关方管理</t>
        </is>
      </c>
    </row>
    <row r="23">
      <c r="A23" s="25" t="inlineStr">
        <is>
          <t>重点管理：</t>
        </is>
      </c>
      <c r="B23" s="2" t="n"/>
      <c r="C23" s="3" t="n"/>
      <c r="D23" s="25" t="inlineStr">
        <is>
          <t>当前不支持：</t>
        </is>
      </c>
      <c r="E23" s="2" t="n"/>
      <c r="F23" s="3" t="n"/>
      <c r="G23" s="25" t="inlineStr">
        <is>
          <t>沟通逾期：</t>
        </is>
      </c>
      <c r="H23" s="2" t="n"/>
      <c r="I23" s="3" t="n"/>
      <c r="J23" s="25" t="inlineStr">
        <is>
          <t>待升级事项：</t>
        </is>
      </c>
      <c r="K23" s="2" t="n"/>
      <c r="L23" s="3" t="n"/>
      <c r="M23" s="26" t="n"/>
      <c r="N23" s="27" t="n"/>
    </row>
    <row r="24" ht="22" customHeight="1">
      <c r="A24" s="28">
        <f>COUNTIFS(相关方管理!$B$9:$B$108,"&lt;&gt;",相关方管理!$N$9:$N$108,"重点管理")</f>
        <v/>
      </c>
      <c r="B24" s="2" t="n"/>
      <c r="C24" s="3" t="n"/>
      <c r="D24" s="28">
        <f>COUNTIFS(相关方管理!$B$9:$B$108,"&lt;&gt;",相关方管理!$J$9:$J$108,"抵触")+COUNTIFS(相关方管理!$B$9:$B$108,"&lt;&gt;",相关方管理!$J$9:$J$108,"不支持")</f>
        <v/>
      </c>
      <c r="E24" s="2" t="n"/>
      <c r="F24" s="3" t="n"/>
      <c r="G24" s="28">
        <f>COUNTIFS(相关方管理!$B$9:$B$108,"&lt;&gt;",相关方管理!$T$9:$T$108,"&lt;"&amp;$B$3,相关方管理!$T$9:$T$108,"&lt;&gt;")</f>
        <v/>
      </c>
      <c r="H24" s="2" t="n"/>
      <c r="I24" s="3" t="n"/>
      <c r="J24" s="28">
        <f>COUNTIFS(相关方管理!$B$9:$B$108,"&lt;&gt;",相关方管理!$Z$9:$Z$108,"是")</f>
        <v/>
      </c>
      <c r="K24" s="2" t="n"/>
      <c r="L24" s="3" t="n"/>
      <c r="M24" s="26" t="n"/>
      <c r="N24" s="29" t="n"/>
    </row>
    <row r="25">
      <c r="J25" s="26" t="n"/>
      <c r="K25" s="30" t="n"/>
      <c r="M25" s="26" t="n"/>
      <c r="N25" s="29" t="n"/>
    </row>
    <row r="26">
      <c r="A26" s="31" t="inlineStr">
        <is>
          <t>风险管理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3" t="n"/>
    </row>
    <row r="27">
      <c r="A27" s="32" t="inlineStr">
        <is>
          <t>重大剩余风险</t>
        </is>
      </c>
      <c r="B27" s="2" t="n"/>
      <c r="C27" s="3" t="n"/>
      <c r="D27" s="32" t="inlineStr">
        <is>
          <t>高剩余风险</t>
        </is>
      </c>
      <c r="E27" s="2" t="n"/>
      <c r="F27" s="3" t="n"/>
      <c r="G27" s="32" t="inlineStr">
        <is>
          <t>应对逾期</t>
        </is>
      </c>
      <c r="H27" s="2" t="n"/>
      <c r="I27" s="3" t="n"/>
      <c r="J27" s="32" t="inlineStr">
        <is>
          <t>趋势上升</t>
        </is>
      </c>
      <c r="K27" s="2" t="n"/>
      <c r="L27" s="3" t="n"/>
      <c r="M27" s="26" t="n"/>
      <c r="N27" s="29" t="n"/>
    </row>
    <row r="28" ht="22" customHeight="1">
      <c r="A28" s="28">
        <f>COUNTIFS(风险登记册!$B$9:$B$108,"&lt;&gt;",风险登记册!$AH$9:$AH$108,"重大")</f>
        <v/>
      </c>
      <c r="B28" s="2" t="n"/>
      <c r="C28" s="3" t="n"/>
      <c r="D28" s="28">
        <f>COUNTIFS(风险登记册!$B$9:$B$108,"&lt;&gt;",风险登记册!$AH$9:$AH$108,"高")</f>
        <v/>
      </c>
      <c r="E28" s="2" t="n"/>
      <c r="F28" s="3" t="n"/>
      <c r="G28" s="28">
        <f>COUNTIFS(风险应对计划!$B$5:$B$104,"&lt;&gt;",风险应对计划!$Q$5:$Q$104,"是")</f>
        <v/>
      </c>
      <c r="H28" s="2" t="n"/>
      <c r="I28" s="3" t="n"/>
      <c r="J28" s="28">
        <f>COUNTIFS(风险登记册!$B$9:$B$108,"&lt;&gt;",风险登记册!$AI$9:$AI$108,"上升")</f>
        <v/>
      </c>
      <c r="K28" s="2" t="n"/>
      <c r="L28" s="3" t="n"/>
    </row>
    <row r="29" ht="30" customHeight="1">
      <c r="J29" s="33" t="n"/>
    </row>
  </sheetData>
  <mergeCells count="31">
    <mergeCell ref="J24:L24"/>
    <mergeCell ref="D27:F27"/>
    <mergeCell ref="G28:I28"/>
    <mergeCell ref="J27:L27"/>
    <mergeCell ref="A27:C27"/>
    <mergeCell ref="D7:F7"/>
    <mergeCell ref="A1:N1"/>
    <mergeCell ref="J7:L7"/>
    <mergeCell ref="G24:I24"/>
    <mergeCell ref="D28:F28"/>
    <mergeCell ref="A17:N20"/>
    <mergeCell ref="A23:C23"/>
    <mergeCell ref="A8:C8"/>
    <mergeCell ref="A16:N16"/>
    <mergeCell ref="D8:F8"/>
    <mergeCell ref="D24:F24"/>
    <mergeCell ref="A28:C28"/>
    <mergeCell ref="M7:N7"/>
    <mergeCell ref="D23:F23"/>
    <mergeCell ref="A26:N26"/>
    <mergeCell ref="J23:L23"/>
    <mergeCell ref="J8:L8"/>
    <mergeCell ref="A24:C24"/>
    <mergeCell ref="M8:N8"/>
    <mergeCell ref="A22:N22"/>
    <mergeCell ref="G27:I27"/>
    <mergeCell ref="J28:L28"/>
    <mergeCell ref="G23:I23"/>
    <mergeCell ref="G8:I8"/>
    <mergeCell ref="A7:C7"/>
    <mergeCell ref="G7:I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5" customWidth="1" min="1" max="1"/>
    <col width="12" customWidth="1" min="2" max="2"/>
    <col width="24" customWidth="1" min="3" max="3"/>
    <col width="26" customWidth="1" min="4" max="4"/>
    <col width="32" customWidth="1" min="5" max="5"/>
    <col width="16" customWidth="1" min="6" max="6"/>
    <col width="3" customWidth="1" min="7" max="7"/>
    <col width="14" customWidth="1" min="8" max="8"/>
    <col width="12" customWidth="1" min="9" max="9"/>
  </cols>
  <sheetData>
    <row r="1" ht="28" customHeight="1">
      <c r="A1" s="34" t="inlineStr">
        <is>
          <t>AI项目诊断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35" t="inlineStr">
        <is>
          <t>数据日期引用“项目驾驶舱”B3；红黄绿由客观规则计算，管理判断由项目经理确认。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</row>
    <row r="4">
      <c r="A4" s="36" t="inlineStr">
        <is>
          <t>数据日期</t>
        </is>
      </c>
      <c r="B4" s="37">
        <f>项目驾驶舱!B3</f>
        <v/>
      </c>
      <c r="D4" s="36" t="inlineStr">
        <is>
          <t>项目经理判断</t>
        </is>
      </c>
      <c r="E4" s="38" t="inlineStr">
        <is>
          <t>待确认</t>
        </is>
      </c>
      <c r="G4" s="36" t="inlineStr">
        <is>
          <t>判断说明</t>
        </is>
      </c>
      <c r="H4" s="38" t="inlineStr">
        <is>
          <t>根据诊断指标补充总体判断、最大失控点和需要的支持。</t>
        </is>
      </c>
      <c r="I4" s="2" t="n"/>
      <c r="J4" s="2" t="n"/>
      <c r="K4" s="2" t="n"/>
      <c r="L4" s="3" t="n"/>
    </row>
    <row r="5"/>
    <row r="6">
      <c r="A6" s="39" t="inlineStr">
        <is>
          <t>任务总数</t>
        </is>
      </c>
      <c r="B6" s="3" t="n"/>
      <c r="D6" s="39" t="inlineStr">
        <is>
          <t>已完成任务</t>
        </is>
      </c>
      <c r="E6" s="3" t="n"/>
      <c r="G6" s="39" t="inlineStr">
        <is>
          <t>逾期任务</t>
        </is>
      </c>
      <c r="H6" s="3" t="n"/>
      <c r="J6" s="39" t="inlineStr">
        <is>
          <t>未来14天到期</t>
        </is>
      </c>
      <c r="K6" s="3" t="n"/>
    </row>
    <row r="7" ht="26" customHeight="1">
      <c r="A7" s="40">
        <f>COUNTIF(项目总控台账!$A$4:$A$148,"&lt;&gt;")</f>
        <v/>
      </c>
      <c r="B7" s="3" t="n"/>
      <c r="D7" s="40">
        <f>COUNTIF(项目总控台账!$G$4:$G$148,"已完成")</f>
        <v/>
      </c>
      <c r="E7" s="3" t="n"/>
      <c r="G7" s="40">
        <f>COUNTIF(项目总控台账!$AC$4:$AC$148,"已延期")+COUNTIF(项目总控台账!$AC$4:$AC$148,"延期")</f>
        <v/>
      </c>
      <c r="H7" s="3" t="n"/>
      <c r="J7" s="40">
        <f>COUNTIFS(项目总控台账!$J$4:$J$148,"&gt;="&amp;项目驾驶舱!$B$3,项目总控台账!$J$4:$J$148,"&lt;="&amp;项目驾驶舱!$B$3+14,项目总控台账!$G$4:$G$148,"&lt;&gt;已完成")</f>
        <v/>
      </c>
      <c r="K7" s="3" t="n"/>
    </row>
    <row r="8"/>
    <row r="9">
      <c r="A9" s="39" t="inlineStr">
        <is>
          <t>未关闭高风险</t>
        </is>
      </c>
      <c r="B9" s="3" t="n"/>
      <c r="D9" s="39" t="inlineStr">
        <is>
          <t>逾期风险/问题</t>
        </is>
      </c>
      <c r="E9" s="3" t="n"/>
      <c r="G9" s="39" t="inlineStr">
        <is>
          <t>逾期行动项</t>
        </is>
      </c>
      <c r="H9" s="3" t="n"/>
      <c r="J9" s="39" t="inlineStr">
        <is>
          <t>数据质量问题</t>
        </is>
      </c>
      <c r="K9" s="3" t="n"/>
    </row>
    <row r="10" ht="26" customHeight="1">
      <c r="A10" s="40">
        <f>COUNTIFS(风险问题台账!$D$4:$D$102,"高",风险问题台账!$K$4:$K$102,"&lt;&gt;已关闭")</f>
        <v/>
      </c>
      <c r="B10" s="3" t="n"/>
      <c r="D10" s="40">
        <f>COUNTIF(风险问题台账!$M$4:$M$102,"是")</f>
        <v/>
      </c>
      <c r="E10" s="3" t="n"/>
      <c r="G10" s="40">
        <f>COUNTIFS(会议行动项!$J$4:$J$102,"&gt;0",会议行动项!$H$4:$H$102,"&lt;&gt;已完成")</f>
        <v/>
      </c>
      <c r="H10" s="3" t="n"/>
      <c r="J10" s="40">
        <f>COUNTIF(数据质量检查!$H$5:$H$149,"需整改")</f>
        <v/>
      </c>
      <c r="K10" s="3" t="n"/>
    </row>
    <row r="11"/>
    <row r="12"/>
    <row r="13" ht="17.6" customHeight="1">
      <c r="A13" s="41" t="inlineStr">
        <is>
          <t>项目健康规则</t>
        </is>
      </c>
      <c r="H13" s="41" t="inlineStr">
        <is>
          <t>状态分布</t>
        </is>
      </c>
    </row>
    <row r="14" ht="28" customHeight="1">
      <c r="A14" s="42" t="inlineStr">
        <is>
          <t>维度</t>
        </is>
      </c>
      <c r="B14" s="42" t="inlineStr">
        <is>
          <t>状态</t>
        </is>
      </c>
      <c r="C14" s="42" t="inlineStr">
        <is>
          <t>客观判断</t>
        </is>
      </c>
      <c r="D14" s="42" t="inlineStr">
        <is>
          <t>触发规则</t>
        </is>
      </c>
      <c r="E14" s="42" t="inlineStr">
        <is>
          <t>建议动作</t>
        </is>
      </c>
      <c r="F14" s="42" t="inlineStr">
        <is>
          <t>责任角色</t>
        </is>
      </c>
      <c r="H14" s="43" t="inlineStr">
        <is>
          <t>状态</t>
        </is>
      </c>
      <c r="I14" s="43" t="inlineStr">
        <is>
          <t>数量</t>
        </is>
      </c>
    </row>
    <row r="15">
      <c r="A15" s="44" t="inlineStr">
        <is>
          <t>进度</t>
        </is>
      </c>
      <c r="B15" s="44">
        <f>IF(COUNTIF(项目总控台账!$AC$4:$AC$148,"*延期*")&gt;=5,"红",IF(OR(COUNTIF(项目总控台账!$AC$4:$AC$148,"*延期*")&gt;0,COUNTIF(项目总控台账!$G$4:$G$148,"暂停")&gt;0),"黄","绿"))</f>
        <v/>
      </c>
      <c r="C15" s="44">
        <f>COUNTIF(项目总控台账!$AC$4:$AC$148,"*延期*")&amp;"项任务延期；"&amp;COUNTIF(项目总控台账!$G$4:$G$148,"暂停")&amp;"项任务暂停"</f>
        <v/>
      </c>
      <c r="D15" s="44" t="inlineStr">
        <is>
          <t>延期≥5红；有延期或暂停黄；否则绿</t>
        </is>
      </c>
      <c r="E15" s="44" t="inlineStr">
        <is>
          <t>确认关键路径、暂停原因和恢复条件</t>
        </is>
      </c>
      <c r="F15" s="44" t="inlineStr">
        <is>
          <t>项目经理</t>
        </is>
      </c>
      <c r="H15" s="36" t="inlineStr">
        <is>
          <t>绿</t>
        </is>
      </c>
      <c r="I15" s="36">
        <f>COUNTIF($B$15:$B$20,H15)</f>
        <v/>
      </c>
    </row>
    <row r="16">
      <c r="A16" s="44" t="inlineStr">
        <is>
          <t>风险</t>
        </is>
      </c>
      <c r="B16" s="44">
        <f>IF(COUNTIFS(风险问题台账!$D$4:$D$102,"高",风险问题台账!$K$4:$K$102,"&lt;&gt;已关闭")&gt;=3,"红",IF(COUNTIFS(风险问题台账!$D$4:$D$102,"高",风险问题台账!$K$4:$K$102,"&lt;&gt;已关闭")&gt;0,"黄","绿"))</f>
        <v/>
      </c>
      <c r="C16" s="44">
        <f>COUNTIFS(风险问题台账!$D$4:$D$102,"高",风险问题台账!$K$4:$K$102,"&lt;&gt;已关闭")&amp;"项高风险未关闭"</f>
        <v/>
      </c>
      <c r="D16" s="44" t="inlineStr">
        <is>
          <t>高风险≥3红；1-2黄；0绿</t>
        </is>
      </c>
      <c r="E16" s="44" t="inlineStr">
        <is>
          <t>逐项落实责任人和关闭证据</t>
        </is>
      </c>
      <c r="F16" s="44" t="inlineStr">
        <is>
          <t>风险责任人</t>
        </is>
      </c>
      <c r="H16" s="36" t="inlineStr">
        <is>
          <t>黄</t>
        </is>
      </c>
      <c r="I16" s="36">
        <f>COUNTIF($B$15:$B$20,H16)</f>
        <v/>
      </c>
    </row>
    <row r="17">
      <c r="A17" s="44" t="inlineStr">
        <is>
          <t>行动</t>
        </is>
      </c>
      <c r="B17" s="44">
        <f>IF(COUNTIFS(会议行动项!$J$4:$J$102,"&gt;7",会议行动项!$H$4:$H$102,"&lt;&gt;已完成")&gt;0,"红",IF(COUNTIFS(会议行动项!$J$4:$J$102,"&gt;0",会议行动项!$H$4:$H$102,"&lt;&gt;已完成")&gt;0,"黄","绿"))</f>
        <v/>
      </c>
      <c r="C17" s="44">
        <f>COUNTIFS(会议行动项!$J$4:$J$102,"&gt;0",会议行动项!$H$4:$H$102,"&lt;&gt;已完成")&amp;"项行动逾期"</f>
        <v/>
      </c>
      <c r="D17" s="44" t="inlineStr">
        <is>
          <t>逾期&gt;7天红；有逾期黄；无逾期绿</t>
        </is>
      </c>
      <c r="E17" s="44" t="inlineStr">
        <is>
          <t>升级逾期事项并确认新承诺</t>
        </is>
      </c>
      <c r="F17" s="44" t="inlineStr">
        <is>
          <t>PMO</t>
        </is>
      </c>
      <c r="H17" s="36" t="inlineStr">
        <is>
          <t>红</t>
        </is>
      </c>
      <c r="I17" s="36">
        <f>COUNTIF($B$15:$B$20,H17)</f>
        <v/>
      </c>
    </row>
    <row r="18">
      <c r="A18" s="44" t="inlineStr">
        <is>
          <t>数据</t>
        </is>
      </c>
      <c r="B18" s="44">
        <f>IF(COUNTIF(数据质量检查!$H$5:$H$149,"需整改")&gt;=10,"红",IF(COUNTIF(数据质量检查!$H$5:$H$149,"需整改")&gt;0,"黄","绿"))</f>
        <v/>
      </c>
      <c r="C18" s="44">
        <f>COUNTIF(数据质量检查!$H$5:$H$149,"需整改")&amp;"条数据需整改"</f>
        <v/>
      </c>
      <c r="D18" s="44" t="inlineStr">
        <is>
          <t>缺陷≥10红；1-9黄；0绿</t>
        </is>
      </c>
      <c r="E18" s="44" t="inlineStr">
        <is>
          <t>补齐责任人、日期和状态</t>
        </is>
      </c>
      <c r="F18" s="44" t="inlineStr">
        <is>
          <t>台账维护人</t>
        </is>
      </c>
      <c r="H18" s="36" t="inlineStr">
        <is>
          <t>灰</t>
        </is>
      </c>
      <c r="I18" s="36">
        <f>COUNTIF($B$15:$B$20,H18)</f>
        <v/>
      </c>
    </row>
    <row r="19" ht="31" customHeight="1">
      <c r="A19" s="44" t="inlineStr">
        <is>
          <t>相关方</t>
        </is>
      </c>
      <c r="B19" s="44">
        <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f>
        <v/>
      </c>
      <c r="C19" s="44">
        <f>COUNTIFS(相关方管理!$L$9:$L$108,"&gt;0")&amp;"人存在支持差距；"&amp;COUNTIFS(相关方管理!$Z$9:$Z$108,"是")&amp;"项需升级"</f>
        <v/>
      </c>
      <c r="D19" s="44" t="inlineStr">
        <is>
          <t>高权力不支持红；存在支持差距或沟通逾期黄；否则绿</t>
        </is>
      </c>
      <c r="E19" s="44" t="inlineStr">
        <is>
          <t>确认诉求、沟通计划、责任人和升级路径</t>
        </is>
      </c>
      <c r="F19" s="44" t="inlineStr">
        <is>
          <t>项目经理</t>
        </is>
      </c>
    </row>
    <row r="20" ht="34" customHeight="1">
      <c r="A20" s="45" t="inlineStr">
        <is>
          <t>风险治理</t>
        </is>
      </c>
      <c r="B20" s="45">
        <f>IF(COUNTIFS(风险登记册!$AH$9:$AH$108,"重大")&gt;0,"红",IF(COUNTIFS(风险登记册!$AH$9:$AH$108,"高")+COUNTIFS(风险应对计划!$Q$5:$Q$104,"是")&gt;0,"黄","绿"))</f>
        <v/>
      </c>
      <c r="C20" s="45">
        <f>COUNTIFS(风险登记册!$AH$9:$AH$108,"重大")&amp;"项重大剩余风险；"&amp;COUNTIFS(风险应对计划!$Q$5:$Q$104,"是")&amp;"项应对逾期"</f>
        <v/>
      </c>
      <c r="D20" s="45" t="inlineStr">
        <is>
          <t>有重大剩余风险红；有高风险或应对逾期黄；否则绿</t>
        </is>
      </c>
      <c r="E20" s="45" t="inlineStr">
        <is>
          <t>确认重大风险决策、应对责任和关闭证据</t>
        </is>
      </c>
      <c r="F20" s="45" t="inlineStr">
        <is>
          <t>PMO</t>
        </is>
      </c>
    </row>
  </sheetData>
  <mergeCells count="19">
    <mergeCell ref="D10:E10"/>
    <mergeCell ref="J10:K10"/>
    <mergeCell ref="H4:L4"/>
    <mergeCell ref="A6:B6"/>
    <mergeCell ref="J9:K9"/>
    <mergeCell ref="D6:E6"/>
    <mergeCell ref="A2:L2"/>
    <mergeCell ref="A7:B7"/>
    <mergeCell ref="G7:H7"/>
    <mergeCell ref="J6:K6"/>
    <mergeCell ref="G10:H10"/>
    <mergeCell ref="G6:H6"/>
    <mergeCell ref="D7:E7"/>
    <mergeCell ref="J7:K7"/>
    <mergeCell ref="D9:E9"/>
    <mergeCell ref="A1:L1"/>
    <mergeCell ref="A10:B10"/>
    <mergeCell ref="A9:B9"/>
    <mergeCell ref="G9:H9"/>
  </mergeCells>
  <pageMargins left="0.75" right="0.75" top="1" bottom="1" header="0.5" footer="0.5"/>
  <pageSetup orientation="landscape" paperSize="1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J1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6" customWidth="1" min="1" max="1"/>
    <col width="12" customWidth="1" min="2" max="2"/>
    <col width="28" customWidth="1" min="3" max="3"/>
    <col width="16" customWidth="1" min="4" max="4"/>
    <col width="13" customWidth="1" min="5" max="5"/>
    <col width="38" customWidth="1" min="7" max="7"/>
    <col width="12" customWidth="1" min="8" max="8"/>
    <col width="32" customWidth="1" min="9" max="9"/>
    <col width="10" customWidth="1" min="10" max="10"/>
  </cols>
  <sheetData>
    <row r="1" ht="28" customHeight="1">
      <c r="A1" s="34" t="inlineStr">
        <is>
          <t>数据质量检查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35" t="inlineStr">
        <is>
          <t>逐条检查项目总控台账中的关键管理字段。状态为“需整改”的记录应在源台账中修正。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</row>
    <row r="4" ht="28" customHeight="1">
      <c r="A4" s="42" t="inlineStr">
        <is>
          <t>来源</t>
        </is>
      </c>
      <c r="B4" s="42" t="inlineStr">
        <is>
          <t>记录ID</t>
        </is>
      </c>
      <c r="C4" s="42" t="inlineStr">
        <is>
          <t>任务名称</t>
        </is>
      </c>
      <c r="D4" s="42" t="inlineStr">
        <is>
          <t>责任人</t>
        </is>
      </c>
      <c r="E4" s="42" t="inlineStr">
        <is>
          <t>计划开始</t>
        </is>
      </c>
      <c r="F4" s="42" t="inlineStr">
        <is>
          <t>计划完成</t>
        </is>
      </c>
      <c r="G4" s="42" t="inlineStr">
        <is>
          <t>发现的问题</t>
        </is>
      </c>
      <c r="H4" s="42" t="inlineStr">
        <is>
          <t>检查状态</t>
        </is>
      </c>
      <c r="I4" s="42" t="inlineStr">
        <is>
          <t>建议动作</t>
        </is>
      </c>
      <c r="J4" s="42" t="inlineStr">
        <is>
          <t>源行号</t>
        </is>
      </c>
    </row>
    <row r="5">
      <c r="A5" s="44" t="inlineStr">
        <is>
          <t>项目总控台账</t>
        </is>
      </c>
      <c r="B5" s="44">
        <f>项目总控台账!A4</f>
        <v/>
      </c>
      <c r="C5" s="44">
        <f>IF(AND(项目总控台账!E4&lt;&gt;"",项目总控台账!E4&lt;&gt;"/"),项目总控台账!E4,IF(AND(项目总控台账!D4&lt;&gt;"",项目总控台账!D4&lt;&gt;"/"),项目总控台账!D4,项目总控台账!C4))</f>
        <v/>
      </c>
      <c r="D5" s="44">
        <f>项目总控台账!H4</f>
        <v/>
      </c>
      <c r="E5" s="46">
        <f>项目总控台账!I4</f>
        <v/>
      </c>
      <c r="F5" s="46">
        <f>项目总控台账!J4</f>
        <v/>
      </c>
      <c r="G5" s="44">
        <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f>
        <v/>
      </c>
      <c r="H5" s="44">
        <f>IF(B5="","",IF(G5="","通过","需整改"))</f>
        <v/>
      </c>
      <c r="I5" s="44">
        <f>IF(H5="需整改","回到项目总控台账第"&amp;J5&amp;"行补齐或修正","无需处理")</f>
        <v/>
      </c>
      <c r="J5" s="44" t="n">
        <v>4</v>
      </c>
    </row>
    <row r="6">
      <c r="A6" s="44" t="inlineStr">
        <is>
          <t>项目总控台账</t>
        </is>
      </c>
      <c r="B6" s="44">
        <f>项目总控台账!A5</f>
        <v/>
      </c>
      <c r="C6" s="44">
        <f>IF(AND(项目总控台账!E5&lt;&gt;"",项目总控台账!E5&lt;&gt;"/"),项目总控台账!E5,IF(AND(项目总控台账!D5&lt;&gt;"",项目总控台账!D5&lt;&gt;"/"),项目总控台账!D5,项目总控台账!C5))</f>
        <v/>
      </c>
      <c r="D6" s="44">
        <f>项目总控台账!H5</f>
        <v/>
      </c>
      <c r="E6" s="46">
        <f>项目总控台账!I5</f>
        <v/>
      </c>
      <c r="F6" s="46">
        <f>项目总控台账!J5</f>
        <v/>
      </c>
      <c r="G6" s="44">
        <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f>
        <v/>
      </c>
      <c r="H6" s="44">
        <f>IF(B6="","",IF(G6="","通过","需整改"))</f>
        <v/>
      </c>
      <c r="I6" s="44">
        <f>IF(H6="需整改","回到项目总控台账第"&amp;J6&amp;"行补齐或修正","无需处理")</f>
        <v/>
      </c>
      <c r="J6" s="44" t="n">
        <v>5</v>
      </c>
    </row>
    <row r="7">
      <c r="A7" s="44" t="inlineStr">
        <is>
          <t>项目总控台账</t>
        </is>
      </c>
      <c r="B7" s="44">
        <f>项目总控台账!A6</f>
        <v/>
      </c>
      <c r="C7" s="44">
        <f>IF(AND(项目总控台账!E6&lt;&gt;"",项目总控台账!E6&lt;&gt;"/"),项目总控台账!E6,IF(AND(项目总控台账!D6&lt;&gt;"",项目总控台账!D6&lt;&gt;"/"),项目总控台账!D6,项目总控台账!C6))</f>
        <v/>
      </c>
      <c r="D7" s="44">
        <f>项目总控台账!H6</f>
        <v/>
      </c>
      <c r="E7" s="46">
        <f>项目总控台账!I6</f>
        <v/>
      </c>
      <c r="F7" s="46">
        <f>项目总控台账!J6</f>
        <v/>
      </c>
      <c r="G7" s="44">
        <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f>
        <v/>
      </c>
      <c r="H7" s="44">
        <f>IF(B7="","",IF(G7="","通过","需整改"))</f>
        <v/>
      </c>
      <c r="I7" s="44">
        <f>IF(H7="需整改","回到项目总控台账第"&amp;J7&amp;"行补齐或修正","无需处理")</f>
        <v/>
      </c>
      <c r="J7" s="44" t="n">
        <v>6</v>
      </c>
    </row>
    <row r="8">
      <c r="A8" s="44" t="inlineStr">
        <is>
          <t>项目总控台账</t>
        </is>
      </c>
      <c r="B8" s="44">
        <f>项目总控台账!A7</f>
        <v/>
      </c>
      <c r="C8" s="44">
        <f>IF(AND(项目总控台账!E7&lt;&gt;"",项目总控台账!E7&lt;&gt;"/"),项目总控台账!E7,IF(AND(项目总控台账!D7&lt;&gt;"",项目总控台账!D7&lt;&gt;"/"),项目总控台账!D7,项目总控台账!C7))</f>
        <v/>
      </c>
      <c r="D8" s="44">
        <f>项目总控台账!H7</f>
        <v/>
      </c>
      <c r="E8" s="46">
        <f>项目总控台账!I7</f>
        <v/>
      </c>
      <c r="F8" s="46">
        <f>项目总控台账!J7</f>
        <v/>
      </c>
      <c r="G8" s="44">
        <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f>
        <v/>
      </c>
      <c r="H8" s="44">
        <f>IF(B8="","",IF(G8="","通过","需整改"))</f>
        <v/>
      </c>
      <c r="I8" s="44">
        <f>IF(H8="需整改","回到项目总控台账第"&amp;J8&amp;"行补齐或修正","无需处理")</f>
        <v/>
      </c>
      <c r="J8" s="44" t="n">
        <v>7</v>
      </c>
    </row>
    <row r="9">
      <c r="A9" s="44" t="inlineStr">
        <is>
          <t>项目总控台账</t>
        </is>
      </c>
      <c r="B9" s="44">
        <f>项目总控台账!A8</f>
        <v/>
      </c>
      <c r="C9" s="44">
        <f>IF(AND(项目总控台账!E8&lt;&gt;"",项目总控台账!E8&lt;&gt;"/"),项目总控台账!E8,IF(AND(项目总控台账!D8&lt;&gt;"",项目总控台账!D8&lt;&gt;"/"),项目总控台账!D8,项目总控台账!C8))</f>
        <v/>
      </c>
      <c r="D9" s="44">
        <f>项目总控台账!H8</f>
        <v/>
      </c>
      <c r="E9" s="46">
        <f>项目总控台账!I8</f>
        <v/>
      </c>
      <c r="F9" s="46">
        <f>项目总控台账!J8</f>
        <v/>
      </c>
      <c r="G9" s="44">
        <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f>
        <v/>
      </c>
      <c r="H9" s="44">
        <f>IF(B9="","",IF(G9="","通过","需整改"))</f>
        <v/>
      </c>
      <c r="I9" s="44">
        <f>IF(H9="需整改","回到项目总控台账第"&amp;J9&amp;"行补齐或修正","无需处理")</f>
        <v/>
      </c>
      <c r="J9" s="44" t="n">
        <v>8</v>
      </c>
    </row>
    <row r="10">
      <c r="A10" s="44" t="inlineStr">
        <is>
          <t>项目总控台账</t>
        </is>
      </c>
      <c r="B10" s="44">
        <f>项目总控台账!A9</f>
        <v/>
      </c>
      <c r="C10" s="44">
        <f>IF(AND(项目总控台账!E9&lt;&gt;"",项目总控台账!E9&lt;&gt;"/"),项目总控台账!E9,IF(AND(项目总控台账!D9&lt;&gt;"",项目总控台账!D9&lt;&gt;"/"),项目总控台账!D9,项目总控台账!C9))</f>
        <v/>
      </c>
      <c r="D10" s="44">
        <f>项目总控台账!H9</f>
        <v/>
      </c>
      <c r="E10" s="46">
        <f>项目总控台账!I9</f>
        <v/>
      </c>
      <c r="F10" s="46">
        <f>项目总控台账!J9</f>
        <v/>
      </c>
      <c r="G10" s="44">
        <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f>
        <v/>
      </c>
      <c r="H10" s="44">
        <f>IF(B10="","",IF(G10="","通过","需整改"))</f>
        <v/>
      </c>
      <c r="I10" s="44">
        <f>IF(H10="需整改","回到项目总控台账第"&amp;J10&amp;"行补齐或修正","无需处理")</f>
        <v/>
      </c>
      <c r="J10" s="44" t="n">
        <v>9</v>
      </c>
    </row>
    <row r="11">
      <c r="A11" s="44" t="inlineStr">
        <is>
          <t>项目总控台账</t>
        </is>
      </c>
      <c r="B11" s="44">
        <f>项目总控台账!A10</f>
        <v/>
      </c>
      <c r="C11" s="44">
        <f>IF(AND(项目总控台账!E10&lt;&gt;"",项目总控台账!E10&lt;&gt;"/"),项目总控台账!E10,IF(AND(项目总控台账!D10&lt;&gt;"",项目总控台账!D10&lt;&gt;"/"),项目总控台账!D10,项目总控台账!C10))</f>
        <v/>
      </c>
      <c r="D11" s="44">
        <f>项目总控台账!H10</f>
        <v/>
      </c>
      <c r="E11" s="46">
        <f>项目总控台账!I10</f>
        <v/>
      </c>
      <c r="F11" s="46">
        <f>项目总控台账!J10</f>
        <v/>
      </c>
      <c r="G11" s="44">
        <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f>
        <v/>
      </c>
      <c r="H11" s="44">
        <f>IF(B11="","",IF(G11="","通过","需整改"))</f>
        <v/>
      </c>
      <c r="I11" s="44">
        <f>IF(H11="需整改","回到项目总控台账第"&amp;J11&amp;"行补齐或修正","无需处理")</f>
        <v/>
      </c>
      <c r="J11" s="44" t="n">
        <v>10</v>
      </c>
    </row>
    <row r="12">
      <c r="A12" s="44" t="inlineStr">
        <is>
          <t>项目总控台账</t>
        </is>
      </c>
      <c r="B12" s="44">
        <f>项目总控台账!A11</f>
        <v/>
      </c>
      <c r="C12" s="44">
        <f>IF(AND(项目总控台账!E11&lt;&gt;"",项目总控台账!E11&lt;&gt;"/"),项目总控台账!E11,IF(AND(项目总控台账!D11&lt;&gt;"",项目总控台账!D11&lt;&gt;"/"),项目总控台账!D11,项目总控台账!C11))</f>
        <v/>
      </c>
      <c r="D12" s="44">
        <f>项目总控台账!H11</f>
        <v/>
      </c>
      <c r="E12" s="46">
        <f>项目总控台账!I11</f>
        <v/>
      </c>
      <c r="F12" s="46">
        <f>项目总控台账!J11</f>
        <v/>
      </c>
      <c r="G12" s="44">
        <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f>
        <v/>
      </c>
      <c r="H12" s="44">
        <f>IF(B12="","",IF(G12="","通过","需整改"))</f>
        <v/>
      </c>
      <c r="I12" s="44">
        <f>IF(H12="需整改","回到项目总控台账第"&amp;J12&amp;"行补齐或修正","无需处理")</f>
        <v/>
      </c>
      <c r="J12" s="44" t="n">
        <v>11</v>
      </c>
    </row>
    <row r="13">
      <c r="A13" s="44" t="inlineStr">
        <is>
          <t>项目总控台账</t>
        </is>
      </c>
      <c r="B13" s="44">
        <f>项目总控台账!A12</f>
        <v/>
      </c>
      <c r="C13" s="44">
        <f>IF(AND(项目总控台账!E12&lt;&gt;"",项目总控台账!E12&lt;&gt;"/"),项目总控台账!E12,IF(AND(项目总控台账!D12&lt;&gt;"",项目总控台账!D12&lt;&gt;"/"),项目总控台账!D12,项目总控台账!C12))</f>
        <v/>
      </c>
      <c r="D13" s="44">
        <f>项目总控台账!H12</f>
        <v/>
      </c>
      <c r="E13" s="46">
        <f>项目总控台账!I12</f>
        <v/>
      </c>
      <c r="F13" s="46">
        <f>项目总控台账!J12</f>
        <v/>
      </c>
      <c r="G13" s="44">
        <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f>
        <v/>
      </c>
      <c r="H13" s="44">
        <f>IF(B13="","",IF(G13="","通过","需整改"))</f>
        <v/>
      </c>
      <c r="I13" s="44">
        <f>IF(H13="需整改","回到项目总控台账第"&amp;J13&amp;"行补齐或修正","无需处理")</f>
        <v/>
      </c>
      <c r="J13" s="44" t="n">
        <v>12</v>
      </c>
    </row>
    <row r="14">
      <c r="A14" s="44" t="inlineStr">
        <is>
          <t>项目总控台账</t>
        </is>
      </c>
      <c r="B14" s="44">
        <f>项目总控台账!A13</f>
        <v/>
      </c>
      <c r="C14" s="44">
        <f>IF(AND(项目总控台账!E13&lt;&gt;"",项目总控台账!E13&lt;&gt;"/"),项目总控台账!E13,IF(AND(项目总控台账!D13&lt;&gt;"",项目总控台账!D13&lt;&gt;"/"),项目总控台账!D13,项目总控台账!C13))</f>
        <v/>
      </c>
      <c r="D14" s="44">
        <f>项目总控台账!H13</f>
        <v/>
      </c>
      <c r="E14" s="46">
        <f>项目总控台账!I13</f>
        <v/>
      </c>
      <c r="F14" s="46">
        <f>项目总控台账!J13</f>
        <v/>
      </c>
      <c r="G14" s="44">
        <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f>
        <v/>
      </c>
      <c r="H14" s="44">
        <f>IF(B14="","",IF(G14="","通过","需整改"))</f>
        <v/>
      </c>
      <c r="I14" s="44">
        <f>IF(H14="需整改","回到项目总控台账第"&amp;J14&amp;"行补齐或修正","无需处理")</f>
        <v/>
      </c>
      <c r="J14" s="44" t="n">
        <v>13</v>
      </c>
    </row>
    <row r="15">
      <c r="A15" s="44" t="inlineStr">
        <is>
          <t>项目总控台账</t>
        </is>
      </c>
      <c r="B15" s="44">
        <f>项目总控台账!A14</f>
        <v/>
      </c>
      <c r="C15" s="44">
        <f>IF(AND(项目总控台账!E14&lt;&gt;"",项目总控台账!E14&lt;&gt;"/"),项目总控台账!E14,IF(AND(项目总控台账!D14&lt;&gt;"",项目总控台账!D14&lt;&gt;"/"),项目总控台账!D14,项目总控台账!C14))</f>
        <v/>
      </c>
      <c r="D15" s="44">
        <f>项目总控台账!H14</f>
        <v/>
      </c>
      <c r="E15" s="46">
        <f>项目总控台账!I14</f>
        <v/>
      </c>
      <c r="F15" s="46">
        <f>项目总控台账!J14</f>
        <v/>
      </c>
      <c r="G15" s="44">
        <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f>
        <v/>
      </c>
      <c r="H15" s="44">
        <f>IF(B15="","",IF(G15="","通过","需整改"))</f>
        <v/>
      </c>
      <c r="I15" s="44">
        <f>IF(H15="需整改","回到项目总控台账第"&amp;J15&amp;"行补齐或修正","无需处理")</f>
        <v/>
      </c>
      <c r="J15" s="44" t="n">
        <v>14</v>
      </c>
    </row>
    <row r="16">
      <c r="A16" s="44" t="inlineStr">
        <is>
          <t>项目总控台账</t>
        </is>
      </c>
      <c r="B16" s="44">
        <f>项目总控台账!A15</f>
        <v/>
      </c>
      <c r="C16" s="44">
        <f>IF(AND(项目总控台账!E15&lt;&gt;"",项目总控台账!E15&lt;&gt;"/"),项目总控台账!E15,IF(AND(项目总控台账!D15&lt;&gt;"",项目总控台账!D15&lt;&gt;"/"),项目总控台账!D15,项目总控台账!C15))</f>
        <v/>
      </c>
      <c r="D16" s="44">
        <f>项目总控台账!H15</f>
        <v/>
      </c>
      <c r="E16" s="46">
        <f>项目总控台账!I15</f>
        <v/>
      </c>
      <c r="F16" s="46">
        <f>项目总控台账!J15</f>
        <v/>
      </c>
      <c r="G16" s="44">
        <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f>
        <v/>
      </c>
      <c r="H16" s="44">
        <f>IF(B16="","",IF(G16="","通过","需整改"))</f>
        <v/>
      </c>
      <c r="I16" s="44">
        <f>IF(H16="需整改","回到项目总控台账第"&amp;J16&amp;"行补齐或修正","无需处理")</f>
        <v/>
      </c>
      <c r="J16" s="44" t="n">
        <v>15</v>
      </c>
    </row>
    <row r="17">
      <c r="A17" s="44" t="inlineStr">
        <is>
          <t>项目总控台账</t>
        </is>
      </c>
      <c r="B17" s="44">
        <f>项目总控台账!A16</f>
        <v/>
      </c>
      <c r="C17" s="44">
        <f>IF(AND(项目总控台账!E16&lt;&gt;"",项目总控台账!E16&lt;&gt;"/"),项目总控台账!E16,IF(AND(项目总控台账!D16&lt;&gt;"",项目总控台账!D16&lt;&gt;"/"),项目总控台账!D16,项目总控台账!C16))</f>
        <v/>
      </c>
      <c r="D17" s="44">
        <f>项目总控台账!H16</f>
        <v/>
      </c>
      <c r="E17" s="46">
        <f>项目总控台账!I16</f>
        <v/>
      </c>
      <c r="F17" s="46">
        <f>项目总控台账!J16</f>
        <v/>
      </c>
      <c r="G17" s="44">
        <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f>
        <v/>
      </c>
      <c r="H17" s="44">
        <f>IF(B17="","",IF(G17="","通过","需整改"))</f>
        <v/>
      </c>
      <c r="I17" s="44">
        <f>IF(H17="需整改","回到项目总控台账第"&amp;J17&amp;"行补齐或修正","无需处理")</f>
        <v/>
      </c>
      <c r="J17" s="44" t="n">
        <v>16</v>
      </c>
    </row>
    <row r="18">
      <c r="A18" s="44" t="inlineStr">
        <is>
          <t>项目总控台账</t>
        </is>
      </c>
      <c r="B18" s="44">
        <f>项目总控台账!A17</f>
        <v/>
      </c>
      <c r="C18" s="44">
        <f>IF(AND(项目总控台账!E17&lt;&gt;"",项目总控台账!E17&lt;&gt;"/"),项目总控台账!E17,IF(AND(项目总控台账!D17&lt;&gt;"",项目总控台账!D17&lt;&gt;"/"),项目总控台账!D17,项目总控台账!C17))</f>
        <v/>
      </c>
      <c r="D18" s="44">
        <f>项目总控台账!H17</f>
        <v/>
      </c>
      <c r="E18" s="46">
        <f>项目总控台账!I17</f>
        <v/>
      </c>
      <c r="F18" s="46">
        <f>项目总控台账!J17</f>
        <v/>
      </c>
      <c r="G18" s="44">
        <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f>
        <v/>
      </c>
      <c r="H18" s="44">
        <f>IF(B18="","",IF(G18="","通过","需整改"))</f>
        <v/>
      </c>
      <c r="I18" s="44">
        <f>IF(H18="需整改","回到项目总控台账第"&amp;J18&amp;"行补齐或修正","无需处理")</f>
        <v/>
      </c>
      <c r="J18" s="44" t="n">
        <v>17</v>
      </c>
    </row>
    <row r="19">
      <c r="A19" s="44" t="inlineStr">
        <is>
          <t>项目总控台账</t>
        </is>
      </c>
      <c r="B19" s="44">
        <f>项目总控台账!A18</f>
        <v/>
      </c>
      <c r="C19" s="44">
        <f>IF(AND(项目总控台账!E18&lt;&gt;"",项目总控台账!E18&lt;&gt;"/"),项目总控台账!E18,IF(AND(项目总控台账!D18&lt;&gt;"",项目总控台账!D18&lt;&gt;"/"),项目总控台账!D18,项目总控台账!C18))</f>
        <v/>
      </c>
      <c r="D19" s="44">
        <f>项目总控台账!H18</f>
        <v/>
      </c>
      <c r="E19" s="46">
        <f>项目总控台账!I18</f>
        <v/>
      </c>
      <c r="F19" s="46">
        <f>项目总控台账!J18</f>
        <v/>
      </c>
      <c r="G19" s="44">
        <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f>
        <v/>
      </c>
      <c r="H19" s="44">
        <f>IF(B19="","",IF(G19="","通过","需整改"))</f>
        <v/>
      </c>
      <c r="I19" s="44">
        <f>IF(H19="需整改","回到项目总控台账第"&amp;J19&amp;"行补齐或修正","无需处理")</f>
        <v/>
      </c>
      <c r="J19" s="44" t="n">
        <v>18</v>
      </c>
    </row>
    <row r="20">
      <c r="A20" s="44" t="inlineStr">
        <is>
          <t>项目总控台账</t>
        </is>
      </c>
      <c r="B20" s="44">
        <f>项目总控台账!A19</f>
        <v/>
      </c>
      <c r="C20" s="44">
        <f>IF(AND(项目总控台账!E19&lt;&gt;"",项目总控台账!E19&lt;&gt;"/"),项目总控台账!E19,IF(AND(项目总控台账!D19&lt;&gt;"",项目总控台账!D19&lt;&gt;"/"),项目总控台账!D19,项目总控台账!C19))</f>
        <v/>
      </c>
      <c r="D20" s="44">
        <f>项目总控台账!H19</f>
        <v/>
      </c>
      <c r="E20" s="46">
        <f>项目总控台账!I19</f>
        <v/>
      </c>
      <c r="F20" s="46">
        <f>项目总控台账!J19</f>
        <v/>
      </c>
      <c r="G20" s="44">
        <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f>
        <v/>
      </c>
      <c r="H20" s="44">
        <f>IF(B20="","",IF(G20="","通过","需整改"))</f>
        <v/>
      </c>
      <c r="I20" s="44">
        <f>IF(H20="需整改","回到项目总控台账第"&amp;J20&amp;"行补齐或修正","无需处理")</f>
        <v/>
      </c>
      <c r="J20" s="44" t="n">
        <v>19</v>
      </c>
    </row>
    <row r="21">
      <c r="A21" s="44" t="inlineStr">
        <is>
          <t>项目总控台账</t>
        </is>
      </c>
      <c r="B21" s="44">
        <f>项目总控台账!A20</f>
        <v/>
      </c>
      <c r="C21" s="44">
        <f>IF(AND(项目总控台账!E20&lt;&gt;"",项目总控台账!E20&lt;&gt;"/"),项目总控台账!E20,IF(AND(项目总控台账!D20&lt;&gt;"",项目总控台账!D20&lt;&gt;"/"),项目总控台账!D20,项目总控台账!C20))</f>
        <v/>
      </c>
      <c r="D21" s="44">
        <f>项目总控台账!H20</f>
        <v/>
      </c>
      <c r="E21" s="46">
        <f>项目总控台账!I20</f>
        <v/>
      </c>
      <c r="F21" s="46">
        <f>项目总控台账!J20</f>
        <v/>
      </c>
      <c r="G21" s="44">
        <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f>
        <v/>
      </c>
      <c r="H21" s="44">
        <f>IF(B21="","",IF(G21="","通过","需整改"))</f>
        <v/>
      </c>
      <c r="I21" s="44">
        <f>IF(H21="需整改","回到项目总控台账第"&amp;J21&amp;"行补齐或修正","无需处理")</f>
        <v/>
      </c>
      <c r="J21" s="44" t="n">
        <v>20</v>
      </c>
    </row>
    <row r="22">
      <c r="A22" s="44" t="inlineStr">
        <is>
          <t>项目总控台账</t>
        </is>
      </c>
      <c r="B22" s="44">
        <f>项目总控台账!A21</f>
        <v/>
      </c>
      <c r="C22" s="44">
        <f>IF(AND(项目总控台账!E21&lt;&gt;"",项目总控台账!E21&lt;&gt;"/"),项目总控台账!E21,IF(AND(项目总控台账!D21&lt;&gt;"",项目总控台账!D21&lt;&gt;"/"),项目总控台账!D21,项目总控台账!C21))</f>
        <v/>
      </c>
      <c r="D22" s="44">
        <f>项目总控台账!H21</f>
        <v/>
      </c>
      <c r="E22" s="46">
        <f>项目总控台账!I21</f>
        <v/>
      </c>
      <c r="F22" s="46">
        <f>项目总控台账!J21</f>
        <v/>
      </c>
      <c r="G22" s="44">
        <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f>
        <v/>
      </c>
      <c r="H22" s="44">
        <f>IF(B22="","",IF(G22="","通过","需整改"))</f>
        <v/>
      </c>
      <c r="I22" s="44">
        <f>IF(H22="需整改","回到项目总控台账第"&amp;J22&amp;"行补齐或修正","无需处理")</f>
        <v/>
      </c>
      <c r="J22" s="44" t="n">
        <v>21</v>
      </c>
    </row>
    <row r="23">
      <c r="A23" s="44" t="inlineStr">
        <is>
          <t>项目总控台账</t>
        </is>
      </c>
      <c r="B23" s="44">
        <f>项目总控台账!A22</f>
        <v/>
      </c>
      <c r="C23" s="44">
        <f>IF(AND(项目总控台账!E22&lt;&gt;"",项目总控台账!E22&lt;&gt;"/"),项目总控台账!E22,IF(AND(项目总控台账!D22&lt;&gt;"",项目总控台账!D22&lt;&gt;"/"),项目总控台账!D22,项目总控台账!C22))</f>
        <v/>
      </c>
      <c r="D23" s="44">
        <f>项目总控台账!H22</f>
        <v/>
      </c>
      <c r="E23" s="46">
        <f>项目总控台账!I22</f>
        <v/>
      </c>
      <c r="F23" s="46">
        <f>项目总控台账!J22</f>
        <v/>
      </c>
      <c r="G23" s="44">
        <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f>
        <v/>
      </c>
      <c r="H23" s="44">
        <f>IF(B23="","",IF(G23="","通过","需整改"))</f>
        <v/>
      </c>
      <c r="I23" s="44">
        <f>IF(H23="需整改","回到项目总控台账第"&amp;J23&amp;"行补齐或修正","无需处理")</f>
        <v/>
      </c>
      <c r="J23" s="44" t="n">
        <v>22</v>
      </c>
    </row>
    <row r="24">
      <c r="A24" s="44" t="inlineStr">
        <is>
          <t>项目总控台账</t>
        </is>
      </c>
      <c r="B24" s="44">
        <f>项目总控台账!A23</f>
        <v/>
      </c>
      <c r="C24" s="44">
        <f>IF(AND(项目总控台账!E23&lt;&gt;"",项目总控台账!E23&lt;&gt;"/"),项目总控台账!E23,IF(AND(项目总控台账!D23&lt;&gt;"",项目总控台账!D23&lt;&gt;"/"),项目总控台账!D23,项目总控台账!C23))</f>
        <v/>
      </c>
      <c r="D24" s="44">
        <f>项目总控台账!H23</f>
        <v/>
      </c>
      <c r="E24" s="46">
        <f>项目总控台账!I23</f>
        <v/>
      </c>
      <c r="F24" s="46">
        <f>项目总控台账!J23</f>
        <v/>
      </c>
      <c r="G24" s="44">
        <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f>
        <v/>
      </c>
      <c r="H24" s="44">
        <f>IF(B24="","",IF(G24="","通过","需整改"))</f>
        <v/>
      </c>
      <c r="I24" s="44">
        <f>IF(H24="需整改","回到项目总控台账第"&amp;J24&amp;"行补齐或修正","无需处理")</f>
        <v/>
      </c>
      <c r="J24" s="44" t="n">
        <v>23</v>
      </c>
    </row>
    <row r="25">
      <c r="A25" s="44" t="inlineStr">
        <is>
          <t>项目总控台账</t>
        </is>
      </c>
      <c r="B25" s="44">
        <f>项目总控台账!A24</f>
        <v/>
      </c>
      <c r="C25" s="44">
        <f>IF(AND(项目总控台账!E24&lt;&gt;"",项目总控台账!E24&lt;&gt;"/"),项目总控台账!E24,IF(AND(项目总控台账!D24&lt;&gt;"",项目总控台账!D24&lt;&gt;"/"),项目总控台账!D24,项目总控台账!C24))</f>
        <v/>
      </c>
      <c r="D25" s="44">
        <f>项目总控台账!H24</f>
        <v/>
      </c>
      <c r="E25" s="46">
        <f>项目总控台账!I24</f>
        <v/>
      </c>
      <c r="F25" s="46">
        <f>项目总控台账!J24</f>
        <v/>
      </c>
      <c r="G25" s="44">
        <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f>
        <v/>
      </c>
      <c r="H25" s="44">
        <f>IF(B25="","",IF(G25="","通过","需整改"))</f>
        <v/>
      </c>
      <c r="I25" s="44">
        <f>IF(H25="需整改","回到项目总控台账第"&amp;J25&amp;"行补齐或修正","无需处理")</f>
        <v/>
      </c>
      <c r="J25" s="44" t="n">
        <v>24</v>
      </c>
    </row>
    <row r="26">
      <c r="A26" s="44" t="inlineStr">
        <is>
          <t>项目总控台账</t>
        </is>
      </c>
      <c r="B26" s="44">
        <f>项目总控台账!A25</f>
        <v/>
      </c>
      <c r="C26" s="44">
        <f>IF(AND(项目总控台账!E25&lt;&gt;"",项目总控台账!E25&lt;&gt;"/"),项目总控台账!E25,IF(AND(项目总控台账!D25&lt;&gt;"",项目总控台账!D25&lt;&gt;"/"),项目总控台账!D25,项目总控台账!C25))</f>
        <v/>
      </c>
      <c r="D26" s="44">
        <f>项目总控台账!H25</f>
        <v/>
      </c>
      <c r="E26" s="46">
        <f>项目总控台账!I25</f>
        <v/>
      </c>
      <c r="F26" s="46">
        <f>项目总控台账!J25</f>
        <v/>
      </c>
      <c r="G26" s="44">
        <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f>
        <v/>
      </c>
      <c r="H26" s="44">
        <f>IF(B26="","",IF(G26="","通过","需整改"))</f>
        <v/>
      </c>
      <c r="I26" s="44">
        <f>IF(H26="需整改","回到项目总控台账第"&amp;J26&amp;"行补齐或修正","无需处理")</f>
        <v/>
      </c>
      <c r="J26" s="44" t="n">
        <v>25</v>
      </c>
    </row>
    <row r="27">
      <c r="A27" s="44" t="inlineStr">
        <is>
          <t>项目总控台账</t>
        </is>
      </c>
      <c r="B27" s="44">
        <f>项目总控台账!A26</f>
        <v/>
      </c>
      <c r="C27" s="44">
        <f>IF(AND(项目总控台账!E26&lt;&gt;"",项目总控台账!E26&lt;&gt;"/"),项目总控台账!E26,IF(AND(项目总控台账!D26&lt;&gt;"",项目总控台账!D26&lt;&gt;"/"),项目总控台账!D26,项目总控台账!C26))</f>
        <v/>
      </c>
      <c r="D27" s="44">
        <f>项目总控台账!H26</f>
        <v/>
      </c>
      <c r="E27" s="46">
        <f>项目总控台账!I26</f>
        <v/>
      </c>
      <c r="F27" s="46">
        <f>项目总控台账!J26</f>
        <v/>
      </c>
      <c r="G27" s="44">
        <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f>
        <v/>
      </c>
      <c r="H27" s="44">
        <f>IF(B27="","",IF(G27="","通过","需整改"))</f>
        <v/>
      </c>
      <c r="I27" s="44">
        <f>IF(H27="需整改","回到项目总控台账第"&amp;J27&amp;"行补齐或修正","无需处理")</f>
        <v/>
      </c>
      <c r="J27" s="44" t="n">
        <v>26</v>
      </c>
    </row>
    <row r="28">
      <c r="A28" s="44" t="inlineStr">
        <is>
          <t>项目总控台账</t>
        </is>
      </c>
      <c r="B28" s="44">
        <f>项目总控台账!A27</f>
        <v/>
      </c>
      <c r="C28" s="44">
        <f>IF(AND(项目总控台账!E27&lt;&gt;"",项目总控台账!E27&lt;&gt;"/"),项目总控台账!E27,IF(AND(项目总控台账!D27&lt;&gt;"",项目总控台账!D27&lt;&gt;"/"),项目总控台账!D27,项目总控台账!C27))</f>
        <v/>
      </c>
      <c r="D28" s="44">
        <f>项目总控台账!H27</f>
        <v/>
      </c>
      <c r="E28" s="46">
        <f>项目总控台账!I27</f>
        <v/>
      </c>
      <c r="F28" s="46">
        <f>项目总控台账!J27</f>
        <v/>
      </c>
      <c r="G28" s="44">
        <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f>
        <v/>
      </c>
      <c r="H28" s="44">
        <f>IF(B28="","",IF(G28="","通过","需整改"))</f>
        <v/>
      </c>
      <c r="I28" s="44">
        <f>IF(H28="需整改","回到项目总控台账第"&amp;J28&amp;"行补齐或修正","无需处理")</f>
        <v/>
      </c>
      <c r="J28" s="44" t="n">
        <v>27</v>
      </c>
    </row>
    <row r="29">
      <c r="A29" s="44" t="inlineStr">
        <is>
          <t>项目总控台账</t>
        </is>
      </c>
      <c r="B29" s="44">
        <f>项目总控台账!A28</f>
        <v/>
      </c>
      <c r="C29" s="44">
        <f>IF(AND(项目总控台账!E28&lt;&gt;"",项目总控台账!E28&lt;&gt;"/"),项目总控台账!E28,IF(AND(项目总控台账!D28&lt;&gt;"",项目总控台账!D28&lt;&gt;"/"),项目总控台账!D28,项目总控台账!C28))</f>
        <v/>
      </c>
      <c r="D29" s="44">
        <f>项目总控台账!H28</f>
        <v/>
      </c>
      <c r="E29" s="46">
        <f>项目总控台账!I28</f>
        <v/>
      </c>
      <c r="F29" s="46">
        <f>项目总控台账!J28</f>
        <v/>
      </c>
      <c r="G29" s="44">
        <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f>
        <v/>
      </c>
      <c r="H29" s="44">
        <f>IF(B29="","",IF(G29="","通过","需整改"))</f>
        <v/>
      </c>
      <c r="I29" s="44">
        <f>IF(H29="需整改","回到项目总控台账第"&amp;J29&amp;"行补齐或修正","无需处理")</f>
        <v/>
      </c>
      <c r="J29" s="44" t="n">
        <v>28</v>
      </c>
    </row>
    <row r="30">
      <c r="A30" s="44" t="inlineStr">
        <is>
          <t>项目总控台账</t>
        </is>
      </c>
      <c r="B30" s="44">
        <f>项目总控台账!A29</f>
        <v/>
      </c>
      <c r="C30" s="44">
        <f>IF(AND(项目总控台账!E29&lt;&gt;"",项目总控台账!E29&lt;&gt;"/"),项目总控台账!E29,IF(AND(项目总控台账!D29&lt;&gt;"",项目总控台账!D29&lt;&gt;"/"),项目总控台账!D29,项目总控台账!C29))</f>
        <v/>
      </c>
      <c r="D30" s="44">
        <f>项目总控台账!H29</f>
        <v/>
      </c>
      <c r="E30" s="46">
        <f>项目总控台账!I29</f>
        <v/>
      </c>
      <c r="F30" s="46">
        <f>项目总控台账!J29</f>
        <v/>
      </c>
      <c r="G30" s="44">
        <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f>
        <v/>
      </c>
      <c r="H30" s="44">
        <f>IF(B30="","",IF(G30="","通过","需整改"))</f>
        <v/>
      </c>
      <c r="I30" s="44">
        <f>IF(H30="需整改","回到项目总控台账第"&amp;J30&amp;"行补齐或修正","无需处理")</f>
        <v/>
      </c>
      <c r="J30" s="44" t="n">
        <v>29</v>
      </c>
    </row>
    <row r="31">
      <c r="A31" s="44" t="inlineStr">
        <is>
          <t>项目总控台账</t>
        </is>
      </c>
      <c r="B31" s="44">
        <f>项目总控台账!A30</f>
        <v/>
      </c>
      <c r="C31" s="44">
        <f>IF(AND(项目总控台账!E30&lt;&gt;"",项目总控台账!E30&lt;&gt;"/"),项目总控台账!E30,IF(AND(项目总控台账!D30&lt;&gt;"",项目总控台账!D30&lt;&gt;"/"),项目总控台账!D30,项目总控台账!C30))</f>
        <v/>
      </c>
      <c r="D31" s="44">
        <f>项目总控台账!H30</f>
        <v/>
      </c>
      <c r="E31" s="46">
        <f>项目总控台账!I30</f>
        <v/>
      </c>
      <c r="F31" s="46">
        <f>项目总控台账!J30</f>
        <v/>
      </c>
      <c r="G31" s="44">
        <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f>
        <v/>
      </c>
      <c r="H31" s="44">
        <f>IF(B31="","",IF(G31="","通过","需整改"))</f>
        <v/>
      </c>
      <c r="I31" s="44">
        <f>IF(H31="需整改","回到项目总控台账第"&amp;J31&amp;"行补齐或修正","无需处理")</f>
        <v/>
      </c>
      <c r="J31" s="44" t="n">
        <v>30</v>
      </c>
    </row>
    <row r="32">
      <c r="A32" s="44" t="inlineStr">
        <is>
          <t>项目总控台账</t>
        </is>
      </c>
      <c r="B32" s="44">
        <f>项目总控台账!A31</f>
        <v/>
      </c>
      <c r="C32" s="44">
        <f>IF(AND(项目总控台账!E31&lt;&gt;"",项目总控台账!E31&lt;&gt;"/"),项目总控台账!E31,IF(AND(项目总控台账!D31&lt;&gt;"",项目总控台账!D31&lt;&gt;"/"),项目总控台账!D31,项目总控台账!C31))</f>
        <v/>
      </c>
      <c r="D32" s="44">
        <f>项目总控台账!H31</f>
        <v/>
      </c>
      <c r="E32" s="46">
        <f>项目总控台账!I31</f>
        <v/>
      </c>
      <c r="F32" s="46">
        <f>项目总控台账!J31</f>
        <v/>
      </c>
      <c r="G32" s="44">
        <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f>
        <v/>
      </c>
      <c r="H32" s="44">
        <f>IF(B32="","",IF(G32="","通过","需整改"))</f>
        <v/>
      </c>
      <c r="I32" s="44">
        <f>IF(H32="需整改","回到项目总控台账第"&amp;J32&amp;"行补齐或修正","无需处理")</f>
        <v/>
      </c>
      <c r="J32" s="44" t="n">
        <v>31</v>
      </c>
    </row>
    <row r="33">
      <c r="A33" s="44" t="inlineStr">
        <is>
          <t>项目总控台账</t>
        </is>
      </c>
      <c r="B33" s="44">
        <f>项目总控台账!A32</f>
        <v/>
      </c>
      <c r="C33" s="44">
        <f>IF(AND(项目总控台账!E32&lt;&gt;"",项目总控台账!E32&lt;&gt;"/"),项目总控台账!E32,IF(AND(项目总控台账!D32&lt;&gt;"",项目总控台账!D32&lt;&gt;"/"),项目总控台账!D32,项目总控台账!C32))</f>
        <v/>
      </c>
      <c r="D33" s="44">
        <f>项目总控台账!H32</f>
        <v/>
      </c>
      <c r="E33" s="46">
        <f>项目总控台账!I32</f>
        <v/>
      </c>
      <c r="F33" s="46">
        <f>项目总控台账!J32</f>
        <v/>
      </c>
      <c r="G33" s="44">
        <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f>
        <v/>
      </c>
      <c r="H33" s="44">
        <f>IF(B33="","",IF(G33="","通过","需整改"))</f>
        <v/>
      </c>
      <c r="I33" s="44">
        <f>IF(H33="需整改","回到项目总控台账第"&amp;J33&amp;"行补齐或修正","无需处理")</f>
        <v/>
      </c>
      <c r="J33" s="44" t="n">
        <v>32</v>
      </c>
    </row>
    <row r="34">
      <c r="A34" s="44" t="inlineStr">
        <is>
          <t>项目总控台账</t>
        </is>
      </c>
      <c r="B34" s="44">
        <f>项目总控台账!A33</f>
        <v/>
      </c>
      <c r="C34" s="44">
        <f>IF(AND(项目总控台账!E33&lt;&gt;"",项目总控台账!E33&lt;&gt;"/"),项目总控台账!E33,IF(AND(项目总控台账!D33&lt;&gt;"",项目总控台账!D33&lt;&gt;"/"),项目总控台账!D33,项目总控台账!C33))</f>
        <v/>
      </c>
      <c r="D34" s="44">
        <f>项目总控台账!H33</f>
        <v/>
      </c>
      <c r="E34" s="46">
        <f>项目总控台账!I33</f>
        <v/>
      </c>
      <c r="F34" s="46">
        <f>项目总控台账!J33</f>
        <v/>
      </c>
      <c r="G34" s="44">
        <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f>
        <v/>
      </c>
      <c r="H34" s="44">
        <f>IF(B34="","",IF(G34="","通过","需整改"))</f>
        <v/>
      </c>
      <c r="I34" s="44">
        <f>IF(H34="需整改","回到项目总控台账第"&amp;J34&amp;"行补齐或修正","无需处理")</f>
        <v/>
      </c>
      <c r="J34" s="44" t="n">
        <v>33</v>
      </c>
    </row>
    <row r="35">
      <c r="A35" s="44" t="inlineStr">
        <is>
          <t>项目总控台账</t>
        </is>
      </c>
      <c r="B35" s="44">
        <f>项目总控台账!A34</f>
        <v/>
      </c>
      <c r="C35" s="44">
        <f>IF(AND(项目总控台账!E34&lt;&gt;"",项目总控台账!E34&lt;&gt;"/"),项目总控台账!E34,IF(AND(项目总控台账!D34&lt;&gt;"",项目总控台账!D34&lt;&gt;"/"),项目总控台账!D34,项目总控台账!C34))</f>
        <v/>
      </c>
      <c r="D35" s="44">
        <f>项目总控台账!H34</f>
        <v/>
      </c>
      <c r="E35" s="46">
        <f>项目总控台账!I34</f>
        <v/>
      </c>
      <c r="F35" s="46">
        <f>项目总控台账!J34</f>
        <v/>
      </c>
      <c r="G35" s="44">
        <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f>
        <v/>
      </c>
      <c r="H35" s="44">
        <f>IF(B35="","",IF(G35="","通过","需整改"))</f>
        <v/>
      </c>
      <c r="I35" s="44">
        <f>IF(H35="需整改","回到项目总控台账第"&amp;J35&amp;"行补齐或修正","无需处理")</f>
        <v/>
      </c>
      <c r="J35" s="44" t="n">
        <v>34</v>
      </c>
    </row>
    <row r="36">
      <c r="A36" s="44" t="inlineStr">
        <is>
          <t>项目总控台账</t>
        </is>
      </c>
      <c r="B36" s="44">
        <f>项目总控台账!A35</f>
        <v/>
      </c>
      <c r="C36" s="44">
        <f>IF(AND(项目总控台账!E35&lt;&gt;"",项目总控台账!E35&lt;&gt;"/"),项目总控台账!E35,IF(AND(项目总控台账!D35&lt;&gt;"",项目总控台账!D35&lt;&gt;"/"),项目总控台账!D35,项目总控台账!C35))</f>
        <v/>
      </c>
      <c r="D36" s="44">
        <f>项目总控台账!H35</f>
        <v/>
      </c>
      <c r="E36" s="46">
        <f>项目总控台账!I35</f>
        <v/>
      </c>
      <c r="F36" s="46">
        <f>项目总控台账!J35</f>
        <v/>
      </c>
      <c r="G36" s="44">
        <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f>
        <v/>
      </c>
      <c r="H36" s="44">
        <f>IF(B36="","",IF(G36="","通过","需整改"))</f>
        <v/>
      </c>
      <c r="I36" s="44">
        <f>IF(H36="需整改","回到项目总控台账第"&amp;J36&amp;"行补齐或修正","无需处理")</f>
        <v/>
      </c>
      <c r="J36" s="44" t="n">
        <v>35</v>
      </c>
    </row>
    <row r="37">
      <c r="A37" s="44" t="inlineStr">
        <is>
          <t>项目总控台账</t>
        </is>
      </c>
      <c r="B37" s="44">
        <f>项目总控台账!A36</f>
        <v/>
      </c>
      <c r="C37" s="44">
        <f>IF(AND(项目总控台账!E36&lt;&gt;"",项目总控台账!E36&lt;&gt;"/"),项目总控台账!E36,IF(AND(项目总控台账!D36&lt;&gt;"",项目总控台账!D36&lt;&gt;"/"),项目总控台账!D36,项目总控台账!C36))</f>
        <v/>
      </c>
      <c r="D37" s="44">
        <f>项目总控台账!H36</f>
        <v/>
      </c>
      <c r="E37" s="46">
        <f>项目总控台账!I36</f>
        <v/>
      </c>
      <c r="F37" s="46">
        <f>项目总控台账!J36</f>
        <v/>
      </c>
      <c r="G37" s="44">
        <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f>
        <v/>
      </c>
      <c r="H37" s="44">
        <f>IF(B37="","",IF(G37="","通过","需整改"))</f>
        <v/>
      </c>
      <c r="I37" s="44">
        <f>IF(H37="需整改","回到项目总控台账第"&amp;J37&amp;"行补齐或修正","无需处理")</f>
        <v/>
      </c>
      <c r="J37" s="44" t="n">
        <v>36</v>
      </c>
    </row>
    <row r="38">
      <c r="A38" s="44" t="inlineStr">
        <is>
          <t>项目总控台账</t>
        </is>
      </c>
      <c r="B38" s="44">
        <f>项目总控台账!A37</f>
        <v/>
      </c>
      <c r="C38" s="44">
        <f>IF(AND(项目总控台账!E37&lt;&gt;"",项目总控台账!E37&lt;&gt;"/"),项目总控台账!E37,IF(AND(项目总控台账!D37&lt;&gt;"",项目总控台账!D37&lt;&gt;"/"),项目总控台账!D37,项目总控台账!C37))</f>
        <v/>
      </c>
      <c r="D38" s="44">
        <f>项目总控台账!H37</f>
        <v/>
      </c>
      <c r="E38" s="46">
        <f>项目总控台账!I37</f>
        <v/>
      </c>
      <c r="F38" s="46">
        <f>项目总控台账!J37</f>
        <v/>
      </c>
      <c r="G38" s="44">
        <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f>
        <v/>
      </c>
      <c r="H38" s="44">
        <f>IF(B38="","",IF(G38="","通过","需整改"))</f>
        <v/>
      </c>
      <c r="I38" s="44">
        <f>IF(H38="需整改","回到项目总控台账第"&amp;J38&amp;"行补齐或修正","无需处理")</f>
        <v/>
      </c>
      <c r="J38" s="44" t="n">
        <v>37</v>
      </c>
    </row>
    <row r="39">
      <c r="A39" s="44" t="inlineStr">
        <is>
          <t>项目总控台账</t>
        </is>
      </c>
      <c r="B39" s="44">
        <f>项目总控台账!A38</f>
        <v/>
      </c>
      <c r="C39" s="44">
        <f>IF(AND(项目总控台账!E38&lt;&gt;"",项目总控台账!E38&lt;&gt;"/"),项目总控台账!E38,IF(AND(项目总控台账!D38&lt;&gt;"",项目总控台账!D38&lt;&gt;"/"),项目总控台账!D38,项目总控台账!C38))</f>
        <v/>
      </c>
      <c r="D39" s="44">
        <f>项目总控台账!H38</f>
        <v/>
      </c>
      <c r="E39" s="46">
        <f>项目总控台账!I38</f>
        <v/>
      </c>
      <c r="F39" s="46">
        <f>项目总控台账!J38</f>
        <v/>
      </c>
      <c r="G39" s="44">
        <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f>
        <v/>
      </c>
      <c r="H39" s="44">
        <f>IF(B39="","",IF(G39="","通过","需整改"))</f>
        <v/>
      </c>
      <c r="I39" s="44">
        <f>IF(H39="需整改","回到项目总控台账第"&amp;J39&amp;"行补齐或修正","无需处理")</f>
        <v/>
      </c>
      <c r="J39" s="44" t="n">
        <v>38</v>
      </c>
    </row>
    <row r="40">
      <c r="A40" s="44" t="inlineStr">
        <is>
          <t>项目总控台账</t>
        </is>
      </c>
      <c r="B40" s="44">
        <f>项目总控台账!A39</f>
        <v/>
      </c>
      <c r="C40" s="44">
        <f>IF(AND(项目总控台账!E39&lt;&gt;"",项目总控台账!E39&lt;&gt;"/"),项目总控台账!E39,IF(AND(项目总控台账!D39&lt;&gt;"",项目总控台账!D39&lt;&gt;"/"),项目总控台账!D39,项目总控台账!C39))</f>
        <v/>
      </c>
      <c r="D40" s="44">
        <f>项目总控台账!H39</f>
        <v/>
      </c>
      <c r="E40" s="46">
        <f>项目总控台账!I39</f>
        <v/>
      </c>
      <c r="F40" s="46">
        <f>项目总控台账!J39</f>
        <v/>
      </c>
      <c r="G40" s="44">
        <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f>
        <v/>
      </c>
      <c r="H40" s="44">
        <f>IF(B40="","",IF(G40="","通过","需整改"))</f>
        <v/>
      </c>
      <c r="I40" s="44">
        <f>IF(H40="需整改","回到项目总控台账第"&amp;J40&amp;"行补齐或修正","无需处理")</f>
        <v/>
      </c>
      <c r="J40" s="44" t="n">
        <v>39</v>
      </c>
    </row>
    <row r="41">
      <c r="A41" s="44" t="inlineStr">
        <is>
          <t>项目总控台账</t>
        </is>
      </c>
      <c r="B41" s="44">
        <f>项目总控台账!A40</f>
        <v/>
      </c>
      <c r="C41" s="44">
        <f>IF(AND(项目总控台账!E40&lt;&gt;"",项目总控台账!E40&lt;&gt;"/"),项目总控台账!E40,IF(AND(项目总控台账!D40&lt;&gt;"",项目总控台账!D40&lt;&gt;"/"),项目总控台账!D40,项目总控台账!C40))</f>
        <v/>
      </c>
      <c r="D41" s="44">
        <f>项目总控台账!H40</f>
        <v/>
      </c>
      <c r="E41" s="46">
        <f>项目总控台账!I40</f>
        <v/>
      </c>
      <c r="F41" s="46">
        <f>项目总控台账!J40</f>
        <v/>
      </c>
      <c r="G41" s="44">
        <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f>
        <v/>
      </c>
      <c r="H41" s="44">
        <f>IF(B41="","",IF(G41="","通过","需整改"))</f>
        <v/>
      </c>
      <c r="I41" s="44">
        <f>IF(H41="需整改","回到项目总控台账第"&amp;J41&amp;"行补齐或修正","无需处理")</f>
        <v/>
      </c>
      <c r="J41" s="44" t="n">
        <v>40</v>
      </c>
    </row>
    <row r="42">
      <c r="A42" s="44" t="inlineStr">
        <is>
          <t>项目总控台账</t>
        </is>
      </c>
      <c r="B42" s="44">
        <f>项目总控台账!A41</f>
        <v/>
      </c>
      <c r="C42" s="44">
        <f>IF(AND(项目总控台账!E41&lt;&gt;"",项目总控台账!E41&lt;&gt;"/"),项目总控台账!E41,IF(AND(项目总控台账!D41&lt;&gt;"",项目总控台账!D41&lt;&gt;"/"),项目总控台账!D41,项目总控台账!C41))</f>
        <v/>
      </c>
      <c r="D42" s="44">
        <f>项目总控台账!H41</f>
        <v/>
      </c>
      <c r="E42" s="46">
        <f>项目总控台账!I41</f>
        <v/>
      </c>
      <c r="F42" s="46">
        <f>项目总控台账!J41</f>
        <v/>
      </c>
      <c r="G42" s="44">
        <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f>
        <v/>
      </c>
      <c r="H42" s="44">
        <f>IF(B42="","",IF(G42="","通过","需整改"))</f>
        <v/>
      </c>
      <c r="I42" s="44">
        <f>IF(H42="需整改","回到项目总控台账第"&amp;J42&amp;"行补齐或修正","无需处理")</f>
        <v/>
      </c>
      <c r="J42" s="44" t="n">
        <v>41</v>
      </c>
    </row>
    <row r="43">
      <c r="A43" s="44" t="inlineStr">
        <is>
          <t>项目总控台账</t>
        </is>
      </c>
      <c r="B43" s="44">
        <f>项目总控台账!A42</f>
        <v/>
      </c>
      <c r="C43" s="44">
        <f>IF(AND(项目总控台账!E42&lt;&gt;"",项目总控台账!E42&lt;&gt;"/"),项目总控台账!E42,IF(AND(项目总控台账!D42&lt;&gt;"",项目总控台账!D42&lt;&gt;"/"),项目总控台账!D42,项目总控台账!C42))</f>
        <v/>
      </c>
      <c r="D43" s="44">
        <f>项目总控台账!H42</f>
        <v/>
      </c>
      <c r="E43" s="46">
        <f>项目总控台账!I42</f>
        <v/>
      </c>
      <c r="F43" s="46">
        <f>项目总控台账!J42</f>
        <v/>
      </c>
      <c r="G43" s="44">
        <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f>
        <v/>
      </c>
      <c r="H43" s="44">
        <f>IF(B43="","",IF(G43="","通过","需整改"))</f>
        <v/>
      </c>
      <c r="I43" s="44">
        <f>IF(H43="需整改","回到项目总控台账第"&amp;J43&amp;"行补齐或修正","无需处理")</f>
        <v/>
      </c>
      <c r="J43" s="44" t="n">
        <v>42</v>
      </c>
    </row>
    <row r="44">
      <c r="A44" s="44" t="inlineStr">
        <is>
          <t>项目总控台账</t>
        </is>
      </c>
      <c r="B44" s="44">
        <f>项目总控台账!A43</f>
        <v/>
      </c>
      <c r="C44" s="44">
        <f>IF(AND(项目总控台账!E43&lt;&gt;"",项目总控台账!E43&lt;&gt;"/"),项目总控台账!E43,IF(AND(项目总控台账!D43&lt;&gt;"",项目总控台账!D43&lt;&gt;"/"),项目总控台账!D43,项目总控台账!C43))</f>
        <v/>
      </c>
      <c r="D44" s="44">
        <f>项目总控台账!H43</f>
        <v/>
      </c>
      <c r="E44" s="46">
        <f>项目总控台账!I43</f>
        <v/>
      </c>
      <c r="F44" s="46">
        <f>项目总控台账!J43</f>
        <v/>
      </c>
      <c r="G44" s="44">
        <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f>
        <v/>
      </c>
      <c r="H44" s="44">
        <f>IF(B44="","",IF(G44="","通过","需整改"))</f>
        <v/>
      </c>
      <c r="I44" s="44">
        <f>IF(H44="需整改","回到项目总控台账第"&amp;J44&amp;"行补齐或修正","无需处理")</f>
        <v/>
      </c>
      <c r="J44" s="44" t="n">
        <v>43</v>
      </c>
    </row>
    <row r="45">
      <c r="A45" s="44" t="inlineStr">
        <is>
          <t>项目总控台账</t>
        </is>
      </c>
      <c r="B45" s="44">
        <f>项目总控台账!A44</f>
        <v/>
      </c>
      <c r="C45" s="44">
        <f>IF(AND(项目总控台账!E44&lt;&gt;"",项目总控台账!E44&lt;&gt;"/"),项目总控台账!E44,IF(AND(项目总控台账!D44&lt;&gt;"",项目总控台账!D44&lt;&gt;"/"),项目总控台账!D44,项目总控台账!C44))</f>
        <v/>
      </c>
      <c r="D45" s="44">
        <f>项目总控台账!H44</f>
        <v/>
      </c>
      <c r="E45" s="46">
        <f>项目总控台账!I44</f>
        <v/>
      </c>
      <c r="F45" s="46">
        <f>项目总控台账!J44</f>
        <v/>
      </c>
      <c r="G45" s="44">
        <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f>
        <v/>
      </c>
      <c r="H45" s="44">
        <f>IF(B45="","",IF(G45="","通过","需整改"))</f>
        <v/>
      </c>
      <c r="I45" s="44">
        <f>IF(H45="需整改","回到项目总控台账第"&amp;J45&amp;"行补齐或修正","无需处理")</f>
        <v/>
      </c>
      <c r="J45" s="44" t="n">
        <v>44</v>
      </c>
    </row>
    <row r="46">
      <c r="A46" s="44" t="inlineStr">
        <is>
          <t>项目总控台账</t>
        </is>
      </c>
      <c r="B46" s="44">
        <f>项目总控台账!A45</f>
        <v/>
      </c>
      <c r="C46" s="44">
        <f>IF(AND(项目总控台账!E45&lt;&gt;"",项目总控台账!E45&lt;&gt;"/"),项目总控台账!E45,IF(AND(项目总控台账!D45&lt;&gt;"",项目总控台账!D45&lt;&gt;"/"),项目总控台账!D45,项目总控台账!C45))</f>
        <v/>
      </c>
      <c r="D46" s="44">
        <f>项目总控台账!H45</f>
        <v/>
      </c>
      <c r="E46" s="46">
        <f>项目总控台账!I45</f>
        <v/>
      </c>
      <c r="F46" s="46">
        <f>项目总控台账!J45</f>
        <v/>
      </c>
      <c r="G46" s="44">
        <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f>
        <v/>
      </c>
      <c r="H46" s="44">
        <f>IF(B46="","",IF(G46="","通过","需整改"))</f>
        <v/>
      </c>
      <c r="I46" s="44">
        <f>IF(H46="需整改","回到项目总控台账第"&amp;J46&amp;"行补齐或修正","无需处理")</f>
        <v/>
      </c>
      <c r="J46" s="44" t="n">
        <v>45</v>
      </c>
    </row>
    <row r="47">
      <c r="A47" s="44" t="inlineStr">
        <is>
          <t>项目总控台账</t>
        </is>
      </c>
      <c r="B47" s="44">
        <f>项目总控台账!A46</f>
        <v/>
      </c>
      <c r="C47" s="44">
        <f>IF(AND(项目总控台账!E46&lt;&gt;"",项目总控台账!E46&lt;&gt;"/"),项目总控台账!E46,IF(AND(项目总控台账!D46&lt;&gt;"",项目总控台账!D46&lt;&gt;"/"),项目总控台账!D46,项目总控台账!C46))</f>
        <v/>
      </c>
      <c r="D47" s="44">
        <f>项目总控台账!H46</f>
        <v/>
      </c>
      <c r="E47" s="46">
        <f>项目总控台账!I46</f>
        <v/>
      </c>
      <c r="F47" s="46">
        <f>项目总控台账!J46</f>
        <v/>
      </c>
      <c r="G47" s="44">
        <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f>
        <v/>
      </c>
      <c r="H47" s="44">
        <f>IF(B47="","",IF(G47="","通过","需整改"))</f>
        <v/>
      </c>
      <c r="I47" s="44">
        <f>IF(H47="需整改","回到项目总控台账第"&amp;J47&amp;"行补齐或修正","无需处理")</f>
        <v/>
      </c>
      <c r="J47" s="44" t="n">
        <v>46</v>
      </c>
    </row>
    <row r="48">
      <c r="A48" s="44" t="inlineStr">
        <is>
          <t>项目总控台账</t>
        </is>
      </c>
      <c r="B48" s="44">
        <f>项目总控台账!A47</f>
        <v/>
      </c>
      <c r="C48" s="44">
        <f>IF(AND(项目总控台账!E47&lt;&gt;"",项目总控台账!E47&lt;&gt;"/"),项目总控台账!E47,IF(AND(项目总控台账!D47&lt;&gt;"",项目总控台账!D47&lt;&gt;"/"),项目总控台账!D47,项目总控台账!C47))</f>
        <v/>
      </c>
      <c r="D48" s="44">
        <f>项目总控台账!H47</f>
        <v/>
      </c>
      <c r="E48" s="46">
        <f>项目总控台账!I47</f>
        <v/>
      </c>
      <c r="F48" s="46">
        <f>项目总控台账!J47</f>
        <v/>
      </c>
      <c r="G48" s="44">
        <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f>
        <v/>
      </c>
      <c r="H48" s="44">
        <f>IF(B48="","",IF(G48="","通过","需整改"))</f>
        <v/>
      </c>
      <c r="I48" s="44">
        <f>IF(H48="需整改","回到项目总控台账第"&amp;J48&amp;"行补齐或修正","无需处理")</f>
        <v/>
      </c>
      <c r="J48" s="44" t="n">
        <v>47</v>
      </c>
    </row>
    <row r="49">
      <c r="A49" s="44" t="inlineStr">
        <is>
          <t>项目总控台账</t>
        </is>
      </c>
      <c r="B49" s="44">
        <f>项目总控台账!A48</f>
        <v/>
      </c>
      <c r="C49" s="44">
        <f>IF(AND(项目总控台账!E48&lt;&gt;"",项目总控台账!E48&lt;&gt;"/"),项目总控台账!E48,IF(AND(项目总控台账!D48&lt;&gt;"",项目总控台账!D48&lt;&gt;"/"),项目总控台账!D48,项目总控台账!C48))</f>
        <v/>
      </c>
      <c r="D49" s="44">
        <f>项目总控台账!H48</f>
        <v/>
      </c>
      <c r="E49" s="46">
        <f>项目总控台账!I48</f>
        <v/>
      </c>
      <c r="F49" s="46">
        <f>项目总控台账!J48</f>
        <v/>
      </c>
      <c r="G49" s="44">
        <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f>
        <v/>
      </c>
      <c r="H49" s="44">
        <f>IF(B49="","",IF(G49="","通过","需整改"))</f>
        <v/>
      </c>
      <c r="I49" s="44">
        <f>IF(H49="需整改","回到项目总控台账第"&amp;J49&amp;"行补齐或修正","无需处理")</f>
        <v/>
      </c>
      <c r="J49" s="44" t="n">
        <v>48</v>
      </c>
    </row>
    <row r="50">
      <c r="A50" s="44" t="inlineStr">
        <is>
          <t>项目总控台账</t>
        </is>
      </c>
      <c r="B50" s="44">
        <f>项目总控台账!A49</f>
        <v/>
      </c>
      <c r="C50" s="44">
        <f>IF(AND(项目总控台账!E49&lt;&gt;"",项目总控台账!E49&lt;&gt;"/"),项目总控台账!E49,IF(AND(项目总控台账!D49&lt;&gt;"",项目总控台账!D49&lt;&gt;"/"),项目总控台账!D49,项目总控台账!C49))</f>
        <v/>
      </c>
      <c r="D50" s="44">
        <f>项目总控台账!H49</f>
        <v/>
      </c>
      <c r="E50" s="46">
        <f>项目总控台账!I49</f>
        <v/>
      </c>
      <c r="F50" s="46">
        <f>项目总控台账!J49</f>
        <v/>
      </c>
      <c r="G50" s="44">
        <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f>
        <v/>
      </c>
      <c r="H50" s="44">
        <f>IF(B50="","",IF(G50="","通过","需整改"))</f>
        <v/>
      </c>
      <c r="I50" s="44">
        <f>IF(H50="需整改","回到项目总控台账第"&amp;J50&amp;"行补齐或修正","无需处理")</f>
        <v/>
      </c>
      <c r="J50" s="44" t="n">
        <v>49</v>
      </c>
    </row>
    <row r="51">
      <c r="A51" s="44" t="inlineStr">
        <is>
          <t>项目总控台账</t>
        </is>
      </c>
      <c r="B51" s="44">
        <f>项目总控台账!A50</f>
        <v/>
      </c>
      <c r="C51" s="44">
        <f>IF(AND(项目总控台账!E50&lt;&gt;"",项目总控台账!E50&lt;&gt;"/"),项目总控台账!E50,IF(AND(项目总控台账!D50&lt;&gt;"",项目总控台账!D50&lt;&gt;"/"),项目总控台账!D50,项目总控台账!C50))</f>
        <v/>
      </c>
      <c r="D51" s="44">
        <f>项目总控台账!H50</f>
        <v/>
      </c>
      <c r="E51" s="46">
        <f>项目总控台账!I50</f>
        <v/>
      </c>
      <c r="F51" s="46">
        <f>项目总控台账!J50</f>
        <v/>
      </c>
      <c r="G51" s="44">
        <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f>
        <v/>
      </c>
      <c r="H51" s="44">
        <f>IF(B51="","",IF(G51="","通过","需整改"))</f>
        <v/>
      </c>
      <c r="I51" s="44">
        <f>IF(H51="需整改","回到项目总控台账第"&amp;J51&amp;"行补齐或修正","无需处理")</f>
        <v/>
      </c>
      <c r="J51" s="44" t="n">
        <v>50</v>
      </c>
    </row>
    <row r="52">
      <c r="A52" s="44" t="inlineStr">
        <is>
          <t>项目总控台账</t>
        </is>
      </c>
      <c r="B52" s="44">
        <f>项目总控台账!A51</f>
        <v/>
      </c>
      <c r="C52" s="44">
        <f>IF(AND(项目总控台账!E51&lt;&gt;"",项目总控台账!E51&lt;&gt;"/"),项目总控台账!E51,IF(AND(项目总控台账!D51&lt;&gt;"",项目总控台账!D51&lt;&gt;"/"),项目总控台账!D51,项目总控台账!C51))</f>
        <v/>
      </c>
      <c r="D52" s="44">
        <f>项目总控台账!H51</f>
        <v/>
      </c>
      <c r="E52" s="46">
        <f>项目总控台账!I51</f>
        <v/>
      </c>
      <c r="F52" s="46">
        <f>项目总控台账!J51</f>
        <v/>
      </c>
      <c r="G52" s="44">
        <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f>
        <v/>
      </c>
      <c r="H52" s="44">
        <f>IF(B52="","",IF(G52="","通过","需整改"))</f>
        <v/>
      </c>
      <c r="I52" s="44">
        <f>IF(H52="需整改","回到项目总控台账第"&amp;J52&amp;"行补齐或修正","无需处理")</f>
        <v/>
      </c>
      <c r="J52" s="44" t="n">
        <v>51</v>
      </c>
    </row>
    <row r="53">
      <c r="A53" s="44" t="inlineStr">
        <is>
          <t>项目总控台账</t>
        </is>
      </c>
      <c r="B53" s="44">
        <f>项目总控台账!A52</f>
        <v/>
      </c>
      <c r="C53" s="44">
        <f>IF(AND(项目总控台账!E52&lt;&gt;"",项目总控台账!E52&lt;&gt;"/"),项目总控台账!E52,IF(AND(项目总控台账!D52&lt;&gt;"",项目总控台账!D52&lt;&gt;"/"),项目总控台账!D52,项目总控台账!C52))</f>
        <v/>
      </c>
      <c r="D53" s="44">
        <f>项目总控台账!H52</f>
        <v/>
      </c>
      <c r="E53" s="46">
        <f>项目总控台账!I52</f>
        <v/>
      </c>
      <c r="F53" s="46">
        <f>项目总控台账!J52</f>
        <v/>
      </c>
      <c r="G53" s="44">
        <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f>
        <v/>
      </c>
      <c r="H53" s="44">
        <f>IF(B53="","",IF(G53="","通过","需整改"))</f>
        <v/>
      </c>
      <c r="I53" s="44">
        <f>IF(H53="需整改","回到项目总控台账第"&amp;J53&amp;"行补齐或修正","无需处理")</f>
        <v/>
      </c>
      <c r="J53" s="44" t="n">
        <v>52</v>
      </c>
    </row>
    <row r="54">
      <c r="A54" s="44" t="inlineStr">
        <is>
          <t>项目总控台账</t>
        </is>
      </c>
      <c r="B54" s="44">
        <f>项目总控台账!A53</f>
        <v/>
      </c>
      <c r="C54" s="44">
        <f>IF(AND(项目总控台账!E53&lt;&gt;"",项目总控台账!E53&lt;&gt;"/"),项目总控台账!E53,IF(AND(项目总控台账!D53&lt;&gt;"",项目总控台账!D53&lt;&gt;"/"),项目总控台账!D53,项目总控台账!C53))</f>
        <v/>
      </c>
      <c r="D54" s="44">
        <f>项目总控台账!H53</f>
        <v/>
      </c>
      <c r="E54" s="46">
        <f>项目总控台账!I53</f>
        <v/>
      </c>
      <c r="F54" s="46">
        <f>项目总控台账!J53</f>
        <v/>
      </c>
      <c r="G54" s="44">
        <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f>
        <v/>
      </c>
      <c r="H54" s="44">
        <f>IF(B54="","",IF(G54="","通过","需整改"))</f>
        <v/>
      </c>
      <c r="I54" s="44">
        <f>IF(H54="需整改","回到项目总控台账第"&amp;J54&amp;"行补齐或修正","无需处理")</f>
        <v/>
      </c>
      <c r="J54" s="44" t="n">
        <v>53</v>
      </c>
    </row>
    <row r="55">
      <c r="A55" s="44" t="inlineStr">
        <is>
          <t>项目总控台账</t>
        </is>
      </c>
      <c r="B55" s="44">
        <f>项目总控台账!A54</f>
        <v/>
      </c>
      <c r="C55" s="44">
        <f>IF(AND(项目总控台账!E54&lt;&gt;"",项目总控台账!E54&lt;&gt;"/"),项目总控台账!E54,IF(AND(项目总控台账!D54&lt;&gt;"",项目总控台账!D54&lt;&gt;"/"),项目总控台账!D54,项目总控台账!C54))</f>
        <v/>
      </c>
      <c r="D55" s="44">
        <f>项目总控台账!H54</f>
        <v/>
      </c>
      <c r="E55" s="46">
        <f>项目总控台账!I54</f>
        <v/>
      </c>
      <c r="F55" s="46">
        <f>项目总控台账!J54</f>
        <v/>
      </c>
      <c r="G55" s="44">
        <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f>
        <v/>
      </c>
      <c r="H55" s="44">
        <f>IF(B55="","",IF(G55="","通过","需整改"))</f>
        <v/>
      </c>
      <c r="I55" s="44">
        <f>IF(H55="需整改","回到项目总控台账第"&amp;J55&amp;"行补齐或修正","无需处理")</f>
        <v/>
      </c>
      <c r="J55" s="44" t="n">
        <v>54</v>
      </c>
    </row>
    <row r="56">
      <c r="A56" s="44" t="inlineStr">
        <is>
          <t>项目总控台账</t>
        </is>
      </c>
      <c r="B56" s="44">
        <f>项目总控台账!A55</f>
        <v/>
      </c>
      <c r="C56" s="44">
        <f>IF(AND(项目总控台账!E55&lt;&gt;"",项目总控台账!E55&lt;&gt;"/"),项目总控台账!E55,IF(AND(项目总控台账!D55&lt;&gt;"",项目总控台账!D55&lt;&gt;"/"),项目总控台账!D55,项目总控台账!C55))</f>
        <v/>
      </c>
      <c r="D56" s="44">
        <f>项目总控台账!H55</f>
        <v/>
      </c>
      <c r="E56" s="46">
        <f>项目总控台账!I55</f>
        <v/>
      </c>
      <c r="F56" s="46">
        <f>项目总控台账!J55</f>
        <v/>
      </c>
      <c r="G56" s="44">
        <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f>
        <v/>
      </c>
      <c r="H56" s="44">
        <f>IF(B56="","",IF(G56="","通过","需整改"))</f>
        <v/>
      </c>
      <c r="I56" s="44">
        <f>IF(H56="需整改","回到项目总控台账第"&amp;J56&amp;"行补齐或修正","无需处理")</f>
        <v/>
      </c>
      <c r="J56" s="44" t="n">
        <v>55</v>
      </c>
    </row>
    <row r="57">
      <c r="A57" s="44" t="inlineStr">
        <is>
          <t>项目总控台账</t>
        </is>
      </c>
      <c r="B57" s="44">
        <f>项目总控台账!A56</f>
        <v/>
      </c>
      <c r="C57" s="44">
        <f>IF(AND(项目总控台账!E56&lt;&gt;"",项目总控台账!E56&lt;&gt;"/"),项目总控台账!E56,IF(AND(项目总控台账!D56&lt;&gt;"",项目总控台账!D56&lt;&gt;"/"),项目总控台账!D56,项目总控台账!C56))</f>
        <v/>
      </c>
      <c r="D57" s="44">
        <f>项目总控台账!H56</f>
        <v/>
      </c>
      <c r="E57" s="46">
        <f>项目总控台账!I56</f>
        <v/>
      </c>
      <c r="F57" s="46">
        <f>项目总控台账!J56</f>
        <v/>
      </c>
      <c r="G57" s="44">
        <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f>
        <v/>
      </c>
      <c r="H57" s="44">
        <f>IF(B57="","",IF(G57="","通过","需整改"))</f>
        <v/>
      </c>
      <c r="I57" s="44">
        <f>IF(H57="需整改","回到项目总控台账第"&amp;J57&amp;"行补齐或修正","无需处理")</f>
        <v/>
      </c>
      <c r="J57" s="44" t="n">
        <v>56</v>
      </c>
    </row>
    <row r="58">
      <c r="A58" s="44" t="inlineStr">
        <is>
          <t>项目总控台账</t>
        </is>
      </c>
      <c r="B58" s="44">
        <f>项目总控台账!A57</f>
        <v/>
      </c>
      <c r="C58" s="44">
        <f>IF(AND(项目总控台账!E57&lt;&gt;"",项目总控台账!E57&lt;&gt;"/"),项目总控台账!E57,IF(AND(项目总控台账!D57&lt;&gt;"",项目总控台账!D57&lt;&gt;"/"),项目总控台账!D57,项目总控台账!C57))</f>
        <v/>
      </c>
      <c r="D58" s="44">
        <f>项目总控台账!H57</f>
        <v/>
      </c>
      <c r="E58" s="46">
        <f>项目总控台账!I57</f>
        <v/>
      </c>
      <c r="F58" s="46">
        <f>项目总控台账!J57</f>
        <v/>
      </c>
      <c r="G58" s="44">
        <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f>
        <v/>
      </c>
      <c r="H58" s="44">
        <f>IF(B58="","",IF(G58="","通过","需整改"))</f>
        <v/>
      </c>
      <c r="I58" s="44">
        <f>IF(H58="需整改","回到项目总控台账第"&amp;J58&amp;"行补齐或修正","无需处理")</f>
        <v/>
      </c>
      <c r="J58" s="44" t="n">
        <v>57</v>
      </c>
    </row>
    <row r="59">
      <c r="A59" s="44" t="inlineStr">
        <is>
          <t>项目总控台账</t>
        </is>
      </c>
      <c r="B59" s="44">
        <f>项目总控台账!A58</f>
        <v/>
      </c>
      <c r="C59" s="44">
        <f>IF(AND(项目总控台账!E58&lt;&gt;"",项目总控台账!E58&lt;&gt;"/"),项目总控台账!E58,IF(AND(项目总控台账!D58&lt;&gt;"",项目总控台账!D58&lt;&gt;"/"),项目总控台账!D58,项目总控台账!C58))</f>
        <v/>
      </c>
      <c r="D59" s="44">
        <f>项目总控台账!H58</f>
        <v/>
      </c>
      <c r="E59" s="46">
        <f>项目总控台账!I58</f>
        <v/>
      </c>
      <c r="F59" s="46">
        <f>项目总控台账!J58</f>
        <v/>
      </c>
      <c r="G59" s="44">
        <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f>
        <v/>
      </c>
      <c r="H59" s="44">
        <f>IF(B59="","",IF(G59="","通过","需整改"))</f>
        <v/>
      </c>
      <c r="I59" s="44">
        <f>IF(H59="需整改","回到项目总控台账第"&amp;J59&amp;"行补齐或修正","无需处理")</f>
        <v/>
      </c>
      <c r="J59" s="44" t="n">
        <v>58</v>
      </c>
    </row>
    <row r="60">
      <c r="A60" s="44" t="inlineStr">
        <is>
          <t>项目总控台账</t>
        </is>
      </c>
      <c r="B60" s="44">
        <f>项目总控台账!A59</f>
        <v/>
      </c>
      <c r="C60" s="44">
        <f>IF(AND(项目总控台账!E59&lt;&gt;"",项目总控台账!E59&lt;&gt;"/"),项目总控台账!E59,IF(AND(项目总控台账!D59&lt;&gt;"",项目总控台账!D59&lt;&gt;"/"),项目总控台账!D59,项目总控台账!C59))</f>
        <v/>
      </c>
      <c r="D60" s="44">
        <f>项目总控台账!H59</f>
        <v/>
      </c>
      <c r="E60" s="46">
        <f>项目总控台账!I59</f>
        <v/>
      </c>
      <c r="F60" s="46">
        <f>项目总控台账!J59</f>
        <v/>
      </c>
      <c r="G60" s="44">
        <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f>
        <v/>
      </c>
      <c r="H60" s="44">
        <f>IF(B60="","",IF(G60="","通过","需整改"))</f>
        <v/>
      </c>
      <c r="I60" s="44">
        <f>IF(H60="需整改","回到项目总控台账第"&amp;J60&amp;"行补齐或修正","无需处理")</f>
        <v/>
      </c>
      <c r="J60" s="44" t="n">
        <v>59</v>
      </c>
    </row>
    <row r="61">
      <c r="A61" s="44" t="inlineStr">
        <is>
          <t>项目总控台账</t>
        </is>
      </c>
      <c r="B61" s="44">
        <f>项目总控台账!A60</f>
        <v/>
      </c>
      <c r="C61" s="44">
        <f>IF(AND(项目总控台账!E60&lt;&gt;"",项目总控台账!E60&lt;&gt;"/"),项目总控台账!E60,IF(AND(项目总控台账!D60&lt;&gt;"",项目总控台账!D60&lt;&gt;"/"),项目总控台账!D60,项目总控台账!C60))</f>
        <v/>
      </c>
      <c r="D61" s="44">
        <f>项目总控台账!H60</f>
        <v/>
      </c>
      <c r="E61" s="46">
        <f>项目总控台账!I60</f>
        <v/>
      </c>
      <c r="F61" s="46">
        <f>项目总控台账!J60</f>
        <v/>
      </c>
      <c r="G61" s="44">
        <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f>
        <v/>
      </c>
      <c r="H61" s="44">
        <f>IF(B61="","",IF(G61="","通过","需整改"))</f>
        <v/>
      </c>
      <c r="I61" s="44">
        <f>IF(H61="需整改","回到项目总控台账第"&amp;J61&amp;"行补齐或修正","无需处理")</f>
        <v/>
      </c>
      <c r="J61" s="44" t="n">
        <v>60</v>
      </c>
    </row>
    <row r="62">
      <c r="A62" s="44" t="inlineStr">
        <is>
          <t>项目总控台账</t>
        </is>
      </c>
      <c r="B62" s="44">
        <f>项目总控台账!A61</f>
        <v/>
      </c>
      <c r="C62" s="44">
        <f>IF(AND(项目总控台账!E61&lt;&gt;"",项目总控台账!E61&lt;&gt;"/"),项目总控台账!E61,IF(AND(项目总控台账!D61&lt;&gt;"",项目总控台账!D61&lt;&gt;"/"),项目总控台账!D61,项目总控台账!C61))</f>
        <v/>
      </c>
      <c r="D62" s="44">
        <f>项目总控台账!H61</f>
        <v/>
      </c>
      <c r="E62" s="46">
        <f>项目总控台账!I61</f>
        <v/>
      </c>
      <c r="F62" s="46">
        <f>项目总控台账!J61</f>
        <v/>
      </c>
      <c r="G62" s="44">
        <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f>
        <v/>
      </c>
      <c r="H62" s="44">
        <f>IF(B62="","",IF(G62="","通过","需整改"))</f>
        <v/>
      </c>
      <c r="I62" s="44">
        <f>IF(H62="需整改","回到项目总控台账第"&amp;J62&amp;"行补齐或修正","无需处理")</f>
        <v/>
      </c>
      <c r="J62" s="44" t="n">
        <v>61</v>
      </c>
    </row>
    <row r="63">
      <c r="A63" s="44" t="inlineStr">
        <is>
          <t>项目总控台账</t>
        </is>
      </c>
      <c r="B63" s="44">
        <f>项目总控台账!A62</f>
        <v/>
      </c>
      <c r="C63" s="44">
        <f>IF(AND(项目总控台账!E62&lt;&gt;"",项目总控台账!E62&lt;&gt;"/"),项目总控台账!E62,IF(AND(项目总控台账!D62&lt;&gt;"",项目总控台账!D62&lt;&gt;"/"),项目总控台账!D62,项目总控台账!C62))</f>
        <v/>
      </c>
      <c r="D63" s="44">
        <f>项目总控台账!H62</f>
        <v/>
      </c>
      <c r="E63" s="46">
        <f>项目总控台账!I62</f>
        <v/>
      </c>
      <c r="F63" s="46">
        <f>项目总控台账!J62</f>
        <v/>
      </c>
      <c r="G63" s="44">
        <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f>
        <v/>
      </c>
      <c r="H63" s="44">
        <f>IF(B63="","",IF(G63="","通过","需整改"))</f>
        <v/>
      </c>
      <c r="I63" s="44">
        <f>IF(H63="需整改","回到项目总控台账第"&amp;J63&amp;"行补齐或修正","无需处理")</f>
        <v/>
      </c>
      <c r="J63" s="44" t="n">
        <v>62</v>
      </c>
    </row>
    <row r="64">
      <c r="A64" s="44" t="inlineStr">
        <is>
          <t>项目总控台账</t>
        </is>
      </c>
      <c r="B64" s="44">
        <f>项目总控台账!A63</f>
        <v/>
      </c>
      <c r="C64" s="44">
        <f>IF(AND(项目总控台账!E63&lt;&gt;"",项目总控台账!E63&lt;&gt;"/"),项目总控台账!E63,IF(AND(项目总控台账!D63&lt;&gt;"",项目总控台账!D63&lt;&gt;"/"),项目总控台账!D63,项目总控台账!C63))</f>
        <v/>
      </c>
      <c r="D64" s="44">
        <f>项目总控台账!H63</f>
        <v/>
      </c>
      <c r="E64" s="46">
        <f>项目总控台账!I63</f>
        <v/>
      </c>
      <c r="F64" s="46">
        <f>项目总控台账!J63</f>
        <v/>
      </c>
      <c r="G64" s="44">
        <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f>
        <v/>
      </c>
      <c r="H64" s="44">
        <f>IF(B64="","",IF(G64="","通过","需整改"))</f>
        <v/>
      </c>
      <c r="I64" s="44">
        <f>IF(H64="需整改","回到项目总控台账第"&amp;J64&amp;"行补齐或修正","无需处理")</f>
        <v/>
      </c>
      <c r="J64" s="44" t="n">
        <v>63</v>
      </c>
    </row>
    <row r="65">
      <c r="A65" s="44" t="inlineStr">
        <is>
          <t>项目总控台账</t>
        </is>
      </c>
      <c r="B65" s="44">
        <f>项目总控台账!A64</f>
        <v/>
      </c>
      <c r="C65" s="44">
        <f>IF(AND(项目总控台账!E64&lt;&gt;"",项目总控台账!E64&lt;&gt;"/"),项目总控台账!E64,IF(AND(项目总控台账!D64&lt;&gt;"",项目总控台账!D64&lt;&gt;"/"),项目总控台账!D64,项目总控台账!C64))</f>
        <v/>
      </c>
      <c r="D65" s="44">
        <f>项目总控台账!H64</f>
        <v/>
      </c>
      <c r="E65" s="46">
        <f>项目总控台账!I64</f>
        <v/>
      </c>
      <c r="F65" s="46">
        <f>项目总控台账!J64</f>
        <v/>
      </c>
      <c r="G65" s="44">
        <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f>
        <v/>
      </c>
      <c r="H65" s="44">
        <f>IF(B65="","",IF(G65="","通过","需整改"))</f>
        <v/>
      </c>
      <c r="I65" s="44">
        <f>IF(H65="需整改","回到项目总控台账第"&amp;J65&amp;"行补齐或修正","无需处理")</f>
        <v/>
      </c>
      <c r="J65" s="44" t="n">
        <v>64</v>
      </c>
    </row>
    <row r="66">
      <c r="A66" s="44" t="inlineStr">
        <is>
          <t>项目总控台账</t>
        </is>
      </c>
      <c r="B66" s="44">
        <f>项目总控台账!A65</f>
        <v/>
      </c>
      <c r="C66" s="44">
        <f>IF(AND(项目总控台账!E65&lt;&gt;"",项目总控台账!E65&lt;&gt;"/"),项目总控台账!E65,IF(AND(项目总控台账!D65&lt;&gt;"",项目总控台账!D65&lt;&gt;"/"),项目总控台账!D65,项目总控台账!C65))</f>
        <v/>
      </c>
      <c r="D66" s="44">
        <f>项目总控台账!H65</f>
        <v/>
      </c>
      <c r="E66" s="46">
        <f>项目总控台账!I65</f>
        <v/>
      </c>
      <c r="F66" s="46">
        <f>项目总控台账!J65</f>
        <v/>
      </c>
      <c r="G66" s="44">
        <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f>
        <v/>
      </c>
      <c r="H66" s="44">
        <f>IF(B66="","",IF(G66="","通过","需整改"))</f>
        <v/>
      </c>
      <c r="I66" s="44">
        <f>IF(H66="需整改","回到项目总控台账第"&amp;J66&amp;"行补齐或修正","无需处理")</f>
        <v/>
      </c>
      <c r="J66" s="44" t="n">
        <v>65</v>
      </c>
    </row>
    <row r="67">
      <c r="A67" s="44" t="inlineStr">
        <is>
          <t>项目总控台账</t>
        </is>
      </c>
      <c r="B67" s="44">
        <f>项目总控台账!A66</f>
        <v/>
      </c>
      <c r="C67" s="44">
        <f>IF(AND(项目总控台账!E66&lt;&gt;"",项目总控台账!E66&lt;&gt;"/"),项目总控台账!E66,IF(AND(项目总控台账!D66&lt;&gt;"",项目总控台账!D66&lt;&gt;"/"),项目总控台账!D66,项目总控台账!C66))</f>
        <v/>
      </c>
      <c r="D67" s="44">
        <f>项目总控台账!H66</f>
        <v/>
      </c>
      <c r="E67" s="46">
        <f>项目总控台账!I66</f>
        <v/>
      </c>
      <c r="F67" s="46">
        <f>项目总控台账!J66</f>
        <v/>
      </c>
      <c r="G67" s="44">
        <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f>
        <v/>
      </c>
      <c r="H67" s="44">
        <f>IF(B67="","",IF(G67="","通过","需整改"))</f>
        <v/>
      </c>
      <c r="I67" s="44">
        <f>IF(H67="需整改","回到项目总控台账第"&amp;J67&amp;"行补齐或修正","无需处理")</f>
        <v/>
      </c>
      <c r="J67" s="44" t="n">
        <v>66</v>
      </c>
    </row>
    <row r="68">
      <c r="A68" s="44" t="inlineStr">
        <is>
          <t>项目总控台账</t>
        </is>
      </c>
      <c r="B68" s="44">
        <f>项目总控台账!A67</f>
        <v/>
      </c>
      <c r="C68" s="44">
        <f>IF(AND(项目总控台账!E67&lt;&gt;"",项目总控台账!E67&lt;&gt;"/"),项目总控台账!E67,IF(AND(项目总控台账!D67&lt;&gt;"",项目总控台账!D67&lt;&gt;"/"),项目总控台账!D67,项目总控台账!C67))</f>
        <v/>
      </c>
      <c r="D68" s="44">
        <f>项目总控台账!H67</f>
        <v/>
      </c>
      <c r="E68" s="46">
        <f>项目总控台账!I67</f>
        <v/>
      </c>
      <c r="F68" s="46">
        <f>项目总控台账!J67</f>
        <v/>
      </c>
      <c r="G68" s="44">
        <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f>
        <v/>
      </c>
      <c r="H68" s="44">
        <f>IF(B68="","",IF(G68="","通过","需整改"))</f>
        <v/>
      </c>
      <c r="I68" s="44">
        <f>IF(H68="需整改","回到项目总控台账第"&amp;J68&amp;"行补齐或修正","无需处理")</f>
        <v/>
      </c>
      <c r="J68" s="44" t="n">
        <v>67</v>
      </c>
    </row>
    <row r="69">
      <c r="A69" s="44" t="inlineStr">
        <is>
          <t>项目总控台账</t>
        </is>
      </c>
      <c r="B69" s="44">
        <f>项目总控台账!A68</f>
        <v/>
      </c>
      <c r="C69" s="44">
        <f>IF(AND(项目总控台账!E68&lt;&gt;"",项目总控台账!E68&lt;&gt;"/"),项目总控台账!E68,IF(AND(项目总控台账!D68&lt;&gt;"",项目总控台账!D68&lt;&gt;"/"),项目总控台账!D68,项目总控台账!C68))</f>
        <v/>
      </c>
      <c r="D69" s="44">
        <f>项目总控台账!H68</f>
        <v/>
      </c>
      <c r="E69" s="46">
        <f>项目总控台账!I68</f>
        <v/>
      </c>
      <c r="F69" s="46">
        <f>项目总控台账!J68</f>
        <v/>
      </c>
      <c r="G69" s="44">
        <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f>
        <v/>
      </c>
      <c r="H69" s="44">
        <f>IF(B69="","",IF(G69="","通过","需整改"))</f>
        <v/>
      </c>
      <c r="I69" s="44">
        <f>IF(H69="需整改","回到项目总控台账第"&amp;J69&amp;"行补齐或修正","无需处理")</f>
        <v/>
      </c>
      <c r="J69" s="44" t="n">
        <v>68</v>
      </c>
    </row>
    <row r="70">
      <c r="A70" s="44" t="inlineStr">
        <is>
          <t>项目总控台账</t>
        </is>
      </c>
      <c r="B70" s="44">
        <f>项目总控台账!A69</f>
        <v/>
      </c>
      <c r="C70" s="44">
        <f>IF(AND(项目总控台账!E69&lt;&gt;"",项目总控台账!E69&lt;&gt;"/"),项目总控台账!E69,IF(AND(项目总控台账!D69&lt;&gt;"",项目总控台账!D69&lt;&gt;"/"),项目总控台账!D69,项目总控台账!C69))</f>
        <v/>
      </c>
      <c r="D70" s="44">
        <f>项目总控台账!H69</f>
        <v/>
      </c>
      <c r="E70" s="46">
        <f>项目总控台账!I69</f>
        <v/>
      </c>
      <c r="F70" s="46">
        <f>项目总控台账!J69</f>
        <v/>
      </c>
      <c r="G70" s="44">
        <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f>
        <v/>
      </c>
      <c r="H70" s="44">
        <f>IF(B70="","",IF(G70="","通过","需整改"))</f>
        <v/>
      </c>
      <c r="I70" s="44">
        <f>IF(H70="需整改","回到项目总控台账第"&amp;J70&amp;"行补齐或修正","无需处理")</f>
        <v/>
      </c>
      <c r="J70" s="44" t="n">
        <v>69</v>
      </c>
    </row>
    <row r="71">
      <c r="A71" s="44" t="inlineStr">
        <is>
          <t>项目总控台账</t>
        </is>
      </c>
      <c r="B71" s="44">
        <f>项目总控台账!A70</f>
        <v/>
      </c>
      <c r="C71" s="44">
        <f>IF(AND(项目总控台账!E70&lt;&gt;"",项目总控台账!E70&lt;&gt;"/"),项目总控台账!E70,IF(AND(项目总控台账!D70&lt;&gt;"",项目总控台账!D70&lt;&gt;"/"),项目总控台账!D70,项目总控台账!C70))</f>
        <v/>
      </c>
      <c r="D71" s="44">
        <f>项目总控台账!H70</f>
        <v/>
      </c>
      <c r="E71" s="46">
        <f>项目总控台账!I70</f>
        <v/>
      </c>
      <c r="F71" s="46">
        <f>项目总控台账!J70</f>
        <v/>
      </c>
      <c r="G71" s="44">
        <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f>
        <v/>
      </c>
      <c r="H71" s="44">
        <f>IF(B71="","",IF(G71="","通过","需整改"))</f>
        <v/>
      </c>
      <c r="I71" s="44">
        <f>IF(H71="需整改","回到项目总控台账第"&amp;J71&amp;"行补齐或修正","无需处理")</f>
        <v/>
      </c>
      <c r="J71" s="44" t="n">
        <v>70</v>
      </c>
    </row>
    <row r="72">
      <c r="A72" s="44" t="inlineStr">
        <is>
          <t>项目总控台账</t>
        </is>
      </c>
      <c r="B72" s="44">
        <f>项目总控台账!A71</f>
        <v/>
      </c>
      <c r="C72" s="44">
        <f>IF(AND(项目总控台账!E71&lt;&gt;"",项目总控台账!E71&lt;&gt;"/"),项目总控台账!E71,IF(AND(项目总控台账!D71&lt;&gt;"",项目总控台账!D71&lt;&gt;"/"),项目总控台账!D71,项目总控台账!C71))</f>
        <v/>
      </c>
      <c r="D72" s="44">
        <f>项目总控台账!H71</f>
        <v/>
      </c>
      <c r="E72" s="46">
        <f>项目总控台账!I71</f>
        <v/>
      </c>
      <c r="F72" s="46">
        <f>项目总控台账!J71</f>
        <v/>
      </c>
      <c r="G72" s="44">
        <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f>
        <v/>
      </c>
      <c r="H72" s="44">
        <f>IF(B72="","",IF(G72="","通过","需整改"))</f>
        <v/>
      </c>
      <c r="I72" s="44">
        <f>IF(H72="需整改","回到项目总控台账第"&amp;J72&amp;"行补齐或修正","无需处理")</f>
        <v/>
      </c>
      <c r="J72" s="44" t="n">
        <v>71</v>
      </c>
    </row>
    <row r="73">
      <c r="A73" s="44" t="inlineStr">
        <is>
          <t>项目总控台账</t>
        </is>
      </c>
      <c r="B73" s="44">
        <f>项目总控台账!A72</f>
        <v/>
      </c>
      <c r="C73" s="44">
        <f>IF(AND(项目总控台账!E72&lt;&gt;"",项目总控台账!E72&lt;&gt;"/"),项目总控台账!E72,IF(AND(项目总控台账!D72&lt;&gt;"",项目总控台账!D72&lt;&gt;"/"),项目总控台账!D72,项目总控台账!C72))</f>
        <v/>
      </c>
      <c r="D73" s="44">
        <f>项目总控台账!H72</f>
        <v/>
      </c>
      <c r="E73" s="46">
        <f>项目总控台账!I72</f>
        <v/>
      </c>
      <c r="F73" s="46">
        <f>项目总控台账!J72</f>
        <v/>
      </c>
      <c r="G73" s="44">
        <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f>
        <v/>
      </c>
      <c r="H73" s="44">
        <f>IF(B73="","",IF(G73="","通过","需整改"))</f>
        <v/>
      </c>
      <c r="I73" s="44">
        <f>IF(H73="需整改","回到项目总控台账第"&amp;J73&amp;"行补齐或修正","无需处理")</f>
        <v/>
      </c>
      <c r="J73" s="44" t="n">
        <v>72</v>
      </c>
    </row>
    <row r="74">
      <c r="A74" s="44" t="inlineStr">
        <is>
          <t>项目总控台账</t>
        </is>
      </c>
      <c r="B74" s="44">
        <f>项目总控台账!A73</f>
        <v/>
      </c>
      <c r="C74" s="44">
        <f>IF(AND(项目总控台账!E73&lt;&gt;"",项目总控台账!E73&lt;&gt;"/"),项目总控台账!E73,IF(AND(项目总控台账!D73&lt;&gt;"",项目总控台账!D73&lt;&gt;"/"),项目总控台账!D73,项目总控台账!C73))</f>
        <v/>
      </c>
      <c r="D74" s="44">
        <f>项目总控台账!H73</f>
        <v/>
      </c>
      <c r="E74" s="46">
        <f>项目总控台账!I73</f>
        <v/>
      </c>
      <c r="F74" s="46">
        <f>项目总控台账!J73</f>
        <v/>
      </c>
      <c r="G74" s="44">
        <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f>
        <v/>
      </c>
      <c r="H74" s="44">
        <f>IF(B74="","",IF(G74="","通过","需整改"))</f>
        <v/>
      </c>
      <c r="I74" s="44">
        <f>IF(H74="需整改","回到项目总控台账第"&amp;J74&amp;"行补齐或修正","无需处理")</f>
        <v/>
      </c>
      <c r="J74" s="44" t="n">
        <v>73</v>
      </c>
    </row>
    <row r="75">
      <c r="A75" s="44" t="inlineStr">
        <is>
          <t>项目总控台账</t>
        </is>
      </c>
      <c r="B75" s="44">
        <f>项目总控台账!A74</f>
        <v/>
      </c>
      <c r="C75" s="44">
        <f>IF(AND(项目总控台账!E74&lt;&gt;"",项目总控台账!E74&lt;&gt;"/"),项目总控台账!E74,IF(AND(项目总控台账!D74&lt;&gt;"",项目总控台账!D74&lt;&gt;"/"),项目总控台账!D74,项目总控台账!C74))</f>
        <v/>
      </c>
      <c r="D75" s="44">
        <f>项目总控台账!H74</f>
        <v/>
      </c>
      <c r="E75" s="46">
        <f>项目总控台账!I74</f>
        <v/>
      </c>
      <c r="F75" s="46">
        <f>项目总控台账!J74</f>
        <v/>
      </c>
      <c r="G75" s="44">
        <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f>
        <v/>
      </c>
      <c r="H75" s="44">
        <f>IF(B75="","",IF(G75="","通过","需整改"))</f>
        <v/>
      </c>
      <c r="I75" s="44">
        <f>IF(H75="需整改","回到项目总控台账第"&amp;J75&amp;"行补齐或修正","无需处理")</f>
        <v/>
      </c>
      <c r="J75" s="44" t="n">
        <v>74</v>
      </c>
    </row>
    <row r="76">
      <c r="A76" s="44" t="inlineStr">
        <is>
          <t>项目总控台账</t>
        </is>
      </c>
      <c r="B76" s="44">
        <f>项目总控台账!A75</f>
        <v/>
      </c>
      <c r="C76" s="44">
        <f>IF(AND(项目总控台账!E75&lt;&gt;"",项目总控台账!E75&lt;&gt;"/"),项目总控台账!E75,IF(AND(项目总控台账!D75&lt;&gt;"",项目总控台账!D75&lt;&gt;"/"),项目总控台账!D75,项目总控台账!C75))</f>
        <v/>
      </c>
      <c r="D76" s="44">
        <f>项目总控台账!H75</f>
        <v/>
      </c>
      <c r="E76" s="46">
        <f>项目总控台账!I75</f>
        <v/>
      </c>
      <c r="F76" s="46">
        <f>项目总控台账!J75</f>
        <v/>
      </c>
      <c r="G76" s="44">
        <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f>
        <v/>
      </c>
      <c r="H76" s="44">
        <f>IF(B76="","",IF(G76="","通过","需整改"))</f>
        <v/>
      </c>
      <c r="I76" s="44">
        <f>IF(H76="需整改","回到项目总控台账第"&amp;J76&amp;"行补齐或修正","无需处理")</f>
        <v/>
      </c>
      <c r="J76" s="44" t="n">
        <v>75</v>
      </c>
    </row>
    <row r="77">
      <c r="A77" s="44" t="inlineStr">
        <is>
          <t>项目总控台账</t>
        </is>
      </c>
      <c r="B77" s="44">
        <f>项目总控台账!A76</f>
        <v/>
      </c>
      <c r="C77" s="44">
        <f>IF(AND(项目总控台账!E76&lt;&gt;"",项目总控台账!E76&lt;&gt;"/"),项目总控台账!E76,IF(AND(项目总控台账!D76&lt;&gt;"",项目总控台账!D76&lt;&gt;"/"),项目总控台账!D76,项目总控台账!C76))</f>
        <v/>
      </c>
      <c r="D77" s="44">
        <f>项目总控台账!H76</f>
        <v/>
      </c>
      <c r="E77" s="46">
        <f>项目总控台账!I76</f>
        <v/>
      </c>
      <c r="F77" s="46">
        <f>项目总控台账!J76</f>
        <v/>
      </c>
      <c r="G77" s="44">
        <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f>
        <v/>
      </c>
      <c r="H77" s="44">
        <f>IF(B77="","",IF(G77="","通过","需整改"))</f>
        <v/>
      </c>
      <c r="I77" s="44">
        <f>IF(H77="需整改","回到项目总控台账第"&amp;J77&amp;"行补齐或修正","无需处理")</f>
        <v/>
      </c>
      <c r="J77" s="44" t="n">
        <v>76</v>
      </c>
    </row>
    <row r="78">
      <c r="A78" s="44" t="inlineStr">
        <is>
          <t>项目总控台账</t>
        </is>
      </c>
      <c r="B78" s="44">
        <f>项目总控台账!A77</f>
        <v/>
      </c>
      <c r="C78" s="44">
        <f>IF(AND(项目总控台账!E77&lt;&gt;"",项目总控台账!E77&lt;&gt;"/"),项目总控台账!E77,IF(AND(项目总控台账!D77&lt;&gt;"",项目总控台账!D77&lt;&gt;"/"),项目总控台账!D77,项目总控台账!C77))</f>
        <v/>
      </c>
      <c r="D78" s="44">
        <f>项目总控台账!H77</f>
        <v/>
      </c>
      <c r="E78" s="46">
        <f>项目总控台账!I77</f>
        <v/>
      </c>
      <c r="F78" s="46">
        <f>项目总控台账!J77</f>
        <v/>
      </c>
      <c r="G78" s="44">
        <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f>
        <v/>
      </c>
      <c r="H78" s="44">
        <f>IF(B78="","",IF(G78="","通过","需整改"))</f>
        <v/>
      </c>
      <c r="I78" s="44">
        <f>IF(H78="需整改","回到项目总控台账第"&amp;J78&amp;"行补齐或修正","无需处理")</f>
        <v/>
      </c>
      <c r="J78" s="44" t="n">
        <v>77</v>
      </c>
    </row>
    <row r="79">
      <c r="A79" s="44" t="inlineStr">
        <is>
          <t>项目总控台账</t>
        </is>
      </c>
      <c r="B79" s="44">
        <f>项目总控台账!A78</f>
        <v/>
      </c>
      <c r="C79" s="44">
        <f>IF(AND(项目总控台账!E78&lt;&gt;"",项目总控台账!E78&lt;&gt;"/"),项目总控台账!E78,IF(AND(项目总控台账!D78&lt;&gt;"",项目总控台账!D78&lt;&gt;"/"),项目总控台账!D78,项目总控台账!C78))</f>
        <v/>
      </c>
      <c r="D79" s="44">
        <f>项目总控台账!H78</f>
        <v/>
      </c>
      <c r="E79" s="46">
        <f>项目总控台账!I78</f>
        <v/>
      </c>
      <c r="F79" s="46">
        <f>项目总控台账!J78</f>
        <v/>
      </c>
      <c r="G79" s="44">
        <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f>
        <v/>
      </c>
      <c r="H79" s="44">
        <f>IF(B79="","",IF(G79="","通过","需整改"))</f>
        <v/>
      </c>
      <c r="I79" s="44">
        <f>IF(H79="需整改","回到项目总控台账第"&amp;J79&amp;"行补齐或修正","无需处理")</f>
        <v/>
      </c>
      <c r="J79" s="44" t="n">
        <v>78</v>
      </c>
    </row>
    <row r="80">
      <c r="A80" s="44" t="inlineStr">
        <is>
          <t>项目总控台账</t>
        </is>
      </c>
      <c r="B80" s="44">
        <f>项目总控台账!A79</f>
        <v/>
      </c>
      <c r="C80" s="44">
        <f>IF(AND(项目总控台账!E79&lt;&gt;"",项目总控台账!E79&lt;&gt;"/"),项目总控台账!E79,IF(AND(项目总控台账!D79&lt;&gt;"",项目总控台账!D79&lt;&gt;"/"),项目总控台账!D79,项目总控台账!C79))</f>
        <v/>
      </c>
      <c r="D80" s="44">
        <f>项目总控台账!H79</f>
        <v/>
      </c>
      <c r="E80" s="46">
        <f>项目总控台账!I79</f>
        <v/>
      </c>
      <c r="F80" s="46">
        <f>项目总控台账!J79</f>
        <v/>
      </c>
      <c r="G80" s="44">
        <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f>
        <v/>
      </c>
      <c r="H80" s="44">
        <f>IF(B80="","",IF(G80="","通过","需整改"))</f>
        <v/>
      </c>
      <c r="I80" s="44">
        <f>IF(H80="需整改","回到项目总控台账第"&amp;J80&amp;"行补齐或修正","无需处理")</f>
        <v/>
      </c>
      <c r="J80" s="44" t="n">
        <v>79</v>
      </c>
    </row>
    <row r="81">
      <c r="A81" s="44" t="inlineStr">
        <is>
          <t>项目总控台账</t>
        </is>
      </c>
      <c r="B81" s="44">
        <f>项目总控台账!A80</f>
        <v/>
      </c>
      <c r="C81" s="44">
        <f>IF(AND(项目总控台账!E80&lt;&gt;"",项目总控台账!E80&lt;&gt;"/"),项目总控台账!E80,IF(AND(项目总控台账!D80&lt;&gt;"",项目总控台账!D80&lt;&gt;"/"),项目总控台账!D80,项目总控台账!C80))</f>
        <v/>
      </c>
      <c r="D81" s="44">
        <f>项目总控台账!H80</f>
        <v/>
      </c>
      <c r="E81" s="46">
        <f>项目总控台账!I80</f>
        <v/>
      </c>
      <c r="F81" s="46">
        <f>项目总控台账!J80</f>
        <v/>
      </c>
      <c r="G81" s="44">
        <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f>
        <v/>
      </c>
      <c r="H81" s="44">
        <f>IF(B81="","",IF(G81="","通过","需整改"))</f>
        <v/>
      </c>
      <c r="I81" s="44">
        <f>IF(H81="需整改","回到项目总控台账第"&amp;J81&amp;"行补齐或修正","无需处理")</f>
        <v/>
      </c>
      <c r="J81" s="44" t="n">
        <v>80</v>
      </c>
    </row>
    <row r="82">
      <c r="A82" s="44" t="inlineStr">
        <is>
          <t>项目总控台账</t>
        </is>
      </c>
      <c r="B82" s="44">
        <f>项目总控台账!A81</f>
        <v/>
      </c>
      <c r="C82" s="44">
        <f>IF(AND(项目总控台账!E81&lt;&gt;"",项目总控台账!E81&lt;&gt;"/"),项目总控台账!E81,IF(AND(项目总控台账!D81&lt;&gt;"",项目总控台账!D81&lt;&gt;"/"),项目总控台账!D81,项目总控台账!C81))</f>
        <v/>
      </c>
      <c r="D82" s="44">
        <f>项目总控台账!H81</f>
        <v/>
      </c>
      <c r="E82" s="46">
        <f>项目总控台账!I81</f>
        <v/>
      </c>
      <c r="F82" s="46">
        <f>项目总控台账!J81</f>
        <v/>
      </c>
      <c r="G82" s="44">
        <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f>
        <v/>
      </c>
      <c r="H82" s="44">
        <f>IF(B82="","",IF(G82="","通过","需整改"))</f>
        <v/>
      </c>
      <c r="I82" s="44">
        <f>IF(H82="需整改","回到项目总控台账第"&amp;J82&amp;"行补齐或修正","无需处理")</f>
        <v/>
      </c>
      <c r="J82" s="44" t="n">
        <v>81</v>
      </c>
    </row>
    <row r="83">
      <c r="A83" s="44" t="inlineStr">
        <is>
          <t>项目总控台账</t>
        </is>
      </c>
      <c r="B83" s="44">
        <f>项目总控台账!A82</f>
        <v/>
      </c>
      <c r="C83" s="44">
        <f>IF(AND(项目总控台账!E82&lt;&gt;"",项目总控台账!E82&lt;&gt;"/"),项目总控台账!E82,IF(AND(项目总控台账!D82&lt;&gt;"",项目总控台账!D82&lt;&gt;"/"),项目总控台账!D82,项目总控台账!C82))</f>
        <v/>
      </c>
      <c r="D83" s="44">
        <f>项目总控台账!H82</f>
        <v/>
      </c>
      <c r="E83" s="46">
        <f>项目总控台账!I82</f>
        <v/>
      </c>
      <c r="F83" s="46">
        <f>项目总控台账!J82</f>
        <v/>
      </c>
      <c r="G83" s="44">
        <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f>
        <v/>
      </c>
      <c r="H83" s="44">
        <f>IF(B83="","",IF(G83="","通过","需整改"))</f>
        <v/>
      </c>
      <c r="I83" s="44">
        <f>IF(H83="需整改","回到项目总控台账第"&amp;J83&amp;"行补齐或修正","无需处理")</f>
        <v/>
      </c>
      <c r="J83" s="44" t="n">
        <v>82</v>
      </c>
    </row>
    <row r="84">
      <c r="A84" s="44" t="inlineStr">
        <is>
          <t>项目总控台账</t>
        </is>
      </c>
      <c r="B84" s="44">
        <f>项目总控台账!A83</f>
        <v/>
      </c>
      <c r="C84" s="44">
        <f>IF(AND(项目总控台账!E83&lt;&gt;"",项目总控台账!E83&lt;&gt;"/"),项目总控台账!E83,IF(AND(项目总控台账!D83&lt;&gt;"",项目总控台账!D83&lt;&gt;"/"),项目总控台账!D83,项目总控台账!C83))</f>
        <v/>
      </c>
      <c r="D84" s="44">
        <f>项目总控台账!H83</f>
        <v/>
      </c>
      <c r="E84" s="46">
        <f>项目总控台账!I83</f>
        <v/>
      </c>
      <c r="F84" s="46">
        <f>项目总控台账!J83</f>
        <v/>
      </c>
      <c r="G84" s="44">
        <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f>
        <v/>
      </c>
      <c r="H84" s="44">
        <f>IF(B84="","",IF(G84="","通过","需整改"))</f>
        <v/>
      </c>
      <c r="I84" s="44">
        <f>IF(H84="需整改","回到项目总控台账第"&amp;J84&amp;"行补齐或修正","无需处理")</f>
        <v/>
      </c>
      <c r="J84" s="44" t="n">
        <v>83</v>
      </c>
    </row>
    <row r="85">
      <c r="A85" s="44" t="inlineStr">
        <is>
          <t>项目总控台账</t>
        </is>
      </c>
      <c r="B85" s="44">
        <f>项目总控台账!A84</f>
        <v/>
      </c>
      <c r="C85" s="44">
        <f>IF(AND(项目总控台账!E84&lt;&gt;"",项目总控台账!E84&lt;&gt;"/"),项目总控台账!E84,IF(AND(项目总控台账!D84&lt;&gt;"",项目总控台账!D84&lt;&gt;"/"),项目总控台账!D84,项目总控台账!C84))</f>
        <v/>
      </c>
      <c r="D85" s="44">
        <f>项目总控台账!H84</f>
        <v/>
      </c>
      <c r="E85" s="46">
        <f>项目总控台账!I84</f>
        <v/>
      </c>
      <c r="F85" s="46">
        <f>项目总控台账!J84</f>
        <v/>
      </c>
      <c r="G85" s="44">
        <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f>
        <v/>
      </c>
      <c r="H85" s="44">
        <f>IF(B85="","",IF(G85="","通过","需整改"))</f>
        <v/>
      </c>
      <c r="I85" s="44">
        <f>IF(H85="需整改","回到项目总控台账第"&amp;J85&amp;"行补齐或修正","无需处理")</f>
        <v/>
      </c>
      <c r="J85" s="44" t="n">
        <v>84</v>
      </c>
    </row>
    <row r="86">
      <c r="A86" s="44" t="inlineStr">
        <is>
          <t>项目总控台账</t>
        </is>
      </c>
      <c r="B86" s="44">
        <f>项目总控台账!A85</f>
        <v/>
      </c>
      <c r="C86" s="44">
        <f>IF(AND(项目总控台账!E85&lt;&gt;"",项目总控台账!E85&lt;&gt;"/"),项目总控台账!E85,IF(AND(项目总控台账!D85&lt;&gt;"",项目总控台账!D85&lt;&gt;"/"),项目总控台账!D85,项目总控台账!C85))</f>
        <v/>
      </c>
      <c r="D86" s="44">
        <f>项目总控台账!H85</f>
        <v/>
      </c>
      <c r="E86" s="46">
        <f>项目总控台账!I85</f>
        <v/>
      </c>
      <c r="F86" s="46">
        <f>项目总控台账!J85</f>
        <v/>
      </c>
      <c r="G86" s="44">
        <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f>
        <v/>
      </c>
      <c r="H86" s="44">
        <f>IF(B86="","",IF(G86="","通过","需整改"))</f>
        <v/>
      </c>
      <c r="I86" s="44">
        <f>IF(H86="需整改","回到项目总控台账第"&amp;J86&amp;"行补齐或修正","无需处理")</f>
        <v/>
      </c>
      <c r="J86" s="44" t="n">
        <v>85</v>
      </c>
    </row>
    <row r="87">
      <c r="A87" s="44" t="inlineStr">
        <is>
          <t>项目总控台账</t>
        </is>
      </c>
      <c r="B87" s="44">
        <f>项目总控台账!A86</f>
        <v/>
      </c>
      <c r="C87" s="44">
        <f>IF(AND(项目总控台账!E86&lt;&gt;"",项目总控台账!E86&lt;&gt;"/"),项目总控台账!E86,IF(AND(项目总控台账!D86&lt;&gt;"",项目总控台账!D86&lt;&gt;"/"),项目总控台账!D86,项目总控台账!C86))</f>
        <v/>
      </c>
      <c r="D87" s="44">
        <f>项目总控台账!H86</f>
        <v/>
      </c>
      <c r="E87" s="46">
        <f>项目总控台账!I86</f>
        <v/>
      </c>
      <c r="F87" s="46">
        <f>项目总控台账!J86</f>
        <v/>
      </c>
      <c r="G87" s="44">
        <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f>
        <v/>
      </c>
      <c r="H87" s="44">
        <f>IF(B87="","",IF(G87="","通过","需整改"))</f>
        <v/>
      </c>
      <c r="I87" s="44">
        <f>IF(H87="需整改","回到项目总控台账第"&amp;J87&amp;"行补齐或修正","无需处理")</f>
        <v/>
      </c>
      <c r="J87" s="44" t="n">
        <v>86</v>
      </c>
    </row>
    <row r="88">
      <c r="A88" s="44" t="inlineStr">
        <is>
          <t>项目总控台账</t>
        </is>
      </c>
      <c r="B88" s="44">
        <f>项目总控台账!A87</f>
        <v/>
      </c>
      <c r="C88" s="44">
        <f>IF(AND(项目总控台账!E87&lt;&gt;"",项目总控台账!E87&lt;&gt;"/"),项目总控台账!E87,IF(AND(项目总控台账!D87&lt;&gt;"",项目总控台账!D87&lt;&gt;"/"),项目总控台账!D87,项目总控台账!C87))</f>
        <v/>
      </c>
      <c r="D88" s="44">
        <f>项目总控台账!H87</f>
        <v/>
      </c>
      <c r="E88" s="46">
        <f>项目总控台账!I87</f>
        <v/>
      </c>
      <c r="F88" s="46">
        <f>项目总控台账!J87</f>
        <v/>
      </c>
      <c r="G88" s="44">
        <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f>
        <v/>
      </c>
      <c r="H88" s="44">
        <f>IF(B88="","",IF(G88="","通过","需整改"))</f>
        <v/>
      </c>
      <c r="I88" s="44">
        <f>IF(H88="需整改","回到项目总控台账第"&amp;J88&amp;"行补齐或修正","无需处理")</f>
        <v/>
      </c>
      <c r="J88" s="44" t="n">
        <v>87</v>
      </c>
    </row>
    <row r="89">
      <c r="A89" s="44" t="inlineStr">
        <is>
          <t>项目总控台账</t>
        </is>
      </c>
      <c r="B89" s="44">
        <f>项目总控台账!A88</f>
        <v/>
      </c>
      <c r="C89" s="44">
        <f>IF(AND(项目总控台账!E88&lt;&gt;"",项目总控台账!E88&lt;&gt;"/"),项目总控台账!E88,IF(AND(项目总控台账!D88&lt;&gt;"",项目总控台账!D88&lt;&gt;"/"),项目总控台账!D88,项目总控台账!C88))</f>
        <v/>
      </c>
      <c r="D89" s="44">
        <f>项目总控台账!H88</f>
        <v/>
      </c>
      <c r="E89" s="46">
        <f>项目总控台账!I88</f>
        <v/>
      </c>
      <c r="F89" s="46">
        <f>项目总控台账!J88</f>
        <v/>
      </c>
      <c r="G89" s="44">
        <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f>
        <v/>
      </c>
      <c r="H89" s="44">
        <f>IF(B89="","",IF(G89="","通过","需整改"))</f>
        <v/>
      </c>
      <c r="I89" s="44">
        <f>IF(H89="需整改","回到项目总控台账第"&amp;J89&amp;"行补齐或修正","无需处理")</f>
        <v/>
      </c>
      <c r="J89" s="44" t="n">
        <v>88</v>
      </c>
    </row>
    <row r="90">
      <c r="A90" s="44" t="inlineStr">
        <is>
          <t>项目总控台账</t>
        </is>
      </c>
      <c r="B90" s="44">
        <f>项目总控台账!A89</f>
        <v/>
      </c>
      <c r="C90" s="44">
        <f>IF(AND(项目总控台账!E89&lt;&gt;"",项目总控台账!E89&lt;&gt;"/"),项目总控台账!E89,IF(AND(项目总控台账!D89&lt;&gt;"",项目总控台账!D89&lt;&gt;"/"),项目总控台账!D89,项目总控台账!C89))</f>
        <v/>
      </c>
      <c r="D90" s="44">
        <f>项目总控台账!H89</f>
        <v/>
      </c>
      <c r="E90" s="46">
        <f>项目总控台账!I89</f>
        <v/>
      </c>
      <c r="F90" s="46">
        <f>项目总控台账!J89</f>
        <v/>
      </c>
      <c r="G90" s="44">
        <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f>
        <v/>
      </c>
      <c r="H90" s="44">
        <f>IF(B90="","",IF(G90="","通过","需整改"))</f>
        <v/>
      </c>
      <c r="I90" s="44">
        <f>IF(H90="需整改","回到项目总控台账第"&amp;J90&amp;"行补齐或修正","无需处理")</f>
        <v/>
      </c>
      <c r="J90" s="44" t="n">
        <v>89</v>
      </c>
    </row>
    <row r="91">
      <c r="A91" s="44" t="inlineStr">
        <is>
          <t>项目总控台账</t>
        </is>
      </c>
      <c r="B91" s="44">
        <f>项目总控台账!A90</f>
        <v/>
      </c>
      <c r="C91" s="44">
        <f>IF(AND(项目总控台账!E90&lt;&gt;"",项目总控台账!E90&lt;&gt;"/"),项目总控台账!E90,IF(AND(项目总控台账!D90&lt;&gt;"",项目总控台账!D90&lt;&gt;"/"),项目总控台账!D90,项目总控台账!C90))</f>
        <v/>
      </c>
      <c r="D91" s="44">
        <f>项目总控台账!H90</f>
        <v/>
      </c>
      <c r="E91" s="46">
        <f>项目总控台账!I90</f>
        <v/>
      </c>
      <c r="F91" s="46">
        <f>项目总控台账!J90</f>
        <v/>
      </c>
      <c r="G91" s="44">
        <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f>
        <v/>
      </c>
      <c r="H91" s="44">
        <f>IF(B91="","",IF(G91="","通过","需整改"))</f>
        <v/>
      </c>
      <c r="I91" s="44">
        <f>IF(H91="需整改","回到项目总控台账第"&amp;J91&amp;"行补齐或修正","无需处理")</f>
        <v/>
      </c>
      <c r="J91" s="44" t="n">
        <v>90</v>
      </c>
    </row>
    <row r="92">
      <c r="A92" s="44" t="inlineStr">
        <is>
          <t>项目总控台账</t>
        </is>
      </c>
      <c r="B92" s="44">
        <f>项目总控台账!A91</f>
        <v/>
      </c>
      <c r="C92" s="44">
        <f>IF(AND(项目总控台账!E91&lt;&gt;"",项目总控台账!E91&lt;&gt;"/"),项目总控台账!E91,IF(AND(项目总控台账!D91&lt;&gt;"",项目总控台账!D91&lt;&gt;"/"),项目总控台账!D91,项目总控台账!C91))</f>
        <v/>
      </c>
      <c r="D92" s="44">
        <f>项目总控台账!H91</f>
        <v/>
      </c>
      <c r="E92" s="46">
        <f>项目总控台账!I91</f>
        <v/>
      </c>
      <c r="F92" s="46">
        <f>项目总控台账!J91</f>
        <v/>
      </c>
      <c r="G92" s="44">
        <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f>
        <v/>
      </c>
      <c r="H92" s="44">
        <f>IF(B92="","",IF(G92="","通过","需整改"))</f>
        <v/>
      </c>
      <c r="I92" s="44">
        <f>IF(H92="需整改","回到项目总控台账第"&amp;J92&amp;"行补齐或修正","无需处理")</f>
        <v/>
      </c>
      <c r="J92" s="44" t="n">
        <v>91</v>
      </c>
    </row>
    <row r="93">
      <c r="A93" s="44" t="inlineStr">
        <is>
          <t>项目总控台账</t>
        </is>
      </c>
      <c r="B93" s="44">
        <f>项目总控台账!A92</f>
        <v/>
      </c>
      <c r="C93" s="44">
        <f>IF(AND(项目总控台账!E92&lt;&gt;"",项目总控台账!E92&lt;&gt;"/"),项目总控台账!E92,IF(AND(项目总控台账!D92&lt;&gt;"",项目总控台账!D92&lt;&gt;"/"),项目总控台账!D92,项目总控台账!C92))</f>
        <v/>
      </c>
      <c r="D93" s="44">
        <f>项目总控台账!H92</f>
        <v/>
      </c>
      <c r="E93" s="46">
        <f>项目总控台账!I92</f>
        <v/>
      </c>
      <c r="F93" s="46">
        <f>项目总控台账!J92</f>
        <v/>
      </c>
      <c r="G93" s="44">
        <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f>
        <v/>
      </c>
      <c r="H93" s="44">
        <f>IF(B93="","",IF(G93="","通过","需整改"))</f>
        <v/>
      </c>
      <c r="I93" s="44">
        <f>IF(H93="需整改","回到项目总控台账第"&amp;J93&amp;"行补齐或修正","无需处理")</f>
        <v/>
      </c>
      <c r="J93" s="44" t="n">
        <v>92</v>
      </c>
    </row>
    <row r="94">
      <c r="A94" s="44" t="inlineStr">
        <is>
          <t>项目总控台账</t>
        </is>
      </c>
      <c r="B94" s="44">
        <f>项目总控台账!A93</f>
        <v/>
      </c>
      <c r="C94" s="44">
        <f>IF(AND(项目总控台账!E93&lt;&gt;"",项目总控台账!E93&lt;&gt;"/"),项目总控台账!E93,IF(AND(项目总控台账!D93&lt;&gt;"",项目总控台账!D93&lt;&gt;"/"),项目总控台账!D93,项目总控台账!C93))</f>
        <v/>
      </c>
      <c r="D94" s="44">
        <f>项目总控台账!H93</f>
        <v/>
      </c>
      <c r="E94" s="46">
        <f>项目总控台账!I93</f>
        <v/>
      </c>
      <c r="F94" s="46">
        <f>项目总控台账!J93</f>
        <v/>
      </c>
      <c r="G94" s="44">
        <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f>
        <v/>
      </c>
      <c r="H94" s="44">
        <f>IF(B94="","",IF(G94="","通过","需整改"))</f>
        <v/>
      </c>
      <c r="I94" s="44">
        <f>IF(H94="需整改","回到项目总控台账第"&amp;J94&amp;"行补齐或修正","无需处理")</f>
        <v/>
      </c>
      <c r="J94" s="44" t="n">
        <v>93</v>
      </c>
    </row>
    <row r="95">
      <c r="A95" s="44" t="inlineStr">
        <is>
          <t>项目总控台账</t>
        </is>
      </c>
      <c r="B95" s="44">
        <f>项目总控台账!A94</f>
        <v/>
      </c>
      <c r="C95" s="44">
        <f>IF(AND(项目总控台账!E94&lt;&gt;"",项目总控台账!E94&lt;&gt;"/"),项目总控台账!E94,IF(AND(项目总控台账!D94&lt;&gt;"",项目总控台账!D94&lt;&gt;"/"),项目总控台账!D94,项目总控台账!C94))</f>
        <v/>
      </c>
      <c r="D95" s="44">
        <f>项目总控台账!H94</f>
        <v/>
      </c>
      <c r="E95" s="46">
        <f>项目总控台账!I94</f>
        <v/>
      </c>
      <c r="F95" s="46">
        <f>项目总控台账!J94</f>
        <v/>
      </c>
      <c r="G95" s="44">
        <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f>
        <v/>
      </c>
      <c r="H95" s="44">
        <f>IF(B95="","",IF(G95="","通过","需整改"))</f>
        <v/>
      </c>
      <c r="I95" s="44">
        <f>IF(H95="需整改","回到项目总控台账第"&amp;J95&amp;"行补齐或修正","无需处理")</f>
        <v/>
      </c>
      <c r="J95" s="44" t="n">
        <v>94</v>
      </c>
    </row>
    <row r="96">
      <c r="A96" s="44" t="inlineStr">
        <is>
          <t>项目总控台账</t>
        </is>
      </c>
      <c r="B96" s="44">
        <f>项目总控台账!A95</f>
        <v/>
      </c>
      <c r="C96" s="44">
        <f>IF(AND(项目总控台账!E95&lt;&gt;"",项目总控台账!E95&lt;&gt;"/"),项目总控台账!E95,IF(AND(项目总控台账!D95&lt;&gt;"",项目总控台账!D95&lt;&gt;"/"),项目总控台账!D95,项目总控台账!C95))</f>
        <v/>
      </c>
      <c r="D96" s="44">
        <f>项目总控台账!H95</f>
        <v/>
      </c>
      <c r="E96" s="46">
        <f>项目总控台账!I95</f>
        <v/>
      </c>
      <c r="F96" s="46">
        <f>项目总控台账!J95</f>
        <v/>
      </c>
      <c r="G96" s="44">
        <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f>
        <v/>
      </c>
      <c r="H96" s="44">
        <f>IF(B96="","",IF(G96="","通过","需整改"))</f>
        <v/>
      </c>
      <c r="I96" s="44">
        <f>IF(H96="需整改","回到项目总控台账第"&amp;J96&amp;"行补齐或修正","无需处理")</f>
        <v/>
      </c>
      <c r="J96" s="44" t="n">
        <v>95</v>
      </c>
    </row>
    <row r="97">
      <c r="A97" s="44" t="inlineStr">
        <is>
          <t>项目总控台账</t>
        </is>
      </c>
      <c r="B97" s="44">
        <f>项目总控台账!A96</f>
        <v/>
      </c>
      <c r="C97" s="44">
        <f>IF(AND(项目总控台账!E96&lt;&gt;"",项目总控台账!E96&lt;&gt;"/"),项目总控台账!E96,IF(AND(项目总控台账!D96&lt;&gt;"",项目总控台账!D96&lt;&gt;"/"),项目总控台账!D96,项目总控台账!C96))</f>
        <v/>
      </c>
      <c r="D97" s="44">
        <f>项目总控台账!H96</f>
        <v/>
      </c>
      <c r="E97" s="46">
        <f>项目总控台账!I96</f>
        <v/>
      </c>
      <c r="F97" s="46">
        <f>项目总控台账!J96</f>
        <v/>
      </c>
      <c r="G97" s="44">
        <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f>
        <v/>
      </c>
      <c r="H97" s="44">
        <f>IF(B97="","",IF(G97="","通过","需整改"))</f>
        <v/>
      </c>
      <c r="I97" s="44">
        <f>IF(H97="需整改","回到项目总控台账第"&amp;J97&amp;"行补齐或修正","无需处理")</f>
        <v/>
      </c>
      <c r="J97" s="44" t="n">
        <v>96</v>
      </c>
    </row>
    <row r="98">
      <c r="A98" s="44" t="inlineStr">
        <is>
          <t>项目总控台账</t>
        </is>
      </c>
      <c r="B98" s="44">
        <f>项目总控台账!A97</f>
        <v/>
      </c>
      <c r="C98" s="44">
        <f>IF(AND(项目总控台账!E97&lt;&gt;"",项目总控台账!E97&lt;&gt;"/"),项目总控台账!E97,IF(AND(项目总控台账!D97&lt;&gt;"",项目总控台账!D97&lt;&gt;"/"),项目总控台账!D97,项目总控台账!C97))</f>
        <v/>
      </c>
      <c r="D98" s="44">
        <f>项目总控台账!H97</f>
        <v/>
      </c>
      <c r="E98" s="46">
        <f>项目总控台账!I97</f>
        <v/>
      </c>
      <c r="F98" s="46">
        <f>项目总控台账!J97</f>
        <v/>
      </c>
      <c r="G98" s="44">
        <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f>
        <v/>
      </c>
      <c r="H98" s="44">
        <f>IF(B98="","",IF(G98="","通过","需整改"))</f>
        <v/>
      </c>
      <c r="I98" s="44">
        <f>IF(H98="需整改","回到项目总控台账第"&amp;J98&amp;"行补齐或修正","无需处理")</f>
        <v/>
      </c>
      <c r="J98" s="44" t="n">
        <v>97</v>
      </c>
    </row>
    <row r="99">
      <c r="A99" s="44" t="inlineStr">
        <is>
          <t>项目总控台账</t>
        </is>
      </c>
      <c r="B99" s="44">
        <f>项目总控台账!A98</f>
        <v/>
      </c>
      <c r="C99" s="44">
        <f>IF(AND(项目总控台账!E98&lt;&gt;"",项目总控台账!E98&lt;&gt;"/"),项目总控台账!E98,IF(AND(项目总控台账!D98&lt;&gt;"",项目总控台账!D98&lt;&gt;"/"),项目总控台账!D98,项目总控台账!C98))</f>
        <v/>
      </c>
      <c r="D99" s="44">
        <f>项目总控台账!H98</f>
        <v/>
      </c>
      <c r="E99" s="46">
        <f>项目总控台账!I98</f>
        <v/>
      </c>
      <c r="F99" s="46">
        <f>项目总控台账!J98</f>
        <v/>
      </c>
      <c r="G99" s="44">
        <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f>
        <v/>
      </c>
      <c r="H99" s="44">
        <f>IF(B99="","",IF(G99="","通过","需整改"))</f>
        <v/>
      </c>
      <c r="I99" s="44">
        <f>IF(H99="需整改","回到项目总控台账第"&amp;J99&amp;"行补齐或修正","无需处理")</f>
        <v/>
      </c>
      <c r="J99" s="44" t="n">
        <v>98</v>
      </c>
    </row>
    <row r="100">
      <c r="A100" s="44" t="inlineStr">
        <is>
          <t>项目总控台账</t>
        </is>
      </c>
      <c r="B100" s="44">
        <f>项目总控台账!A99</f>
        <v/>
      </c>
      <c r="C100" s="44">
        <f>IF(AND(项目总控台账!E99&lt;&gt;"",项目总控台账!E99&lt;&gt;"/"),项目总控台账!E99,IF(AND(项目总控台账!D99&lt;&gt;"",项目总控台账!D99&lt;&gt;"/"),项目总控台账!D99,项目总控台账!C99))</f>
        <v/>
      </c>
      <c r="D100" s="44">
        <f>项目总控台账!H99</f>
        <v/>
      </c>
      <c r="E100" s="46">
        <f>项目总控台账!I99</f>
        <v/>
      </c>
      <c r="F100" s="46">
        <f>项目总控台账!J99</f>
        <v/>
      </c>
      <c r="G100" s="44">
        <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f>
        <v/>
      </c>
      <c r="H100" s="44">
        <f>IF(B100="","",IF(G100="","通过","需整改"))</f>
        <v/>
      </c>
      <c r="I100" s="44">
        <f>IF(H100="需整改","回到项目总控台账第"&amp;J100&amp;"行补齐或修正","无需处理")</f>
        <v/>
      </c>
      <c r="J100" s="44" t="n">
        <v>99</v>
      </c>
    </row>
    <row r="101">
      <c r="A101" s="44" t="inlineStr">
        <is>
          <t>项目总控台账</t>
        </is>
      </c>
      <c r="B101" s="44">
        <f>项目总控台账!A100</f>
        <v/>
      </c>
      <c r="C101" s="44">
        <f>IF(AND(项目总控台账!E100&lt;&gt;"",项目总控台账!E100&lt;&gt;"/"),项目总控台账!E100,IF(AND(项目总控台账!D100&lt;&gt;"",项目总控台账!D100&lt;&gt;"/"),项目总控台账!D100,项目总控台账!C100))</f>
        <v/>
      </c>
      <c r="D101" s="44">
        <f>项目总控台账!H100</f>
        <v/>
      </c>
      <c r="E101" s="46">
        <f>项目总控台账!I100</f>
        <v/>
      </c>
      <c r="F101" s="46">
        <f>项目总控台账!J100</f>
        <v/>
      </c>
      <c r="G101" s="44">
        <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f>
        <v/>
      </c>
      <c r="H101" s="44">
        <f>IF(B101="","",IF(G101="","通过","需整改"))</f>
        <v/>
      </c>
      <c r="I101" s="44">
        <f>IF(H101="需整改","回到项目总控台账第"&amp;J101&amp;"行补齐或修正","无需处理")</f>
        <v/>
      </c>
      <c r="J101" s="44" t="n">
        <v>100</v>
      </c>
    </row>
    <row r="102">
      <c r="A102" s="44" t="inlineStr">
        <is>
          <t>项目总控台账</t>
        </is>
      </c>
      <c r="B102" s="44">
        <f>项目总控台账!A101</f>
        <v/>
      </c>
      <c r="C102" s="44">
        <f>IF(AND(项目总控台账!E101&lt;&gt;"",项目总控台账!E101&lt;&gt;"/"),项目总控台账!E101,IF(AND(项目总控台账!D101&lt;&gt;"",项目总控台账!D101&lt;&gt;"/"),项目总控台账!D101,项目总控台账!C101))</f>
        <v/>
      </c>
      <c r="D102" s="44">
        <f>项目总控台账!H101</f>
        <v/>
      </c>
      <c r="E102" s="46">
        <f>项目总控台账!I101</f>
        <v/>
      </c>
      <c r="F102" s="46">
        <f>项目总控台账!J101</f>
        <v/>
      </c>
      <c r="G102" s="44">
        <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f>
        <v/>
      </c>
      <c r="H102" s="44">
        <f>IF(B102="","",IF(G102="","通过","需整改"))</f>
        <v/>
      </c>
      <c r="I102" s="44">
        <f>IF(H102="需整改","回到项目总控台账第"&amp;J102&amp;"行补齐或修正","无需处理")</f>
        <v/>
      </c>
      <c r="J102" s="44" t="n">
        <v>101</v>
      </c>
    </row>
    <row r="103">
      <c r="A103" s="44" t="inlineStr">
        <is>
          <t>项目总控台账</t>
        </is>
      </c>
      <c r="B103" s="44">
        <f>项目总控台账!A102</f>
        <v/>
      </c>
      <c r="C103" s="44">
        <f>IF(AND(项目总控台账!E102&lt;&gt;"",项目总控台账!E102&lt;&gt;"/"),项目总控台账!E102,IF(AND(项目总控台账!D102&lt;&gt;"",项目总控台账!D102&lt;&gt;"/"),项目总控台账!D102,项目总控台账!C102))</f>
        <v/>
      </c>
      <c r="D103" s="44">
        <f>项目总控台账!H102</f>
        <v/>
      </c>
      <c r="E103" s="46">
        <f>项目总控台账!I102</f>
        <v/>
      </c>
      <c r="F103" s="46">
        <f>项目总控台账!J102</f>
        <v/>
      </c>
      <c r="G103" s="44">
        <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f>
        <v/>
      </c>
      <c r="H103" s="44">
        <f>IF(B103="","",IF(G103="","通过","需整改"))</f>
        <v/>
      </c>
      <c r="I103" s="44">
        <f>IF(H103="需整改","回到项目总控台账第"&amp;J103&amp;"行补齐或修正","无需处理")</f>
        <v/>
      </c>
      <c r="J103" s="44" t="n">
        <v>102</v>
      </c>
    </row>
    <row r="104">
      <c r="A104" s="44" t="inlineStr">
        <is>
          <t>项目总控台账</t>
        </is>
      </c>
      <c r="B104" s="44">
        <f>项目总控台账!A103</f>
        <v/>
      </c>
      <c r="C104" s="44">
        <f>IF(AND(项目总控台账!E103&lt;&gt;"",项目总控台账!E103&lt;&gt;"/"),项目总控台账!E103,IF(AND(项目总控台账!D103&lt;&gt;"",项目总控台账!D103&lt;&gt;"/"),项目总控台账!D103,项目总控台账!C103))</f>
        <v/>
      </c>
      <c r="D104" s="44">
        <f>项目总控台账!H103</f>
        <v/>
      </c>
      <c r="E104" s="46">
        <f>项目总控台账!I103</f>
        <v/>
      </c>
      <c r="F104" s="46">
        <f>项目总控台账!J103</f>
        <v/>
      </c>
      <c r="G104" s="44">
        <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f>
        <v/>
      </c>
      <c r="H104" s="44">
        <f>IF(B104="","",IF(G104="","通过","需整改"))</f>
        <v/>
      </c>
      <c r="I104" s="44">
        <f>IF(H104="需整改","回到项目总控台账第"&amp;J104&amp;"行补齐或修正","无需处理")</f>
        <v/>
      </c>
      <c r="J104" s="44" t="n">
        <v>103</v>
      </c>
    </row>
    <row r="105">
      <c r="A105" s="44" t="inlineStr">
        <is>
          <t>项目总控台账</t>
        </is>
      </c>
      <c r="B105" s="44">
        <f>项目总控台账!A104</f>
        <v/>
      </c>
      <c r="C105" s="44">
        <f>IF(AND(项目总控台账!E104&lt;&gt;"",项目总控台账!E104&lt;&gt;"/"),项目总控台账!E104,IF(AND(项目总控台账!D104&lt;&gt;"",项目总控台账!D104&lt;&gt;"/"),项目总控台账!D104,项目总控台账!C104))</f>
        <v/>
      </c>
      <c r="D105" s="44">
        <f>项目总控台账!H104</f>
        <v/>
      </c>
      <c r="E105" s="46">
        <f>项目总控台账!I104</f>
        <v/>
      </c>
      <c r="F105" s="46">
        <f>项目总控台账!J104</f>
        <v/>
      </c>
      <c r="G105" s="44">
        <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f>
        <v/>
      </c>
      <c r="H105" s="44">
        <f>IF(B105="","",IF(G105="","通过","需整改"))</f>
        <v/>
      </c>
      <c r="I105" s="44">
        <f>IF(H105="需整改","回到项目总控台账第"&amp;J105&amp;"行补齐或修正","无需处理")</f>
        <v/>
      </c>
      <c r="J105" s="44" t="n">
        <v>104</v>
      </c>
    </row>
    <row r="106">
      <c r="A106" s="44" t="inlineStr">
        <is>
          <t>项目总控台账</t>
        </is>
      </c>
      <c r="B106" s="44">
        <f>项目总控台账!A105</f>
        <v/>
      </c>
      <c r="C106" s="44">
        <f>IF(AND(项目总控台账!E105&lt;&gt;"",项目总控台账!E105&lt;&gt;"/"),项目总控台账!E105,IF(AND(项目总控台账!D105&lt;&gt;"",项目总控台账!D105&lt;&gt;"/"),项目总控台账!D105,项目总控台账!C105))</f>
        <v/>
      </c>
      <c r="D106" s="44">
        <f>项目总控台账!H105</f>
        <v/>
      </c>
      <c r="E106" s="46">
        <f>项目总控台账!I105</f>
        <v/>
      </c>
      <c r="F106" s="46">
        <f>项目总控台账!J105</f>
        <v/>
      </c>
      <c r="G106" s="44">
        <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f>
        <v/>
      </c>
      <c r="H106" s="44">
        <f>IF(B106="","",IF(G106="","通过","需整改"))</f>
        <v/>
      </c>
      <c r="I106" s="44">
        <f>IF(H106="需整改","回到项目总控台账第"&amp;J106&amp;"行补齐或修正","无需处理")</f>
        <v/>
      </c>
      <c r="J106" s="44" t="n">
        <v>105</v>
      </c>
    </row>
    <row r="107">
      <c r="A107" s="44" t="inlineStr">
        <is>
          <t>项目总控台账</t>
        </is>
      </c>
      <c r="B107" s="44">
        <f>项目总控台账!A106</f>
        <v/>
      </c>
      <c r="C107" s="44">
        <f>IF(AND(项目总控台账!E106&lt;&gt;"",项目总控台账!E106&lt;&gt;"/"),项目总控台账!E106,IF(AND(项目总控台账!D106&lt;&gt;"",项目总控台账!D106&lt;&gt;"/"),项目总控台账!D106,项目总控台账!C106))</f>
        <v/>
      </c>
      <c r="D107" s="44">
        <f>项目总控台账!H106</f>
        <v/>
      </c>
      <c r="E107" s="46">
        <f>项目总控台账!I106</f>
        <v/>
      </c>
      <c r="F107" s="46">
        <f>项目总控台账!J106</f>
        <v/>
      </c>
      <c r="G107" s="44">
        <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f>
        <v/>
      </c>
      <c r="H107" s="44">
        <f>IF(B107="","",IF(G107="","通过","需整改"))</f>
        <v/>
      </c>
      <c r="I107" s="44">
        <f>IF(H107="需整改","回到项目总控台账第"&amp;J107&amp;"行补齐或修正","无需处理")</f>
        <v/>
      </c>
      <c r="J107" s="44" t="n">
        <v>106</v>
      </c>
    </row>
    <row r="108">
      <c r="A108" s="44" t="inlineStr">
        <is>
          <t>项目总控台账</t>
        </is>
      </c>
      <c r="B108" s="44">
        <f>项目总控台账!A107</f>
        <v/>
      </c>
      <c r="C108" s="44">
        <f>IF(AND(项目总控台账!E107&lt;&gt;"",项目总控台账!E107&lt;&gt;"/"),项目总控台账!E107,IF(AND(项目总控台账!D107&lt;&gt;"",项目总控台账!D107&lt;&gt;"/"),项目总控台账!D107,项目总控台账!C107))</f>
        <v/>
      </c>
      <c r="D108" s="44">
        <f>项目总控台账!H107</f>
        <v/>
      </c>
      <c r="E108" s="46">
        <f>项目总控台账!I107</f>
        <v/>
      </c>
      <c r="F108" s="46">
        <f>项目总控台账!J107</f>
        <v/>
      </c>
      <c r="G108" s="44">
        <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f>
        <v/>
      </c>
      <c r="H108" s="44">
        <f>IF(B108="","",IF(G108="","通过","需整改"))</f>
        <v/>
      </c>
      <c r="I108" s="44">
        <f>IF(H108="需整改","回到项目总控台账第"&amp;J108&amp;"行补齐或修正","无需处理")</f>
        <v/>
      </c>
      <c r="J108" s="44" t="n">
        <v>107</v>
      </c>
    </row>
    <row r="109">
      <c r="A109" s="44" t="inlineStr">
        <is>
          <t>项目总控台账</t>
        </is>
      </c>
      <c r="B109" s="44">
        <f>项目总控台账!A108</f>
        <v/>
      </c>
      <c r="C109" s="44">
        <f>IF(AND(项目总控台账!E108&lt;&gt;"",项目总控台账!E108&lt;&gt;"/"),项目总控台账!E108,IF(AND(项目总控台账!D108&lt;&gt;"",项目总控台账!D108&lt;&gt;"/"),项目总控台账!D108,项目总控台账!C108))</f>
        <v/>
      </c>
      <c r="D109" s="44">
        <f>项目总控台账!H108</f>
        <v/>
      </c>
      <c r="E109" s="46">
        <f>项目总控台账!I108</f>
        <v/>
      </c>
      <c r="F109" s="46">
        <f>项目总控台账!J108</f>
        <v/>
      </c>
      <c r="G109" s="44">
        <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f>
        <v/>
      </c>
      <c r="H109" s="44">
        <f>IF(B109="","",IF(G109="","通过","需整改"))</f>
        <v/>
      </c>
      <c r="I109" s="44">
        <f>IF(H109="需整改","回到项目总控台账第"&amp;J109&amp;"行补齐或修正","无需处理")</f>
        <v/>
      </c>
      <c r="J109" s="44" t="n">
        <v>108</v>
      </c>
    </row>
    <row r="110">
      <c r="A110" s="44" t="inlineStr">
        <is>
          <t>项目总控台账</t>
        </is>
      </c>
      <c r="B110" s="44">
        <f>项目总控台账!A109</f>
        <v/>
      </c>
      <c r="C110" s="44">
        <f>IF(AND(项目总控台账!E109&lt;&gt;"",项目总控台账!E109&lt;&gt;"/"),项目总控台账!E109,IF(AND(项目总控台账!D109&lt;&gt;"",项目总控台账!D109&lt;&gt;"/"),项目总控台账!D109,项目总控台账!C109))</f>
        <v/>
      </c>
      <c r="D110" s="44">
        <f>项目总控台账!H109</f>
        <v/>
      </c>
      <c r="E110" s="46">
        <f>项目总控台账!I109</f>
        <v/>
      </c>
      <c r="F110" s="46">
        <f>项目总控台账!J109</f>
        <v/>
      </c>
      <c r="G110" s="44">
        <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f>
        <v/>
      </c>
      <c r="H110" s="44">
        <f>IF(B110="","",IF(G110="","通过","需整改"))</f>
        <v/>
      </c>
      <c r="I110" s="44">
        <f>IF(H110="需整改","回到项目总控台账第"&amp;J110&amp;"行补齐或修正","无需处理")</f>
        <v/>
      </c>
      <c r="J110" s="44" t="n">
        <v>109</v>
      </c>
    </row>
    <row r="111">
      <c r="A111" s="44" t="inlineStr">
        <is>
          <t>项目总控台账</t>
        </is>
      </c>
      <c r="B111" s="44">
        <f>项目总控台账!A110</f>
        <v/>
      </c>
      <c r="C111" s="44">
        <f>IF(AND(项目总控台账!E110&lt;&gt;"",项目总控台账!E110&lt;&gt;"/"),项目总控台账!E110,IF(AND(项目总控台账!D110&lt;&gt;"",项目总控台账!D110&lt;&gt;"/"),项目总控台账!D110,项目总控台账!C110))</f>
        <v/>
      </c>
      <c r="D111" s="44">
        <f>项目总控台账!H110</f>
        <v/>
      </c>
      <c r="E111" s="46">
        <f>项目总控台账!I110</f>
        <v/>
      </c>
      <c r="F111" s="46">
        <f>项目总控台账!J110</f>
        <v/>
      </c>
      <c r="G111" s="44">
        <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f>
        <v/>
      </c>
      <c r="H111" s="44">
        <f>IF(B111="","",IF(G111="","通过","需整改"))</f>
        <v/>
      </c>
      <c r="I111" s="44">
        <f>IF(H111="需整改","回到项目总控台账第"&amp;J111&amp;"行补齐或修正","无需处理")</f>
        <v/>
      </c>
      <c r="J111" s="44" t="n">
        <v>110</v>
      </c>
    </row>
    <row r="112">
      <c r="A112" s="44" t="inlineStr">
        <is>
          <t>项目总控台账</t>
        </is>
      </c>
      <c r="B112" s="44">
        <f>项目总控台账!A111</f>
        <v/>
      </c>
      <c r="C112" s="44">
        <f>IF(AND(项目总控台账!E111&lt;&gt;"",项目总控台账!E111&lt;&gt;"/"),项目总控台账!E111,IF(AND(项目总控台账!D111&lt;&gt;"",项目总控台账!D111&lt;&gt;"/"),项目总控台账!D111,项目总控台账!C111))</f>
        <v/>
      </c>
      <c r="D112" s="44">
        <f>项目总控台账!H111</f>
        <v/>
      </c>
      <c r="E112" s="46">
        <f>项目总控台账!I111</f>
        <v/>
      </c>
      <c r="F112" s="46">
        <f>项目总控台账!J111</f>
        <v/>
      </c>
      <c r="G112" s="44">
        <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f>
        <v/>
      </c>
      <c r="H112" s="44">
        <f>IF(B112="","",IF(G112="","通过","需整改"))</f>
        <v/>
      </c>
      <c r="I112" s="44">
        <f>IF(H112="需整改","回到项目总控台账第"&amp;J112&amp;"行补齐或修正","无需处理")</f>
        <v/>
      </c>
      <c r="J112" s="44" t="n">
        <v>111</v>
      </c>
    </row>
    <row r="113">
      <c r="A113" s="44" t="inlineStr">
        <is>
          <t>项目总控台账</t>
        </is>
      </c>
      <c r="B113" s="44">
        <f>项目总控台账!A112</f>
        <v/>
      </c>
      <c r="C113" s="44">
        <f>IF(AND(项目总控台账!E112&lt;&gt;"",项目总控台账!E112&lt;&gt;"/"),项目总控台账!E112,IF(AND(项目总控台账!D112&lt;&gt;"",项目总控台账!D112&lt;&gt;"/"),项目总控台账!D112,项目总控台账!C112))</f>
        <v/>
      </c>
      <c r="D113" s="44">
        <f>项目总控台账!H112</f>
        <v/>
      </c>
      <c r="E113" s="46">
        <f>项目总控台账!I112</f>
        <v/>
      </c>
      <c r="F113" s="46">
        <f>项目总控台账!J112</f>
        <v/>
      </c>
      <c r="G113" s="44">
        <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f>
        <v/>
      </c>
      <c r="H113" s="44">
        <f>IF(B113="","",IF(G113="","通过","需整改"))</f>
        <v/>
      </c>
      <c r="I113" s="44">
        <f>IF(H113="需整改","回到项目总控台账第"&amp;J113&amp;"行补齐或修正","无需处理")</f>
        <v/>
      </c>
      <c r="J113" s="44" t="n">
        <v>112</v>
      </c>
    </row>
    <row r="114">
      <c r="A114" s="44" t="inlineStr">
        <is>
          <t>项目总控台账</t>
        </is>
      </c>
      <c r="B114" s="44">
        <f>项目总控台账!A113</f>
        <v/>
      </c>
      <c r="C114" s="44">
        <f>IF(AND(项目总控台账!E113&lt;&gt;"",项目总控台账!E113&lt;&gt;"/"),项目总控台账!E113,IF(AND(项目总控台账!D113&lt;&gt;"",项目总控台账!D113&lt;&gt;"/"),项目总控台账!D113,项目总控台账!C113))</f>
        <v/>
      </c>
      <c r="D114" s="44">
        <f>项目总控台账!H113</f>
        <v/>
      </c>
      <c r="E114" s="46">
        <f>项目总控台账!I113</f>
        <v/>
      </c>
      <c r="F114" s="46">
        <f>项目总控台账!J113</f>
        <v/>
      </c>
      <c r="G114" s="44">
        <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f>
        <v/>
      </c>
      <c r="H114" s="44">
        <f>IF(B114="","",IF(G114="","通过","需整改"))</f>
        <v/>
      </c>
      <c r="I114" s="44">
        <f>IF(H114="需整改","回到项目总控台账第"&amp;J114&amp;"行补齐或修正","无需处理")</f>
        <v/>
      </c>
      <c r="J114" s="44" t="n">
        <v>113</v>
      </c>
    </row>
    <row r="115">
      <c r="A115" s="44" t="inlineStr">
        <is>
          <t>项目总控台账</t>
        </is>
      </c>
      <c r="B115" s="44">
        <f>项目总控台账!A114</f>
        <v/>
      </c>
      <c r="C115" s="44">
        <f>IF(AND(项目总控台账!E114&lt;&gt;"",项目总控台账!E114&lt;&gt;"/"),项目总控台账!E114,IF(AND(项目总控台账!D114&lt;&gt;"",项目总控台账!D114&lt;&gt;"/"),项目总控台账!D114,项目总控台账!C114))</f>
        <v/>
      </c>
      <c r="D115" s="44">
        <f>项目总控台账!H114</f>
        <v/>
      </c>
      <c r="E115" s="46">
        <f>项目总控台账!I114</f>
        <v/>
      </c>
      <c r="F115" s="46">
        <f>项目总控台账!J114</f>
        <v/>
      </c>
      <c r="G115" s="44">
        <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f>
        <v/>
      </c>
      <c r="H115" s="44">
        <f>IF(B115="","",IF(G115="","通过","需整改"))</f>
        <v/>
      </c>
      <c r="I115" s="44">
        <f>IF(H115="需整改","回到项目总控台账第"&amp;J115&amp;"行补齐或修正","无需处理")</f>
        <v/>
      </c>
      <c r="J115" s="44" t="n">
        <v>114</v>
      </c>
    </row>
    <row r="116">
      <c r="A116" s="44" t="inlineStr">
        <is>
          <t>项目总控台账</t>
        </is>
      </c>
      <c r="B116" s="44">
        <f>项目总控台账!A115</f>
        <v/>
      </c>
      <c r="C116" s="44">
        <f>IF(AND(项目总控台账!E115&lt;&gt;"",项目总控台账!E115&lt;&gt;"/"),项目总控台账!E115,IF(AND(项目总控台账!D115&lt;&gt;"",项目总控台账!D115&lt;&gt;"/"),项目总控台账!D115,项目总控台账!C115))</f>
        <v/>
      </c>
      <c r="D116" s="44">
        <f>项目总控台账!H115</f>
        <v/>
      </c>
      <c r="E116" s="46">
        <f>项目总控台账!I115</f>
        <v/>
      </c>
      <c r="F116" s="46">
        <f>项目总控台账!J115</f>
        <v/>
      </c>
      <c r="G116" s="44">
        <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f>
        <v/>
      </c>
      <c r="H116" s="44">
        <f>IF(B116="","",IF(G116="","通过","需整改"))</f>
        <v/>
      </c>
      <c r="I116" s="44">
        <f>IF(H116="需整改","回到项目总控台账第"&amp;J116&amp;"行补齐或修正","无需处理")</f>
        <v/>
      </c>
      <c r="J116" s="44" t="n">
        <v>115</v>
      </c>
    </row>
    <row r="117">
      <c r="A117" s="44" t="inlineStr">
        <is>
          <t>项目总控台账</t>
        </is>
      </c>
      <c r="B117" s="44">
        <f>项目总控台账!A116</f>
        <v/>
      </c>
      <c r="C117" s="44">
        <f>IF(AND(项目总控台账!E116&lt;&gt;"",项目总控台账!E116&lt;&gt;"/"),项目总控台账!E116,IF(AND(项目总控台账!D116&lt;&gt;"",项目总控台账!D116&lt;&gt;"/"),项目总控台账!D116,项目总控台账!C116))</f>
        <v/>
      </c>
      <c r="D117" s="44">
        <f>项目总控台账!H116</f>
        <v/>
      </c>
      <c r="E117" s="46">
        <f>项目总控台账!I116</f>
        <v/>
      </c>
      <c r="F117" s="46">
        <f>项目总控台账!J116</f>
        <v/>
      </c>
      <c r="G117" s="44">
        <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f>
        <v/>
      </c>
      <c r="H117" s="44">
        <f>IF(B117="","",IF(G117="","通过","需整改"))</f>
        <v/>
      </c>
      <c r="I117" s="44">
        <f>IF(H117="需整改","回到项目总控台账第"&amp;J117&amp;"行补齐或修正","无需处理")</f>
        <v/>
      </c>
      <c r="J117" s="44" t="n">
        <v>116</v>
      </c>
    </row>
    <row r="118">
      <c r="A118" s="44" t="inlineStr">
        <is>
          <t>项目总控台账</t>
        </is>
      </c>
      <c r="B118" s="44">
        <f>项目总控台账!A117</f>
        <v/>
      </c>
      <c r="C118" s="44">
        <f>IF(AND(项目总控台账!E117&lt;&gt;"",项目总控台账!E117&lt;&gt;"/"),项目总控台账!E117,IF(AND(项目总控台账!D117&lt;&gt;"",项目总控台账!D117&lt;&gt;"/"),项目总控台账!D117,项目总控台账!C117))</f>
        <v/>
      </c>
      <c r="D118" s="44">
        <f>项目总控台账!H117</f>
        <v/>
      </c>
      <c r="E118" s="46">
        <f>项目总控台账!I117</f>
        <v/>
      </c>
      <c r="F118" s="46">
        <f>项目总控台账!J117</f>
        <v/>
      </c>
      <c r="G118" s="44">
        <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f>
        <v/>
      </c>
      <c r="H118" s="44">
        <f>IF(B118="","",IF(G118="","通过","需整改"))</f>
        <v/>
      </c>
      <c r="I118" s="44">
        <f>IF(H118="需整改","回到项目总控台账第"&amp;J118&amp;"行补齐或修正","无需处理")</f>
        <v/>
      </c>
      <c r="J118" s="44" t="n">
        <v>117</v>
      </c>
    </row>
    <row r="119">
      <c r="A119" s="44" t="inlineStr">
        <is>
          <t>项目总控台账</t>
        </is>
      </c>
      <c r="B119" s="44">
        <f>项目总控台账!A118</f>
        <v/>
      </c>
      <c r="C119" s="44">
        <f>IF(AND(项目总控台账!E118&lt;&gt;"",项目总控台账!E118&lt;&gt;"/"),项目总控台账!E118,IF(AND(项目总控台账!D118&lt;&gt;"",项目总控台账!D118&lt;&gt;"/"),项目总控台账!D118,项目总控台账!C118))</f>
        <v/>
      </c>
      <c r="D119" s="44">
        <f>项目总控台账!H118</f>
        <v/>
      </c>
      <c r="E119" s="46">
        <f>项目总控台账!I118</f>
        <v/>
      </c>
      <c r="F119" s="46">
        <f>项目总控台账!J118</f>
        <v/>
      </c>
      <c r="G119" s="44">
        <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f>
        <v/>
      </c>
      <c r="H119" s="44">
        <f>IF(B119="","",IF(G119="","通过","需整改"))</f>
        <v/>
      </c>
      <c r="I119" s="44">
        <f>IF(H119="需整改","回到项目总控台账第"&amp;J119&amp;"行补齐或修正","无需处理")</f>
        <v/>
      </c>
      <c r="J119" s="44" t="n">
        <v>118</v>
      </c>
    </row>
    <row r="120">
      <c r="A120" s="44" t="inlineStr">
        <is>
          <t>项目总控台账</t>
        </is>
      </c>
      <c r="B120" s="44">
        <f>项目总控台账!A119</f>
        <v/>
      </c>
      <c r="C120" s="44">
        <f>IF(AND(项目总控台账!E119&lt;&gt;"",项目总控台账!E119&lt;&gt;"/"),项目总控台账!E119,IF(AND(项目总控台账!D119&lt;&gt;"",项目总控台账!D119&lt;&gt;"/"),项目总控台账!D119,项目总控台账!C119))</f>
        <v/>
      </c>
      <c r="D120" s="44">
        <f>项目总控台账!H119</f>
        <v/>
      </c>
      <c r="E120" s="46">
        <f>项目总控台账!I119</f>
        <v/>
      </c>
      <c r="F120" s="46">
        <f>项目总控台账!J119</f>
        <v/>
      </c>
      <c r="G120" s="44">
        <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f>
        <v/>
      </c>
      <c r="H120" s="44">
        <f>IF(B120="","",IF(G120="","通过","需整改"))</f>
        <v/>
      </c>
      <c r="I120" s="44">
        <f>IF(H120="需整改","回到项目总控台账第"&amp;J120&amp;"行补齐或修正","无需处理")</f>
        <v/>
      </c>
      <c r="J120" s="44" t="n">
        <v>119</v>
      </c>
    </row>
    <row r="121">
      <c r="A121" s="44" t="inlineStr">
        <is>
          <t>项目总控台账</t>
        </is>
      </c>
      <c r="B121" s="44">
        <f>项目总控台账!A120</f>
        <v/>
      </c>
      <c r="C121" s="44">
        <f>IF(AND(项目总控台账!E120&lt;&gt;"",项目总控台账!E120&lt;&gt;"/"),项目总控台账!E120,IF(AND(项目总控台账!D120&lt;&gt;"",项目总控台账!D120&lt;&gt;"/"),项目总控台账!D120,项目总控台账!C120))</f>
        <v/>
      </c>
      <c r="D121" s="44">
        <f>项目总控台账!H120</f>
        <v/>
      </c>
      <c r="E121" s="46">
        <f>项目总控台账!I120</f>
        <v/>
      </c>
      <c r="F121" s="46">
        <f>项目总控台账!J120</f>
        <v/>
      </c>
      <c r="G121" s="44">
        <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f>
        <v/>
      </c>
      <c r="H121" s="44">
        <f>IF(B121="","",IF(G121="","通过","需整改"))</f>
        <v/>
      </c>
      <c r="I121" s="44">
        <f>IF(H121="需整改","回到项目总控台账第"&amp;J121&amp;"行补齐或修正","无需处理")</f>
        <v/>
      </c>
      <c r="J121" s="44" t="n">
        <v>120</v>
      </c>
    </row>
    <row r="122">
      <c r="A122" s="44" t="inlineStr">
        <is>
          <t>项目总控台账</t>
        </is>
      </c>
      <c r="B122" s="44">
        <f>项目总控台账!A121</f>
        <v/>
      </c>
      <c r="C122" s="44">
        <f>IF(AND(项目总控台账!E121&lt;&gt;"",项目总控台账!E121&lt;&gt;"/"),项目总控台账!E121,IF(AND(项目总控台账!D121&lt;&gt;"",项目总控台账!D121&lt;&gt;"/"),项目总控台账!D121,项目总控台账!C121))</f>
        <v/>
      </c>
      <c r="D122" s="44">
        <f>项目总控台账!H121</f>
        <v/>
      </c>
      <c r="E122" s="46">
        <f>项目总控台账!I121</f>
        <v/>
      </c>
      <c r="F122" s="46">
        <f>项目总控台账!J121</f>
        <v/>
      </c>
      <c r="G122" s="44">
        <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f>
        <v/>
      </c>
      <c r="H122" s="44">
        <f>IF(B122="","",IF(G122="","通过","需整改"))</f>
        <v/>
      </c>
      <c r="I122" s="44">
        <f>IF(H122="需整改","回到项目总控台账第"&amp;J122&amp;"行补齐或修正","无需处理")</f>
        <v/>
      </c>
      <c r="J122" s="44" t="n">
        <v>121</v>
      </c>
    </row>
    <row r="123">
      <c r="A123" s="44" t="inlineStr">
        <is>
          <t>项目总控台账</t>
        </is>
      </c>
      <c r="B123" s="44">
        <f>项目总控台账!A122</f>
        <v/>
      </c>
      <c r="C123" s="44">
        <f>IF(AND(项目总控台账!E122&lt;&gt;"",项目总控台账!E122&lt;&gt;"/"),项目总控台账!E122,IF(AND(项目总控台账!D122&lt;&gt;"",项目总控台账!D122&lt;&gt;"/"),项目总控台账!D122,项目总控台账!C122))</f>
        <v/>
      </c>
      <c r="D123" s="44">
        <f>项目总控台账!H122</f>
        <v/>
      </c>
      <c r="E123" s="46">
        <f>项目总控台账!I122</f>
        <v/>
      </c>
      <c r="F123" s="46">
        <f>项目总控台账!J122</f>
        <v/>
      </c>
      <c r="G123" s="44">
        <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f>
        <v/>
      </c>
      <c r="H123" s="44">
        <f>IF(B123="","",IF(G123="","通过","需整改"))</f>
        <v/>
      </c>
      <c r="I123" s="44">
        <f>IF(H123="需整改","回到项目总控台账第"&amp;J123&amp;"行补齐或修正","无需处理")</f>
        <v/>
      </c>
      <c r="J123" s="44" t="n">
        <v>122</v>
      </c>
    </row>
    <row r="124">
      <c r="A124" s="44" t="inlineStr">
        <is>
          <t>项目总控台账</t>
        </is>
      </c>
      <c r="B124" s="44">
        <f>项目总控台账!A123</f>
        <v/>
      </c>
      <c r="C124" s="44">
        <f>IF(AND(项目总控台账!E123&lt;&gt;"",项目总控台账!E123&lt;&gt;"/"),项目总控台账!E123,IF(AND(项目总控台账!D123&lt;&gt;"",项目总控台账!D123&lt;&gt;"/"),项目总控台账!D123,项目总控台账!C123))</f>
        <v/>
      </c>
      <c r="D124" s="44">
        <f>项目总控台账!H123</f>
        <v/>
      </c>
      <c r="E124" s="46">
        <f>项目总控台账!I123</f>
        <v/>
      </c>
      <c r="F124" s="46">
        <f>项目总控台账!J123</f>
        <v/>
      </c>
      <c r="G124" s="44">
        <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f>
        <v/>
      </c>
      <c r="H124" s="44">
        <f>IF(B124="","",IF(G124="","通过","需整改"))</f>
        <v/>
      </c>
      <c r="I124" s="44">
        <f>IF(H124="需整改","回到项目总控台账第"&amp;J124&amp;"行补齐或修正","无需处理")</f>
        <v/>
      </c>
      <c r="J124" s="44" t="n">
        <v>123</v>
      </c>
    </row>
    <row r="125">
      <c r="A125" s="44" t="inlineStr">
        <is>
          <t>项目总控台账</t>
        </is>
      </c>
      <c r="B125" s="44">
        <f>项目总控台账!A124</f>
        <v/>
      </c>
      <c r="C125" s="44">
        <f>IF(AND(项目总控台账!E124&lt;&gt;"",项目总控台账!E124&lt;&gt;"/"),项目总控台账!E124,IF(AND(项目总控台账!D124&lt;&gt;"",项目总控台账!D124&lt;&gt;"/"),项目总控台账!D124,项目总控台账!C124))</f>
        <v/>
      </c>
      <c r="D125" s="44">
        <f>项目总控台账!H124</f>
        <v/>
      </c>
      <c r="E125" s="46">
        <f>项目总控台账!I124</f>
        <v/>
      </c>
      <c r="F125" s="46">
        <f>项目总控台账!J124</f>
        <v/>
      </c>
      <c r="G125" s="44">
        <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f>
        <v/>
      </c>
      <c r="H125" s="44">
        <f>IF(B125="","",IF(G125="","通过","需整改"))</f>
        <v/>
      </c>
      <c r="I125" s="44">
        <f>IF(H125="需整改","回到项目总控台账第"&amp;J125&amp;"行补齐或修正","无需处理")</f>
        <v/>
      </c>
      <c r="J125" s="44" t="n">
        <v>124</v>
      </c>
    </row>
    <row r="126">
      <c r="A126" s="44" t="inlineStr">
        <is>
          <t>项目总控台账</t>
        </is>
      </c>
      <c r="B126" s="44">
        <f>项目总控台账!A125</f>
        <v/>
      </c>
      <c r="C126" s="44">
        <f>IF(AND(项目总控台账!E125&lt;&gt;"",项目总控台账!E125&lt;&gt;"/"),项目总控台账!E125,IF(AND(项目总控台账!D125&lt;&gt;"",项目总控台账!D125&lt;&gt;"/"),项目总控台账!D125,项目总控台账!C125))</f>
        <v/>
      </c>
      <c r="D126" s="44">
        <f>项目总控台账!H125</f>
        <v/>
      </c>
      <c r="E126" s="46">
        <f>项目总控台账!I125</f>
        <v/>
      </c>
      <c r="F126" s="46">
        <f>项目总控台账!J125</f>
        <v/>
      </c>
      <c r="G126" s="44">
        <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f>
        <v/>
      </c>
      <c r="H126" s="44">
        <f>IF(B126="","",IF(G126="","通过","需整改"))</f>
        <v/>
      </c>
      <c r="I126" s="44">
        <f>IF(H126="需整改","回到项目总控台账第"&amp;J126&amp;"行补齐或修正","无需处理")</f>
        <v/>
      </c>
      <c r="J126" s="44" t="n">
        <v>125</v>
      </c>
    </row>
    <row r="127">
      <c r="A127" s="44" t="inlineStr">
        <is>
          <t>项目总控台账</t>
        </is>
      </c>
      <c r="B127" s="44">
        <f>项目总控台账!A126</f>
        <v/>
      </c>
      <c r="C127" s="44">
        <f>IF(AND(项目总控台账!E126&lt;&gt;"",项目总控台账!E126&lt;&gt;"/"),项目总控台账!E126,IF(AND(项目总控台账!D126&lt;&gt;"",项目总控台账!D126&lt;&gt;"/"),项目总控台账!D126,项目总控台账!C126))</f>
        <v/>
      </c>
      <c r="D127" s="44">
        <f>项目总控台账!H126</f>
        <v/>
      </c>
      <c r="E127" s="46">
        <f>项目总控台账!I126</f>
        <v/>
      </c>
      <c r="F127" s="46">
        <f>项目总控台账!J126</f>
        <v/>
      </c>
      <c r="G127" s="44">
        <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f>
        <v/>
      </c>
      <c r="H127" s="44">
        <f>IF(B127="","",IF(G127="","通过","需整改"))</f>
        <v/>
      </c>
      <c r="I127" s="44">
        <f>IF(H127="需整改","回到项目总控台账第"&amp;J127&amp;"行补齐或修正","无需处理")</f>
        <v/>
      </c>
      <c r="J127" s="44" t="n">
        <v>126</v>
      </c>
    </row>
    <row r="128">
      <c r="A128" s="44" t="inlineStr">
        <is>
          <t>项目总控台账</t>
        </is>
      </c>
      <c r="B128" s="44">
        <f>项目总控台账!A127</f>
        <v/>
      </c>
      <c r="C128" s="44">
        <f>IF(AND(项目总控台账!E127&lt;&gt;"",项目总控台账!E127&lt;&gt;"/"),项目总控台账!E127,IF(AND(项目总控台账!D127&lt;&gt;"",项目总控台账!D127&lt;&gt;"/"),项目总控台账!D127,项目总控台账!C127))</f>
        <v/>
      </c>
      <c r="D128" s="44">
        <f>项目总控台账!H127</f>
        <v/>
      </c>
      <c r="E128" s="46">
        <f>项目总控台账!I127</f>
        <v/>
      </c>
      <c r="F128" s="46">
        <f>项目总控台账!J127</f>
        <v/>
      </c>
      <c r="G128" s="44">
        <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f>
        <v/>
      </c>
      <c r="H128" s="44">
        <f>IF(B128="","",IF(G128="","通过","需整改"))</f>
        <v/>
      </c>
      <c r="I128" s="44">
        <f>IF(H128="需整改","回到项目总控台账第"&amp;J128&amp;"行补齐或修正","无需处理")</f>
        <v/>
      </c>
      <c r="J128" s="44" t="n">
        <v>127</v>
      </c>
    </row>
    <row r="129">
      <c r="A129" s="44" t="inlineStr">
        <is>
          <t>项目总控台账</t>
        </is>
      </c>
      <c r="B129" s="44">
        <f>项目总控台账!A128</f>
        <v/>
      </c>
      <c r="C129" s="44">
        <f>IF(AND(项目总控台账!E128&lt;&gt;"",项目总控台账!E128&lt;&gt;"/"),项目总控台账!E128,IF(AND(项目总控台账!D128&lt;&gt;"",项目总控台账!D128&lt;&gt;"/"),项目总控台账!D128,项目总控台账!C128))</f>
        <v/>
      </c>
      <c r="D129" s="44">
        <f>项目总控台账!H128</f>
        <v/>
      </c>
      <c r="E129" s="46">
        <f>项目总控台账!I128</f>
        <v/>
      </c>
      <c r="F129" s="46">
        <f>项目总控台账!J128</f>
        <v/>
      </c>
      <c r="G129" s="44">
        <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f>
        <v/>
      </c>
      <c r="H129" s="44">
        <f>IF(B129="","",IF(G129="","通过","需整改"))</f>
        <v/>
      </c>
      <c r="I129" s="44">
        <f>IF(H129="需整改","回到项目总控台账第"&amp;J129&amp;"行补齐或修正","无需处理")</f>
        <v/>
      </c>
      <c r="J129" s="44" t="n">
        <v>128</v>
      </c>
    </row>
    <row r="130">
      <c r="A130" s="44" t="inlineStr">
        <is>
          <t>项目总控台账</t>
        </is>
      </c>
      <c r="B130" s="44">
        <f>项目总控台账!A129</f>
        <v/>
      </c>
      <c r="C130" s="44">
        <f>IF(AND(项目总控台账!E129&lt;&gt;"",项目总控台账!E129&lt;&gt;"/"),项目总控台账!E129,IF(AND(项目总控台账!D129&lt;&gt;"",项目总控台账!D129&lt;&gt;"/"),项目总控台账!D129,项目总控台账!C129))</f>
        <v/>
      </c>
      <c r="D130" s="44">
        <f>项目总控台账!H129</f>
        <v/>
      </c>
      <c r="E130" s="46">
        <f>项目总控台账!I129</f>
        <v/>
      </c>
      <c r="F130" s="46">
        <f>项目总控台账!J129</f>
        <v/>
      </c>
      <c r="G130" s="44">
        <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f>
        <v/>
      </c>
      <c r="H130" s="44">
        <f>IF(B130="","",IF(G130="","通过","需整改"))</f>
        <v/>
      </c>
      <c r="I130" s="44">
        <f>IF(H130="需整改","回到项目总控台账第"&amp;J130&amp;"行补齐或修正","无需处理")</f>
        <v/>
      </c>
      <c r="J130" s="44" t="n">
        <v>129</v>
      </c>
    </row>
    <row r="131">
      <c r="A131" s="44" t="inlineStr">
        <is>
          <t>项目总控台账</t>
        </is>
      </c>
      <c r="B131" s="44">
        <f>项目总控台账!A130</f>
        <v/>
      </c>
      <c r="C131" s="44">
        <f>IF(AND(项目总控台账!E130&lt;&gt;"",项目总控台账!E130&lt;&gt;"/"),项目总控台账!E130,IF(AND(项目总控台账!D130&lt;&gt;"",项目总控台账!D130&lt;&gt;"/"),项目总控台账!D130,项目总控台账!C130))</f>
        <v/>
      </c>
      <c r="D131" s="44">
        <f>项目总控台账!H130</f>
        <v/>
      </c>
      <c r="E131" s="46">
        <f>项目总控台账!I130</f>
        <v/>
      </c>
      <c r="F131" s="46">
        <f>项目总控台账!J130</f>
        <v/>
      </c>
      <c r="G131" s="44">
        <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f>
        <v/>
      </c>
      <c r="H131" s="44">
        <f>IF(B131="","",IF(G131="","通过","需整改"))</f>
        <v/>
      </c>
      <c r="I131" s="44">
        <f>IF(H131="需整改","回到项目总控台账第"&amp;J131&amp;"行补齐或修正","无需处理")</f>
        <v/>
      </c>
      <c r="J131" s="44" t="n">
        <v>130</v>
      </c>
    </row>
    <row r="132">
      <c r="A132" s="44" t="inlineStr">
        <is>
          <t>项目总控台账</t>
        </is>
      </c>
      <c r="B132" s="44">
        <f>项目总控台账!A131</f>
        <v/>
      </c>
      <c r="C132" s="44">
        <f>IF(AND(项目总控台账!E131&lt;&gt;"",项目总控台账!E131&lt;&gt;"/"),项目总控台账!E131,IF(AND(项目总控台账!D131&lt;&gt;"",项目总控台账!D131&lt;&gt;"/"),项目总控台账!D131,项目总控台账!C131))</f>
        <v/>
      </c>
      <c r="D132" s="44">
        <f>项目总控台账!H131</f>
        <v/>
      </c>
      <c r="E132" s="46">
        <f>项目总控台账!I131</f>
        <v/>
      </c>
      <c r="F132" s="46">
        <f>项目总控台账!J131</f>
        <v/>
      </c>
      <c r="G132" s="44">
        <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f>
        <v/>
      </c>
      <c r="H132" s="44">
        <f>IF(B132="","",IF(G132="","通过","需整改"))</f>
        <v/>
      </c>
      <c r="I132" s="44">
        <f>IF(H132="需整改","回到项目总控台账第"&amp;J132&amp;"行补齐或修正","无需处理")</f>
        <v/>
      </c>
      <c r="J132" s="44" t="n">
        <v>131</v>
      </c>
    </row>
    <row r="133">
      <c r="A133" s="44" t="inlineStr">
        <is>
          <t>项目总控台账</t>
        </is>
      </c>
      <c r="B133" s="44">
        <f>项目总控台账!A132</f>
        <v/>
      </c>
      <c r="C133" s="44">
        <f>IF(AND(项目总控台账!E132&lt;&gt;"",项目总控台账!E132&lt;&gt;"/"),项目总控台账!E132,IF(AND(项目总控台账!D132&lt;&gt;"",项目总控台账!D132&lt;&gt;"/"),项目总控台账!D132,项目总控台账!C132))</f>
        <v/>
      </c>
      <c r="D133" s="44">
        <f>项目总控台账!H132</f>
        <v/>
      </c>
      <c r="E133" s="46">
        <f>项目总控台账!I132</f>
        <v/>
      </c>
      <c r="F133" s="46">
        <f>项目总控台账!J132</f>
        <v/>
      </c>
      <c r="G133" s="44">
        <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f>
        <v/>
      </c>
      <c r="H133" s="44">
        <f>IF(B133="","",IF(G133="","通过","需整改"))</f>
        <v/>
      </c>
      <c r="I133" s="44">
        <f>IF(H133="需整改","回到项目总控台账第"&amp;J133&amp;"行补齐或修正","无需处理")</f>
        <v/>
      </c>
      <c r="J133" s="44" t="n">
        <v>132</v>
      </c>
    </row>
    <row r="134">
      <c r="A134" s="44" t="inlineStr">
        <is>
          <t>项目总控台账</t>
        </is>
      </c>
      <c r="B134" s="44">
        <f>项目总控台账!A133</f>
        <v/>
      </c>
      <c r="C134" s="44">
        <f>IF(AND(项目总控台账!E133&lt;&gt;"",项目总控台账!E133&lt;&gt;"/"),项目总控台账!E133,IF(AND(项目总控台账!D133&lt;&gt;"",项目总控台账!D133&lt;&gt;"/"),项目总控台账!D133,项目总控台账!C133))</f>
        <v/>
      </c>
      <c r="D134" s="44">
        <f>项目总控台账!H133</f>
        <v/>
      </c>
      <c r="E134" s="46">
        <f>项目总控台账!I133</f>
        <v/>
      </c>
      <c r="F134" s="46">
        <f>项目总控台账!J133</f>
        <v/>
      </c>
      <c r="G134" s="44">
        <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f>
        <v/>
      </c>
      <c r="H134" s="44">
        <f>IF(B134="","",IF(G134="","通过","需整改"))</f>
        <v/>
      </c>
      <c r="I134" s="44">
        <f>IF(H134="需整改","回到项目总控台账第"&amp;J134&amp;"行补齐或修正","无需处理")</f>
        <v/>
      </c>
      <c r="J134" s="44" t="n">
        <v>133</v>
      </c>
    </row>
    <row r="135">
      <c r="A135" s="44" t="inlineStr">
        <is>
          <t>项目总控台账</t>
        </is>
      </c>
      <c r="B135" s="44">
        <f>项目总控台账!A134</f>
        <v/>
      </c>
      <c r="C135" s="44">
        <f>IF(AND(项目总控台账!E134&lt;&gt;"",项目总控台账!E134&lt;&gt;"/"),项目总控台账!E134,IF(AND(项目总控台账!D134&lt;&gt;"",项目总控台账!D134&lt;&gt;"/"),项目总控台账!D134,项目总控台账!C134))</f>
        <v/>
      </c>
      <c r="D135" s="44">
        <f>项目总控台账!H134</f>
        <v/>
      </c>
      <c r="E135" s="46">
        <f>项目总控台账!I134</f>
        <v/>
      </c>
      <c r="F135" s="46">
        <f>项目总控台账!J134</f>
        <v/>
      </c>
      <c r="G135" s="44">
        <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f>
        <v/>
      </c>
      <c r="H135" s="44">
        <f>IF(B135="","",IF(G135="","通过","需整改"))</f>
        <v/>
      </c>
      <c r="I135" s="44">
        <f>IF(H135="需整改","回到项目总控台账第"&amp;J135&amp;"行补齐或修正","无需处理")</f>
        <v/>
      </c>
      <c r="J135" s="44" t="n">
        <v>134</v>
      </c>
    </row>
    <row r="136">
      <c r="A136" s="44" t="inlineStr">
        <is>
          <t>项目总控台账</t>
        </is>
      </c>
      <c r="B136" s="44">
        <f>项目总控台账!A135</f>
        <v/>
      </c>
      <c r="C136" s="44">
        <f>IF(AND(项目总控台账!E135&lt;&gt;"",项目总控台账!E135&lt;&gt;"/"),项目总控台账!E135,IF(AND(项目总控台账!D135&lt;&gt;"",项目总控台账!D135&lt;&gt;"/"),项目总控台账!D135,项目总控台账!C135))</f>
        <v/>
      </c>
      <c r="D136" s="44">
        <f>项目总控台账!H135</f>
        <v/>
      </c>
      <c r="E136" s="46">
        <f>项目总控台账!I135</f>
        <v/>
      </c>
      <c r="F136" s="46">
        <f>项目总控台账!J135</f>
        <v/>
      </c>
      <c r="G136" s="44">
        <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f>
        <v/>
      </c>
      <c r="H136" s="44">
        <f>IF(B136="","",IF(G136="","通过","需整改"))</f>
        <v/>
      </c>
      <c r="I136" s="44">
        <f>IF(H136="需整改","回到项目总控台账第"&amp;J136&amp;"行补齐或修正","无需处理")</f>
        <v/>
      </c>
      <c r="J136" s="44" t="n">
        <v>135</v>
      </c>
    </row>
    <row r="137">
      <c r="A137" s="44" t="inlineStr">
        <is>
          <t>项目总控台账</t>
        </is>
      </c>
      <c r="B137" s="44">
        <f>项目总控台账!A136</f>
        <v/>
      </c>
      <c r="C137" s="44">
        <f>IF(AND(项目总控台账!E136&lt;&gt;"",项目总控台账!E136&lt;&gt;"/"),项目总控台账!E136,IF(AND(项目总控台账!D136&lt;&gt;"",项目总控台账!D136&lt;&gt;"/"),项目总控台账!D136,项目总控台账!C136))</f>
        <v/>
      </c>
      <c r="D137" s="44">
        <f>项目总控台账!H136</f>
        <v/>
      </c>
      <c r="E137" s="46">
        <f>项目总控台账!I136</f>
        <v/>
      </c>
      <c r="F137" s="46">
        <f>项目总控台账!J136</f>
        <v/>
      </c>
      <c r="G137" s="44">
        <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f>
        <v/>
      </c>
      <c r="H137" s="44">
        <f>IF(B137="","",IF(G137="","通过","需整改"))</f>
        <v/>
      </c>
      <c r="I137" s="44">
        <f>IF(H137="需整改","回到项目总控台账第"&amp;J137&amp;"行补齐或修正","无需处理")</f>
        <v/>
      </c>
      <c r="J137" s="44" t="n">
        <v>136</v>
      </c>
    </row>
    <row r="138">
      <c r="A138" s="44" t="inlineStr">
        <is>
          <t>项目总控台账</t>
        </is>
      </c>
      <c r="B138" s="44">
        <f>项目总控台账!A137</f>
        <v/>
      </c>
      <c r="C138" s="44">
        <f>IF(AND(项目总控台账!E137&lt;&gt;"",项目总控台账!E137&lt;&gt;"/"),项目总控台账!E137,IF(AND(项目总控台账!D137&lt;&gt;"",项目总控台账!D137&lt;&gt;"/"),项目总控台账!D137,项目总控台账!C137))</f>
        <v/>
      </c>
      <c r="D138" s="44">
        <f>项目总控台账!H137</f>
        <v/>
      </c>
      <c r="E138" s="46">
        <f>项目总控台账!I137</f>
        <v/>
      </c>
      <c r="F138" s="46">
        <f>项目总控台账!J137</f>
        <v/>
      </c>
      <c r="G138" s="44">
        <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f>
        <v/>
      </c>
      <c r="H138" s="44">
        <f>IF(B138="","",IF(G138="","通过","需整改"))</f>
        <v/>
      </c>
      <c r="I138" s="44">
        <f>IF(H138="需整改","回到项目总控台账第"&amp;J138&amp;"行补齐或修正","无需处理")</f>
        <v/>
      </c>
      <c r="J138" s="44" t="n">
        <v>137</v>
      </c>
    </row>
    <row r="139">
      <c r="A139" s="44" t="inlineStr">
        <is>
          <t>项目总控台账</t>
        </is>
      </c>
      <c r="B139" s="44">
        <f>项目总控台账!A138</f>
        <v/>
      </c>
      <c r="C139" s="44">
        <f>IF(AND(项目总控台账!E138&lt;&gt;"",项目总控台账!E138&lt;&gt;"/"),项目总控台账!E138,IF(AND(项目总控台账!D138&lt;&gt;"",项目总控台账!D138&lt;&gt;"/"),项目总控台账!D138,项目总控台账!C138))</f>
        <v/>
      </c>
      <c r="D139" s="44">
        <f>项目总控台账!H138</f>
        <v/>
      </c>
      <c r="E139" s="46">
        <f>项目总控台账!I138</f>
        <v/>
      </c>
      <c r="F139" s="46">
        <f>项目总控台账!J138</f>
        <v/>
      </c>
      <c r="G139" s="44">
        <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f>
        <v/>
      </c>
      <c r="H139" s="44">
        <f>IF(B139="","",IF(G139="","通过","需整改"))</f>
        <v/>
      </c>
      <c r="I139" s="44">
        <f>IF(H139="需整改","回到项目总控台账第"&amp;J139&amp;"行补齐或修正","无需处理")</f>
        <v/>
      </c>
      <c r="J139" s="44" t="n">
        <v>138</v>
      </c>
    </row>
    <row r="140">
      <c r="A140" s="44" t="inlineStr">
        <is>
          <t>项目总控台账</t>
        </is>
      </c>
      <c r="B140" s="44">
        <f>项目总控台账!A139</f>
        <v/>
      </c>
      <c r="C140" s="44">
        <f>IF(AND(项目总控台账!E139&lt;&gt;"",项目总控台账!E139&lt;&gt;"/"),项目总控台账!E139,IF(AND(项目总控台账!D139&lt;&gt;"",项目总控台账!D139&lt;&gt;"/"),项目总控台账!D139,项目总控台账!C139))</f>
        <v/>
      </c>
      <c r="D140" s="44">
        <f>项目总控台账!H139</f>
        <v/>
      </c>
      <c r="E140" s="46">
        <f>项目总控台账!I139</f>
        <v/>
      </c>
      <c r="F140" s="46">
        <f>项目总控台账!J139</f>
        <v/>
      </c>
      <c r="G140" s="44">
        <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f>
        <v/>
      </c>
      <c r="H140" s="44">
        <f>IF(B140="","",IF(G140="","通过","需整改"))</f>
        <v/>
      </c>
      <c r="I140" s="44">
        <f>IF(H140="需整改","回到项目总控台账第"&amp;J140&amp;"行补齐或修正","无需处理")</f>
        <v/>
      </c>
      <c r="J140" s="44" t="n">
        <v>139</v>
      </c>
    </row>
    <row r="141">
      <c r="A141" s="44" t="inlineStr">
        <is>
          <t>项目总控台账</t>
        </is>
      </c>
      <c r="B141" s="44">
        <f>项目总控台账!A140</f>
        <v/>
      </c>
      <c r="C141" s="44">
        <f>IF(AND(项目总控台账!E140&lt;&gt;"",项目总控台账!E140&lt;&gt;"/"),项目总控台账!E140,IF(AND(项目总控台账!D140&lt;&gt;"",项目总控台账!D140&lt;&gt;"/"),项目总控台账!D140,项目总控台账!C140))</f>
        <v/>
      </c>
      <c r="D141" s="44">
        <f>项目总控台账!H140</f>
        <v/>
      </c>
      <c r="E141" s="46">
        <f>项目总控台账!I140</f>
        <v/>
      </c>
      <c r="F141" s="46">
        <f>项目总控台账!J140</f>
        <v/>
      </c>
      <c r="G141" s="44">
        <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f>
        <v/>
      </c>
      <c r="H141" s="44">
        <f>IF(B141="","",IF(G141="","通过","需整改"))</f>
        <v/>
      </c>
      <c r="I141" s="44">
        <f>IF(H141="需整改","回到项目总控台账第"&amp;J141&amp;"行补齐或修正","无需处理")</f>
        <v/>
      </c>
      <c r="J141" s="44" t="n">
        <v>140</v>
      </c>
    </row>
    <row r="142">
      <c r="A142" s="44" t="inlineStr">
        <is>
          <t>项目总控台账</t>
        </is>
      </c>
      <c r="B142" s="44">
        <f>项目总控台账!A141</f>
        <v/>
      </c>
      <c r="C142" s="44">
        <f>IF(AND(项目总控台账!E141&lt;&gt;"",项目总控台账!E141&lt;&gt;"/"),项目总控台账!E141,IF(AND(项目总控台账!D141&lt;&gt;"",项目总控台账!D141&lt;&gt;"/"),项目总控台账!D141,项目总控台账!C141))</f>
        <v/>
      </c>
      <c r="D142" s="44">
        <f>项目总控台账!H141</f>
        <v/>
      </c>
      <c r="E142" s="46">
        <f>项目总控台账!I141</f>
        <v/>
      </c>
      <c r="F142" s="46">
        <f>项目总控台账!J141</f>
        <v/>
      </c>
      <c r="G142" s="44">
        <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f>
        <v/>
      </c>
      <c r="H142" s="44">
        <f>IF(B142="","",IF(G142="","通过","需整改"))</f>
        <v/>
      </c>
      <c r="I142" s="44">
        <f>IF(H142="需整改","回到项目总控台账第"&amp;J142&amp;"行补齐或修正","无需处理")</f>
        <v/>
      </c>
      <c r="J142" s="44" t="n">
        <v>141</v>
      </c>
    </row>
    <row r="143">
      <c r="A143" s="44" t="inlineStr">
        <is>
          <t>项目总控台账</t>
        </is>
      </c>
      <c r="B143" s="44">
        <f>项目总控台账!A142</f>
        <v/>
      </c>
      <c r="C143" s="44">
        <f>IF(AND(项目总控台账!E142&lt;&gt;"",项目总控台账!E142&lt;&gt;"/"),项目总控台账!E142,IF(AND(项目总控台账!D142&lt;&gt;"",项目总控台账!D142&lt;&gt;"/"),项目总控台账!D142,项目总控台账!C142))</f>
        <v/>
      </c>
      <c r="D143" s="44">
        <f>项目总控台账!H142</f>
        <v/>
      </c>
      <c r="E143" s="46">
        <f>项目总控台账!I142</f>
        <v/>
      </c>
      <c r="F143" s="46">
        <f>项目总控台账!J142</f>
        <v/>
      </c>
      <c r="G143" s="44">
        <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f>
        <v/>
      </c>
      <c r="H143" s="44">
        <f>IF(B143="","",IF(G143="","通过","需整改"))</f>
        <v/>
      </c>
      <c r="I143" s="44">
        <f>IF(H143="需整改","回到项目总控台账第"&amp;J143&amp;"行补齐或修正","无需处理")</f>
        <v/>
      </c>
      <c r="J143" s="44" t="n">
        <v>142</v>
      </c>
    </row>
    <row r="144">
      <c r="A144" s="44" t="inlineStr">
        <is>
          <t>项目总控台账</t>
        </is>
      </c>
      <c r="B144" s="44">
        <f>项目总控台账!A143</f>
        <v/>
      </c>
      <c r="C144" s="44">
        <f>IF(AND(项目总控台账!E143&lt;&gt;"",项目总控台账!E143&lt;&gt;"/"),项目总控台账!E143,IF(AND(项目总控台账!D143&lt;&gt;"",项目总控台账!D143&lt;&gt;"/"),项目总控台账!D143,项目总控台账!C143))</f>
        <v/>
      </c>
      <c r="D144" s="44">
        <f>项目总控台账!H143</f>
        <v/>
      </c>
      <c r="E144" s="46">
        <f>项目总控台账!I143</f>
        <v/>
      </c>
      <c r="F144" s="46">
        <f>项目总控台账!J143</f>
        <v/>
      </c>
      <c r="G144" s="44">
        <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f>
        <v/>
      </c>
      <c r="H144" s="44">
        <f>IF(B144="","",IF(G144="","通过","需整改"))</f>
        <v/>
      </c>
      <c r="I144" s="44">
        <f>IF(H144="需整改","回到项目总控台账第"&amp;J144&amp;"行补齐或修正","无需处理")</f>
        <v/>
      </c>
      <c r="J144" s="44" t="n">
        <v>143</v>
      </c>
    </row>
    <row r="145">
      <c r="A145" s="44" t="inlineStr">
        <is>
          <t>项目总控台账</t>
        </is>
      </c>
      <c r="B145" s="44">
        <f>项目总控台账!A144</f>
        <v/>
      </c>
      <c r="C145" s="44">
        <f>IF(AND(项目总控台账!E144&lt;&gt;"",项目总控台账!E144&lt;&gt;"/"),项目总控台账!E144,IF(AND(项目总控台账!D144&lt;&gt;"",项目总控台账!D144&lt;&gt;"/"),项目总控台账!D144,项目总控台账!C144))</f>
        <v/>
      </c>
      <c r="D145" s="44">
        <f>项目总控台账!H144</f>
        <v/>
      </c>
      <c r="E145" s="46">
        <f>项目总控台账!I144</f>
        <v/>
      </c>
      <c r="F145" s="46">
        <f>项目总控台账!J144</f>
        <v/>
      </c>
      <c r="G145" s="44">
        <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f>
        <v/>
      </c>
      <c r="H145" s="44">
        <f>IF(B145="","",IF(G145="","通过","需整改"))</f>
        <v/>
      </c>
      <c r="I145" s="44">
        <f>IF(H145="需整改","回到项目总控台账第"&amp;J145&amp;"行补齐或修正","无需处理")</f>
        <v/>
      </c>
      <c r="J145" s="44" t="n">
        <v>144</v>
      </c>
    </row>
    <row r="146">
      <c r="A146" s="44" t="inlineStr">
        <is>
          <t>项目总控台账</t>
        </is>
      </c>
      <c r="B146" s="44">
        <f>项目总控台账!A145</f>
        <v/>
      </c>
      <c r="C146" s="44">
        <f>IF(AND(项目总控台账!E145&lt;&gt;"",项目总控台账!E145&lt;&gt;"/"),项目总控台账!E145,IF(AND(项目总控台账!D145&lt;&gt;"",项目总控台账!D145&lt;&gt;"/"),项目总控台账!D145,项目总控台账!C145))</f>
        <v/>
      </c>
      <c r="D146" s="44">
        <f>项目总控台账!H145</f>
        <v/>
      </c>
      <c r="E146" s="46">
        <f>项目总控台账!I145</f>
        <v/>
      </c>
      <c r="F146" s="46">
        <f>项目总控台账!J145</f>
        <v/>
      </c>
      <c r="G146" s="44">
        <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f>
        <v/>
      </c>
      <c r="H146" s="44">
        <f>IF(B146="","",IF(G146="","通过","需整改"))</f>
        <v/>
      </c>
      <c r="I146" s="44">
        <f>IF(H146="需整改","回到项目总控台账第"&amp;J146&amp;"行补齐或修正","无需处理")</f>
        <v/>
      </c>
      <c r="J146" s="44" t="n">
        <v>145</v>
      </c>
    </row>
    <row r="147">
      <c r="A147" s="44" t="inlineStr">
        <is>
          <t>项目总控台账</t>
        </is>
      </c>
      <c r="B147" s="44">
        <f>项目总控台账!A146</f>
        <v/>
      </c>
      <c r="C147" s="44">
        <f>IF(AND(项目总控台账!E146&lt;&gt;"",项目总控台账!E146&lt;&gt;"/"),项目总控台账!E146,IF(AND(项目总控台账!D146&lt;&gt;"",项目总控台账!D146&lt;&gt;"/"),项目总控台账!D146,项目总控台账!C146))</f>
        <v/>
      </c>
      <c r="D147" s="44">
        <f>项目总控台账!H146</f>
        <v/>
      </c>
      <c r="E147" s="46">
        <f>项目总控台账!I146</f>
        <v/>
      </c>
      <c r="F147" s="46">
        <f>项目总控台账!J146</f>
        <v/>
      </c>
      <c r="G147" s="44">
        <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f>
        <v/>
      </c>
      <c r="H147" s="44">
        <f>IF(B147="","",IF(G147="","通过","需整改"))</f>
        <v/>
      </c>
      <c r="I147" s="44">
        <f>IF(H147="需整改","回到项目总控台账第"&amp;J147&amp;"行补齐或修正","无需处理")</f>
        <v/>
      </c>
      <c r="J147" s="44" t="n">
        <v>146</v>
      </c>
    </row>
    <row r="148">
      <c r="A148" s="44" t="inlineStr">
        <is>
          <t>项目总控台账</t>
        </is>
      </c>
      <c r="B148" s="44">
        <f>项目总控台账!A147</f>
        <v/>
      </c>
      <c r="C148" s="44">
        <f>IF(AND(项目总控台账!E147&lt;&gt;"",项目总控台账!E147&lt;&gt;"/"),项目总控台账!E147,IF(AND(项目总控台账!D147&lt;&gt;"",项目总控台账!D147&lt;&gt;"/"),项目总控台账!D147,项目总控台账!C147))</f>
        <v/>
      </c>
      <c r="D148" s="44">
        <f>项目总控台账!H147</f>
        <v/>
      </c>
      <c r="E148" s="46">
        <f>项目总控台账!I147</f>
        <v/>
      </c>
      <c r="F148" s="46">
        <f>项目总控台账!J147</f>
        <v/>
      </c>
      <c r="G148" s="44">
        <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f>
        <v/>
      </c>
      <c r="H148" s="44">
        <f>IF(B148="","",IF(G148="","通过","需整改"))</f>
        <v/>
      </c>
      <c r="I148" s="44">
        <f>IF(H148="需整改","回到项目总控台账第"&amp;J148&amp;"行补齐或修正","无需处理")</f>
        <v/>
      </c>
      <c r="J148" s="44" t="n">
        <v>147</v>
      </c>
    </row>
    <row r="149">
      <c r="A149" s="44" t="inlineStr">
        <is>
          <t>项目总控台账</t>
        </is>
      </c>
      <c r="B149" s="44">
        <f>项目总控台账!A148</f>
        <v/>
      </c>
      <c r="C149" s="44">
        <f>IF(AND(项目总控台账!E148&lt;&gt;"",项目总控台账!E148&lt;&gt;"/"),项目总控台账!E148,IF(AND(项目总控台账!D148&lt;&gt;"",项目总控台账!D148&lt;&gt;"/"),项目总控台账!D148,项目总控台账!C148))</f>
        <v/>
      </c>
      <c r="D149" s="44">
        <f>项目总控台账!H148</f>
        <v/>
      </c>
      <c r="E149" s="46">
        <f>项目总控台账!I148</f>
        <v/>
      </c>
      <c r="F149" s="46">
        <f>项目总控台账!J148</f>
        <v/>
      </c>
      <c r="G149" s="44">
        <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f>
        <v/>
      </c>
      <c r="H149" s="44">
        <f>IF(B149="","",IF(G149="","通过","需整改"))</f>
        <v/>
      </c>
      <c r="I149" s="44">
        <f>IF(H149="需整改","回到项目总控台账第"&amp;J149&amp;"行补齐或修正","无需处理")</f>
        <v/>
      </c>
      <c r="J149" s="44" t="n">
        <v>148</v>
      </c>
    </row>
  </sheetData>
  <autoFilter ref="A4:J149"/>
  <mergeCells count="2">
    <mergeCell ref="A1:J1"/>
    <mergeCell ref="A2:J2"/>
  </mergeCells>
  <pageMargins left="0.75" right="0.75" top="1" bottom="1" header="0.5" footer="0.5"/>
  <pageSetup orientation="landscape" paperSize="1" fitToHeight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M1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1" customWidth="1" min="1" max="1"/>
    <col width="28" customWidth="1" min="3" max="3"/>
    <col width="13" customWidth="1" min="4" max="4"/>
    <col width="16" customWidth="1" min="6" max="6"/>
    <col width="13" customWidth="1" min="7" max="7"/>
    <col width="12" customWidth="1" min="8" max="8"/>
    <col width="13" customWidth="1" min="9" max="9"/>
    <col width="30" customWidth="1" min="10" max="10"/>
    <col width="34" customWidth="1" min="11" max="11"/>
    <col width="13" customWidth="1" min="12" max="12"/>
    <col width="24" customWidth="1" min="13" max="13"/>
  </cols>
  <sheetData>
    <row r="1" ht="28" customHeight="1">
      <c r="A1" s="34" t="inlineStr">
        <is>
          <t>两周督办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2" customHeight="1">
      <c r="A2" s="35" t="inlineStr">
        <is>
          <t>自动识别未来14天到期及已经逾期的未完成任务。使用“是否纳入”筛选出需要督办的记录。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</row>
    <row r="4" ht="28" customHeight="1">
      <c r="A4" s="42" t="inlineStr">
        <is>
          <t>是否纳入</t>
        </is>
      </c>
      <c r="B4" s="42" t="inlineStr">
        <is>
          <t>任务ID</t>
        </is>
      </c>
      <c r="C4" s="42" t="inlineStr">
        <is>
          <t>任务名称</t>
        </is>
      </c>
      <c r="D4" s="42" t="inlineStr">
        <is>
          <t>批次</t>
        </is>
      </c>
      <c r="E4" s="42" t="inlineStr">
        <is>
          <t>总体状态</t>
        </is>
      </c>
      <c r="F4" s="42" t="inlineStr">
        <is>
          <t>主责人</t>
        </is>
      </c>
      <c r="G4" s="42" t="inlineStr">
        <is>
          <t>计划完成</t>
        </is>
      </c>
      <c r="H4" s="42" t="inlineStr">
        <is>
          <t>距截止天数</t>
        </is>
      </c>
      <c r="I4" s="42" t="inlineStr">
        <is>
          <t>延期状态</t>
        </is>
      </c>
      <c r="J4" s="42" t="inlineStr">
        <is>
          <t>当前问题/阻塞</t>
        </is>
      </c>
      <c r="K4" s="42" t="inlineStr">
        <is>
          <t>建议动作</t>
        </is>
      </c>
      <c r="L4" s="42" t="inlineStr">
        <is>
          <t>承诺完成</t>
        </is>
      </c>
      <c r="M4" s="42" t="inlineStr">
        <is>
          <t>完成证据</t>
        </is>
      </c>
    </row>
    <row r="5">
      <c r="A5" s="44">
        <f>IF(B5="","",IF(AND(E5&lt;&gt;"已完成",ISNUMBER(G5),G5&lt;=项目驾驶舱!$B$3+14),"是","否"))</f>
        <v/>
      </c>
      <c r="B5" s="44">
        <f>项目总控台账!A4</f>
        <v/>
      </c>
      <c r="C5" s="44">
        <f>IF(AND(项目总控台账!E4&lt;&gt;"",项目总控台账!E4&lt;&gt;"/"),项目总控台账!E4,IF(AND(项目总控台账!D4&lt;&gt;"",项目总控台账!D4&lt;&gt;"/"),项目总控台账!D4,项目总控台账!C4))</f>
        <v/>
      </c>
      <c r="D5" s="44">
        <f>项目总控台账!F4</f>
        <v/>
      </c>
      <c r="E5" s="44">
        <f>项目总控台账!G4</f>
        <v/>
      </c>
      <c r="F5" s="44">
        <f>项目总控台账!H4</f>
        <v/>
      </c>
      <c r="G5" s="46">
        <f>项目总控台账!J4</f>
        <v/>
      </c>
      <c r="H5" s="44">
        <f>IF(G5="","",G5-项目驾驶舱!$B$3)</f>
        <v/>
      </c>
      <c r="I5" s="44">
        <f>项目总控台账!AC4</f>
        <v/>
      </c>
      <c r="J5" s="44">
        <f>项目总控台账!AD4</f>
        <v/>
      </c>
      <c r="K5" s="44">
        <f>IF(A5&lt;&gt;"是","",IF(OR(E5="暂停",E5="挂起"),"确认暂停原因、恢复条件和责任人",IF(H5&lt;0,"立即确认延期原因、影响及补救计划",IF(H5&lt;=7,"本周确认交付承诺和完成证据","提前检查依赖与风险"))))</f>
        <v/>
      </c>
      <c r="L5" s="47" t="n"/>
      <c r="M5" s="48" t="n"/>
    </row>
    <row r="6">
      <c r="A6" s="44">
        <f>IF(B6="","",IF(AND(E6&lt;&gt;"已完成",ISNUMBER(G6),G6&lt;=项目驾驶舱!$B$3+14),"是","否"))</f>
        <v/>
      </c>
      <c r="B6" s="44">
        <f>项目总控台账!A5</f>
        <v/>
      </c>
      <c r="C6" s="44">
        <f>IF(AND(项目总控台账!E5&lt;&gt;"",项目总控台账!E5&lt;&gt;"/"),项目总控台账!E5,IF(AND(项目总控台账!D5&lt;&gt;"",项目总控台账!D5&lt;&gt;"/"),项目总控台账!D5,项目总控台账!C5))</f>
        <v/>
      </c>
      <c r="D6" s="44">
        <f>项目总控台账!F5</f>
        <v/>
      </c>
      <c r="E6" s="44">
        <f>项目总控台账!G5</f>
        <v/>
      </c>
      <c r="F6" s="44">
        <f>项目总控台账!H5</f>
        <v/>
      </c>
      <c r="G6" s="46">
        <f>项目总控台账!J5</f>
        <v/>
      </c>
      <c r="H6" s="44">
        <f>IF(G6="","",G6-项目驾驶舱!$B$3)</f>
        <v/>
      </c>
      <c r="I6" s="44">
        <f>项目总控台账!AC5</f>
        <v/>
      </c>
      <c r="J6" s="44">
        <f>项目总控台账!AD5</f>
        <v/>
      </c>
      <c r="K6" s="44">
        <f>IF(A6&lt;&gt;"是","",IF(OR(E6="暂停",E6="挂起"),"确认暂停原因、恢复条件和责任人",IF(H6&lt;0,"立即确认延期原因、影响及补救计划",IF(H6&lt;=7,"本周确认交付承诺和完成证据","提前检查依赖与风险"))))</f>
        <v/>
      </c>
      <c r="L6" s="47" t="n"/>
      <c r="M6" s="48" t="n"/>
    </row>
    <row r="7">
      <c r="A7" s="44">
        <f>IF(B7="","",IF(AND(E7&lt;&gt;"已完成",ISNUMBER(G7),G7&lt;=项目驾驶舱!$B$3+14),"是","否"))</f>
        <v/>
      </c>
      <c r="B7" s="44">
        <f>项目总控台账!A6</f>
        <v/>
      </c>
      <c r="C7" s="44">
        <f>IF(AND(项目总控台账!E6&lt;&gt;"",项目总控台账!E6&lt;&gt;"/"),项目总控台账!E6,IF(AND(项目总控台账!D6&lt;&gt;"",项目总控台账!D6&lt;&gt;"/"),项目总控台账!D6,项目总控台账!C6))</f>
        <v/>
      </c>
      <c r="D7" s="44">
        <f>项目总控台账!F6</f>
        <v/>
      </c>
      <c r="E7" s="44">
        <f>项目总控台账!G6</f>
        <v/>
      </c>
      <c r="F7" s="44">
        <f>项目总控台账!H6</f>
        <v/>
      </c>
      <c r="G7" s="46">
        <f>项目总控台账!J6</f>
        <v/>
      </c>
      <c r="H7" s="44">
        <f>IF(G7="","",G7-项目驾驶舱!$B$3)</f>
        <v/>
      </c>
      <c r="I7" s="44">
        <f>项目总控台账!AC6</f>
        <v/>
      </c>
      <c r="J7" s="44">
        <f>项目总控台账!AD6</f>
        <v/>
      </c>
      <c r="K7" s="44">
        <f>IF(A7&lt;&gt;"是","",IF(OR(E7="暂停",E7="挂起"),"确认暂停原因、恢复条件和责任人",IF(H7&lt;0,"立即确认延期原因、影响及补救计划",IF(H7&lt;=7,"本周确认交付承诺和完成证据","提前检查依赖与风险"))))</f>
        <v/>
      </c>
      <c r="L7" s="47" t="n"/>
      <c r="M7" s="48" t="n"/>
    </row>
    <row r="8">
      <c r="A8" s="44">
        <f>IF(B8="","",IF(AND(E8&lt;&gt;"已完成",ISNUMBER(G8),G8&lt;=项目驾驶舱!$B$3+14),"是","否"))</f>
        <v/>
      </c>
      <c r="B8" s="44">
        <f>项目总控台账!A7</f>
        <v/>
      </c>
      <c r="C8" s="44">
        <f>IF(AND(项目总控台账!E7&lt;&gt;"",项目总控台账!E7&lt;&gt;"/"),项目总控台账!E7,IF(AND(项目总控台账!D7&lt;&gt;"",项目总控台账!D7&lt;&gt;"/"),项目总控台账!D7,项目总控台账!C7))</f>
        <v/>
      </c>
      <c r="D8" s="44">
        <f>项目总控台账!F7</f>
        <v/>
      </c>
      <c r="E8" s="44">
        <f>项目总控台账!G7</f>
        <v/>
      </c>
      <c r="F8" s="44">
        <f>项目总控台账!H7</f>
        <v/>
      </c>
      <c r="G8" s="46">
        <f>项目总控台账!J7</f>
        <v/>
      </c>
      <c r="H8" s="44">
        <f>IF(G8="","",G8-项目驾驶舱!$B$3)</f>
        <v/>
      </c>
      <c r="I8" s="44">
        <f>项目总控台账!AC7</f>
        <v/>
      </c>
      <c r="J8" s="44">
        <f>项目总控台账!AD7</f>
        <v/>
      </c>
      <c r="K8" s="44">
        <f>IF(A8&lt;&gt;"是","",IF(OR(E8="暂停",E8="挂起"),"确认暂停原因、恢复条件和责任人",IF(H8&lt;0,"立即确认延期原因、影响及补救计划",IF(H8&lt;=7,"本周确认交付承诺和完成证据","提前检查依赖与风险"))))</f>
        <v/>
      </c>
      <c r="L8" s="47" t="n"/>
      <c r="M8" s="48" t="n"/>
    </row>
    <row r="9">
      <c r="A9" s="44">
        <f>IF(B9="","",IF(AND(E9&lt;&gt;"已完成",ISNUMBER(G9),G9&lt;=项目驾驶舱!$B$3+14),"是","否"))</f>
        <v/>
      </c>
      <c r="B9" s="44">
        <f>项目总控台账!A8</f>
        <v/>
      </c>
      <c r="C9" s="44">
        <f>IF(AND(项目总控台账!E8&lt;&gt;"",项目总控台账!E8&lt;&gt;"/"),项目总控台账!E8,IF(AND(项目总控台账!D8&lt;&gt;"",项目总控台账!D8&lt;&gt;"/"),项目总控台账!D8,项目总控台账!C8))</f>
        <v/>
      </c>
      <c r="D9" s="44">
        <f>项目总控台账!F8</f>
        <v/>
      </c>
      <c r="E9" s="44">
        <f>项目总控台账!G8</f>
        <v/>
      </c>
      <c r="F9" s="44">
        <f>项目总控台账!H8</f>
        <v/>
      </c>
      <c r="G9" s="46">
        <f>项目总控台账!J8</f>
        <v/>
      </c>
      <c r="H9" s="44">
        <f>IF(G9="","",G9-项目驾驶舱!$B$3)</f>
        <v/>
      </c>
      <c r="I9" s="44">
        <f>项目总控台账!AC8</f>
        <v/>
      </c>
      <c r="J9" s="44">
        <f>项目总控台账!AD8</f>
        <v/>
      </c>
      <c r="K9" s="44">
        <f>IF(A9&lt;&gt;"是","",IF(OR(E9="暂停",E9="挂起"),"确认暂停原因、恢复条件和责任人",IF(H9&lt;0,"立即确认延期原因、影响及补救计划",IF(H9&lt;=7,"本周确认交付承诺和完成证据","提前检查依赖与风险"))))</f>
        <v/>
      </c>
      <c r="L9" s="47" t="n"/>
      <c r="M9" s="48" t="n"/>
    </row>
    <row r="10">
      <c r="A10" s="44">
        <f>IF(B10="","",IF(AND(E10&lt;&gt;"已完成",ISNUMBER(G10),G10&lt;=项目驾驶舱!$B$3+14),"是","否"))</f>
        <v/>
      </c>
      <c r="B10" s="44">
        <f>项目总控台账!A9</f>
        <v/>
      </c>
      <c r="C10" s="44">
        <f>IF(AND(项目总控台账!E9&lt;&gt;"",项目总控台账!E9&lt;&gt;"/"),项目总控台账!E9,IF(AND(项目总控台账!D9&lt;&gt;"",项目总控台账!D9&lt;&gt;"/"),项目总控台账!D9,项目总控台账!C9))</f>
        <v/>
      </c>
      <c r="D10" s="44">
        <f>项目总控台账!F9</f>
        <v/>
      </c>
      <c r="E10" s="44">
        <f>项目总控台账!G9</f>
        <v/>
      </c>
      <c r="F10" s="44">
        <f>项目总控台账!H9</f>
        <v/>
      </c>
      <c r="G10" s="46">
        <f>项目总控台账!J9</f>
        <v/>
      </c>
      <c r="H10" s="44">
        <f>IF(G10="","",G10-项目驾驶舱!$B$3)</f>
        <v/>
      </c>
      <c r="I10" s="44">
        <f>项目总控台账!AC9</f>
        <v/>
      </c>
      <c r="J10" s="44">
        <f>项目总控台账!AD9</f>
        <v/>
      </c>
      <c r="K10" s="44">
        <f>IF(A10&lt;&gt;"是","",IF(OR(E10="暂停",E10="挂起"),"确认暂停原因、恢复条件和责任人",IF(H10&lt;0,"立即确认延期原因、影响及补救计划",IF(H10&lt;=7,"本周确认交付承诺和完成证据","提前检查依赖与风险"))))</f>
        <v/>
      </c>
      <c r="L10" s="47" t="n"/>
      <c r="M10" s="48" t="n"/>
    </row>
    <row r="11">
      <c r="A11" s="44">
        <f>IF(B11="","",IF(AND(E11&lt;&gt;"已完成",ISNUMBER(G11),G11&lt;=项目驾驶舱!$B$3+14),"是","否"))</f>
        <v/>
      </c>
      <c r="B11" s="44">
        <f>项目总控台账!A10</f>
        <v/>
      </c>
      <c r="C11" s="44">
        <f>IF(AND(项目总控台账!E10&lt;&gt;"",项目总控台账!E10&lt;&gt;"/"),项目总控台账!E10,IF(AND(项目总控台账!D10&lt;&gt;"",项目总控台账!D10&lt;&gt;"/"),项目总控台账!D10,项目总控台账!C10))</f>
        <v/>
      </c>
      <c r="D11" s="44">
        <f>项目总控台账!F10</f>
        <v/>
      </c>
      <c r="E11" s="44">
        <f>项目总控台账!G10</f>
        <v/>
      </c>
      <c r="F11" s="44">
        <f>项目总控台账!H10</f>
        <v/>
      </c>
      <c r="G11" s="46">
        <f>项目总控台账!J10</f>
        <v/>
      </c>
      <c r="H11" s="44">
        <f>IF(G11="","",G11-项目驾驶舱!$B$3)</f>
        <v/>
      </c>
      <c r="I11" s="44">
        <f>项目总控台账!AC10</f>
        <v/>
      </c>
      <c r="J11" s="44">
        <f>项目总控台账!AD10</f>
        <v/>
      </c>
      <c r="K11" s="44">
        <f>IF(A11&lt;&gt;"是","",IF(OR(E11="暂停",E11="挂起"),"确认暂停原因、恢复条件和责任人",IF(H11&lt;0,"立即确认延期原因、影响及补救计划",IF(H11&lt;=7,"本周确认交付承诺和完成证据","提前检查依赖与风险"))))</f>
        <v/>
      </c>
      <c r="L11" s="47" t="n"/>
      <c r="M11" s="48" t="n"/>
    </row>
    <row r="12">
      <c r="A12" s="44">
        <f>IF(B12="","",IF(AND(E12&lt;&gt;"已完成",ISNUMBER(G12),G12&lt;=项目驾驶舱!$B$3+14),"是","否"))</f>
        <v/>
      </c>
      <c r="B12" s="44">
        <f>项目总控台账!A11</f>
        <v/>
      </c>
      <c r="C12" s="44">
        <f>IF(AND(项目总控台账!E11&lt;&gt;"",项目总控台账!E11&lt;&gt;"/"),项目总控台账!E11,IF(AND(项目总控台账!D11&lt;&gt;"",项目总控台账!D11&lt;&gt;"/"),项目总控台账!D11,项目总控台账!C11))</f>
        <v/>
      </c>
      <c r="D12" s="44">
        <f>项目总控台账!F11</f>
        <v/>
      </c>
      <c r="E12" s="44">
        <f>项目总控台账!G11</f>
        <v/>
      </c>
      <c r="F12" s="44">
        <f>项目总控台账!H11</f>
        <v/>
      </c>
      <c r="G12" s="46">
        <f>项目总控台账!J11</f>
        <v/>
      </c>
      <c r="H12" s="44">
        <f>IF(G12="","",G12-项目驾驶舱!$B$3)</f>
        <v/>
      </c>
      <c r="I12" s="44">
        <f>项目总控台账!AC11</f>
        <v/>
      </c>
      <c r="J12" s="44">
        <f>项目总控台账!AD11</f>
        <v/>
      </c>
      <c r="K12" s="44">
        <f>IF(A12&lt;&gt;"是","",IF(OR(E12="暂停",E12="挂起"),"确认暂停原因、恢复条件和责任人",IF(H12&lt;0,"立即确认延期原因、影响及补救计划",IF(H12&lt;=7,"本周确认交付承诺和完成证据","提前检查依赖与风险"))))</f>
        <v/>
      </c>
      <c r="L12" s="47" t="n"/>
      <c r="M12" s="48" t="n"/>
    </row>
    <row r="13">
      <c r="A13" s="44">
        <f>IF(B13="","",IF(AND(E13&lt;&gt;"已完成",ISNUMBER(G13),G13&lt;=项目驾驶舱!$B$3+14),"是","否"))</f>
        <v/>
      </c>
      <c r="B13" s="44">
        <f>项目总控台账!A12</f>
        <v/>
      </c>
      <c r="C13" s="44">
        <f>IF(AND(项目总控台账!E12&lt;&gt;"",项目总控台账!E12&lt;&gt;"/"),项目总控台账!E12,IF(AND(项目总控台账!D12&lt;&gt;"",项目总控台账!D12&lt;&gt;"/"),项目总控台账!D12,项目总控台账!C12))</f>
        <v/>
      </c>
      <c r="D13" s="44">
        <f>项目总控台账!F12</f>
        <v/>
      </c>
      <c r="E13" s="44">
        <f>项目总控台账!G12</f>
        <v/>
      </c>
      <c r="F13" s="44">
        <f>项目总控台账!H12</f>
        <v/>
      </c>
      <c r="G13" s="46">
        <f>项目总控台账!J12</f>
        <v/>
      </c>
      <c r="H13" s="44">
        <f>IF(G13="","",G13-项目驾驶舱!$B$3)</f>
        <v/>
      </c>
      <c r="I13" s="44">
        <f>项目总控台账!AC12</f>
        <v/>
      </c>
      <c r="J13" s="44">
        <f>项目总控台账!AD12</f>
        <v/>
      </c>
      <c r="K13" s="44">
        <f>IF(A13&lt;&gt;"是","",IF(OR(E13="暂停",E13="挂起"),"确认暂停原因、恢复条件和责任人",IF(H13&lt;0,"立即确认延期原因、影响及补救计划",IF(H13&lt;=7,"本周确认交付承诺和完成证据","提前检查依赖与风险"))))</f>
        <v/>
      </c>
      <c r="L13" s="47" t="n"/>
      <c r="M13" s="48" t="n"/>
    </row>
    <row r="14">
      <c r="A14" s="44">
        <f>IF(B14="","",IF(AND(E14&lt;&gt;"已完成",ISNUMBER(G14),G14&lt;=项目驾驶舱!$B$3+14),"是","否"))</f>
        <v/>
      </c>
      <c r="B14" s="44">
        <f>项目总控台账!A13</f>
        <v/>
      </c>
      <c r="C14" s="44">
        <f>IF(AND(项目总控台账!E13&lt;&gt;"",项目总控台账!E13&lt;&gt;"/"),项目总控台账!E13,IF(AND(项目总控台账!D13&lt;&gt;"",项目总控台账!D13&lt;&gt;"/"),项目总控台账!D13,项目总控台账!C13))</f>
        <v/>
      </c>
      <c r="D14" s="44">
        <f>项目总控台账!F13</f>
        <v/>
      </c>
      <c r="E14" s="44">
        <f>项目总控台账!G13</f>
        <v/>
      </c>
      <c r="F14" s="44">
        <f>项目总控台账!H13</f>
        <v/>
      </c>
      <c r="G14" s="46">
        <f>项目总控台账!J13</f>
        <v/>
      </c>
      <c r="H14" s="44">
        <f>IF(G14="","",G14-项目驾驶舱!$B$3)</f>
        <v/>
      </c>
      <c r="I14" s="44">
        <f>项目总控台账!AC13</f>
        <v/>
      </c>
      <c r="J14" s="44">
        <f>项目总控台账!AD13</f>
        <v/>
      </c>
      <c r="K14" s="44">
        <f>IF(A14&lt;&gt;"是","",IF(OR(E14="暂停",E14="挂起"),"确认暂停原因、恢复条件和责任人",IF(H14&lt;0,"立即确认延期原因、影响及补救计划",IF(H14&lt;=7,"本周确认交付承诺和完成证据","提前检查依赖与风险"))))</f>
        <v/>
      </c>
      <c r="L14" s="47" t="n"/>
      <c r="M14" s="48" t="n"/>
    </row>
    <row r="15">
      <c r="A15" s="44">
        <f>IF(B15="","",IF(AND(E15&lt;&gt;"已完成",ISNUMBER(G15),G15&lt;=项目驾驶舱!$B$3+14),"是","否"))</f>
        <v/>
      </c>
      <c r="B15" s="44">
        <f>项目总控台账!A14</f>
        <v/>
      </c>
      <c r="C15" s="44">
        <f>IF(AND(项目总控台账!E14&lt;&gt;"",项目总控台账!E14&lt;&gt;"/"),项目总控台账!E14,IF(AND(项目总控台账!D14&lt;&gt;"",项目总控台账!D14&lt;&gt;"/"),项目总控台账!D14,项目总控台账!C14))</f>
        <v/>
      </c>
      <c r="D15" s="44">
        <f>项目总控台账!F14</f>
        <v/>
      </c>
      <c r="E15" s="44">
        <f>项目总控台账!G14</f>
        <v/>
      </c>
      <c r="F15" s="44">
        <f>项目总控台账!H14</f>
        <v/>
      </c>
      <c r="G15" s="46">
        <f>项目总控台账!J14</f>
        <v/>
      </c>
      <c r="H15" s="44">
        <f>IF(G15="","",G15-项目驾驶舱!$B$3)</f>
        <v/>
      </c>
      <c r="I15" s="44">
        <f>项目总控台账!AC14</f>
        <v/>
      </c>
      <c r="J15" s="44">
        <f>项目总控台账!AD14</f>
        <v/>
      </c>
      <c r="K15" s="44">
        <f>IF(A15&lt;&gt;"是","",IF(OR(E15="暂停",E15="挂起"),"确认暂停原因、恢复条件和责任人",IF(H15&lt;0,"立即确认延期原因、影响及补救计划",IF(H15&lt;=7,"本周确认交付承诺和完成证据","提前检查依赖与风险"))))</f>
        <v/>
      </c>
      <c r="L15" s="47" t="n"/>
      <c r="M15" s="48" t="n"/>
    </row>
    <row r="16">
      <c r="A16" s="44">
        <f>IF(B16="","",IF(AND(E16&lt;&gt;"已完成",ISNUMBER(G16),G16&lt;=项目驾驶舱!$B$3+14),"是","否"))</f>
        <v/>
      </c>
      <c r="B16" s="44">
        <f>项目总控台账!A15</f>
        <v/>
      </c>
      <c r="C16" s="44">
        <f>IF(AND(项目总控台账!E15&lt;&gt;"",项目总控台账!E15&lt;&gt;"/"),项目总控台账!E15,IF(AND(项目总控台账!D15&lt;&gt;"",项目总控台账!D15&lt;&gt;"/"),项目总控台账!D15,项目总控台账!C15))</f>
        <v/>
      </c>
      <c r="D16" s="44">
        <f>项目总控台账!F15</f>
        <v/>
      </c>
      <c r="E16" s="44">
        <f>项目总控台账!G15</f>
        <v/>
      </c>
      <c r="F16" s="44">
        <f>项目总控台账!H15</f>
        <v/>
      </c>
      <c r="G16" s="46">
        <f>项目总控台账!J15</f>
        <v/>
      </c>
      <c r="H16" s="44">
        <f>IF(G16="","",G16-项目驾驶舱!$B$3)</f>
        <v/>
      </c>
      <c r="I16" s="44">
        <f>项目总控台账!AC15</f>
        <v/>
      </c>
      <c r="J16" s="44">
        <f>项目总控台账!AD15</f>
        <v/>
      </c>
      <c r="K16" s="44">
        <f>IF(A16&lt;&gt;"是","",IF(OR(E16="暂停",E16="挂起"),"确认暂停原因、恢复条件和责任人",IF(H16&lt;0,"立即确认延期原因、影响及补救计划",IF(H16&lt;=7,"本周确认交付承诺和完成证据","提前检查依赖与风险"))))</f>
        <v/>
      </c>
      <c r="L16" s="47" t="n"/>
      <c r="M16" s="48" t="n"/>
    </row>
    <row r="17">
      <c r="A17" s="44">
        <f>IF(B17="","",IF(AND(E17&lt;&gt;"已完成",ISNUMBER(G17),G17&lt;=项目驾驶舱!$B$3+14),"是","否"))</f>
        <v/>
      </c>
      <c r="B17" s="44">
        <f>项目总控台账!A16</f>
        <v/>
      </c>
      <c r="C17" s="44">
        <f>IF(AND(项目总控台账!E16&lt;&gt;"",项目总控台账!E16&lt;&gt;"/"),项目总控台账!E16,IF(AND(项目总控台账!D16&lt;&gt;"",项目总控台账!D16&lt;&gt;"/"),项目总控台账!D16,项目总控台账!C16))</f>
        <v/>
      </c>
      <c r="D17" s="44">
        <f>项目总控台账!F16</f>
        <v/>
      </c>
      <c r="E17" s="44">
        <f>项目总控台账!G16</f>
        <v/>
      </c>
      <c r="F17" s="44">
        <f>项目总控台账!H16</f>
        <v/>
      </c>
      <c r="G17" s="46">
        <f>项目总控台账!J16</f>
        <v/>
      </c>
      <c r="H17" s="44">
        <f>IF(G17="","",G17-项目驾驶舱!$B$3)</f>
        <v/>
      </c>
      <c r="I17" s="44">
        <f>项目总控台账!AC16</f>
        <v/>
      </c>
      <c r="J17" s="44">
        <f>项目总控台账!AD16</f>
        <v/>
      </c>
      <c r="K17" s="44">
        <f>IF(A17&lt;&gt;"是","",IF(OR(E17="暂停",E17="挂起"),"确认暂停原因、恢复条件和责任人",IF(H17&lt;0,"立即确认延期原因、影响及补救计划",IF(H17&lt;=7,"本周确认交付承诺和完成证据","提前检查依赖与风险"))))</f>
        <v/>
      </c>
      <c r="L17" s="47" t="n"/>
      <c r="M17" s="48" t="n"/>
    </row>
    <row r="18">
      <c r="A18" s="44">
        <f>IF(B18="","",IF(AND(E18&lt;&gt;"已完成",ISNUMBER(G18),G18&lt;=项目驾驶舱!$B$3+14),"是","否"))</f>
        <v/>
      </c>
      <c r="B18" s="44">
        <f>项目总控台账!A17</f>
        <v/>
      </c>
      <c r="C18" s="44">
        <f>IF(AND(项目总控台账!E17&lt;&gt;"",项目总控台账!E17&lt;&gt;"/"),项目总控台账!E17,IF(AND(项目总控台账!D17&lt;&gt;"",项目总控台账!D17&lt;&gt;"/"),项目总控台账!D17,项目总控台账!C17))</f>
        <v/>
      </c>
      <c r="D18" s="44">
        <f>项目总控台账!F17</f>
        <v/>
      </c>
      <c r="E18" s="44">
        <f>项目总控台账!G17</f>
        <v/>
      </c>
      <c r="F18" s="44">
        <f>项目总控台账!H17</f>
        <v/>
      </c>
      <c r="G18" s="46">
        <f>项目总控台账!J17</f>
        <v/>
      </c>
      <c r="H18" s="44">
        <f>IF(G18="","",G18-项目驾驶舱!$B$3)</f>
        <v/>
      </c>
      <c r="I18" s="44">
        <f>项目总控台账!AC17</f>
        <v/>
      </c>
      <c r="J18" s="44">
        <f>项目总控台账!AD17</f>
        <v/>
      </c>
      <c r="K18" s="44">
        <f>IF(A18&lt;&gt;"是","",IF(OR(E18="暂停",E18="挂起"),"确认暂停原因、恢复条件和责任人",IF(H18&lt;0,"立即确认延期原因、影响及补救计划",IF(H18&lt;=7,"本周确认交付承诺和完成证据","提前检查依赖与风险"))))</f>
        <v/>
      </c>
      <c r="L18" s="47" t="n"/>
      <c r="M18" s="48" t="n"/>
    </row>
    <row r="19">
      <c r="A19" s="44">
        <f>IF(B19="","",IF(AND(E19&lt;&gt;"已完成",ISNUMBER(G19),G19&lt;=项目驾驶舱!$B$3+14),"是","否"))</f>
        <v/>
      </c>
      <c r="B19" s="44">
        <f>项目总控台账!A18</f>
        <v/>
      </c>
      <c r="C19" s="44">
        <f>IF(AND(项目总控台账!E18&lt;&gt;"",项目总控台账!E18&lt;&gt;"/"),项目总控台账!E18,IF(AND(项目总控台账!D18&lt;&gt;"",项目总控台账!D18&lt;&gt;"/"),项目总控台账!D18,项目总控台账!C18))</f>
        <v/>
      </c>
      <c r="D19" s="44">
        <f>项目总控台账!F18</f>
        <v/>
      </c>
      <c r="E19" s="44">
        <f>项目总控台账!G18</f>
        <v/>
      </c>
      <c r="F19" s="44">
        <f>项目总控台账!H18</f>
        <v/>
      </c>
      <c r="G19" s="46">
        <f>项目总控台账!J18</f>
        <v/>
      </c>
      <c r="H19" s="44">
        <f>IF(G19="","",G19-项目驾驶舱!$B$3)</f>
        <v/>
      </c>
      <c r="I19" s="44">
        <f>项目总控台账!AC18</f>
        <v/>
      </c>
      <c r="J19" s="44">
        <f>项目总控台账!AD18</f>
        <v/>
      </c>
      <c r="K19" s="44">
        <f>IF(A19&lt;&gt;"是","",IF(OR(E19="暂停",E19="挂起"),"确认暂停原因、恢复条件和责任人",IF(H19&lt;0,"立即确认延期原因、影响及补救计划",IF(H19&lt;=7,"本周确认交付承诺和完成证据","提前检查依赖与风险"))))</f>
        <v/>
      </c>
      <c r="L19" s="47" t="n"/>
      <c r="M19" s="48" t="n"/>
    </row>
    <row r="20">
      <c r="A20" s="44">
        <f>IF(B20="","",IF(AND(E20&lt;&gt;"已完成",ISNUMBER(G20),G20&lt;=项目驾驶舱!$B$3+14),"是","否"))</f>
        <v/>
      </c>
      <c r="B20" s="44">
        <f>项目总控台账!A19</f>
        <v/>
      </c>
      <c r="C20" s="44">
        <f>IF(AND(项目总控台账!E19&lt;&gt;"",项目总控台账!E19&lt;&gt;"/"),项目总控台账!E19,IF(AND(项目总控台账!D19&lt;&gt;"",项目总控台账!D19&lt;&gt;"/"),项目总控台账!D19,项目总控台账!C19))</f>
        <v/>
      </c>
      <c r="D20" s="44">
        <f>项目总控台账!F19</f>
        <v/>
      </c>
      <c r="E20" s="44">
        <f>项目总控台账!G19</f>
        <v/>
      </c>
      <c r="F20" s="44">
        <f>项目总控台账!H19</f>
        <v/>
      </c>
      <c r="G20" s="46">
        <f>项目总控台账!J19</f>
        <v/>
      </c>
      <c r="H20" s="44">
        <f>IF(G20="","",G20-项目驾驶舱!$B$3)</f>
        <v/>
      </c>
      <c r="I20" s="44">
        <f>项目总控台账!AC19</f>
        <v/>
      </c>
      <c r="J20" s="44">
        <f>项目总控台账!AD19</f>
        <v/>
      </c>
      <c r="K20" s="44">
        <f>IF(A20&lt;&gt;"是","",IF(OR(E20="暂停",E20="挂起"),"确认暂停原因、恢复条件和责任人",IF(H20&lt;0,"立即确认延期原因、影响及补救计划",IF(H20&lt;=7,"本周确认交付承诺和完成证据","提前检查依赖与风险"))))</f>
        <v/>
      </c>
      <c r="L20" s="47" t="n"/>
      <c r="M20" s="48" t="n"/>
    </row>
    <row r="21">
      <c r="A21" s="44">
        <f>IF(B21="","",IF(AND(E21&lt;&gt;"已完成",ISNUMBER(G21),G21&lt;=项目驾驶舱!$B$3+14),"是","否"))</f>
        <v/>
      </c>
      <c r="B21" s="44">
        <f>项目总控台账!A20</f>
        <v/>
      </c>
      <c r="C21" s="44">
        <f>IF(AND(项目总控台账!E20&lt;&gt;"",项目总控台账!E20&lt;&gt;"/"),项目总控台账!E20,IF(AND(项目总控台账!D20&lt;&gt;"",项目总控台账!D20&lt;&gt;"/"),项目总控台账!D20,项目总控台账!C20))</f>
        <v/>
      </c>
      <c r="D21" s="44">
        <f>项目总控台账!F20</f>
        <v/>
      </c>
      <c r="E21" s="44">
        <f>项目总控台账!G20</f>
        <v/>
      </c>
      <c r="F21" s="44">
        <f>项目总控台账!H20</f>
        <v/>
      </c>
      <c r="G21" s="46">
        <f>项目总控台账!J20</f>
        <v/>
      </c>
      <c r="H21" s="44">
        <f>IF(G21="","",G21-项目驾驶舱!$B$3)</f>
        <v/>
      </c>
      <c r="I21" s="44">
        <f>项目总控台账!AC20</f>
        <v/>
      </c>
      <c r="J21" s="44">
        <f>项目总控台账!AD20</f>
        <v/>
      </c>
      <c r="K21" s="44">
        <f>IF(A21&lt;&gt;"是","",IF(OR(E21="暂停",E21="挂起"),"确认暂停原因、恢复条件和责任人",IF(H21&lt;0,"立即确认延期原因、影响及补救计划",IF(H21&lt;=7,"本周确认交付承诺和完成证据","提前检查依赖与风险"))))</f>
        <v/>
      </c>
      <c r="L21" s="47" t="n"/>
      <c r="M21" s="48" t="n"/>
    </row>
    <row r="22">
      <c r="A22" s="44">
        <f>IF(B22="","",IF(AND(E22&lt;&gt;"已完成",ISNUMBER(G22),G22&lt;=项目驾驶舱!$B$3+14),"是","否"))</f>
        <v/>
      </c>
      <c r="B22" s="44">
        <f>项目总控台账!A21</f>
        <v/>
      </c>
      <c r="C22" s="44">
        <f>IF(AND(项目总控台账!E21&lt;&gt;"",项目总控台账!E21&lt;&gt;"/"),项目总控台账!E21,IF(AND(项目总控台账!D21&lt;&gt;"",项目总控台账!D21&lt;&gt;"/"),项目总控台账!D21,项目总控台账!C21))</f>
        <v/>
      </c>
      <c r="D22" s="44">
        <f>项目总控台账!F21</f>
        <v/>
      </c>
      <c r="E22" s="44">
        <f>项目总控台账!G21</f>
        <v/>
      </c>
      <c r="F22" s="44">
        <f>项目总控台账!H21</f>
        <v/>
      </c>
      <c r="G22" s="46">
        <f>项目总控台账!J21</f>
        <v/>
      </c>
      <c r="H22" s="44">
        <f>IF(G22="","",G22-项目驾驶舱!$B$3)</f>
        <v/>
      </c>
      <c r="I22" s="44">
        <f>项目总控台账!AC21</f>
        <v/>
      </c>
      <c r="J22" s="44">
        <f>项目总控台账!AD21</f>
        <v/>
      </c>
      <c r="K22" s="44">
        <f>IF(A22&lt;&gt;"是","",IF(OR(E22="暂停",E22="挂起"),"确认暂停原因、恢复条件和责任人",IF(H22&lt;0,"立即确认延期原因、影响及补救计划",IF(H22&lt;=7,"本周确认交付承诺和完成证据","提前检查依赖与风险"))))</f>
        <v/>
      </c>
      <c r="L22" s="47" t="n"/>
      <c r="M22" s="48" t="n"/>
    </row>
    <row r="23">
      <c r="A23" s="44">
        <f>IF(B23="","",IF(AND(E23&lt;&gt;"已完成",ISNUMBER(G23),G23&lt;=项目驾驶舱!$B$3+14),"是","否"))</f>
        <v/>
      </c>
      <c r="B23" s="44">
        <f>项目总控台账!A22</f>
        <v/>
      </c>
      <c r="C23" s="44">
        <f>IF(AND(项目总控台账!E22&lt;&gt;"",项目总控台账!E22&lt;&gt;"/"),项目总控台账!E22,IF(AND(项目总控台账!D22&lt;&gt;"",项目总控台账!D22&lt;&gt;"/"),项目总控台账!D22,项目总控台账!C22))</f>
        <v/>
      </c>
      <c r="D23" s="44">
        <f>项目总控台账!F22</f>
        <v/>
      </c>
      <c r="E23" s="44">
        <f>项目总控台账!G22</f>
        <v/>
      </c>
      <c r="F23" s="44">
        <f>项目总控台账!H22</f>
        <v/>
      </c>
      <c r="G23" s="46">
        <f>项目总控台账!J22</f>
        <v/>
      </c>
      <c r="H23" s="44">
        <f>IF(G23="","",G23-项目驾驶舱!$B$3)</f>
        <v/>
      </c>
      <c r="I23" s="44">
        <f>项目总控台账!AC22</f>
        <v/>
      </c>
      <c r="J23" s="44">
        <f>项目总控台账!AD22</f>
        <v/>
      </c>
      <c r="K23" s="44">
        <f>IF(A23&lt;&gt;"是","",IF(OR(E23="暂停",E23="挂起"),"确认暂停原因、恢复条件和责任人",IF(H23&lt;0,"立即确认延期原因、影响及补救计划",IF(H23&lt;=7,"本周确认交付承诺和完成证据","提前检查依赖与风险"))))</f>
        <v/>
      </c>
      <c r="L23" s="47" t="n"/>
      <c r="M23" s="48" t="n"/>
    </row>
    <row r="24">
      <c r="A24" s="44">
        <f>IF(B24="","",IF(AND(E24&lt;&gt;"已完成",ISNUMBER(G24),G24&lt;=项目驾驶舱!$B$3+14),"是","否"))</f>
        <v/>
      </c>
      <c r="B24" s="44">
        <f>项目总控台账!A23</f>
        <v/>
      </c>
      <c r="C24" s="44">
        <f>IF(AND(项目总控台账!E23&lt;&gt;"",项目总控台账!E23&lt;&gt;"/"),项目总控台账!E23,IF(AND(项目总控台账!D23&lt;&gt;"",项目总控台账!D23&lt;&gt;"/"),项目总控台账!D23,项目总控台账!C23))</f>
        <v/>
      </c>
      <c r="D24" s="44">
        <f>项目总控台账!F23</f>
        <v/>
      </c>
      <c r="E24" s="44">
        <f>项目总控台账!G23</f>
        <v/>
      </c>
      <c r="F24" s="44">
        <f>项目总控台账!H23</f>
        <v/>
      </c>
      <c r="G24" s="46">
        <f>项目总控台账!J23</f>
        <v/>
      </c>
      <c r="H24" s="44">
        <f>IF(G24="","",G24-项目驾驶舱!$B$3)</f>
        <v/>
      </c>
      <c r="I24" s="44">
        <f>项目总控台账!AC23</f>
        <v/>
      </c>
      <c r="J24" s="44">
        <f>项目总控台账!AD23</f>
        <v/>
      </c>
      <c r="K24" s="44">
        <f>IF(A24&lt;&gt;"是","",IF(OR(E24="暂停",E24="挂起"),"确认暂停原因、恢复条件和责任人",IF(H24&lt;0,"立即确认延期原因、影响及补救计划",IF(H24&lt;=7,"本周确认交付承诺和完成证据","提前检查依赖与风险"))))</f>
        <v/>
      </c>
      <c r="L24" s="47" t="n"/>
      <c r="M24" s="48" t="n"/>
    </row>
    <row r="25">
      <c r="A25" s="44">
        <f>IF(B25="","",IF(AND(E25&lt;&gt;"已完成",ISNUMBER(G25),G25&lt;=项目驾驶舱!$B$3+14),"是","否"))</f>
        <v/>
      </c>
      <c r="B25" s="44">
        <f>项目总控台账!A24</f>
        <v/>
      </c>
      <c r="C25" s="44">
        <f>IF(AND(项目总控台账!E24&lt;&gt;"",项目总控台账!E24&lt;&gt;"/"),项目总控台账!E24,IF(AND(项目总控台账!D24&lt;&gt;"",项目总控台账!D24&lt;&gt;"/"),项目总控台账!D24,项目总控台账!C24))</f>
        <v/>
      </c>
      <c r="D25" s="44">
        <f>项目总控台账!F24</f>
        <v/>
      </c>
      <c r="E25" s="44">
        <f>项目总控台账!G24</f>
        <v/>
      </c>
      <c r="F25" s="44">
        <f>项目总控台账!H24</f>
        <v/>
      </c>
      <c r="G25" s="46">
        <f>项目总控台账!J24</f>
        <v/>
      </c>
      <c r="H25" s="44">
        <f>IF(G25="","",G25-项目驾驶舱!$B$3)</f>
        <v/>
      </c>
      <c r="I25" s="44">
        <f>项目总控台账!AC24</f>
        <v/>
      </c>
      <c r="J25" s="44">
        <f>项目总控台账!AD24</f>
        <v/>
      </c>
      <c r="K25" s="44">
        <f>IF(A25&lt;&gt;"是","",IF(OR(E25="暂停",E25="挂起"),"确认暂停原因、恢复条件和责任人",IF(H25&lt;0,"立即确认延期原因、影响及补救计划",IF(H25&lt;=7,"本周确认交付承诺和完成证据","提前检查依赖与风险"))))</f>
        <v/>
      </c>
      <c r="L25" s="47" t="n"/>
      <c r="M25" s="48" t="n"/>
    </row>
    <row r="26">
      <c r="A26" s="44">
        <f>IF(B26="","",IF(AND(E26&lt;&gt;"已完成",ISNUMBER(G26),G26&lt;=项目驾驶舱!$B$3+14),"是","否"))</f>
        <v/>
      </c>
      <c r="B26" s="44">
        <f>项目总控台账!A25</f>
        <v/>
      </c>
      <c r="C26" s="44">
        <f>IF(AND(项目总控台账!E25&lt;&gt;"",项目总控台账!E25&lt;&gt;"/"),项目总控台账!E25,IF(AND(项目总控台账!D25&lt;&gt;"",项目总控台账!D25&lt;&gt;"/"),项目总控台账!D25,项目总控台账!C25))</f>
        <v/>
      </c>
      <c r="D26" s="44">
        <f>项目总控台账!F25</f>
        <v/>
      </c>
      <c r="E26" s="44">
        <f>项目总控台账!G25</f>
        <v/>
      </c>
      <c r="F26" s="44">
        <f>项目总控台账!H25</f>
        <v/>
      </c>
      <c r="G26" s="46">
        <f>项目总控台账!J25</f>
        <v/>
      </c>
      <c r="H26" s="44">
        <f>IF(G26="","",G26-项目驾驶舱!$B$3)</f>
        <v/>
      </c>
      <c r="I26" s="44">
        <f>项目总控台账!AC25</f>
        <v/>
      </c>
      <c r="J26" s="44">
        <f>项目总控台账!AD25</f>
        <v/>
      </c>
      <c r="K26" s="44">
        <f>IF(A26&lt;&gt;"是","",IF(OR(E26="暂停",E26="挂起"),"确认暂停原因、恢复条件和责任人",IF(H26&lt;0,"立即确认延期原因、影响及补救计划",IF(H26&lt;=7,"本周确认交付承诺和完成证据","提前检查依赖与风险"))))</f>
        <v/>
      </c>
      <c r="L26" s="47" t="n"/>
      <c r="M26" s="48" t="n"/>
    </row>
    <row r="27">
      <c r="A27" s="44">
        <f>IF(B27="","",IF(AND(E27&lt;&gt;"已完成",ISNUMBER(G27),G27&lt;=项目驾驶舱!$B$3+14),"是","否"))</f>
        <v/>
      </c>
      <c r="B27" s="44">
        <f>项目总控台账!A26</f>
        <v/>
      </c>
      <c r="C27" s="44">
        <f>IF(AND(项目总控台账!E26&lt;&gt;"",项目总控台账!E26&lt;&gt;"/"),项目总控台账!E26,IF(AND(项目总控台账!D26&lt;&gt;"",项目总控台账!D26&lt;&gt;"/"),项目总控台账!D26,项目总控台账!C26))</f>
        <v/>
      </c>
      <c r="D27" s="44">
        <f>项目总控台账!F26</f>
        <v/>
      </c>
      <c r="E27" s="44">
        <f>项目总控台账!G26</f>
        <v/>
      </c>
      <c r="F27" s="44">
        <f>项目总控台账!H26</f>
        <v/>
      </c>
      <c r="G27" s="46">
        <f>项目总控台账!J26</f>
        <v/>
      </c>
      <c r="H27" s="44">
        <f>IF(G27="","",G27-项目驾驶舱!$B$3)</f>
        <v/>
      </c>
      <c r="I27" s="44">
        <f>项目总控台账!AC26</f>
        <v/>
      </c>
      <c r="J27" s="44">
        <f>项目总控台账!AD26</f>
        <v/>
      </c>
      <c r="K27" s="44">
        <f>IF(A27&lt;&gt;"是","",IF(OR(E27="暂停",E27="挂起"),"确认暂停原因、恢复条件和责任人",IF(H27&lt;0,"立即确认延期原因、影响及补救计划",IF(H27&lt;=7,"本周确认交付承诺和完成证据","提前检查依赖与风险"))))</f>
        <v/>
      </c>
      <c r="L27" s="47" t="n"/>
      <c r="M27" s="48" t="n"/>
    </row>
    <row r="28">
      <c r="A28" s="44">
        <f>IF(B28="","",IF(AND(E28&lt;&gt;"已完成",ISNUMBER(G28),G28&lt;=项目驾驶舱!$B$3+14),"是","否"))</f>
        <v/>
      </c>
      <c r="B28" s="44">
        <f>项目总控台账!A27</f>
        <v/>
      </c>
      <c r="C28" s="44">
        <f>IF(AND(项目总控台账!E27&lt;&gt;"",项目总控台账!E27&lt;&gt;"/"),项目总控台账!E27,IF(AND(项目总控台账!D27&lt;&gt;"",项目总控台账!D27&lt;&gt;"/"),项目总控台账!D27,项目总控台账!C27))</f>
        <v/>
      </c>
      <c r="D28" s="44">
        <f>项目总控台账!F27</f>
        <v/>
      </c>
      <c r="E28" s="44">
        <f>项目总控台账!G27</f>
        <v/>
      </c>
      <c r="F28" s="44">
        <f>项目总控台账!H27</f>
        <v/>
      </c>
      <c r="G28" s="46">
        <f>项目总控台账!J27</f>
        <v/>
      </c>
      <c r="H28" s="44">
        <f>IF(G28="","",G28-项目驾驶舱!$B$3)</f>
        <v/>
      </c>
      <c r="I28" s="44">
        <f>项目总控台账!AC27</f>
        <v/>
      </c>
      <c r="J28" s="44">
        <f>项目总控台账!AD27</f>
        <v/>
      </c>
      <c r="K28" s="44">
        <f>IF(A28&lt;&gt;"是","",IF(OR(E28="暂停",E28="挂起"),"确认暂停原因、恢复条件和责任人",IF(H28&lt;0,"立即确认延期原因、影响及补救计划",IF(H28&lt;=7,"本周确认交付承诺和完成证据","提前检查依赖与风险"))))</f>
        <v/>
      </c>
      <c r="L28" s="47" t="n"/>
      <c r="M28" s="48" t="n"/>
    </row>
    <row r="29">
      <c r="A29" s="44">
        <f>IF(B29="","",IF(AND(E29&lt;&gt;"已完成",ISNUMBER(G29),G29&lt;=项目驾驶舱!$B$3+14),"是","否"))</f>
        <v/>
      </c>
      <c r="B29" s="44">
        <f>项目总控台账!A28</f>
        <v/>
      </c>
      <c r="C29" s="44">
        <f>IF(AND(项目总控台账!E28&lt;&gt;"",项目总控台账!E28&lt;&gt;"/"),项目总控台账!E28,IF(AND(项目总控台账!D28&lt;&gt;"",项目总控台账!D28&lt;&gt;"/"),项目总控台账!D28,项目总控台账!C28))</f>
        <v/>
      </c>
      <c r="D29" s="44">
        <f>项目总控台账!F28</f>
        <v/>
      </c>
      <c r="E29" s="44">
        <f>项目总控台账!G28</f>
        <v/>
      </c>
      <c r="F29" s="44">
        <f>项目总控台账!H28</f>
        <v/>
      </c>
      <c r="G29" s="46">
        <f>项目总控台账!J28</f>
        <v/>
      </c>
      <c r="H29" s="44">
        <f>IF(G29="","",G29-项目驾驶舱!$B$3)</f>
        <v/>
      </c>
      <c r="I29" s="44">
        <f>项目总控台账!AC28</f>
        <v/>
      </c>
      <c r="J29" s="44">
        <f>项目总控台账!AD28</f>
        <v/>
      </c>
      <c r="K29" s="44">
        <f>IF(A29&lt;&gt;"是","",IF(OR(E29="暂停",E29="挂起"),"确认暂停原因、恢复条件和责任人",IF(H29&lt;0,"立即确认延期原因、影响及补救计划",IF(H29&lt;=7,"本周确认交付承诺和完成证据","提前检查依赖与风险"))))</f>
        <v/>
      </c>
      <c r="L29" s="47" t="n"/>
      <c r="M29" s="48" t="n"/>
    </row>
    <row r="30">
      <c r="A30" s="44">
        <f>IF(B30="","",IF(AND(E30&lt;&gt;"已完成",ISNUMBER(G30),G30&lt;=项目驾驶舱!$B$3+14),"是","否"))</f>
        <v/>
      </c>
      <c r="B30" s="44">
        <f>项目总控台账!A29</f>
        <v/>
      </c>
      <c r="C30" s="44">
        <f>IF(AND(项目总控台账!E29&lt;&gt;"",项目总控台账!E29&lt;&gt;"/"),项目总控台账!E29,IF(AND(项目总控台账!D29&lt;&gt;"",项目总控台账!D29&lt;&gt;"/"),项目总控台账!D29,项目总控台账!C29))</f>
        <v/>
      </c>
      <c r="D30" s="44">
        <f>项目总控台账!F29</f>
        <v/>
      </c>
      <c r="E30" s="44">
        <f>项目总控台账!G29</f>
        <v/>
      </c>
      <c r="F30" s="44">
        <f>项目总控台账!H29</f>
        <v/>
      </c>
      <c r="G30" s="46">
        <f>项目总控台账!J29</f>
        <v/>
      </c>
      <c r="H30" s="44">
        <f>IF(G30="","",G30-项目驾驶舱!$B$3)</f>
        <v/>
      </c>
      <c r="I30" s="44">
        <f>项目总控台账!AC29</f>
        <v/>
      </c>
      <c r="J30" s="44">
        <f>项目总控台账!AD29</f>
        <v/>
      </c>
      <c r="K30" s="44">
        <f>IF(A30&lt;&gt;"是","",IF(OR(E30="暂停",E30="挂起"),"确认暂停原因、恢复条件和责任人",IF(H30&lt;0,"立即确认延期原因、影响及补救计划",IF(H30&lt;=7,"本周确认交付承诺和完成证据","提前检查依赖与风险"))))</f>
        <v/>
      </c>
      <c r="L30" s="47" t="n"/>
      <c r="M30" s="48" t="n"/>
    </row>
    <row r="31">
      <c r="A31" s="44">
        <f>IF(B31="","",IF(AND(E31&lt;&gt;"已完成",ISNUMBER(G31),G31&lt;=项目驾驶舱!$B$3+14),"是","否"))</f>
        <v/>
      </c>
      <c r="B31" s="44">
        <f>项目总控台账!A30</f>
        <v/>
      </c>
      <c r="C31" s="44">
        <f>IF(AND(项目总控台账!E30&lt;&gt;"",项目总控台账!E30&lt;&gt;"/"),项目总控台账!E30,IF(AND(项目总控台账!D30&lt;&gt;"",项目总控台账!D30&lt;&gt;"/"),项目总控台账!D30,项目总控台账!C30))</f>
        <v/>
      </c>
      <c r="D31" s="44">
        <f>项目总控台账!F30</f>
        <v/>
      </c>
      <c r="E31" s="44">
        <f>项目总控台账!G30</f>
        <v/>
      </c>
      <c r="F31" s="44">
        <f>项目总控台账!H30</f>
        <v/>
      </c>
      <c r="G31" s="46">
        <f>项目总控台账!J30</f>
        <v/>
      </c>
      <c r="H31" s="44">
        <f>IF(G31="","",G31-项目驾驶舱!$B$3)</f>
        <v/>
      </c>
      <c r="I31" s="44">
        <f>项目总控台账!AC30</f>
        <v/>
      </c>
      <c r="J31" s="44">
        <f>项目总控台账!AD30</f>
        <v/>
      </c>
      <c r="K31" s="44">
        <f>IF(A31&lt;&gt;"是","",IF(OR(E31="暂停",E31="挂起"),"确认暂停原因、恢复条件和责任人",IF(H31&lt;0,"立即确认延期原因、影响及补救计划",IF(H31&lt;=7,"本周确认交付承诺和完成证据","提前检查依赖与风险"))))</f>
        <v/>
      </c>
      <c r="L31" s="47" t="n"/>
      <c r="M31" s="48" t="n"/>
    </row>
    <row r="32">
      <c r="A32" s="44">
        <f>IF(B32="","",IF(AND(E32&lt;&gt;"已完成",ISNUMBER(G32),G32&lt;=项目驾驶舱!$B$3+14),"是","否"))</f>
        <v/>
      </c>
      <c r="B32" s="44">
        <f>项目总控台账!A31</f>
        <v/>
      </c>
      <c r="C32" s="44">
        <f>IF(AND(项目总控台账!E31&lt;&gt;"",项目总控台账!E31&lt;&gt;"/"),项目总控台账!E31,IF(AND(项目总控台账!D31&lt;&gt;"",项目总控台账!D31&lt;&gt;"/"),项目总控台账!D31,项目总控台账!C31))</f>
        <v/>
      </c>
      <c r="D32" s="44">
        <f>项目总控台账!F31</f>
        <v/>
      </c>
      <c r="E32" s="44">
        <f>项目总控台账!G31</f>
        <v/>
      </c>
      <c r="F32" s="44">
        <f>项目总控台账!H31</f>
        <v/>
      </c>
      <c r="G32" s="46">
        <f>项目总控台账!J31</f>
        <v/>
      </c>
      <c r="H32" s="44">
        <f>IF(G32="","",G32-项目驾驶舱!$B$3)</f>
        <v/>
      </c>
      <c r="I32" s="44">
        <f>项目总控台账!AC31</f>
        <v/>
      </c>
      <c r="J32" s="44">
        <f>项目总控台账!AD31</f>
        <v/>
      </c>
      <c r="K32" s="44">
        <f>IF(A32&lt;&gt;"是","",IF(OR(E32="暂停",E32="挂起"),"确认暂停原因、恢复条件和责任人",IF(H32&lt;0,"立即确认延期原因、影响及补救计划",IF(H32&lt;=7,"本周确认交付承诺和完成证据","提前检查依赖与风险"))))</f>
        <v/>
      </c>
      <c r="L32" s="47" t="n"/>
      <c r="M32" s="48" t="n"/>
    </row>
    <row r="33">
      <c r="A33" s="44">
        <f>IF(B33="","",IF(AND(E33&lt;&gt;"已完成",ISNUMBER(G33),G33&lt;=项目驾驶舱!$B$3+14),"是","否"))</f>
        <v/>
      </c>
      <c r="B33" s="44">
        <f>项目总控台账!A32</f>
        <v/>
      </c>
      <c r="C33" s="44">
        <f>IF(AND(项目总控台账!E32&lt;&gt;"",项目总控台账!E32&lt;&gt;"/"),项目总控台账!E32,IF(AND(项目总控台账!D32&lt;&gt;"",项目总控台账!D32&lt;&gt;"/"),项目总控台账!D32,项目总控台账!C32))</f>
        <v/>
      </c>
      <c r="D33" s="44">
        <f>项目总控台账!F32</f>
        <v/>
      </c>
      <c r="E33" s="44">
        <f>项目总控台账!G32</f>
        <v/>
      </c>
      <c r="F33" s="44">
        <f>项目总控台账!H32</f>
        <v/>
      </c>
      <c r="G33" s="46">
        <f>项目总控台账!J32</f>
        <v/>
      </c>
      <c r="H33" s="44">
        <f>IF(G33="","",G33-项目驾驶舱!$B$3)</f>
        <v/>
      </c>
      <c r="I33" s="44">
        <f>项目总控台账!AC32</f>
        <v/>
      </c>
      <c r="J33" s="44">
        <f>项目总控台账!AD32</f>
        <v/>
      </c>
      <c r="K33" s="44">
        <f>IF(A33&lt;&gt;"是","",IF(OR(E33="暂停",E33="挂起"),"确认暂停原因、恢复条件和责任人",IF(H33&lt;0,"立即确认延期原因、影响及补救计划",IF(H33&lt;=7,"本周确认交付承诺和完成证据","提前检查依赖与风险"))))</f>
        <v/>
      </c>
      <c r="L33" s="47" t="n"/>
      <c r="M33" s="48" t="n"/>
    </row>
    <row r="34">
      <c r="A34" s="44">
        <f>IF(B34="","",IF(AND(E34&lt;&gt;"已完成",ISNUMBER(G34),G34&lt;=项目驾驶舱!$B$3+14),"是","否"))</f>
        <v/>
      </c>
      <c r="B34" s="44">
        <f>项目总控台账!A33</f>
        <v/>
      </c>
      <c r="C34" s="44">
        <f>IF(AND(项目总控台账!E33&lt;&gt;"",项目总控台账!E33&lt;&gt;"/"),项目总控台账!E33,IF(AND(项目总控台账!D33&lt;&gt;"",项目总控台账!D33&lt;&gt;"/"),项目总控台账!D33,项目总控台账!C33))</f>
        <v/>
      </c>
      <c r="D34" s="44">
        <f>项目总控台账!F33</f>
        <v/>
      </c>
      <c r="E34" s="44">
        <f>项目总控台账!G33</f>
        <v/>
      </c>
      <c r="F34" s="44">
        <f>项目总控台账!H33</f>
        <v/>
      </c>
      <c r="G34" s="46">
        <f>项目总控台账!J33</f>
        <v/>
      </c>
      <c r="H34" s="44">
        <f>IF(G34="","",G34-项目驾驶舱!$B$3)</f>
        <v/>
      </c>
      <c r="I34" s="44">
        <f>项目总控台账!AC33</f>
        <v/>
      </c>
      <c r="J34" s="44">
        <f>项目总控台账!AD33</f>
        <v/>
      </c>
      <c r="K34" s="44">
        <f>IF(A34&lt;&gt;"是","",IF(OR(E34="暂停",E34="挂起"),"确认暂停原因、恢复条件和责任人",IF(H34&lt;0,"立即确认延期原因、影响及补救计划",IF(H34&lt;=7,"本周确认交付承诺和完成证据","提前检查依赖与风险"))))</f>
        <v/>
      </c>
      <c r="L34" s="47" t="n"/>
      <c r="M34" s="48" t="n"/>
    </row>
    <row r="35">
      <c r="A35" s="44">
        <f>IF(B35="","",IF(AND(E35&lt;&gt;"已完成",ISNUMBER(G35),G35&lt;=项目驾驶舱!$B$3+14),"是","否"))</f>
        <v/>
      </c>
      <c r="B35" s="44">
        <f>项目总控台账!A34</f>
        <v/>
      </c>
      <c r="C35" s="44">
        <f>IF(AND(项目总控台账!E34&lt;&gt;"",项目总控台账!E34&lt;&gt;"/"),项目总控台账!E34,IF(AND(项目总控台账!D34&lt;&gt;"",项目总控台账!D34&lt;&gt;"/"),项目总控台账!D34,项目总控台账!C34))</f>
        <v/>
      </c>
      <c r="D35" s="44">
        <f>项目总控台账!F34</f>
        <v/>
      </c>
      <c r="E35" s="44">
        <f>项目总控台账!G34</f>
        <v/>
      </c>
      <c r="F35" s="44">
        <f>项目总控台账!H34</f>
        <v/>
      </c>
      <c r="G35" s="46">
        <f>项目总控台账!J34</f>
        <v/>
      </c>
      <c r="H35" s="44">
        <f>IF(G35="","",G35-项目驾驶舱!$B$3)</f>
        <v/>
      </c>
      <c r="I35" s="44">
        <f>项目总控台账!AC34</f>
        <v/>
      </c>
      <c r="J35" s="44">
        <f>项目总控台账!AD34</f>
        <v/>
      </c>
      <c r="K35" s="44">
        <f>IF(A35&lt;&gt;"是","",IF(OR(E35="暂停",E35="挂起"),"确认暂停原因、恢复条件和责任人",IF(H35&lt;0,"立即确认延期原因、影响及补救计划",IF(H35&lt;=7,"本周确认交付承诺和完成证据","提前检查依赖与风险"))))</f>
        <v/>
      </c>
      <c r="L35" s="47" t="n"/>
      <c r="M35" s="48" t="n"/>
    </row>
    <row r="36">
      <c r="A36" s="44">
        <f>IF(B36="","",IF(AND(E36&lt;&gt;"已完成",ISNUMBER(G36),G36&lt;=项目驾驶舱!$B$3+14),"是","否"))</f>
        <v/>
      </c>
      <c r="B36" s="44">
        <f>项目总控台账!A35</f>
        <v/>
      </c>
      <c r="C36" s="44">
        <f>IF(AND(项目总控台账!E35&lt;&gt;"",项目总控台账!E35&lt;&gt;"/"),项目总控台账!E35,IF(AND(项目总控台账!D35&lt;&gt;"",项目总控台账!D35&lt;&gt;"/"),项目总控台账!D35,项目总控台账!C35))</f>
        <v/>
      </c>
      <c r="D36" s="44">
        <f>项目总控台账!F35</f>
        <v/>
      </c>
      <c r="E36" s="44">
        <f>项目总控台账!G35</f>
        <v/>
      </c>
      <c r="F36" s="44">
        <f>项目总控台账!H35</f>
        <v/>
      </c>
      <c r="G36" s="46">
        <f>项目总控台账!J35</f>
        <v/>
      </c>
      <c r="H36" s="44">
        <f>IF(G36="","",G36-项目驾驶舱!$B$3)</f>
        <v/>
      </c>
      <c r="I36" s="44">
        <f>项目总控台账!AC35</f>
        <v/>
      </c>
      <c r="J36" s="44">
        <f>项目总控台账!AD35</f>
        <v/>
      </c>
      <c r="K36" s="44">
        <f>IF(A36&lt;&gt;"是","",IF(OR(E36="暂停",E36="挂起"),"确认暂停原因、恢复条件和责任人",IF(H36&lt;0,"立即确认延期原因、影响及补救计划",IF(H36&lt;=7,"本周确认交付承诺和完成证据","提前检查依赖与风险"))))</f>
        <v/>
      </c>
      <c r="L36" s="47" t="n"/>
      <c r="M36" s="48" t="n"/>
    </row>
    <row r="37">
      <c r="A37" s="44">
        <f>IF(B37="","",IF(AND(E37&lt;&gt;"已完成",ISNUMBER(G37),G37&lt;=项目驾驶舱!$B$3+14),"是","否"))</f>
        <v/>
      </c>
      <c r="B37" s="44">
        <f>项目总控台账!A36</f>
        <v/>
      </c>
      <c r="C37" s="44">
        <f>IF(AND(项目总控台账!E36&lt;&gt;"",项目总控台账!E36&lt;&gt;"/"),项目总控台账!E36,IF(AND(项目总控台账!D36&lt;&gt;"",项目总控台账!D36&lt;&gt;"/"),项目总控台账!D36,项目总控台账!C36))</f>
        <v/>
      </c>
      <c r="D37" s="44">
        <f>项目总控台账!F36</f>
        <v/>
      </c>
      <c r="E37" s="44">
        <f>项目总控台账!G36</f>
        <v/>
      </c>
      <c r="F37" s="44">
        <f>项目总控台账!H36</f>
        <v/>
      </c>
      <c r="G37" s="46">
        <f>项目总控台账!J36</f>
        <v/>
      </c>
      <c r="H37" s="44">
        <f>IF(G37="","",G37-项目驾驶舱!$B$3)</f>
        <v/>
      </c>
      <c r="I37" s="44">
        <f>项目总控台账!AC36</f>
        <v/>
      </c>
      <c r="J37" s="44">
        <f>项目总控台账!AD36</f>
        <v/>
      </c>
      <c r="K37" s="44">
        <f>IF(A37&lt;&gt;"是","",IF(OR(E37="暂停",E37="挂起"),"确认暂停原因、恢复条件和责任人",IF(H37&lt;0,"立即确认延期原因、影响及补救计划",IF(H37&lt;=7,"本周确认交付承诺和完成证据","提前检查依赖与风险"))))</f>
        <v/>
      </c>
      <c r="L37" s="47" t="n"/>
      <c r="M37" s="48" t="n"/>
    </row>
    <row r="38">
      <c r="A38" s="44">
        <f>IF(B38="","",IF(AND(E38&lt;&gt;"已完成",ISNUMBER(G38),G38&lt;=项目驾驶舱!$B$3+14),"是","否"))</f>
        <v/>
      </c>
      <c r="B38" s="44">
        <f>项目总控台账!A37</f>
        <v/>
      </c>
      <c r="C38" s="44">
        <f>IF(AND(项目总控台账!E37&lt;&gt;"",项目总控台账!E37&lt;&gt;"/"),项目总控台账!E37,IF(AND(项目总控台账!D37&lt;&gt;"",项目总控台账!D37&lt;&gt;"/"),项目总控台账!D37,项目总控台账!C37))</f>
        <v/>
      </c>
      <c r="D38" s="44">
        <f>项目总控台账!F37</f>
        <v/>
      </c>
      <c r="E38" s="44">
        <f>项目总控台账!G37</f>
        <v/>
      </c>
      <c r="F38" s="44">
        <f>项目总控台账!H37</f>
        <v/>
      </c>
      <c r="G38" s="46">
        <f>项目总控台账!J37</f>
        <v/>
      </c>
      <c r="H38" s="44">
        <f>IF(G38="","",G38-项目驾驶舱!$B$3)</f>
        <v/>
      </c>
      <c r="I38" s="44">
        <f>项目总控台账!AC37</f>
        <v/>
      </c>
      <c r="J38" s="44">
        <f>项目总控台账!AD37</f>
        <v/>
      </c>
      <c r="K38" s="44">
        <f>IF(A38&lt;&gt;"是","",IF(OR(E38="暂停",E38="挂起"),"确认暂停原因、恢复条件和责任人",IF(H38&lt;0,"立即确认延期原因、影响及补救计划",IF(H38&lt;=7,"本周确认交付承诺和完成证据","提前检查依赖与风险"))))</f>
        <v/>
      </c>
      <c r="L38" s="47" t="n"/>
      <c r="M38" s="48" t="n"/>
    </row>
    <row r="39">
      <c r="A39" s="44">
        <f>IF(B39="","",IF(AND(E39&lt;&gt;"已完成",ISNUMBER(G39),G39&lt;=项目驾驶舱!$B$3+14),"是","否"))</f>
        <v/>
      </c>
      <c r="B39" s="44">
        <f>项目总控台账!A38</f>
        <v/>
      </c>
      <c r="C39" s="44">
        <f>IF(AND(项目总控台账!E38&lt;&gt;"",项目总控台账!E38&lt;&gt;"/"),项目总控台账!E38,IF(AND(项目总控台账!D38&lt;&gt;"",项目总控台账!D38&lt;&gt;"/"),项目总控台账!D38,项目总控台账!C38))</f>
        <v/>
      </c>
      <c r="D39" s="44">
        <f>项目总控台账!F38</f>
        <v/>
      </c>
      <c r="E39" s="44">
        <f>项目总控台账!G38</f>
        <v/>
      </c>
      <c r="F39" s="44">
        <f>项目总控台账!H38</f>
        <v/>
      </c>
      <c r="G39" s="46">
        <f>项目总控台账!J38</f>
        <v/>
      </c>
      <c r="H39" s="44">
        <f>IF(G39="","",G39-项目驾驶舱!$B$3)</f>
        <v/>
      </c>
      <c r="I39" s="44">
        <f>项目总控台账!AC38</f>
        <v/>
      </c>
      <c r="J39" s="44">
        <f>项目总控台账!AD38</f>
        <v/>
      </c>
      <c r="K39" s="44">
        <f>IF(A39&lt;&gt;"是","",IF(OR(E39="暂停",E39="挂起"),"确认暂停原因、恢复条件和责任人",IF(H39&lt;0,"立即确认延期原因、影响及补救计划",IF(H39&lt;=7,"本周确认交付承诺和完成证据","提前检查依赖与风险"))))</f>
        <v/>
      </c>
      <c r="L39" s="47" t="n"/>
      <c r="M39" s="48" t="n"/>
    </row>
    <row r="40">
      <c r="A40" s="44">
        <f>IF(B40="","",IF(AND(E40&lt;&gt;"已完成",ISNUMBER(G40),G40&lt;=项目驾驶舱!$B$3+14),"是","否"))</f>
        <v/>
      </c>
      <c r="B40" s="44">
        <f>项目总控台账!A39</f>
        <v/>
      </c>
      <c r="C40" s="44">
        <f>IF(AND(项目总控台账!E39&lt;&gt;"",项目总控台账!E39&lt;&gt;"/"),项目总控台账!E39,IF(AND(项目总控台账!D39&lt;&gt;"",项目总控台账!D39&lt;&gt;"/"),项目总控台账!D39,项目总控台账!C39))</f>
        <v/>
      </c>
      <c r="D40" s="44">
        <f>项目总控台账!F39</f>
        <v/>
      </c>
      <c r="E40" s="44">
        <f>项目总控台账!G39</f>
        <v/>
      </c>
      <c r="F40" s="44">
        <f>项目总控台账!H39</f>
        <v/>
      </c>
      <c r="G40" s="46">
        <f>项目总控台账!J39</f>
        <v/>
      </c>
      <c r="H40" s="44">
        <f>IF(G40="","",G40-项目驾驶舱!$B$3)</f>
        <v/>
      </c>
      <c r="I40" s="44">
        <f>项目总控台账!AC39</f>
        <v/>
      </c>
      <c r="J40" s="44">
        <f>项目总控台账!AD39</f>
        <v/>
      </c>
      <c r="K40" s="44">
        <f>IF(A40&lt;&gt;"是","",IF(OR(E40="暂停",E40="挂起"),"确认暂停原因、恢复条件和责任人",IF(H40&lt;0,"立即确认延期原因、影响及补救计划",IF(H40&lt;=7,"本周确认交付承诺和完成证据","提前检查依赖与风险"))))</f>
        <v/>
      </c>
      <c r="L40" s="47" t="n"/>
      <c r="M40" s="48" t="n"/>
    </row>
    <row r="41">
      <c r="A41" s="44">
        <f>IF(B41="","",IF(AND(E41&lt;&gt;"已完成",ISNUMBER(G41),G41&lt;=项目驾驶舱!$B$3+14),"是","否"))</f>
        <v/>
      </c>
      <c r="B41" s="44">
        <f>项目总控台账!A40</f>
        <v/>
      </c>
      <c r="C41" s="44">
        <f>IF(AND(项目总控台账!E40&lt;&gt;"",项目总控台账!E40&lt;&gt;"/"),项目总控台账!E40,IF(AND(项目总控台账!D40&lt;&gt;"",项目总控台账!D40&lt;&gt;"/"),项目总控台账!D40,项目总控台账!C40))</f>
        <v/>
      </c>
      <c r="D41" s="44">
        <f>项目总控台账!F40</f>
        <v/>
      </c>
      <c r="E41" s="44">
        <f>项目总控台账!G40</f>
        <v/>
      </c>
      <c r="F41" s="44">
        <f>项目总控台账!H40</f>
        <v/>
      </c>
      <c r="G41" s="46">
        <f>项目总控台账!J40</f>
        <v/>
      </c>
      <c r="H41" s="44">
        <f>IF(G41="","",G41-项目驾驶舱!$B$3)</f>
        <v/>
      </c>
      <c r="I41" s="44">
        <f>项目总控台账!AC40</f>
        <v/>
      </c>
      <c r="J41" s="44">
        <f>项目总控台账!AD40</f>
        <v/>
      </c>
      <c r="K41" s="44">
        <f>IF(A41&lt;&gt;"是","",IF(OR(E41="暂停",E41="挂起"),"确认暂停原因、恢复条件和责任人",IF(H41&lt;0,"立即确认延期原因、影响及补救计划",IF(H41&lt;=7,"本周确认交付承诺和完成证据","提前检查依赖与风险"))))</f>
        <v/>
      </c>
      <c r="L41" s="47" t="n"/>
      <c r="M41" s="48" t="n"/>
    </row>
    <row r="42">
      <c r="A42" s="44">
        <f>IF(B42="","",IF(AND(E42&lt;&gt;"已完成",ISNUMBER(G42),G42&lt;=项目驾驶舱!$B$3+14),"是","否"))</f>
        <v/>
      </c>
      <c r="B42" s="44">
        <f>项目总控台账!A41</f>
        <v/>
      </c>
      <c r="C42" s="44">
        <f>IF(AND(项目总控台账!E41&lt;&gt;"",项目总控台账!E41&lt;&gt;"/"),项目总控台账!E41,IF(AND(项目总控台账!D41&lt;&gt;"",项目总控台账!D41&lt;&gt;"/"),项目总控台账!D41,项目总控台账!C41))</f>
        <v/>
      </c>
      <c r="D42" s="44">
        <f>项目总控台账!F41</f>
        <v/>
      </c>
      <c r="E42" s="44">
        <f>项目总控台账!G41</f>
        <v/>
      </c>
      <c r="F42" s="44">
        <f>项目总控台账!H41</f>
        <v/>
      </c>
      <c r="G42" s="46">
        <f>项目总控台账!J41</f>
        <v/>
      </c>
      <c r="H42" s="44">
        <f>IF(G42="","",G42-项目驾驶舱!$B$3)</f>
        <v/>
      </c>
      <c r="I42" s="44">
        <f>项目总控台账!AC41</f>
        <v/>
      </c>
      <c r="J42" s="44">
        <f>项目总控台账!AD41</f>
        <v/>
      </c>
      <c r="K42" s="44">
        <f>IF(A42&lt;&gt;"是","",IF(OR(E42="暂停",E42="挂起"),"确认暂停原因、恢复条件和责任人",IF(H42&lt;0,"立即确认延期原因、影响及补救计划",IF(H42&lt;=7,"本周确认交付承诺和完成证据","提前检查依赖与风险"))))</f>
        <v/>
      </c>
      <c r="L42" s="47" t="n"/>
      <c r="M42" s="48" t="n"/>
    </row>
    <row r="43">
      <c r="A43" s="44">
        <f>IF(B43="","",IF(AND(E43&lt;&gt;"已完成",ISNUMBER(G43),G43&lt;=项目驾驶舱!$B$3+14),"是","否"))</f>
        <v/>
      </c>
      <c r="B43" s="44">
        <f>项目总控台账!A42</f>
        <v/>
      </c>
      <c r="C43" s="44">
        <f>IF(AND(项目总控台账!E42&lt;&gt;"",项目总控台账!E42&lt;&gt;"/"),项目总控台账!E42,IF(AND(项目总控台账!D42&lt;&gt;"",项目总控台账!D42&lt;&gt;"/"),项目总控台账!D42,项目总控台账!C42))</f>
        <v/>
      </c>
      <c r="D43" s="44">
        <f>项目总控台账!F42</f>
        <v/>
      </c>
      <c r="E43" s="44">
        <f>项目总控台账!G42</f>
        <v/>
      </c>
      <c r="F43" s="44">
        <f>项目总控台账!H42</f>
        <v/>
      </c>
      <c r="G43" s="46">
        <f>项目总控台账!J42</f>
        <v/>
      </c>
      <c r="H43" s="44">
        <f>IF(G43="","",G43-项目驾驶舱!$B$3)</f>
        <v/>
      </c>
      <c r="I43" s="44">
        <f>项目总控台账!AC42</f>
        <v/>
      </c>
      <c r="J43" s="44">
        <f>项目总控台账!AD42</f>
        <v/>
      </c>
      <c r="K43" s="44">
        <f>IF(A43&lt;&gt;"是","",IF(OR(E43="暂停",E43="挂起"),"确认暂停原因、恢复条件和责任人",IF(H43&lt;0,"立即确认延期原因、影响及补救计划",IF(H43&lt;=7,"本周确认交付承诺和完成证据","提前检查依赖与风险"))))</f>
        <v/>
      </c>
      <c r="L43" s="47" t="n"/>
      <c r="M43" s="48" t="n"/>
    </row>
    <row r="44">
      <c r="A44" s="44">
        <f>IF(B44="","",IF(AND(E44&lt;&gt;"已完成",ISNUMBER(G44),G44&lt;=项目驾驶舱!$B$3+14),"是","否"))</f>
        <v/>
      </c>
      <c r="B44" s="44">
        <f>项目总控台账!A43</f>
        <v/>
      </c>
      <c r="C44" s="44">
        <f>IF(AND(项目总控台账!E43&lt;&gt;"",项目总控台账!E43&lt;&gt;"/"),项目总控台账!E43,IF(AND(项目总控台账!D43&lt;&gt;"",项目总控台账!D43&lt;&gt;"/"),项目总控台账!D43,项目总控台账!C43))</f>
        <v/>
      </c>
      <c r="D44" s="44">
        <f>项目总控台账!F43</f>
        <v/>
      </c>
      <c r="E44" s="44">
        <f>项目总控台账!G43</f>
        <v/>
      </c>
      <c r="F44" s="44">
        <f>项目总控台账!H43</f>
        <v/>
      </c>
      <c r="G44" s="46">
        <f>项目总控台账!J43</f>
        <v/>
      </c>
      <c r="H44" s="44">
        <f>IF(G44="","",G44-项目驾驶舱!$B$3)</f>
        <v/>
      </c>
      <c r="I44" s="44">
        <f>项目总控台账!AC43</f>
        <v/>
      </c>
      <c r="J44" s="44">
        <f>项目总控台账!AD43</f>
        <v/>
      </c>
      <c r="K44" s="44">
        <f>IF(A44&lt;&gt;"是","",IF(OR(E44="暂停",E44="挂起"),"确认暂停原因、恢复条件和责任人",IF(H44&lt;0,"立即确认延期原因、影响及补救计划",IF(H44&lt;=7,"本周确认交付承诺和完成证据","提前检查依赖与风险"))))</f>
        <v/>
      </c>
      <c r="L44" s="47" t="n"/>
      <c r="M44" s="48" t="n"/>
    </row>
    <row r="45">
      <c r="A45" s="44">
        <f>IF(B45="","",IF(AND(E45&lt;&gt;"已完成",ISNUMBER(G45),G45&lt;=项目驾驶舱!$B$3+14),"是","否"))</f>
        <v/>
      </c>
      <c r="B45" s="44">
        <f>项目总控台账!A44</f>
        <v/>
      </c>
      <c r="C45" s="44">
        <f>IF(AND(项目总控台账!E44&lt;&gt;"",项目总控台账!E44&lt;&gt;"/"),项目总控台账!E44,IF(AND(项目总控台账!D44&lt;&gt;"",项目总控台账!D44&lt;&gt;"/"),项目总控台账!D44,项目总控台账!C44))</f>
        <v/>
      </c>
      <c r="D45" s="44">
        <f>项目总控台账!F44</f>
        <v/>
      </c>
      <c r="E45" s="44">
        <f>项目总控台账!G44</f>
        <v/>
      </c>
      <c r="F45" s="44">
        <f>项目总控台账!H44</f>
        <v/>
      </c>
      <c r="G45" s="46">
        <f>项目总控台账!J44</f>
        <v/>
      </c>
      <c r="H45" s="44">
        <f>IF(G45="","",G45-项目驾驶舱!$B$3)</f>
        <v/>
      </c>
      <c r="I45" s="44">
        <f>项目总控台账!AC44</f>
        <v/>
      </c>
      <c r="J45" s="44">
        <f>项目总控台账!AD44</f>
        <v/>
      </c>
      <c r="K45" s="44">
        <f>IF(A45&lt;&gt;"是","",IF(OR(E45="暂停",E45="挂起"),"确认暂停原因、恢复条件和责任人",IF(H45&lt;0,"立即确认延期原因、影响及补救计划",IF(H45&lt;=7,"本周确认交付承诺和完成证据","提前检查依赖与风险"))))</f>
        <v/>
      </c>
      <c r="L45" s="47" t="n"/>
      <c r="M45" s="48" t="n"/>
    </row>
    <row r="46">
      <c r="A46" s="44">
        <f>IF(B46="","",IF(AND(E46&lt;&gt;"已完成",ISNUMBER(G46),G46&lt;=项目驾驶舱!$B$3+14),"是","否"))</f>
        <v/>
      </c>
      <c r="B46" s="44">
        <f>项目总控台账!A45</f>
        <v/>
      </c>
      <c r="C46" s="44">
        <f>IF(AND(项目总控台账!E45&lt;&gt;"",项目总控台账!E45&lt;&gt;"/"),项目总控台账!E45,IF(AND(项目总控台账!D45&lt;&gt;"",项目总控台账!D45&lt;&gt;"/"),项目总控台账!D45,项目总控台账!C45))</f>
        <v/>
      </c>
      <c r="D46" s="44">
        <f>项目总控台账!F45</f>
        <v/>
      </c>
      <c r="E46" s="44">
        <f>项目总控台账!G45</f>
        <v/>
      </c>
      <c r="F46" s="44">
        <f>项目总控台账!H45</f>
        <v/>
      </c>
      <c r="G46" s="46">
        <f>项目总控台账!J45</f>
        <v/>
      </c>
      <c r="H46" s="44">
        <f>IF(G46="","",G46-项目驾驶舱!$B$3)</f>
        <v/>
      </c>
      <c r="I46" s="44">
        <f>项目总控台账!AC45</f>
        <v/>
      </c>
      <c r="J46" s="44">
        <f>项目总控台账!AD45</f>
        <v/>
      </c>
      <c r="K46" s="44">
        <f>IF(A46&lt;&gt;"是","",IF(OR(E46="暂停",E46="挂起"),"确认暂停原因、恢复条件和责任人",IF(H46&lt;0,"立即确认延期原因、影响及补救计划",IF(H46&lt;=7,"本周确认交付承诺和完成证据","提前检查依赖与风险"))))</f>
        <v/>
      </c>
      <c r="L46" s="47" t="n"/>
      <c r="M46" s="48" t="n"/>
    </row>
    <row r="47">
      <c r="A47" s="44">
        <f>IF(B47="","",IF(AND(E47&lt;&gt;"已完成",ISNUMBER(G47),G47&lt;=项目驾驶舱!$B$3+14),"是","否"))</f>
        <v/>
      </c>
      <c r="B47" s="44">
        <f>项目总控台账!A46</f>
        <v/>
      </c>
      <c r="C47" s="44">
        <f>IF(AND(项目总控台账!E46&lt;&gt;"",项目总控台账!E46&lt;&gt;"/"),项目总控台账!E46,IF(AND(项目总控台账!D46&lt;&gt;"",项目总控台账!D46&lt;&gt;"/"),项目总控台账!D46,项目总控台账!C46))</f>
        <v/>
      </c>
      <c r="D47" s="44">
        <f>项目总控台账!F46</f>
        <v/>
      </c>
      <c r="E47" s="44">
        <f>项目总控台账!G46</f>
        <v/>
      </c>
      <c r="F47" s="44">
        <f>项目总控台账!H46</f>
        <v/>
      </c>
      <c r="G47" s="46">
        <f>项目总控台账!J46</f>
        <v/>
      </c>
      <c r="H47" s="44">
        <f>IF(G47="","",G47-项目驾驶舱!$B$3)</f>
        <v/>
      </c>
      <c r="I47" s="44">
        <f>项目总控台账!AC46</f>
        <v/>
      </c>
      <c r="J47" s="44">
        <f>项目总控台账!AD46</f>
        <v/>
      </c>
      <c r="K47" s="44">
        <f>IF(A47&lt;&gt;"是","",IF(OR(E47="暂停",E47="挂起"),"确认暂停原因、恢复条件和责任人",IF(H47&lt;0,"立即确认延期原因、影响及补救计划",IF(H47&lt;=7,"本周确认交付承诺和完成证据","提前检查依赖与风险"))))</f>
        <v/>
      </c>
      <c r="L47" s="47" t="n"/>
      <c r="M47" s="48" t="n"/>
    </row>
    <row r="48">
      <c r="A48" s="44">
        <f>IF(B48="","",IF(AND(E48&lt;&gt;"已完成",ISNUMBER(G48),G48&lt;=项目驾驶舱!$B$3+14),"是","否"))</f>
        <v/>
      </c>
      <c r="B48" s="44">
        <f>项目总控台账!A47</f>
        <v/>
      </c>
      <c r="C48" s="44">
        <f>IF(AND(项目总控台账!E47&lt;&gt;"",项目总控台账!E47&lt;&gt;"/"),项目总控台账!E47,IF(AND(项目总控台账!D47&lt;&gt;"",项目总控台账!D47&lt;&gt;"/"),项目总控台账!D47,项目总控台账!C47))</f>
        <v/>
      </c>
      <c r="D48" s="44">
        <f>项目总控台账!F47</f>
        <v/>
      </c>
      <c r="E48" s="44">
        <f>项目总控台账!G47</f>
        <v/>
      </c>
      <c r="F48" s="44">
        <f>项目总控台账!H47</f>
        <v/>
      </c>
      <c r="G48" s="46">
        <f>项目总控台账!J47</f>
        <v/>
      </c>
      <c r="H48" s="44">
        <f>IF(G48="","",G48-项目驾驶舱!$B$3)</f>
        <v/>
      </c>
      <c r="I48" s="44">
        <f>项目总控台账!AC47</f>
        <v/>
      </c>
      <c r="J48" s="44">
        <f>项目总控台账!AD47</f>
        <v/>
      </c>
      <c r="K48" s="44">
        <f>IF(A48&lt;&gt;"是","",IF(OR(E48="暂停",E48="挂起"),"确认暂停原因、恢复条件和责任人",IF(H48&lt;0,"立即确认延期原因、影响及补救计划",IF(H48&lt;=7,"本周确认交付承诺和完成证据","提前检查依赖与风险"))))</f>
        <v/>
      </c>
      <c r="L48" s="47" t="n"/>
      <c r="M48" s="48" t="n"/>
    </row>
    <row r="49">
      <c r="A49" s="44">
        <f>IF(B49="","",IF(AND(E49&lt;&gt;"已完成",ISNUMBER(G49),G49&lt;=项目驾驶舱!$B$3+14),"是","否"))</f>
        <v/>
      </c>
      <c r="B49" s="44">
        <f>项目总控台账!A48</f>
        <v/>
      </c>
      <c r="C49" s="44">
        <f>IF(AND(项目总控台账!E48&lt;&gt;"",项目总控台账!E48&lt;&gt;"/"),项目总控台账!E48,IF(AND(项目总控台账!D48&lt;&gt;"",项目总控台账!D48&lt;&gt;"/"),项目总控台账!D48,项目总控台账!C48))</f>
        <v/>
      </c>
      <c r="D49" s="44">
        <f>项目总控台账!F48</f>
        <v/>
      </c>
      <c r="E49" s="44">
        <f>项目总控台账!G48</f>
        <v/>
      </c>
      <c r="F49" s="44">
        <f>项目总控台账!H48</f>
        <v/>
      </c>
      <c r="G49" s="46">
        <f>项目总控台账!J48</f>
        <v/>
      </c>
      <c r="H49" s="44">
        <f>IF(G49="","",G49-项目驾驶舱!$B$3)</f>
        <v/>
      </c>
      <c r="I49" s="44">
        <f>项目总控台账!AC48</f>
        <v/>
      </c>
      <c r="J49" s="44">
        <f>项目总控台账!AD48</f>
        <v/>
      </c>
      <c r="K49" s="44">
        <f>IF(A49&lt;&gt;"是","",IF(OR(E49="暂停",E49="挂起"),"确认暂停原因、恢复条件和责任人",IF(H49&lt;0,"立即确认延期原因、影响及补救计划",IF(H49&lt;=7,"本周确认交付承诺和完成证据","提前检查依赖与风险"))))</f>
        <v/>
      </c>
      <c r="L49" s="47" t="n"/>
      <c r="M49" s="48" t="n"/>
    </row>
    <row r="50">
      <c r="A50" s="44">
        <f>IF(B50="","",IF(AND(E50&lt;&gt;"已完成",ISNUMBER(G50),G50&lt;=项目驾驶舱!$B$3+14),"是","否"))</f>
        <v/>
      </c>
      <c r="B50" s="44">
        <f>项目总控台账!A49</f>
        <v/>
      </c>
      <c r="C50" s="44">
        <f>IF(AND(项目总控台账!E49&lt;&gt;"",项目总控台账!E49&lt;&gt;"/"),项目总控台账!E49,IF(AND(项目总控台账!D49&lt;&gt;"",项目总控台账!D49&lt;&gt;"/"),项目总控台账!D49,项目总控台账!C49))</f>
        <v/>
      </c>
      <c r="D50" s="44">
        <f>项目总控台账!F49</f>
        <v/>
      </c>
      <c r="E50" s="44">
        <f>项目总控台账!G49</f>
        <v/>
      </c>
      <c r="F50" s="44">
        <f>项目总控台账!H49</f>
        <v/>
      </c>
      <c r="G50" s="46">
        <f>项目总控台账!J49</f>
        <v/>
      </c>
      <c r="H50" s="44">
        <f>IF(G50="","",G50-项目驾驶舱!$B$3)</f>
        <v/>
      </c>
      <c r="I50" s="44">
        <f>项目总控台账!AC49</f>
        <v/>
      </c>
      <c r="J50" s="44">
        <f>项目总控台账!AD49</f>
        <v/>
      </c>
      <c r="K50" s="44">
        <f>IF(A50&lt;&gt;"是","",IF(OR(E50="暂停",E50="挂起"),"确认暂停原因、恢复条件和责任人",IF(H50&lt;0,"立即确认延期原因、影响及补救计划",IF(H50&lt;=7,"本周确认交付承诺和完成证据","提前检查依赖与风险"))))</f>
        <v/>
      </c>
      <c r="L50" s="47" t="n"/>
      <c r="M50" s="48" t="n"/>
    </row>
    <row r="51">
      <c r="A51" s="44">
        <f>IF(B51="","",IF(AND(E51&lt;&gt;"已完成",ISNUMBER(G51),G51&lt;=项目驾驶舱!$B$3+14),"是","否"))</f>
        <v/>
      </c>
      <c r="B51" s="44">
        <f>项目总控台账!A50</f>
        <v/>
      </c>
      <c r="C51" s="44">
        <f>IF(AND(项目总控台账!E50&lt;&gt;"",项目总控台账!E50&lt;&gt;"/"),项目总控台账!E50,IF(AND(项目总控台账!D50&lt;&gt;"",项目总控台账!D50&lt;&gt;"/"),项目总控台账!D50,项目总控台账!C50))</f>
        <v/>
      </c>
      <c r="D51" s="44">
        <f>项目总控台账!F50</f>
        <v/>
      </c>
      <c r="E51" s="44">
        <f>项目总控台账!G50</f>
        <v/>
      </c>
      <c r="F51" s="44">
        <f>项目总控台账!H50</f>
        <v/>
      </c>
      <c r="G51" s="46">
        <f>项目总控台账!J50</f>
        <v/>
      </c>
      <c r="H51" s="44">
        <f>IF(G51="","",G51-项目驾驶舱!$B$3)</f>
        <v/>
      </c>
      <c r="I51" s="44">
        <f>项目总控台账!AC50</f>
        <v/>
      </c>
      <c r="J51" s="44">
        <f>项目总控台账!AD50</f>
        <v/>
      </c>
      <c r="K51" s="44">
        <f>IF(A51&lt;&gt;"是","",IF(OR(E51="暂停",E51="挂起"),"确认暂停原因、恢复条件和责任人",IF(H51&lt;0,"立即确认延期原因、影响及补救计划",IF(H51&lt;=7,"本周确认交付承诺和完成证据","提前检查依赖与风险"))))</f>
        <v/>
      </c>
      <c r="L51" s="47" t="n"/>
      <c r="M51" s="48" t="n"/>
    </row>
    <row r="52">
      <c r="A52" s="44">
        <f>IF(B52="","",IF(AND(E52&lt;&gt;"已完成",ISNUMBER(G52),G52&lt;=项目驾驶舱!$B$3+14),"是","否"))</f>
        <v/>
      </c>
      <c r="B52" s="44">
        <f>项目总控台账!A51</f>
        <v/>
      </c>
      <c r="C52" s="44">
        <f>IF(AND(项目总控台账!E51&lt;&gt;"",项目总控台账!E51&lt;&gt;"/"),项目总控台账!E51,IF(AND(项目总控台账!D51&lt;&gt;"",项目总控台账!D51&lt;&gt;"/"),项目总控台账!D51,项目总控台账!C51))</f>
        <v/>
      </c>
      <c r="D52" s="44">
        <f>项目总控台账!F51</f>
        <v/>
      </c>
      <c r="E52" s="44">
        <f>项目总控台账!G51</f>
        <v/>
      </c>
      <c r="F52" s="44">
        <f>项目总控台账!H51</f>
        <v/>
      </c>
      <c r="G52" s="46">
        <f>项目总控台账!J51</f>
        <v/>
      </c>
      <c r="H52" s="44">
        <f>IF(G52="","",G52-项目驾驶舱!$B$3)</f>
        <v/>
      </c>
      <c r="I52" s="44">
        <f>项目总控台账!AC51</f>
        <v/>
      </c>
      <c r="J52" s="44">
        <f>项目总控台账!AD51</f>
        <v/>
      </c>
      <c r="K52" s="44">
        <f>IF(A52&lt;&gt;"是","",IF(OR(E52="暂停",E52="挂起"),"确认暂停原因、恢复条件和责任人",IF(H52&lt;0,"立即确认延期原因、影响及补救计划",IF(H52&lt;=7,"本周确认交付承诺和完成证据","提前检查依赖与风险"))))</f>
        <v/>
      </c>
      <c r="L52" s="47" t="n"/>
      <c r="M52" s="48" t="n"/>
    </row>
    <row r="53">
      <c r="A53" s="44">
        <f>IF(B53="","",IF(AND(E53&lt;&gt;"已完成",ISNUMBER(G53),G53&lt;=项目驾驶舱!$B$3+14),"是","否"))</f>
        <v/>
      </c>
      <c r="B53" s="44">
        <f>项目总控台账!A52</f>
        <v/>
      </c>
      <c r="C53" s="44">
        <f>IF(AND(项目总控台账!E52&lt;&gt;"",项目总控台账!E52&lt;&gt;"/"),项目总控台账!E52,IF(AND(项目总控台账!D52&lt;&gt;"",项目总控台账!D52&lt;&gt;"/"),项目总控台账!D52,项目总控台账!C52))</f>
        <v/>
      </c>
      <c r="D53" s="44">
        <f>项目总控台账!F52</f>
        <v/>
      </c>
      <c r="E53" s="44">
        <f>项目总控台账!G52</f>
        <v/>
      </c>
      <c r="F53" s="44">
        <f>项目总控台账!H52</f>
        <v/>
      </c>
      <c r="G53" s="46">
        <f>项目总控台账!J52</f>
        <v/>
      </c>
      <c r="H53" s="44">
        <f>IF(G53="","",G53-项目驾驶舱!$B$3)</f>
        <v/>
      </c>
      <c r="I53" s="44">
        <f>项目总控台账!AC52</f>
        <v/>
      </c>
      <c r="J53" s="44">
        <f>项目总控台账!AD52</f>
        <v/>
      </c>
      <c r="K53" s="44">
        <f>IF(A53&lt;&gt;"是","",IF(OR(E53="暂停",E53="挂起"),"确认暂停原因、恢复条件和责任人",IF(H53&lt;0,"立即确认延期原因、影响及补救计划",IF(H53&lt;=7,"本周确认交付承诺和完成证据","提前检查依赖与风险"))))</f>
        <v/>
      </c>
      <c r="L53" s="47" t="n"/>
      <c r="M53" s="48" t="n"/>
    </row>
    <row r="54">
      <c r="A54" s="44">
        <f>IF(B54="","",IF(AND(E54&lt;&gt;"已完成",ISNUMBER(G54),G54&lt;=项目驾驶舱!$B$3+14),"是","否"))</f>
        <v/>
      </c>
      <c r="B54" s="44">
        <f>项目总控台账!A53</f>
        <v/>
      </c>
      <c r="C54" s="44">
        <f>IF(AND(项目总控台账!E53&lt;&gt;"",项目总控台账!E53&lt;&gt;"/"),项目总控台账!E53,IF(AND(项目总控台账!D53&lt;&gt;"",项目总控台账!D53&lt;&gt;"/"),项目总控台账!D53,项目总控台账!C53))</f>
        <v/>
      </c>
      <c r="D54" s="44">
        <f>项目总控台账!F53</f>
        <v/>
      </c>
      <c r="E54" s="44">
        <f>项目总控台账!G53</f>
        <v/>
      </c>
      <c r="F54" s="44">
        <f>项目总控台账!H53</f>
        <v/>
      </c>
      <c r="G54" s="46">
        <f>项目总控台账!J53</f>
        <v/>
      </c>
      <c r="H54" s="44">
        <f>IF(G54="","",G54-项目驾驶舱!$B$3)</f>
        <v/>
      </c>
      <c r="I54" s="44">
        <f>项目总控台账!AC53</f>
        <v/>
      </c>
      <c r="J54" s="44">
        <f>项目总控台账!AD53</f>
        <v/>
      </c>
      <c r="K54" s="44">
        <f>IF(A54&lt;&gt;"是","",IF(OR(E54="暂停",E54="挂起"),"确认暂停原因、恢复条件和责任人",IF(H54&lt;0,"立即确认延期原因、影响及补救计划",IF(H54&lt;=7,"本周确认交付承诺和完成证据","提前检查依赖与风险"))))</f>
        <v/>
      </c>
      <c r="L54" s="47" t="n"/>
      <c r="M54" s="48" t="n"/>
    </row>
    <row r="55">
      <c r="A55" s="44">
        <f>IF(B55="","",IF(AND(E55&lt;&gt;"已完成",ISNUMBER(G55),G55&lt;=项目驾驶舱!$B$3+14),"是","否"))</f>
        <v/>
      </c>
      <c r="B55" s="44">
        <f>项目总控台账!A54</f>
        <v/>
      </c>
      <c r="C55" s="44">
        <f>IF(AND(项目总控台账!E54&lt;&gt;"",项目总控台账!E54&lt;&gt;"/"),项目总控台账!E54,IF(AND(项目总控台账!D54&lt;&gt;"",项目总控台账!D54&lt;&gt;"/"),项目总控台账!D54,项目总控台账!C54))</f>
        <v/>
      </c>
      <c r="D55" s="44">
        <f>项目总控台账!F54</f>
        <v/>
      </c>
      <c r="E55" s="44">
        <f>项目总控台账!G54</f>
        <v/>
      </c>
      <c r="F55" s="44">
        <f>项目总控台账!H54</f>
        <v/>
      </c>
      <c r="G55" s="46">
        <f>项目总控台账!J54</f>
        <v/>
      </c>
      <c r="H55" s="44">
        <f>IF(G55="","",G55-项目驾驶舱!$B$3)</f>
        <v/>
      </c>
      <c r="I55" s="44">
        <f>项目总控台账!AC54</f>
        <v/>
      </c>
      <c r="J55" s="44">
        <f>项目总控台账!AD54</f>
        <v/>
      </c>
      <c r="K55" s="44">
        <f>IF(A55&lt;&gt;"是","",IF(OR(E55="暂停",E55="挂起"),"确认暂停原因、恢复条件和责任人",IF(H55&lt;0,"立即确认延期原因、影响及补救计划",IF(H55&lt;=7,"本周确认交付承诺和完成证据","提前检查依赖与风险"))))</f>
        <v/>
      </c>
      <c r="L55" s="47" t="n"/>
      <c r="M55" s="48" t="n"/>
    </row>
    <row r="56">
      <c r="A56" s="44">
        <f>IF(B56="","",IF(AND(E56&lt;&gt;"已完成",ISNUMBER(G56),G56&lt;=项目驾驶舱!$B$3+14),"是","否"))</f>
        <v/>
      </c>
      <c r="B56" s="44">
        <f>项目总控台账!A55</f>
        <v/>
      </c>
      <c r="C56" s="44">
        <f>IF(AND(项目总控台账!E55&lt;&gt;"",项目总控台账!E55&lt;&gt;"/"),项目总控台账!E55,IF(AND(项目总控台账!D55&lt;&gt;"",项目总控台账!D55&lt;&gt;"/"),项目总控台账!D55,项目总控台账!C55))</f>
        <v/>
      </c>
      <c r="D56" s="44">
        <f>项目总控台账!F55</f>
        <v/>
      </c>
      <c r="E56" s="44">
        <f>项目总控台账!G55</f>
        <v/>
      </c>
      <c r="F56" s="44">
        <f>项目总控台账!H55</f>
        <v/>
      </c>
      <c r="G56" s="46">
        <f>项目总控台账!J55</f>
        <v/>
      </c>
      <c r="H56" s="44">
        <f>IF(G56="","",G56-项目驾驶舱!$B$3)</f>
        <v/>
      </c>
      <c r="I56" s="44">
        <f>项目总控台账!AC55</f>
        <v/>
      </c>
      <c r="J56" s="44">
        <f>项目总控台账!AD55</f>
        <v/>
      </c>
      <c r="K56" s="44">
        <f>IF(A56&lt;&gt;"是","",IF(OR(E56="暂停",E56="挂起"),"确认暂停原因、恢复条件和责任人",IF(H56&lt;0,"立即确认延期原因、影响及补救计划",IF(H56&lt;=7,"本周确认交付承诺和完成证据","提前检查依赖与风险"))))</f>
        <v/>
      </c>
      <c r="L56" s="47" t="n"/>
      <c r="M56" s="48" t="n"/>
    </row>
    <row r="57">
      <c r="A57" s="44">
        <f>IF(B57="","",IF(AND(E57&lt;&gt;"已完成",ISNUMBER(G57),G57&lt;=项目驾驶舱!$B$3+14),"是","否"))</f>
        <v/>
      </c>
      <c r="B57" s="44">
        <f>项目总控台账!A56</f>
        <v/>
      </c>
      <c r="C57" s="44">
        <f>IF(AND(项目总控台账!E56&lt;&gt;"",项目总控台账!E56&lt;&gt;"/"),项目总控台账!E56,IF(AND(项目总控台账!D56&lt;&gt;"",项目总控台账!D56&lt;&gt;"/"),项目总控台账!D56,项目总控台账!C56))</f>
        <v/>
      </c>
      <c r="D57" s="44">
        <f>项目总控台账!F56</f>
        <v/>
      </c>
      <c r="E57" s="44">
        <f>项目总控台账!G56</f>
        <v/>
      </c>
      <c r="F57" s="44">
        <f>项目总控台账!H56</f>
        <v/>
      </c>
      <c r="G57" s="46">
        <f>项目总控台账!J56</f>
        <v/>
      </c>
      <c r="H57" s="44">
        <f>IF(G57="","",G57-项目驾驶舱!$B$3)</f>
        <v/>
      </c>
      <c r="I57" s="44">
        <f>项目总控台账!AC56</f>
        <v/>
      </c>
      <c r="J57" s="44">
        <f>项目总控台账!AD56</f>
        <v/>
      </c>
      <c r="K57" s="44">
        <f>IF(A57&lt;&gt;"是","",IF(OR(E57="暂停",E57="挂起"),"确认暂停原因、恢复条件和责任人",IF(H57&lt;0,"立即确认延期原因、影响及补救计划",IF(H57&lt;=7,"本周确认交付承诺和完成证据","提前检查依赖与风险"))))</f>
        <v/>
      </c>
      <c r="L57" s="47" t="n"/>
      <c r="M57" s="48" t="n"/>
    </row>
    <row r="58">
      <c r="A58" s="44">
        <f>IF(B58="","",IF(AND(E58&lt;&gt;"已完成",ISNUMBER(G58),G58&lt;=项目驾驶舱!$B$3+14),"是","否"))</f>
        <v/>
      </c>
      <c r="B58" s="44">
        <f>项目总控台账!A57</f>
        <v/>
      </c>
      <c r="C58" s="44">
        <f>IF(AND(项目总控台账!E57&lt;&gt;"",项目总控台账!E57&lt;&gt;"/"),项目总控台账!E57,IF(AND(项目总控台账!D57&lt;&gt;"",项目总控台账!D57&lt;&gt;"/"),项目总控台账!D57,项目总控台账!C57))</f>
        <v/>
      </c>
      <c r="D58" s="44">
        <f>项目总控台账!F57</f>
        <v/>
      </c>
      <c r="E58" s="44">
        <f>项目总控台账!G57</f>
        <v/>
      </c>
      <c r="F58" s="44">
        <f>项目总控台账!H57</f>
        <v/>
      </c>
      <c r="G58" s="46">
        <f>项目总控台账!J57</f>
        <v/>
      </c>
      <c r="H58" s="44">
        <f>IF(G58="","",G58-项目驾驶舱!$B$3)</f>
        <v/>
      </c>
      <c r="I58" s="44">
        <f>项目总控台账!AC57</f>
        <v/>
      </c>
      <c r="J58" s="44">
        <f>项目总控台账!AD57</f>
        <v/>
      </c>
      <c r="K58" s="44">
        <f>IF(A58&lt;&gt;"是","",IF(OR(E58="暂停",E58="挂起"),"确认暂停原因、恢复条件和责任人",IF(H58&lt;0,"立即确认延期原因、影响及补救计划",IF(H58&lt;=7,"本周确认交付承诺和完成证据","提前检查依赖与风险"))))</f>
        <v/>
      </c>
      <c r="L58" s="47" t="n"/>
      <c r="M58" s="48" t="n"/>
    </row>
    <row r="59">
      <c r="A59" s="44">
        <f>IF(B59="","",IF(AND(E59&lt;&gt;"已完成",ISNUMBER(G59),G59&lt;=项目驾驶舱!$B$3+14),"是","否"))</f>
        <v/>
      </c>
      <c r="B59" s="44">
        <f>项目总控台账!A58</f>
        <v/>
      </c>
      <c r="C59" s="44">
        <f>IF(AND(项目总控台账!E58&lt;&gt;"",项目总控台账!E58&lt;&gt;"/"),项目总控台账!E58,IF(AND(项目总控台账!D58&lt;&gt;"",项目总控台账!D58&lt;&gt;"/"),项目总控台账!D58,项目总控台账!C58))</f>
        <v/>
      </c>
      <c r="D59" s="44">
        <f>项目总控台账!F58</f>
        <v/>
      </c>
      <c r="E59" s="44">
        <f>项目总控台账!G58</f>
        <v/>
      </c>
      <c r="F59" s="44">
        <f>项目总控台账!H58</f>
        <v/>
      </c>
      <c r="G59" s="46">
        <f>项目总控台账!J58</f>
        <v/>
      </c>
      <c r="H59" s="44">
        <f>IF(G59="","",G59-项目驾驶舱!$B$3)</f>
        <v/>
      </c>
      <c r="I59" s="44">
        <f>项目总控台账!AC58</f>
        <v/>
      </c>
      <c r="J59" s="44">
        <f>项目总控台账!AD58</f>
        <v/>
      </c>
      <c r="K59" s="44">
        <f>IF(A59&lt;&gt;"是","",IF(OR(E59="暂停",E59="挂起"),"确认暂停原因、恢复条件和责任人",IF(H59&lt;0,"立即确认延期原因、影响及补救计划",IF(H59&lt;=7,"本周确认交付承诺和完成证据","提前检查依赖与风险"))))</f>
        <v/>
      </c>
      <c r="L59" s="47" t="n"/>
      <c r="M59" s="48" t="n"/>
    </row>
    <row r="60">
      <c r="A60" s="44">
        <f>IF(B60="","",IF(AND(E60&lt;&gt;"已完成",ISNUMBER(G60),G60&lt;=项目驾驶舱!$B$3+14),"是","否"))</f>
        <v/>
      </c>
      <c r="B60" s="44">
        <f>项目总控台账!A59</f>
        <v/>
      </c>
      <c r="C60" s="44">
        <f>IF(AND(项目总控台账!E59&lt;&gt;"",项目总控台账!E59&lt;&gt;"/"),项目总控台账!E59,IF(AND(项目总控台账!D59&lt;&gt;"",项目总控台账!D59&lt;&gt;"/"),项目总控台账!D59,项目总控台账!C59))</f>
        <v/>
      </c>
      <c r="D60" s="44">
        <f>项目总控台账!F59</f>
        <v/>
      </c>
      <c r="E60" s="44">
        <f>项目总控台账!G59</f>
        <v/>
      </c>
      <c r="F60" s="44">
        <f>项目总控台账!H59</f>
        <v/>
      </c>
      <c r="G60" s="46">
        <f>项目总控台账!J59</f>
        <v/>
      </c>
      <c r="H60" s="44">
        <f>IF(G60="","",G60-项目驾驶舱!$B$3)</f>
        <v/>
      </c>
      <c r="I60" s="44">
        <f>项目总控台账!AC59</f>
        <v/>
      </c>
      <c r="J60" s="44">
        <f>项目总控台账!AD59</f>
        <v/>
      </c>
      <c r="K60" s="44">
        <f>IF(A60&lt;&gt;"是","",IF(OR(E60="暂停",E60="挂起"),"确认暂停原因、恢复条件和责任人",IF(H60&lt;0,"立即确认延期原因、影响及补救计划",IF(H60&lt;=7,"本周确认交付承诺和完成证据","提前检查依赖与风险"))))</f>
        <v/>
      </c>
      <c r="L60" s="47" t="n"/>
      <c r="M60" s="48" t="n"/>
    </row>
    <row r="61">
      <c r="A61" s="44">
        <f>IF(B61="","",IF(AND(E61&lt;&gt;"已完成",ISNUMBER(G61),G61&lt;=项目驾驶舱!$B$3+14),"是","否"))</f>
        <v/>
      </c>
      <c r="B61" s="44">
        <f>项目总控台账!A60</f>
        <v/>
      </c>
      <c r="C61" s="44">
        <f>IF(AND(项目总控台账!E60&lt;&gt;"",项目总控台账!E60&lt;&gt;"/"),项目总控台账!E60,IF(AND(项目总控台账!D60&lt;&gt;"",项目总控台账!D60&lt;&gt;"/"),项目总控台账!D60,项目总控台账!C60))</f>
        <v/>
      </c>
      <c r="D61" s="44">
        <f>项目总控台账!F60</f>
        <v/>
      </c>
      <c r="E61" s="44">
        <f>项目总控台账!G60</f>
        <v/>
      </c>
      <c r="F61" s="44">
        <f>项目总控台账!H60</f>
        <v/>
      </c>
      <c r="G61" s="46">
        <f>项目总控台账!J60</f>
        <v/>
      </c>
      <c r="H61" s="44">
        <f>IF(G61="","",G61-项目驾驶舱!$B$3)</f>
        <v/>
      </c>
      <c r="I61" s="44">
        <f>项目总控台账!AC60</f>
        <v/>
      </c>
      <c r="J61" s="44">
        <f>项目总控台账!AD60</f>
        <v/>
      </c>
      <c r="K61" s="44">
        <f>IF(A61&lt;&gt;"是","",IF(OR(E61="暂停",E61="挂起"),"确认暂停原因、恢复条件和责任人",IF(H61&lt;0,"立即确认延期原因、影响及补救计划",IF(H61&lt;=7,"本周确认交付承诺和完成证据","提前检查依赖与风险"))))</f>
        <v/>
      </c>
      <c r="L61" s="47" t="n"/>
      <c r="M61" s="48" t="n"/>
    </row>
    <row r="62">
      <c r="A62" s="44">
        <f>IF(B62="","",IF(AND(E62&lt;&gt;"已完成",ISNUMBER(G62),G62&lt;=项目驾驶舱!$B$3+14),"是","否"))</f>
        <v/>
      </c>
      <c r="B62" s="44">
        <f>项目总控台账!A61</f>
        <v/>
      </c>
      <c r="C62" s="44">
        <f>IF(AND(项目总控台账!E61&lt;&gt;"",项目总控台账!E61&lt;&gt;"/"),项目总控台账!E61,IF(AND(项目总控台账!D61&lt;&gt;"",项目总控台账!D61&lt;&gt;"/"),项目总控台账!D61,项目总控台账!C61))</f>
        <v/>
      </c>
      <c r="D62" s="44">
        <f>项目总控台账!F61</f>
        <v/>
      </c>
      <c r="E62" s="44">
        <f>项目总控台账!G61</f>
        <v/>
      </c>
      <c r="F62" s="44">
        <f>项目总控台账!H61</f>
        <v/>
      </c>
      <c r="G62" s="46">
        <f>项目总控台账!J61</f>
        <v/>
      </c>
      <c r="H62" s="44">
        <f>IF(G62="","",G62-项目驾驶舱!$B$3)</f>
        <v/>
      </c>
      <c r="I62" s="44">
        <f>项目总控台账!AC61</f>
        <v/>
      </c>
      <c r="J62" s="44">
        <f>项目总控台账!AD61</f>
        <v/>
      </c>
      <c r="K62" s="44">
        <f>IF(A62&lt;&gt;"是","",IF(OR(E62="暂停",E62="挂起"),"确认暂停原因、恢复条件和责任人",IF(H62&lt;0,"立即确认延期原因、影响及补救计划",IF(H62&lt;=7,"本周确认交付承诺和完成证据","提前检查依赖与风险"))))</f>
        <v/>
      </c>
      <c r="L62" s="47" t="n"/>
      <c r="M62" s="48" t="n"/>
    </row>
    <row r="63">
      <c r="A63" s="44">
        <f>IF(B63="","",IF(AND(E63&lt;&gt;"已完成",ISNUMBER(G63),G63&lt;=项目驾驶舱!$B$3+14),"是","否"))</f>
        <v/>
      </c>
      <c r="B63" s="44">
        <f>项目总控台账!A62</f>
        <v/>
      </c>
      <c r="C63" s="44">
        <f>IF(AND(项目总控台账!E62&lt;&gt;"",项目总控台账!E62&lt;&gt;"/"),项目总控台账!E62,IF(AND(项目总控台账!D62&lt;&gt;"",项目总控台账!D62&lt;&gt;"/"),项目总控台账!D62,项目总控台账!C62))</f>
        <v/>
      </c>
      <c r="D63" s="44">
        <f>项目总控台账!F62</f>
        <v/>
      </c>
      <c r="E63" s="44">
        <f>项目总控台账!G62</f>
        <v/>
      </c>
      <c r="F63" s="44">
        <f>项目总控台账!H62</f>
        <v/>
      </c>
      <c r="G63" s="46">
        <f>项目总控台账!J62</f>
        <v/>
      </c>
      <c r="H63" s="44">
        <f>IF(G63="","",G63-项目驾驶舱!$B$3)</f>
        <v/>
      </c>
      <c r="I63" s="44">
        <f>项目总控台账!AC62</f>
        <v/>
      </c>
      <c r="J63" s="44">
        <f>项目总控台账!AD62</f>
        <v/>
      </c>
      <c r="K63" s="44">
        <f>IF(A63&lt;&gt;"是","",IF(OR(E63="暂停",E63="挂起"),"确认暂停原因、恢复条件和责任人",IF(H63&lt;0,"立即确认延期原因、影响及补救计划",IF(H63&lt;=7,"本周确认交付承诺和完成证据","提前检查依赖与风险"))))</f>
        <v/>
      </c>
      <c r="L63" s="47" t="n"/>
      <c r="M63" s="48" t="n"/>
    </row>
    <row r="64">
      <c r="A64" s="44">
        <f>IF(B64="","",IF(AND(E64&lt;&gt;"已完成",ISNUMBER(G64),G64&lt;=项目驾驶舱!$B$3+14),"是","否"))</f>
        <v/>
      </c>
      <c r="B64" s="44">
        <f>项目总控台账!A63</f>
        <v/>
      </c>
      <c r="C64" s="44">
        <f>IF(AND(项目总控台账!E63&lt;&gt;"",项目总控台账!E63&lt;&gt;"/"),项目总控台账!E63,IF(AND(项目总控台账!D63&lt;&gt;"",项目总控台账!D63&lt;&gt;"/"),项目总控台账!D63,项目总控台账!C63))</f>
        <v/>
      </c>
      <c r="D64" s="44">
        <f>项目总控台账!F63</f>
        <v/>
      </c>
      <c r="E64" s="44">
        <f>项目总控台账!G63</f>
        <v/>
      </c>
      <c r="F64" s="44">
        <f>项目总控台账!H63</f>
        <v/>
      </c>
      <c r="G64" s="46">
        <f>项目总控台账!J63</f>
        <v/>
      </c>
      <c r="H64" s="44">
        <f>IF(G64="","",G64-项目驾驶舱!$B$3)</f>
        <v/>
      </c>
      <c r="I64" s="44">
        <f>项目总控台账!AC63</f>
        <v/>
      </c>
      <c r="J64" s="44">
        <f>项目总控台账!AD63</f>
        <v/>
      </c>
      <c r="K64" s="44">
        <f>IF(A64&lt;&gt;"是","",IF(OR(E64="暂停",E64="挂起"),"确认暂停原因、恢复条件和责任人",IF(H64&lt;0,"立即确认延期原因、影响及补救计划",IF(H64&lt;=7,"本周确认交付承诺和完成证据","提前检查依赖与风险"))))</f>
        <v/>
      </c>
      <c r="L64" s="47" t="n"/>
      <c r="M64" s="48" t="n"/>
    </row>
    <row r="65">
      <c r="A65" s="44">
        <f>IF(B65="","",IF(AND(E65&lt;&gt;"已完成",ISNUMBER(G65),G65&lt;=项目驾驶舱!$B$3+14),"是","否"))</f>
        <v/>
      </c>
      <c r="B65" s="44">
        <f>项目总控台账!A64</f>
        <v/>
      </c>
      <c r="C65" s="44">
        <f>IF(AND(项目总控台账!E64&lt;&gt;"",项目总控台账!E64&lt;&gt;"/"),项目总控台账!E64,IF(AND(项目总控台账!D64&lt;&gt;"",项目总控台账!D64&lt;&gt;"/"),项目总控台账!D64,项目总控台账!C64))</f>
        <v/>
      </c>
      <c r="D65" s="44">
        <f>项目总控台账!F64</f>
        <v/>
      </c>
      <c r="E65" s="44">
        <f>项目总控台账!G64</f>
        <v/>
      </c>
      <c r="F65" s="44">
        <f>项目总控台账!H64</f>
        <v/>
      </c>
      <c r="G65" s="46">
        <f>项目总控台账!J64</f>
        <v/>
      </c>
      <c r="H65" s="44">
        <f>IF(G65="","",G65-项目驾驶舱!$B$3)</f>
        <v/>
      </c>
      <c r="I65" s="44">
        <f>项目总控台账!AC64</f>
        <v/>
      </c>
      <c r="J65" s="44">
        <f>项目总控台账!AD64</f>
        <v/>
      </c>
      <c r="K65" s="44">
        <f>IF(A65&lt;&gt;"是","",IF(OR(E65="暂停",E65="挂起"),"确认暂停原因、恢复条件和责任人",IF(H65&lt;0,"立即确认延期原因、影响及补救计划",IF(H65&lt;=7,"本周确认交付承诺和完成证据","提前检查依赖与风险"))))</f>
        <v/>
      </c>
      <c r="L65" s="47" t="n"/>
      <c r="M65" s="48" t="n"/>
    </row>
    <row r="66">
      <c r="A66" s="44">
        <f>IF(B66="","",IF(AND(E66&lt;&gt;"已完成",ISNUMBER(G66),G66&lt;=项目驾驶舱!$B$3+14),"是","否"))</f>
        <v/>
      </c>
      <c r="B66" s="44">
        <f>项目总控台账!A65</f>
        <v/>
      </c>
      <c r="C66" s="44">
        <f>IF(AND(项目总控台账!E65&lt;&gt;"",项目总控台账!E65&lt;&gt;"/"),项目总控台账!E65,IF(AND(项目总控台账!D65&lt;&gt;"",项目总控台账!D65&lt;&gt;"/"),项目总控台账!D65,项目总控台账!C65))</f>
        <v/>
      </c>
      <c r="D66" s="44">
        <f>项目总控台账!F65</f>
        <v/>
      </c>
      <c r="E66" s="44">
        <f>项目总控台账!G65</f>
        <v/>
      </c>
      <c r="F66" s="44">
        <f>项目总控台账!H65</f>
        <v/>
      </c>
      <c r="G66" s="46">
        <f>项目总控台账!J65</f>
        <v/>
      </c>
      <c r="H66" s="44">
        <f>IF(G66="","",G66-项目驾驶舱!$B$3)</f>
        <v/>
      </c>
      <c r="I66" s="44">
        <f>项目总控台账!AC65</f>
        <v/>
      </c>
      <c r="J66" s="44">
        <f>项目总控台账!AD65</f>
        <v/>
      </c>
      <c r="K66" s="44">
        <f>IF(A66&lt;&gt;"是","",IF(OR(E66="暂停",E66="挂起"),"确认暂停原因、恢复条件和责任人",IF(H66&lt;0,"立即确认延期原因、影响及补救计划",IF(H66&lt;=7,"本周确认交付承诺和完成证据","提前检查依赖与风险"))))</f>
        <v/>
      </c>
      <c r="L66" s="47" t="n"/>
      <c r="M66" s="48" t="n"/>
    </row>
    <row r="67">
      <c r="A67" s="44">
        <f>IF(B67="","",IF(AND(E67&lt;&gt;"已完成",ISNUMBER(G67),G67&lt;=项目驾驶舱!$B$3+14),"是","否"))</f>
        <v/>
      </c>
      <c r="B67" s="44">
        <f>项目总控台账!A66</f>
        <v/>
      </c>
      <c r="C67" s="44">
        <f>IF(AND(项目总控台账!E66&lt;&gt;"",项目总控台账!E66&lt;&gt;"/"),项目总控台账!E66,IF(AND(项目总控台账!D66&lt;&gt;"",项目总控台账!D66&lt;&gt;"/"),项目总控台账!D66,项目总控台账!C66))</f>
        <v/>
      </c>
      <c r="D67" s="44">
        <f>项目总控台账!F66</f>
        <v/>
      </c>
      <c r="E67" s="44">
        <f>项目总控台账!G66</f>
        <v/>
      </c>
      <c r="F67" s="44">
        <f>项目总控台账!H66</f>
        <v/>
      </c>
      <c r="G67" s="46">
        <f>项目总控台账!J66</f>
        <v/>
      </c>
      <c r="H67" s="44">
        <f>IF(G67="","",G67-项目驾驶舱!$B$3)</f>
        <v/>
      </c>
      <c r="I67" s="44">
        <f>项目总控台账!AC66</f>
        <v/>
      </c>
      <c r="J67" s="44">
        <f>项目总控台账!AD66</f>
        <v/>
      </c>
      <c r="K67" s="44">
        <f>IF(A67&lt;&gt;"是","",IF(OR(E67="暂停",E67="挂起"),"确认暂停原因、恢复条件和责任人",IF(H67&lt;0,"立即确认延期原因、影响及补救计划",IF(H67&lt;=7,"本周确认交付承诺和完成证据","提前检查依赖与风险"))))</f>
        <v/>
      </c>
      <c r="L67" s="47" t="n"/>
      <c r="M67" s="48" t="n"/>
    </row>
    <row r="68">
      <c r="A68" s="44">
        <f>IF(B68="","",IF(AND(E68&lt;&gt;"已完成",ISNUMBER(G68),G68&lt;=项目驾驶舱!$B$3+14),"是","否"))</f>
        <v/>
      </c>
      <c r="B68" s="44">
        <f>项目总控台账!A67</f>
        <v/>
      </c>
      <c r="C68" s="44">
        <f>IF(AND(项目总控台账!E67&lt;&gt;"",项目总控台账!E67&lt;&gt;"/"),项目总控台账!E67,IF(AND(项目总控台账!D67&lt;&gt;"",项目总控台账!D67&lt;&gt;"/"),项目总控台账!D67,项目总控台账!C67))</f>
        <v/>
      </c>
      <c r="D68" s="44">
        <f>项目总控台账!F67</f>
        <v/>
      </c>
      <c r="E68" s="44">
        <f>项目总控台账!G67</f>
        <v/>
      </c>
      <c r="F68" s="44">
        <f>项目总控台账!H67</f>
        <v/>
      </c>
      <c r="G68" s="46">
        <f>项目总控台账!J67</f>
        <v/>
      </c>
      <c r="H68" s="44">
        <f>IF(G68="","",G68-项目驾驶舱!$B$3)</f>
        <v/>
      </c>
      <c r="I68" s="44">
        <f>项目总控台账!AC67</f>
        <v/>
      </c>
      <c r="J68" s="44">
        <f>项目总控台账!AD67</f>
        <v/>
      </c>
      <c r="K68" s="44">
        <f>IF(A68&lt;&gt;"是","",IF(OR(E68="暂停",E68="挂起"),"确认暂停原因、恢复条件和责任人",IF(H68&lt;0,"立即确认延期原因、影响及补救计划",IF(H68&lt;=7,"本周确认交付承诺和完成证据","提前检查依赖与风险"))))</f>
        <v/>
      </c>
      <c r="L68" s="47" t="n"/>
      <c r="M68" s="48" t="n"/>
    </row>
    <row r="69">
      <c r="A69" s="44">
        <f>IF(B69="","",IF(AND(E69&lt;&gt;"已完成",ISNUMBER(G69),G69&lt;=项目驾驶舱!$B$3+14),"是","否"))</f>
        <v/>
      </c>
      <c r="B69" s="44">
        <f>项目总控台账!A68</f>
        <v/>
      </c>
      <c r="C69" s="44">
        <f>IF(AND(项目总控台账!E68&lt;&gt;"",项目总控台账!E68&lt;&gt;"/"),项目总控台账!E68,IF(AND(项目总控台账!D68&lt;&gt;"",项目总控台账!D68&lt;&gt;"/"),项目总控台账!D68,项目总控台账!C68))</f>
        <v/>
      </c>
      <c r="D69" s="44">
        <f>项目总控台账!F68</f>
        <v/>
      </c>
      <c r="E69" s="44">
        <f>项目总控台账!G68</f>
        <v/>
      </c>
      <c r="F69" s="44">
        <f>项目总控台账!H68</f>
        <v/>
      </c>
      <c r="G69" s="46">
        <f>项目总控台账!J68</f>
        <v/>
      </c>
      <c r="H69" s="44">
        <f>IF(G69="","",G69-项目驾驶舱!$B$3)</f>
        <v/>
      </c>
      <c r="I69" s="44">
        <f>项目总控台账!AC68</f>
        <v/>
      </c>
      <c r="J69" s="44">
        <f>项目总控台账!AD68</f>
        <v/>
      </c>
      <c r="K69" s="44">
        <f>IF(A69&lt;&gt;"是","",IF(OR(E69="暂停",E69="挂起"),"确认暂停原因、恢复条件和责任人",IF(H69&lt;0,"立即确认延期原因、影响及补救计划",IF(H69&lt;=7,"本周确认交付承诺和完成证据","提前检查依赖与风险"))))</f>
        <v/>
      </c>
      <c r="L69" s="47" t="n"/>
      <c r="M69" s="48" t="n"/>
    </row>
    <row r="70">
      <c r="A70" s="44">
        <f>IF(B70="","",IF(AND(E70&lt;&gt;"已完成",ISNUMBER(G70),G70&lt;=项目驾驶舱!$B$3+14),"是","否"))</f>
        <v/>
      </c>
      <c r="B70" s="44">
        <f>项目总控台账!A69</f>
        <v/>
      </c>
      <c r="C70" s="44">
        <f>IF(AND(项目总控台账!E69&lt;&gt;"",项目总控台账!E69&lt;&gt;"/"),项目总控台账!E69,IF(AND(项目总控台账!D69&lt;&gt;"",项目总控台账!D69&lt;&gt;"/"),项目总控台账!D69,项目总控台账!C69))</f>
        <v/>
      </c>
      <c r="D70" s="44">
        <f>项目总控台账!F69</f>
        <v/>
      </c>
      <c r="E70" s="44">
        <f>项目总控台账!G69</f>
        <v/>
      </c>
      <c r="F70" s="44">
        <f>项目总控台账!H69</f>
        <v/>
      </c>
      <c r="G70" s="46">
        <f>项目总控台账!J69</f>
        <v/>
      </c>
      <c r="H70" s="44">
        <f>IF(G70="","",G70-项目驾驶舱!$B$3)</f>
        <v/>
      </c>
      <c r="I70" s="44">
        <f>项目总控台账!AC69</f>
        <v/>
      </c>
      <c r="J70" s="44">
        <f>项目总控台账!AD69</f>
        <v/>
      </c>
      <c r="K70" s="44">
        <f>IF(A70&lt;&gt;"是","",IF(OR(E70="暂停",E70="挂起"),"确认暂停原因、恢复条件和责任人",IF(H70&lt;0,"立即确认延期原因、影响及补救计划",IF(H70&lt;=7,"本周确认交付承诺和完成证据","提前检查依赖与风险"))))</f>
        <v/>
      </c>
      <c r="L70" s="47" t="n"/>
      <c r="M70" s="48" t="n"/>
    </row>
    <row r="71">
      <c r="A71" s="44">
        <f>IF(B71="","",IF(AND(E71&lt;&gt;"已完成",ISNUMBER(G71),G71&lt;=项目驾驶舱!$B$3+14),"是","否"))</f>
        <v/>
      </c>
      <c r="B71" s="44">
        <f>项目总控台账!A70</f>
        <v/>
      </c>
      <c r="C71" s="44">
        <f>IF(AND(项目总控台账!E70&lt;&gt;"",项目总控台账!E70&lt;&gt;"/"),项目总控台账!E70,IF(AND(项目总控台账!D70&lt;&gt;"",项目总控台账!D70&lt;&gt;"/"),项目总控台账!D70,项目总控台账!C70))</f>
        <v/>
      </c>
      <c r="D71" s="44">
        <f>项目总控台账!F70</f>
        <v/>
      </c>
      <c r="E71" s="44">
        <f>项目总控台账!G70</f>
        <v/>
      </c>
      <c r="F71" s="44">
        <f>项目总控台账!H70</f>
        <v/>
      </c>
      <c r="G71" s="46">
        <f>项目总控台账!J70</f>
        <v/>
      </c>
      <c r="H71" s="44">
        <f>IF(G71="","",G71-项目驾驶舱!$B$3)</f>
        <v/>
      </c>
      <c r="I71" s="44">
        <f>项目总控台账!AC70</f>
        <v/>
      </c>
      <c r="J71" s="44">
        <f>项目总控台账!AD70</f>
        <v/>
      </c>
      <c r="K71" s="44">
        <f>IF(A71&lt;&gt;"是","",IF(OR(E71="暂停",E71="挂起"),"确认暂停原因、恢复条件和责任人",IF(H71&lt;0,"立即确认延期原因、影响及补救计划",IF(H71&lt;=7,"本周确认交付承诺和完成证据","提前检查依赖与风险"))))</f>
        <v/>
      </c>
      <c r="L71" s="47" t="n"/>
      <c r="M71" s="48" t="n"/>
    </row>
    <row r="72">
      <c r="A72" s="44">
        <f>IF(B72="","",IF(AND(E72&lt;&gt;"已完成",ISNUMBER(G72),G72&lt;=项目驾驶舱!$B$3+14),"是","否"))</f>
        <v/>
      </c>
      <c r="B72" s="44">
        <f>项目总控台账!A71</f>
        <v/>
      </c>
      <c r="C72" s="44">
        <f>IF(AND(项目总控台账!E71&lt;&gt;"",项目总控台账!E71&lt;&gt;"/"),项目总控台账!E71,IF(AND(项目总控台账!D71&lt;&gt;"",项目总控台账!D71&lt;&gt;"/"),项目总控台账!D71,项目总控台账!C71))</f>
        <v/>
      </c>
      <c r="D72" s="44">
        <f>项目总控台账!F71</f>
        <v/>
      </c>
      <c r="E72" s="44">
        <f>项目总控台账!G71</f>
        <v/>
      </c>
      <c r="F72" s="44">
        <f>项目总控台账!H71</f>
        <v/>
      </c>
      <c r="G72" s="46">
        <f>项目总控台账!J71</f>
        <v/>
      </c>
      <c r="H72" s="44">
        <f>IF(G72="","",G72-项目驾驶舱!$B$3)</f>
        <v/>
      </c>
      <c r="I72" s="44">
        <f>项目总控台账!AC71</f>
        <v/>
      </c>
      <c r="J72" s="44">
        <f>项目总控台账!AD71</f>
        <v/>
      </c>
      <c r="K72" s="44">
        <f>IF(A72&lt;&gt;"是","",IF(OR(E72="暂停",E72="挂起"),"确认暂停原因、恢复条件和责任人",IF(H72&lt;0,"立即确认延期原因、影响及补救计划",IF(H72&lt;=7,"本周确认交付承诺和完成证据","提前检查依赖与风险"))))</f>
        <v/>
      </c>
      <c r="L72" s="47" t="n"/>
      <c r="M72" s="48" t="n"/>
    </row>
    <row r="73">
      <c r="A73" s="44">
        <f>IF(B73="","",IF(AND(E73&lt;&gt;"已完成",ISNUMBER(G73),G73&lt;=项目驾驶舱!$B$3+14),"是","否"))</f>
        <v/>
      </c>
      <c r="B73" s="44">
        <f>项目总控台账!A72</f>
        <v/>
      </c>
      <c r="C73" s="44">
        <f>IF(AND(项目总控台账!E72&lt;&gt;"",项目总控台账!E72&lt;&gt;"/"),项目总控台账!E72,IF(AND(项目总控台账!D72&lt;&gt;"",项目总控台账!D72&lt;&gt;"/"),项目总控台账!D72,项目总控台账!C72))</f>
        <v/>
      </c>
      <c r="D73" s="44">
        <f>项目总控台账!F72</f>
        <v/>
      </c>
      <c r="E73" s="44">
        <f>项目总控台账!G72</f>
        <v/>
      </c>
      <c r="F73" s="44">
        <f>项目总控台账!H72</f>
        <v/>
      </c>
      <c r="G73" s="46">
        <f>项目总控台账!J72</f>
        <v/>
      </c>
      <c r="H73" s="44">
        <f>IF(G73="","",G73-项目驾驶舱!$B$3)</f>
        <v/>
      </c>
      <c r="I73" s="44">
        <f>项目总控台账!AC72</f>
        <v/>
      </c>
      <c r="J73" s="44">
        <f>项目总控台账!AD72</f>
        <v/>
      </c>
      <c r="K73" s="44">
        <f>IF(A73&lt;&gt;"是","",IF(OR(E73="暂停",E73="挂起"),"确认暂停原因、恢复条件和责任人",IF(H73&lt;0,"立即确认延期原因、影响及补救计划",IF(H73&lt;=7,"本周确认交付承诺和完成证据","提前检查依赖与风险"))))</f>
        <v/>
      </c>
      <c r="L73" s="47" t="n"/>
      <c r="M73" s="48" t="n"/>
    </row>
    <row r="74">
      <c r="A74" s="44">
        <f>IF(B74="","",IF(AND(E74&lt;&gt;"已完成",ISNUMBER(G74),G74&lt;=项目驾驶舱!$B$3+14),"是","否"))</f>
        <v/>
      </c>
      <c r="B74" s="44">
        <f>项目总控台账!A73</f>
        <v/>
      </c>
      <c r="C74" s="44">
        <f>IF(AND(项目总控台账!E73&lt;&gt;"",项目总控台账!E73&lt;&gt;"/"),项目总控台账!E73,IF(AND(项目总控台账!D73&lt;&gt;"",项目总控台账!D73&lt;&gt;"/"),项目总控台账!D73,项目总控台账!C73))</f>
        <v/>
      </c>
      <c r="D74" s="44">
        <f>项目总控台账!F73</f>
        <v/>
      </c>
      <c r="E74" s="44">
        <f>项目总控台账!G73</f>
        <v/>
      </c>
      <c r="F74" s="44">
        <f>项目总控台账!H73</f>
        <v/>
      </c>
      <c r="G74" s="46">
        <f>项目总控台账!J73</f>
        <v/>
      </c>
      <c r="H74" s="44">
        <f>IF(G74="","",G74-项目驾驶舱!$B$3)</f>
        <v/>
      </c>
      <c r="I74" s="44">
        <f>项目总控台账!AC73</f>
        <v/>
      </c>
      <c r="J74" s="44">
        <f>项目总控台账!AD73</f>
        <v/>
      </c>
      <c r="K74" s="44">
        <f>IF(A74&lt;&gt;"是","",IF(OR(E74="暂停",E74="挂起"),"确认暂停原因、恢复条件和责任人",IF(H74&lt;0,"立即确认延期原因、影响及补救计划",IF(H74&lt;=7,"本周确认交付承诺和完成证据","提前检查依赖与风险"))))</f>
        <v/>
      </c>
      <c r="L74" s="47" t="n"/>
      <c r="M74" s="48" t="n"/>
    </row>
    <row r="75">
      <c r="A75" s="44">
        <f>IF(B75="","",IF(AND(E75&lt;&gt;"已完成",ISNUMBER(G75),G75&lt;=项目驾驶舱!$B$3+14),"是","否"))</f>
        <v/>
      </c>
      <c r="B75" s="44">
        <f>项目总控台账!A74</f>
        <v/>
      </c>
      <c r="C75" s="44">
        <f>IF(AND(项目总控台账!E74&lt;&gt;"",项目总控台账!E74&lt;&gt;"/"),项目总控台账!E74,IF(AND(项目总控台账!D74&lt;&gt;"",项目总控台账!D74&lt;&gt;"/"),项目总控台账!D74,项目总控台账!C74))</f>
        <v/>
      </c>
      <c r="D75" s="44">
        <f>项目总控台账!F74</f>
        <v/>
      </c>
      <c r="E75" s="44">
        <f>项目总控台账!G74</f>
        <v/>
      </c>
      <c r="F75" s="44">
        <f>项目总控台账!H74</f>
        <v/>
      </c>
      <c r="G75" s="46">
        <f>项目总控台账!J74</f>
        <v/>
      </c>
      <c r="H75" s="44">
        <f>IF(G75="","",G75-项目驾驶舱!$B$3)</f>
        <v/>
      </c>
      <c r="I75" s="44">
        <f>项目总控台账!AC74</f>
        <v/>
      </c>
      <c r="J75" s="44">
        <f>项目总控台账!AD74</f>
        <v/>
      </c>
      <c r="K75" s="44">
        <f>IF(A75&lt;&gt;"是","",IF(OR(E75="暂停",E75="挂起"),"确认暂停原因、恢复条件和责任人",IF(H75&lt;0,"立即确认延期原因、影响及补救计划",IF(H75&lt;=7,"本周确认交付承诺和完成证据","提前检查依赖与风险"))))</f>
        <v/>
      </c>
      <c r="L75" s="47" t="n"/>
      <c r="M75" s="48" t="n"/>
    </row>
    <row r="76">
      <c r="A76" s="44">
        <f>IF(B76="","",IF(AND(E76&lt;&gt;"已完成",ISNUMBER(G76),G76&lt;=项目驾驶舱!$B$3+14),"是","否"))</f>
        <v/>
      </c>
      <c r="B76" s="44">
        <f>项目总控台账!A75</f>
        <v/>
      </c>
      <c r="C76" s="44">
        <f>IF(AND(项目总控台账!E75&lt;&gt;"",项目总控台账!E75&lt;&gt;"/"),项目总控台账!E75,IF(AND(项目总控台账!D75&lt;&gt;"",项目总控台账!D75&lt;&gt;"/"),项目总控台账!D75,项目总控台账!C75))</f>
        <v/>
      </c>
      <c r="D76" s="44">
        <f>项目总控台账!F75</f>
        <v/>
      </c>
      <c r="E76" s="44">
        <f>项目总控台账!G75</f>
        <v/>
      </c>
      <c r="F76" s="44">
        <f>项目总控台账!H75</f>
        <v/>
      </c>
      <c r="G76" s="46">
        <f>项目总控台账!J75</f>
        <v/>
      </c>
      <c r="H76" s="44">
        <f>IF(G76="","",G76-项目驾驶舱!$B$3)</f>
        <v/>
      </c>
      <c r="I76" s="44">
        <f>项目总控台账!AC75</f>
        <v/>
      </c>
      <c r="J76" s="44">
        <f>项目总控台账!AD75</f>
        <v/>
      </c>
      <c r="K76" s="44">
        <f>IF(A76&lt;&gt;"是","",IF(OR(E76="暂停",E76="挂起"),"确认暂停原因、恢复条件和责任人",IF(H76&lt;0,"立即确认延期原因、影响及补救计划",IF(H76&lt;=7,"本周确认交付承诺和完成证据","提前检查依赖与风险"))))</f>
        <v/>
      </c>
      <c r="L76" s="47" t="n"/>
      <c r="M76" s="48" t="n"/>
    </row>
    <row r="77">
      <c r="A77" s="44">
        <f>IF(B77="","",IF(AND(E77&lt;&gt;"已完成",ISNUMBER(G77),G77&lt;=项目驾驶舱!$B$3+14),"是","否"))</f>
        <v/>
      </c>
      <c r="B77" s="44">
        <f>项目总控台账!A76</f>
        <v/>
      </c>
      <c r="C77" s="44">
        <f>IF(AND(项目总控台账!E76&lt;&gt;"",项目总控台账!E76&lt;&gt;"/"),项目总控台账!E76,IF(AND(项目总控台账!D76&lt;&gt;"",项目总控台账!D76&lt;&gt;"/"),项目总控台账!D76,项目总控台账!C76))</f>
        <v/>
      </c>
      <c r="D77" s="44">
        <f>项目总控台账!F76</f>
        <v/>
      </c>
      <c r="E77" s="44">
        <f>项目总控台账!G76</f>
        <v/>
      </c>
      <c r="F77" s="44">
        <f>项目总控台账!H76</f>
        <v/>
      </c>
      <c r="G77" s="46">
        <f>项目总控台账!J76</f>
        <v/>
      </c>
      <c r="H77" s="44">
        <f>IF(G77="","",G77-项目驾驶舱!$B$3)</f>
        <v/>
      </c>
      <c r="I77" s="44">
        <f>项目总控台账!AC76</f>
        <v/>
      </c>
      <c r="J77" s="44">
        <f>项目总控台账!AD76</f>
        <v/>
      </c>
      <c r="K77" s="44">
        <f>IF(A77&lt;&gt;"是","",IF(OR(E77="暂停",E77="挂起"),"确认暂停原因、恢复条件和责任人",IF(H77&lt;0,"立即确认延期原因、影响及补救计划",IF(H77&lt;=7,"本周确认交付承诺和完成证据","提前检查依赖与风险"))))</f>
        <v/>
      </c>
      <c r="L77" s="47" t="n"/>
      <c r="M77" s="48" t="n"/>
    </row>
    <row r="78">
      <c r="A78" s="44">
        <f>IF(B78="","",IF(AND(E78&lt;&gt;"已完成",ISNUMBER(G78),G78&lt;=项目驾驶舱!$B$3+14),"是","否"))</f>
        <v/>
      </c>
      <c r="B78" s="44">
        <f>项目总控台账!A77</f>
        <v/>
      </c>
      <c r="C78" s="44">
        <f>IF(AND(项目总控台账!E77&lt;&gt;"",项目总控台账!E77&lt;&gt;"/"),项目总控台账!E77,IF(AND(项目总控台账!D77&lt;&gt;"",项目总控台账!D77&lt;&gt;"/"),项目总控台账!D77,项目总控台账!C77))</f>
        <v/>
      </c>
      <c r="D78" s="44">
        <f>项目总控台账!F77</f>
        <v/>
      </c>
      <c r="E78" s="44">
        <f>项目总控台账!G77</f>
        <v/>
      </c>
      <c r="F78" s="44">
        <f>项目总控台账!H77</f>
        <v/>
      </c>
      <c r="G78" s="46">
        <f>项目总控台账!J77</f>
        <v/>
      </c>
      <c r="H78" s="44">
        <f>IF(G78="","",G78-项目驾驶舱!$B$3)</f>
        <v/>
      </c>
      <c r="I78" s="44">
        <f>项目总控台账!AC77</f>
        <v/>
      </c>
      <c r="J78" s="44">
        <f>项目总控台账!AD77</f>
        <v/>
      </c>
      <c r="K78" s="44">
        <f>IF(A78&lt;&gt;"是","",IF(OR(E78="暂停",E78="挂起"),"确认暂停原因、恢复条件和责任人",IF(H78&lt;0,"立即确认延期原因、影响及补救计划",IF(H78&lt;=7,"本周确认交付承诺和完成证据","提前检查依赖与风险"))))</f>
        <v/>
      </c>
      <c r="L78" s="47" t="n"/>
      <c r="M78" s="48" t="n"/>
    </row>
    <row r="79">
      <c r="A79" s="44">
        <f>IF(B79="","",IF(AND(E79&lt;&gt;"已完成",ISNUMBER(G79),G79&lt;=项目驾驶舱!$B$3+14),"是","否"))</f>
        <v/>
      </c>
      <c r="B79" s="44">
        <f>项目总控台账!A78</f>
        <v/>
      </c>
      <c r="C79" s="44">
        <f>IF(AND(项目总控台账!E78&lt;&gt;"",项目总控台账!E78&lt;&gt;"/"),项目总控台账!E78,IF(AND(项目总控台账!D78&lt;&gt;"",项目总控台账!D78&lt;&gt;"/"),项目总控台账!D78,项目总控台账!C78))</f>
        <v/>
      </c>
      <c r="D79" s="44">
        <f>项目总控台账!F78</f>
        <v/>
      </c>
      <c r="E79" s="44">
        <f>项目总控台账!G78</f>
        <v/>
      </c>
      <c r="F79" s="44">
        <f>项目总控台账!H78</f>
        <v/>
      </c>
      <c r="G79" s="46">
        <f>项目总控台账!J78</f>
        <v/>
      </c>
      <c r="H79" s="44">
        <f>IF(G79="","",G79-项目驾驶舱!$B$3)</f>
        <v/>
      </c>
      <c r="I79" s="44">
        <f>项目总控台账!AC78</f>
        <v/>
      </c>
      <c r="J79" s="44">
        <f>项目总控台账!AD78</f>
        <v/>
      </c>
      <c r="K79" s="44">
        <f>IF(A79&lt;&gt;"是","",IF(OR(E79="暂停",E79="挂起"),"确认暂停原因、恢复条件和责任人",IF(H79&lt;0,"立即确认延期原因、影响及补救计划",IF(H79&lt;=7,"本周确认交付承诺和完成证据","提前检查依赖与风险"))))</f>
        <v/>
      </c>
      <c r="L79" s="47" t="n"/>
      <c r="M79" s="48" t="n"/>
    </row>
    <row r="80">
      <c r="A80" s="44">
        <f>IF(B80="","",IF(AND(E80&lt;&gt;"已完成",ISNUMBER(G80),G80&lt;=项目驾驶舱!$B$3+14),"是","否"))</f>
        <v/>
      </c>
      <c r="B80" s="44">
        <f>项目总控台账!A79</f>
        <v/>
      </c>
      <c r="C80" s="44">
        <f>IF(AND(项目总控台账!E79&lt;&gt;"",项目总控台账!E79&lt;&gt;"/"),项目总控台账!E79,IF(AND(项目总控台账!D79&lt;&gt;"",项目总控台账!D79&lt;&gt;"/"),项目总控台账!D79,项目总控台账!C79))</f>
        <v/>
      </c>
      <c r="D80" s="44">
        <f>项目总控台账!F79</f>
        <v/>
      </c>
      <c r="E80" s="44">
        <f>项目总控台账!G79</f>
        <v/>
      </c>
      <c r="F80" s="44">
        <f>项目总控台账!H79</f>
        <v/>
      </c>
      <c r="G80" s="46">
        <f>项目总控台账!J79</f>
        <v/>
      </c>
      <c r="H80" s="44">
        <f>IF(G80="","",G80-项目驾驶舱!$B$3)</f>
        <v/>
      </c>
      <c r="I80" s="44">
        <f>项目总控台账!AC79</f>
        <v/>
      </c>
      <c r="J80" s="44">
        <f>项目总控台账!AD79</f>
        <v/>
      </c>
      <c r="K80" s="44">
        <f>IF(A80&lt;&gt;"是","",IF(OR(E80="暂停",E80="挂起"),"确认暂停原因、恢复条件和责任人",IF(H80&lt;0,"立即确认延期原因、影响及补救计划",IF(H80&lt;=7,"本周确认交付承诺和完成证据","提前检查依赖与风险"))))</f>
        <v/>
      </c>
      <c r="L80" s="47" t="n"/>
      <c r="M80" s="48" t="n"/>
    </row>
    <row r="81">
      <c r="A81" s="44">
        <f>IF(B81="","",IF(AND(E81&lt;&gt;"已完成",ISNUMBER(G81),G81&lt;=项目驾驶舱!$B$3+14),"是","否"))</f>
        <v/>
      </c>
      <c r="B81" s="44">
        <f>项目总控台账!A80</f>
        <v/>
      </c>
      <c r="C81" s="44">
        <f>IF(AND(项目总控台账!E80&lt;&gt;"",项目总控台账!E80&lt;&gt;"/"),项目总控台账!E80,IF(AND(项目总控台账!D80&lt;&gt;"",项目总控台账!D80&lt;&gt;"/"),项目总控台账!D80,项目总控台账!C80))</f>
        <v/>
      </c>
      <c r="D81" s="44">
        <f>项目总控台账!F80</f>
        <v/>
      </c>
      <c r="E81" s="44">
        <f>项目总控台账!G80</f>
        <v/>
      </c>
      <c r="F81" s="44">
        <f>项目总控台账!H80</f>
        <v/>
      </c>
      <c r="G81" s="46">
        <f>项目总控台账!J80</f>
        <v/>
      </c>
      <c r="H81" s="44">
        <f>IF(G81="","",G81-项目驾驶舱!$B$3)</f>
        <v/>
      </c>
      <c r="I81" s="44">
        <f>项目总控台账!AC80</f>
        <v/>
      </c>
      <c r="J81" s="44">
        <f>项目总控台账!AD80</f>
        <v/>
      </c>
      <c r="K81" s="44">
        <f>IF(A81&lt;&gt;"是","",IF(OR(E81="暂停",E81="挂起"),"确认暂停原因、恢复条件和责任人",IF(H81&lt;0,"立即确认延期原因、影响及补救计划",IF(H81&lt;=7,"本周确认交付承诺和完成证据","提前检查依赖与风险"))))</f>
        <v/>
      </c>
      <c r="L81" s="47" t="n"/>
      <c r="M81" s="48" t="n"/>
    </row>
    <row r="82">
      <c r="A82" s="44">
        <f>IF(B82="","",IF(AND(E82&lt;&gt;"已完成",ISNUMBER(G82),G82&lt;=项目驾驶舱!$B$3+14),"是","否"))</f>
        <v/>
      </c>
      <c r="B82" s="44">
        <f>项目总控台账!A81</f>
        <v/>
      </c>
      <c r="C82" s="44">
        <f>IF(AND(项目总控台账!E81&lt;&gt;"",项目总控台账!E81&lt;&gt;"/"),项目总控台账!E81,IF(AND(项目总控台账!D81&lt;&gt;"",项目总控台账!D81&lt;&gt;"/"),项目总控台账!D81,项目总控台账!C81))</f>
        <v/>
      </c>
      <c r="D82" s="44">
        <f>项目总控台账!F81</f>
        <v/>
      </c>
      <c r="E82" s="44">
        <f>项目总控台账!G81</f>
        <v/>
      </c>
      <c r="F82" s="44">
        <f>项目总控台账!H81</f>
        <v/>
      </c>
      <c r="G82" s="46">
        <f>项目总控台账!J81</f>
        <v/>
      </c>
      <c r="H82" s="44">
        <f>IF(G82="","",G82-项目驾驶舱!$B$3)</f>
        <v/>
      </c>
      <c r="I82" s="44">
        <f>项目总控台账!AC81</f>
        <v/>
      </c>
      <c r="J82" s="44">
        <f>项目总控台账!AD81</f>
        <v/>
      </c>
      <c r="K82" s="44">
        <f>IF(A82&lt;&gt;"是","",IF(OR(E82="暂停",E82="挂起"),"确认暂停原因、恢复条件和责任人",IF(H82&lt;0,"立即确认延期原因、影响及补救计划",IF(H82&lt;=7,"本周确认交付承诺和完成证据","提前检查依赖与风险"))))</f>
        <v/>
      </c>
      <c r="L82" s="47" t="n"/>
      <c r="M82" s="48" t="n"/>
    </row>
    <row r="83">
      <c r="A83" s="44">
        <f>IF(B83="","",IF(AND(E83&lt;&gt;"已完成",ISNUMBER(G83),G83&lt;=项目驾驶舱!$B$3+14),"是","否"))</f>
        <v/>
      </c>
      <c r="B83" s="44">
        <f>项目总控台账!A82</f>
        <v/>
      </c>
      <c r="C83" s="44">
        <f>IF(AND(项目总控台账!E82&lt;&gt;"",项目总控台账!E82&lt;&gt;"/"),项目总控台账!E82,IF(AND(项目总控台账!D82&lt;&gt;"",项目总控台账!D82&lt;&gt;"/"),项目总控台账!D82,项目总控台账!C82))</f>
        <v/>
      </c>
      <c r="D83" s="44">
        <f>项目总控台账!F82</f>
        <v/>
      </c>
      <c r="E83" s="44">
        <f>项目总控台账!G82</f>
        <v/>
      </c>
      <c r="F83" s="44">
        <f>项目总控台账!H82</f>
        <v/>
      </c>
      <c r="G83" s="46">
        <f>项目总控台账!J82</f>
        <v/>
      </c>
      <c r="H83" s="44">
        <f>IF(G83="","",G83-项目驾驶舱!$B$3)</f>
        <v/>
      </c>
      <c r="I83" s="44">
        <f>项目总控台账!AC82</f>
        <v/>
      </c>
      <c r="J83" s="44">
        <f>项目总控台账!AD82</f>
        <v/>
      </c>
      <c r="K83" s="44">
        <f>IF(A83&lt;&gt;"是","",IF(OR(E83="暂停",E83="挂起"),"确认暂停原因、恢复条件和责任人",IF(H83&lt;0,"立即确认延期原因、影响及补救计划",IF(H83&lt;=7,"本周确认交付承诺和完成证据","提前检查依赖与风险"))))</f>
        <v/>
      </c>
      <c r="L83" s="47" t="n"/>
      <c r="M83" s="48" t="n"/>
    </row>
    <row r="84">
      <c r="A84" s="44">
        <f>IF(B84="","",IF(AND(E84&lt;&gt;"已完成",ISNUMBER(G84),G84&lt;=项目驾驶舱!$B$3+14),"是","否"))</f>
        <v/>
      </c>
      <c r="B84" s="44">
        <f>项目总控台账!A83</f>
        <v/>
      </c>
      <c r="C84" s="44">
        <f>IF(AND(项目总控台账!E83&lt;&gt;"",项目总控台账!E83&lt;&gt;"/"),项目总控台账!E83,IF(AND(项目总控台账!D83&lt;&gt;"",项目总控台账!D83&lt;&gt;"/"),项目总控台账!D83,项目总控台账!C83))</f>
        <v/>
      </c>
      <c r="D84" s="44">
        <f>项目总控台账!F83</f>
        <v/>
      </c>
      <c r="E84" s="44">
        <f>项目总控台账!G83</f>
        <v/>
      </c>
      <c r="F84" s="44">
        <f>项目总控台账!H83</f>
        <v/>
      </c>
      <c r="G84" s="46">
        <f>项目总控台账!J83</f>
        <v/>
      </c>
      <c r="H84" s="44">
        <f>IF(G84="","",G84-项目驾驶舱!$B$3)</f>
        <v/>
      </c>
      <c r="I84" s="44">
        <f>项目总控台账!AC83</f>
        <v/>
      </c>
      <c r="J84" s="44">
        <f>项目总控台账!AD83</f>
        <v/>
      </c>
      <c r="K84" s="44">
        <f>IF(A84&lt;&gt;"是","",IF(OR(E84="暂停",E84="挂起"),"确认暂停原因、恢复条件和责任人",IF(H84&lt;0,"立即确认延期原因、影响及补救计划",IF(H84&lt;=7,"本周确认交付承诺和完成证据","提前检查依赖与风险"))))</f>
        <v/>
      </c>
      <c r="L84" s="47" t="n"/>
      <c r="M84" s="48" t="n"/>
    </row>
    <row r="85">
      <c r="A85" s="44">
        <f>IF(B85="","",IF(AND(E85&lt;&gt;"已完成",ISNUMBER(G85),G85&lt;=项目驾驶舱!$B$3+14),"是","否"))</f>
        <v/>
      </c>
      <c r="B85" s="44">
        <f>项目总控台账!A84</f>
        <v/>
      </c>
      <c r="C85" s="44">
        <f>IF(AND(项目总控台账!E84&lt;&gt;"",项目总控台账!E84&lt;&gt;"/"),项目总控台账!E84,IF(AND(项目总控台账!D84&lt;&gt;"",项目总控台账!D84&lt;&gt;"/"),项目总控台账!D84,项目总控台账!C84))</f>
        <v/>
      </c>
      <c r="D85" s="44">
        <f>项目总控台账!F84</f>
        <v/>
      </c>
      <c r="E85" s="44">
        <f>项目总控台账!G84</f>
        <v/>
      </c>
      <c r="F85" s="44">
        <f>项目总控台账!H84</f>
        <v/>
      </c>
      <c r="G85" s="46">
        <f>项目总控台账!J84</f>
        <v/>
      </c>
      <c r="H85" s="44">
        <f>IF(G85="","",G85-项目驾驶舱!$B$3)</f>
        <v/>
      </c>
      <c r="I85" s="44">
        <f>项目总控台账!AC84</f>
        <v/>
      </c>
      <c r="J85" s="44">
        <f>项目总控台账!AD84</f>
        <v/>
      </c>
      <c r="K85" s="44">
        <f>IF(A85&lt;&gt;"是","",IF(OR(E85="暂停",E85="挂起"),"确认暂停原因、恢复条件和责任人",IF(H85&lt;0,"立即确认延期原因、影响及补救计划",IF(H85&lt;=7,"本周确认交付承诺和完成证据","提前检查依赖与风险"))))</f>
        <v/>
      </c>
      <c r="L85" s="47" t="n"/>
      <c r="M85" s="48" t="n"/>
    </row>
    <row r="86">
      <c r="A86" s="44">
        <f>IF(B86="","",IF(AND(E86&lt;&gt;"已完成",ISNUMBER(G86),G86&lt;=项目驾驶舱!$B$3+14),"是","否"))</f>
        <v/>
      </c>
      <c r="B86" s="44">
        <f>项目总控台账!A85</f>
        <v/>
      </c>
      <c r="C86" s="44">
        <f>IF(AND(项目总控台账!E85&lt;&gt;"",项目总控台账!E85&lt;&gt;"/"),项目总控台账!E85,IF(AND(项目总控台账!D85&lt;&gt;"",项目总控台账!D85&lt;&gt;"/"),项目总控台账!D85,项目总控台账!C85))</f>
        <v/>
      </c>
      <c r="D86" s="44">
        <f>项目总控台账!F85</f>
        <v/>
      </c>
      <c r="E86" s="44">
        <f>项目总控台账!G85</f>
        <v/>
      </c>
      <c r="F86" s="44">
        <f>项目总控台账!H85</f>
        <v/>
      </c>
      <c r="G86" s="46">
        <f>项目总控台账!J85</f>
        <v/>
      </c>
      <c r="H86" s="44">
        <f>IF(G86="","",G86-项目驾驶舱!$B$3)</f>
        <v/>
      </c>
      <c r="I86" s="44">
        <f>项目总控台账!AC85</f>
        <v/>
      </c>
      <c r="J86" s="44">
        <f>项目总控台账!AD85</f>
        <v/>
      </c>
      <c r="K86" s="44">
        <f>IF(A86&lt;&gt;"是","",IF(OR(E86="暂停",E86="挂起"),"确认暂停原因、恢复条件和责任人",IF(H86&lt;0,"立即确认延期原因、影响及补救计划",IF(H86&lt;=7,"本周确认交付承诺和完成证据","提前检查依赖与风险"))))</f>
        <v/>
      </c>
      <c r="L86" s="47" t="n"/>
      <c r="M86" s="48" t="n"/>
    </row>
    <row r="87">
      <c r="A87" s="44">
        <f>IF(B87="","",IF(AND(E87&lt;&gt;"已完成",ISNUMBER(G87),G87&lt;=项目驾驶舱!$B$3+14),"是","否"))</f>
        <v/>
      </c>
      <c r="B87" s="44">
        <f>项目总控台账!A86</f>
        <v/>
      </c>
      <c r="C87" s="44">
        <f>IF(AND(项目总控台账!E86&lt;&gt;"",项目总控台账!E86&lt;&gt;"/"),项目总控台账!E86,IF(AND(项目总控台账!D86&lt;&gt;"",项目总控台账!D86&lt;&gt;"/"),项目总控台账!D86,项目总控台账!C86))</f>
        <v/>
      </c>
      <c r="D87" s="44">
        <f>项目总控台账!F86</f>
        <v/>
      </c>
      <c r="E87" s="44">
        <f>项目总控台账!G86</f>
        <v/>
      </c>
      <c r="F87" s="44">
        <f>项目总控台账!H86</f>
        <v/>
      </c>
      <c r="G87" s="46">
        <f>项目总控台账!J86</f>
        <v/>
      </c>
      <c r="H87" s="44">
        <f>IF(G87="","",G87-项目驾驶舱!$B$3)</f>
        <v/>
      </c>
      <c r="I87" s="44">
        <f>项目总控台账!AC86</f>
        <v/>
      </c>
      <c r="J87" s="44">
        <f>项目总控台账!AD86</f>
        <v/>
      </c>
      <c r="K87" s="44">
        <f>IF(A87&lt;&gt;"是","",IF(OR(E87="暂停",E87="挂起"),"确认暂停原因、恢复条件和责任人",IF(H87&lt;0,"立即确认延期原因、影响及补救计划",IF(H87&lt;=7,"本周确认交付承诺和完成证据","提前检查依赖与风险"))))</f>
        <v/>
      </c>
      <c r="L87" s="47" t="n"/>
      <c r="M87" s="48" t="n"/>
    </row>
    <row r="88">
      <c r="A88" s="44">
        <f>IF(B88="","",IF(AND(E88&lt;&gt;"已完成",ISNUMBER(G88),G88&lt;=项目驾驶舱!$B$3+14),"是","否"))</f>
        <v/>
      </c>
      <c r="B88" s="44">
        <f>项目总控台账!A87</f>
        <v/>
      </c>
      <c r="C88" s="44">
        <f>IF(AND(项目总控台账!E87&lt;&gt;"",项目总控台账!E87&lt;&gt;"/"),项目总控台账!E87,IF(AND(项目总控台账!D87&lt;&gt;"",项目总控台账!D87&lt;&gt;"/"),项目总控台账!D87,项目总控台账!C87))</f>
        <v/>
      </c>
      <c r="D88" s="44">
        <f>项目总控台账!F87</f>
        <v/>
      </c>
      <c r="E88" s="44">
        <f>项目总控台账!G87</f>
        <v/>
      </c>
      <c r="F88" s="44">
        <f>项目总控台账!H87</f>
        <v/>
      </c>
      <c r="G88" s="46">
        <f>项目总控台账!J87</f>
        <v/>
      </c>
      <c r="H88" s="44">
        <f>IF(G88="","",G88-项目驾驶舱!$B$3)</f>
        <v/>
      </c>
      <c r="I88" s="44">
        <f>项目总控台账!AC87</f>
        <v/>
      </c>
      <c r="J88" s="44">
        <f>项目总控台账!AD87</f>
        <v/>
      </c>
      <c r="K88" s="44">
        <f>IF(A88&lt;&gt;"是","",IF(OR(E88="暂停",E88="挂起"),"确认暂停原因、恢复条件和责任人",IF(H88&lt;0,"立即确认延期原因、影响及补救计划",IF(H88&lt;=7,"本周确认交付承诺和完成证据","提前检查依赖与风险"))))</f>
        <v/>
      </c>
      <c r="L88" s="47" t="n"/>
      <c r="M88" s="48" t="n"/>
    </row>
    <row r="89">
      <c r="A89" s="44">
        <f>IF(B89="","",IF(AND(E89&lt;&gt;"已完成",ISNUMBER(G89),G89&lt;=项目驾驶舱!$B$3+14),"是","否"))</f>
        <v/>
      </c>
      <c r="B89" s="44">
        <f>项目总控台账!A88</f>
        <v/>
      </c>
      <c r="C89" s="44">
        <f>IF(AND(项目总控台账!E88&lt;&gt;"",项目总控台账!E88&lt;&gt;"/"),项目总控台账!E88,IF(AND(项目总控台账!D88&lt;&gt;"",项目总控台账!D88&lt;&gt;"/"),项目总控台账!D88,项目总控台账!C88))</f>
        <v/>
      </c>
      <c r="D89" s="44">
        <f>项目总控台账!F88</f>
        <v/>
      </c>
      <c r="E89" s="44">
        <f>项目总控台账!G88</f>
        <v/>
      </c>
      <c r="F89" s="44">
        <f>项目总控台账!H88</f>
        <v/>
      </c>
      <c r="G89" s="46">
        <f>项目总控台账!J88</f>
        <v/>
      </c>
      <c r="H89" s="44">
        <f>IF(G89="","",G89-项目驾驶舱!$B$3)</f>
        <v/>
      </c>
      <c r="I89" s="44">
        <f>项目总控台账!AC88</f>
        <v/>
      </c>
      <c r="J89" s="44">
        <f>项目总控台账!AD88</f>
        <v/>
      </c>
      <c r="K89" s="44">
        <f>IF(A89&lt;&gt;"是","",IF(OR(E89="暂停",E89="挂起"),"确认暂停原因、恢复条件和责任人",IF(H89&lt;0,"立即确认延期原因、影响及补救计划",IF(H89&lt;=7,"本周确认交付承诺和完成证据","提前检查依赖与风险"))))</f>
        <v/>
      </c>
      <c r="L89" s="47" t="n"/>
      <c r="M89" s="48" t="n"/>
    </row>
    <row r="90">
      <c r="A90" s="44">
        <f>IF(B90="","",IF(AND(E90&lt;&gt;"已完成",ISNUMBER(G90),G90&lt;=项目驾驶舱!$B$3+14),"是","否"))</f>
        <v/>
      </c>
      <c r="B90" s="44">
        <f>项目总控台账!A89</f>
        <v/>
      </c>
      <c r="C90" s="44">
        <f>IF(AND(项目总控台账!E89&lt;&gt;"",项目总控台账!E89&lt;&gt;"/"),项目总控台账!E89,IF(AND(项目总控台账!D89&lt;&gt;"",项目总控台账!D89&lt;&gt;"/"),项目总控台账!D89,项目总控台账!C89))</f>
        <v/>
      </c>
      <c r="D90" s="44">
        <f>项目总控台账!F89</f>
        <v/>
      </c>
      <c r="E90" s="44">
        <f>项目总控台账!G89</f>
        <v/>
      </c>
      <c r="F90" s="44">
        <f>项目总控台账!H89</f>
        <v/>
      </c>
      <c r="G90" s="46">
        <f>项目总控台账!J89</f>
        <v/>
      </c>
      <c r="H90" s="44">
        <f>IF(G90="","",G90-项目驾驶舱!$B$3)</f>
        <v/>
      </c>
      <c r="I90" s="44">
        <f>项目总控台账!AC89</f>
        <v/>
      </c>
      <c r="J90" s="44">
        <f>项目总控台账!AD89</f>
        <v/>
      </c>
      <c r="K90" s="44">
        <f>IF(A90&lt;&gt;"是","",IF(OR(E90="暂停",E90="挂起"),"确认暂停原因、恢复条件和责任人",IF(H90&lt;0,"立即确认延期原因、影响及补救计划",IF(H90&lt;=7,"本周确认交付承诺和完成证据","提前检查依赖与风险"))))</f>
        <v/>
      </c>
      <c r="L90" s="47" t="n"/>
      <c r="M90" s="48" t="n"/>
    </row>
    <row r="91">
      <c r="A91" s="44">
        <f>IF(B91="","",IF(AND(E91&lt;&gt;"已完成",ISNUMBER(G91),G91&lt;=项目驾驶舱!$B$3+14),"是","否"))</f>
        <v/>
      </c>
      <c r="B91" s="44">
        <f>项目总控台账!A90</f>
        <v/>
      </c>
      <c r="C91" s="44">
        <f>IF(AND(项目总控台账!E90&lt;&gt;"",项目总控台账!E90&lt;&gt;"/"),项目总控台账!E90,IF(AND(项目总控台账!D90&lt;&gt;"",项目总控台账!D90&lt;&gt;"/"),项目总控台账!D90,项目总控台账!C90))</f>
        <v/>
      </c>
      <c r="D91" s="44">
        <f>项目总控台账!F90</f>
        <v/>
      </c>
      <c r="E91" s="44">
        <f>项目总控台账!G90</f>
        <v/>
      </c>
      <c r="F91" s="44">
        <f>项目总控台账!H90</f>
        <v/>
      </c>
      <c r="G91" s="46">
        <f>项目总控台账!J90</f>
        <v/>
      </c>
      <c r="H91" s="44">
        <f>IF(G91="","",G91-项目驾驶舱!$B$3)</f>
        <v/>
      </c>
      <c r="I91" s="44">
        <f>项目总控台账!AC90</f>
        <v/>
      </c>
      <c r="J91" s="44">
        <f>项目总控台账!AD90</f>
        <v/>
      </c>
      <c r="K91" s="44">
        <f>IF(A91&lt;&gt;"是","",IF(OR(E91="暂停",E91="挂起"),"确认暂停原因、恢复条件和责任人",IF(H91&lt;0,"立即确认延期原因、影响及补救计划",IF(H91&lt;=7,"本周确认交付承诺和完成证据","提前检查依赖与风险"))))</f>
        <v/>
      </c>
      <c r="L91" s="47" t="n"/>
      <c r="M91" s="48" t="n"/>
    </row>
    <row r="92">
      <c r="A92" s="44">
        <f>IF(B92="","",IF(AND(E92&lt;&gt;"已完成",ISNUMBER(G92),G92&lt;=项目驾驶舱!$B$3+14),"是","否"))</f>
        <v/>
      </c>
      <c r="B92" s="44">
        <f>项目总控台账!A91</f>
        <v/>
      </c>
      <c r="C92" s="44">
        <f>IF(AND(项目总控台账!E91&lt;&gt;"",项目总控台账!E91&lt;&gt;"/"),项目总控台账!E91,IF(AND(项目总控台账!D91&lt;&gt;"",项目总控台账!D91&lt;&gt;"/"),项目总控台账!D91,项目总控台账!C91))</f>
        <v/>
      </c>
      <c r="D92" s="44">
        <f>项目总控台账!F91</f>
        <v/>
      </c>
      <c r="E92" s="44">
        <f>项目总控台账!G91</f>
        <v/>
      </c>
      <c r="F92" s="44">
        <f>项目总控台账!H91</f>
        <v/>
      </c>
      <c r="G92" s="46">
        <f>项目总控台账!J91</f>
        <v/>
      </c>
      <c r="H92" s="44">
        <f>IF(G92="","",G92-项目驾驶舱!$B$3)</f>
        <v/>
      </c>
      <c r="I92" s="44">
        <f>项目总控台账!AC91</f>
        <v/>
      </c>
      <c r="J92" s="44">
        <f>项目总控台账!AD91</f>
        <v/>
      </c>
      <c r="K92" s="44">
        <f>IF(A92&lt;&gt;"是","",IF(OR(E92="暂停",E92="挂起"),"确认暂停原因、恢复条件和责任人",IF(H92&lt;0,"立即确认延期原因、影响及补救计划",IF(H92&lt;=7,"本周确认交付承诺和完成证据","提前检查依赖与风险"))))</f>
        <v/>
      </c>
      <c r="L92" s="47" t="n"/>
      <c r="M92" s="48" t="n"/>
    </row>
    <row r="93">
      <c r="A93" s="44">
        <f>IF(B93="","",IF(AND(E93&lt;&gt;"已完成",ISNUMBER(G93),G93&lt;=项目驾驶舱!$B$3+14),"是","否"))</f>
        <v/>
      </c>
      <c r="B93" s="44">
        <f>项目总控台账!A92</f>
        <v/>
      </c>
      <c r="C93" s="44">
        <f>IF(AND(项目总控台账!E92&lt;&gt;"",项目总控台账!E92&lt;&gt;"/"),项目总控台账!E92,IF(AND(项目总控台账!D92&lt;&gt;"",项目总控台账!D92&lt;&gt;"/"),项目总控台账!D92,项目总控台账!C92))</f>
        <v/>
      </c>
      <c r="D93" s="44">
        <f>项目总控台账!F92</f>
        <v/>
      </c>
      <c r="E93" s="44">
        <f>项目总控台账!G92</f>
        <v/>
      </c>
      <c r="F93" s="44">
        <f>项目总控台账!H92</f>
        <v/>
      </c>
      <c r="G93" s="46">
        <f>项目总控台账!J92</f>
        <v/>
      </c>
      <c r="H93" s="44">
        <f>IF(G93="","",G93-项目驾驶舱!$B$3)</f>
        <v/>
      </c>
      <c r="I93" s="44">
        <f>项目总控台账!AC92</f>
        <v/>
      </c>
      <c r="J93" s="44">
        <f>项目总控台账!AD92</f>
        <v/>
      </c>
      <c r="K93" s="44">
        <f>IF(A93&lt;&gt;"是","",IF(OR(E93="暂停",E93="挂起"),"确认暂停原因、恢复条件和责任人",IF(H93&lt;0,"立即确认延期原因、影响及补救计划",IF(H93&lt;=7,"本周确认交付承诺和完成证据","提前检查依赖与风险"))))</f>
        <v/>
      </c>
      <c r="L93" s="47" t="n"/>
      <c r="M93" s="48" t="n"/>
    </row>
    <row r="94">
      <c r="A94" s="44">
        <f>IF(B94="","",IF(AND(E94&lt;&gt;"已完成",ISNUMBER(G94),G94&lt;=项目驾驶舱!$B$3+14),"是","否"))</f>
        <v/>
      </c>
      <c r="B94" s="44">
        <f>项目总控台账!A93</f>
        <v/>
      </c>
      <c r="C94" s="44">
        <f>IF(AND(项目总控台账!E93&lt;&gt;"",项目总控台账!E93&lt;&gt;"/"),项目总控台账!E93,IF(AND(项目总控台账!D93&lt;&gt;"",项目总控台账!D93&lt;&gt;"/"),项目总控台账!D93,项目总控台账!C93))</f>
        <v/>
      </c>
      <c r="D94" s="44">
        <f>项目总控台账!F93</f>
        <v/>
      </c>
      <c r="E94" s="44">
        <f>项目总控台账!G93</f>
        <v/>
      </c>
      <c r="F94" s="44">
        <f>项目总控台账!H93</f>
        <v/>
      </c>
      <c r="G94" s="46">
        <f>项目总控台账!J93</f>
        <v/>
      </c>
      <c r="H94" s="44">
        <f>IF(G94="","",G94-项目驾驶舱!$B$3)</f>
        <v/>
      </c>
      <c r="I94" s="44">
        <f>项目总控台账!AC93</f>
        <v/>
      </c>
      <c r="J94" s="44">
        <f>项目总控台账!AD93</f>
        <v/>
      </c>
      <c r="K94" s="44">
        <f>IF(A94&lt;&gt;"是","",IF(OR(E94="暂停",E94="挂起"),"确认暂停原因、恢复条件和责任人",IF(H94&lt;0,"立即确认延期原因、影响及补救计划",IF(H94&lt;=7,"本周确认交付承诺和完成证据","提前检查依赖与风险"))))</f>
        <v/>
      </c>
      <c r="L94" s="47" t="n"/>
      <c r="M94" s="48" t="n"/>
    </row>
    <row r="95">
      <c r="A95" s="44">
        <f>IF(B95="","",IF(AND(E95&lt;&gt;"已完成",ISNUMBER(G95),G95&lt;=项目驾驶舱!$B$3+14),"是","否"))</f>
        <v/>
      </c>
      <c r="B95" s="44">
        <f>项目总控台账!A94</f>
        <v/>
      </c>
      <c r="C95" s="44">
        <f>IF(AND(项目总控台账!E94&lt;&gt;"",项目总控台账!E94&lt;&gt;"/"),项目总控台账!E94,IF(AND(项目总控台账!D94&lt;&gt;"",项目总控台账!D94&lt;&gt;"/"),项目总控台账!D94,项目总控台账!C94))</f>
        <v/>
      </c>
      <c r="D95" s="44">
        <f>项目总控台账!F94</f>
        <v/>
      </c>
      <c r="E95" s="44">
        <f>项目总控台账!G94</f>
        <v/>
      </c>
      <c r="F95" s="44">
        <f>项目总控台账!H94</f>
        <v/>
      </c>
      <c r="G95" s="46">
        <f>项目总控台账!J94</f>
        <v/>
      </c>
      <c r="H95" s="44">
        <f>IF(G95="","",G95-项目驾驶舱!$B$3)</f>
        <v/>
      </c>
      <c r="I95" s="44">
        <f>项目总控台账!AC94</f>
        <v/>
      </c>
      <c r="J95" s="44">
        <f>项目总控台账!AD94</f>
        <v/>
      </c>
      <c r="K95" s="44">
        <f>IF(A95&lt;&gt;"是","",IF(OR(E95="暂停",E95="挂起"),"确认暂停原因、恢复条件和责任人",IF(H95&lt;0,"立即确认延期原因、影响及补救计划",IF(H95&lt;=7,"本周确认交付承诺和完成证据","提前检查依赖与风险"))))</f>
        <v/>
      </c>
      <c r="L95" s="47" t="n"/>
      <c r="M95" s="48" t="n"/>
    </row>
    <row r="96">
      <c r="A96" s="44">
        <f>IF(B96="","",IF(AND(E96&lt;&gt;"已完成",ISNUMBER(G96),G96&lt;=项目驾驶舱!$B$3+14),"是","否"))</f>
        <v/>
      </c>
      <c r="B96" s="44">
        <f>项目总控台账!A95</f>
        <v/>
      </c>
      <c r="C96" s="44">
        <f>IF(AND(项目总控台账!E95&lt;&gt;"",项目总控台账!E95&lt;&gt;"/"),项目总控台账!E95,IF(AND(项目总控台账!D95&lt;&gt;"",项目总控台账!D95&lt;&gt;"/"),项目总控台账!D95,项目总控台账!C95))</f>
        <v/>
      </c>
      <c r="D96" s="44">
        <f>项目总控台账!F95</f>
        <v/>
      </c>
      <c r="E96" s="44">
        <f>项目总控台账!G95</f>
        <v/>
      </c>
      <c r="F96" s="44">
        <f>项目总控台账!H95</f>
        <v/>
      </c>
      <c r="G96" s="46">
        <f>项目总控台账!J95</f>
        <v/>
      </c>
      <c r="H96" s="44">
        <f>IF(G96="","",G96-项目驾驶舱!$B$3)</f>
        <v/>
      </c>
      <c r="I96" s="44">
        <f>项目总控台账!AC95</f>
        <v/>
      </c>
      <c r="J96" s="44">
        <f>项目总控台账!AD95</f>
        <v/>
      </c>
      <c r="K96" s="44">
        <f>IF(A96&lt;&gt;"是","",IF(OR(E96="暂停",E96="挂起"),"确认暂停原因、恢复条件和责任人",IF(H96&lt;0,"立即确认延期原因、影响及补救计划",IF(H96&lt;=7,"本周确认交付承诺和完成证据","提前检查依赖与风险"))))</f>
        <v/>
      </c>
      <c r="L96" s="47" t="n"/>
      <c r="M96" s="48" t="n"/>
    </row>
    <row r="97">
      <c r="A97" s="44">
        <f>IF(B97="","",IF(AND(E97&lt;&gt;"已完成",ISNUMBER(G97),G97&lt;=项目驾驶舱!$B$3+14),"是","否"))</f>
        <v/>
      </c>
      <c r="B97" s="44">
        <f>项目总控台账!A96</f>
        <v/>
      </c>
      <c r="C97" s="44">
        <f>IF(AND(项目总控台账!E96&lt;&gt;"",项目总控台账!E96&lt;&gt;"/"),项目总控台账!E96,IF(AND(项目总控台账!D96&lt;&gt;"",项目总控台账!D96&lt;&gt;"/"),项目总控台账!D96,项目总控台账!C96))</f>
        <v/>
      </c>
      <c r="D97" s="44">
        <f>项目总控台账!F96</f>
        <v/>
      </c>
      <c r="E97" s="44">
        <f>项目总控台账!G96</f>
        <v/>
      </c>
      <c r="F97" s="44">
        <f>项目总控台账!H96</f>
        <v/>
      </c>
      <c r="G97" s="46">
        <f>项目总控台账!J96</f>
        <v/>
      </c>
      <c r="H97" s="44">
        <f>IF(G97="","",G97-项目驾驶舱!$B$3)</f>
        <v/>
      </c>
      <c r="I97" s="44">
        <f>项目总控台账!AC96</f>
        <v/>
      </c>
      <c r="J97" s="44">
        <f>项目总控台账!AD96</f>
        <v/>
      </c>
      <c r="K97" s="44">
        <f>IF(A97&lt;&gt;"是","",IF(OR(E97="暂停",E97="挂起"),"确认暂停原因、恢复条件和责任人",IF(H97&lt;0,"立即确认延期原因、影响及补救计划",IF(H97&lt;=7,"本周确认交付承诺和完成证据","提前检查依赖与风险"))))</f>
        <v/>
      </c>
      <c r="L97" s="47" t="n"/>
      <c r="M97" s="48" t="n"/>
    </row>
    <row r="98">
      <c r="A98" s="44">
        <f>IF(B98="","",IF(AND(E98&lt;&gt;"已完成",ISNUMBER(G98),G98&lt;=项目驾驶舱!$B$3+14),"是","否"))</f>
        <v/>
      </c>
      <c r="B98" s="44">
        <f>项目总控台账!A97</f>
        <v/>
      </c>
      <c r="C98" s="44">
        <f>IF(AND(项目总控台账!E97&lt;&gt;"",项目总控台账!E97&lt;&gt;"/"),项目总控台账!E97,IF(AND(项目总控台账!D97&lt;&gt;"",项目总控台账!D97&lt;&gt;"/"),项目总控台账!D97,项目总控台账!C97))</f>
        <v/>
      </c>
      <c r="D98" s="44">
        <f>项目总控台账!F97</f>
        <v/>
      </c>
      <c r="E98" s="44">
        <f>项目总控台账!G97</f>
        <v/>
      </c>
      <c r="F98" s="44">
        <f>项目总控台账!H97</f>
        <v/>
      </c>
      <c r="G98" s="46">
        <f>项目总控台账!J97</f>
        <v/>
      </c>
      <c r="H98" s="44">
        <f>IF(G98="","",G98-项目驾驶舱!$B$3)</f>
        <v/>
      </c>
      <c r="I98" s="44">
        <f>项目总控台账!AC97</f>
        <v/>
      </c>
      <c r="J98" s="44">
        <f>项目总控台账!AD97</f>
        <v/>
      </c>
      <c r="K98" s="44">
        <f>IF(A98&lt;&gt;"是","",IF(OR(E98="暂停",E98="挂起"),"确认暂停原因、恢复条件和责任人",IF(H98&lt;0,"立即确认延期原因、影响及补救计划",IF(H98&lt;=7,"本周确认交付承诺和完成证据","提前检查依赖与风险"))))</f>
        <v/>
      </c>
      <c r="L98" s="47" t="n"/>
      <c r="M98" s="48" t="n"/>
    </row>
    <row r="99">
      <c r="A99" s="44">
        <f>IF(B99="","",IF(AND(E99&lt;&gt;"已完成",ISNUMBER(G99),G99&lt;=项目驾驶舱!$B$3+14),"是","否"))</f>
        <v/>
      </c>
      <c r="B99" s="44">
        <f>项目总控台账!A98</f>
        <v/>
      </c>
      <c r="C99" s="44">
        <f>IF(AND(项目总控台账!E98&lt;&gt;"",项目总控台账!E98&lt;&gt;"/"),项目总控台账!E98,IF(AND(项目总控台账!D98&lt;&gt;"",项目总控台账!D98&lt;&gt;"/"),项目总控台账!D98,项目总控台账!C98))</f>
        <v/>
      </c>
      <c r="D99" s="44">
        <f>项目总控台账!F98</f>
        <v/>
      </c>
      <c r="E99" s="44">
        <f>项目总控台账!G98</f>
        <v/>
      </c>
      <c r="F99" s="44">
        <f>项目总控台账!H98</f>
        <v/>
      </c>
      <c r="G99" s="46">
        <f>项目总控台账!J98</f>
        <v/>
      </c>
      <c r="H99" s="44">
        <f>IF(G99="","",G99-项目驾驶舱!$B$3)</f>
        <v/>
      </c>
      <c r="I99" s="44">
        <f>项目总控台账!AC98</f>
        <v/>
      </c>
      <c r="J99" s="44">
        <f>项目总控台账!AD98</f>
        <v/>
      </c>
      <c r="K99" s="44">
        <f>IF(A99&lt;&gt;"是","",IF(OR(E99="暂停",E99="挂起"),"确认暂停原因、恢复条件和责任人",IF(H99&lt;0,"立即确认延期原因、影响及补救计划",IF(H99&lt;=7,"本周确认交付承诺和完成证据","提前检查依赖与风险"))))</f>
        <v/>
      </c>
      <c r="L99" s="47" t="n"/>
      <c r="M99" s="48" t="n"/>
    </row>
    <row r="100">
      <c r="A100" s="44">
        <f>IF(B100="","",IF(AND(E100&lt;&gt;"已完成",ISNUMBER(G100),G100&lt;=项目驾驶舱!$B$3+14),"是","否"))</f>
        <v/>
      </c>
      <c r="B100" s="44">
        <f>项目总控台账!A99</f>
        <v/>
      </c>
      <c r="C100" s="44">
        <f>IF(AND(项目总控台账!E99&lt;&gt;"",项目总控台账!E99&lt;&gt;"/"),项目总控台账!E99,IF(AND(项目总控台账!D99&lt;&gt;"",项目总控台账!D99&lt;&gt;"/"),项目总控台账!D99,项目总控台账!C99))</f>
        <v/>
      </c>
      <c r="D100" s="44">
        <f>项目总控台账!F99</f>
        <v/>
      </c>
      <c r="E100" s="44">
        <f>项目总控台账!G99</f>
        <v/>
      </c>
      <c r="F100" s="44">
        <f>项目总控台账!H99</f>
        <v/>
      </c>
      <c r="G100" s="46">
        <f>项目总控台账!J99</f>
        <v/>
      </c>
      <c r="H100" s="44">
        <f>IF(G100="","",G100-项目驾驶舱!$B$3)</f>
        <v/>
      </c>
      <c r="I100" s="44">
        <f>项目总控台账!AC99</f>
        <v/>
      </c>
      <c r="J100" s="44">
        <f>项目总控台账!AD99</f>
        <v/>
      </c>
      <c r="K100" s="44">
        <f>IF(A100&lt;&gt;"是","",IF(OR(E100="暂停",E100="挂起"),"确认暂停原因、恢复条件和责任人",IF(H100&lt;0,"立即确认延期原因、影响及补救计划",IF(H100&lt;=7,"本周确认交付承诺和完成证据","提前检查依赖与风险"))))</f>
        <v/>
      </c>
      <c r="L100" s="47" t="n"/>
      <c r="M100" s="48" t="n"/>
    </row>
    <row r="101">
      <c r="A101" s="44">
        <f>IF(B101="","",IF(AND(E101&lt;&gt;"已完成",ISNUMBER(G101),G101&lt;=项目驾驶舱!$B$3+14),"是","否"))</f>
        <v/>
      </c>
      <c r="B101" s="44">
        <f>项目总控台账!A100</f>
        <v/>
      </c>
      <c r="C101" s="44">
        <f>IF(AND(项目总控台账!E100&lt;&gt;"",项目总控台账!E100&lt;&gt;"/"),项目总控台账!E100,IF(AND(项目总控台账!D100&lt;&gt;"",项目总控台账!D100&lt;&gt;"/"),项目总控台账!D100,项目总控台账!C100))</f>
        <v/>
      </c>
      <c r="D101" s="44">
        <f>项目总控台账!F100</f>
        <v/>
      </c>
      <c r="E101" s="44">
        <f>项目总控台账!G100</f>
        <v/>
      </c>
      <c r="F101" s="44">
        <f>项目总控台账!H100</f>
        <v/>
      </c>
      <c r="G101" s="46">
        <f>项目总控台账!J100</f>
        <v/>
      </c>
      <c r="H101" s="44">
        <f>IF(G101="","",G101-项目驾驶舱!$B$3)</f>
        <v/>
      </c>
      <c r="I101" s="44">
        <f>项目总控台账!AC100</f>
        <v/>
      </c>
      <c r="J101" s="44">
        <f>项目总控台账!AD100</f>
        <v/>
      </c>
      <c r="K101" s="44">
        <f>IF(A101&lt;&gt;"是","",IF(OR(E101="暂停",E101="挂起"),"确认暂停原因、恢复条件和责任人",IF(H101&lt;0,"立即确认延期原因、影响及补救计划",IF(H101&lt;=7,"本周确认交付承诺和完成证据","提前检查依赖与风险"))))</f>
        <v/>
      </c>
      <c r="L101" s="47" t="n"/>
      <c r="M101" s="48" t="n"/>
    </row>
    <row r="102">
      <c r="A102" s="44">
        <f>IF(B102="","",IF(AND(E102&lt;&gt;"已完成",ISNUMBER(G102),G102&lt;=项目驾驶舱!$B$3+14),"是","否"))</f>
        <v/>
      </c>
      <c r="B102" s="44">
        <f>项目总控台账!A101</f>
        <v/>
      </c>
      <c r="C102" s="44">
        <f>IF(AND(项目总控台账!E101&lt;&gt;"",项目总控台账!E101&lt;&gt;"/"),项目总控台账!E101,IF(AND(项目总控台账!D101&lt;&gt;"",项目总控台账!D101&lt;&gt;"/"),项目总控台账!D101,项目总控台账!C101))</f>
        <v/>
      </c>
      <c r="D102" s="44">
        <f>项目总控台账!F101</f>
        <v/>
      </c>
      <c r="E102" s="44">
        <f>项目总控台账!G101</f>
        <v/>
      </c>
      <c r="F102" s="44">
        <f>项目总控台账!H101</f>
        <v/>
      </c>
      <c r="G102" s="46">
        <f>项目总控台账!J101</f>
        <v/>
      </c>
      <c r="H102" s="44">
        <f>IF(G102="","",G102-项目驾驶舱!$B$3)</f>
        <v/>
      </c>
      <c r="I102" s="44">
        <f>项目总控台账!AC101</f>
        <v/>
      </c>
      <c r="J102" s="44">
        <f>项目总控台账!AD101</f>
        <v/>
      </c>
      <c r="K102" s="44">
        <f>IF(A102&lt;&gt;"是","",IF(OR(E102="暂停",E102="挂起"),"确认暂停原因、恢复条件和责任人",IF(H102&lt;0,"立即确认延期原因、影响及补救计划",IF(H102&lt;=7,"本周确认交付承诺和完成证据","提前检查依赖与风险"))))</f>
        <v/>
      </c>
      <c r="L102" s="47" t="n"/>
      <c r="M102" s="48" t="n"/>
    </row>
    <row r="103">
      <c r="A103" s="44">
        <f>IF(B103="","",IF(AND(E103&lt;&gt;"已完成",ISNUMBER(G103),G103&lt;=项目驾驶舱!$B$3+14),"是","否"))</f>
        <v/>
      </c>
      <c r="B103" s="44">
        <f>项目总控台账!A102</f>
        <v/>
      </c>
      <c r="C103" s="44">
        <f>IF(AND(项目总控台账!E102&lt;&gt;"",项目总控台账!E102&lt;&gt;"/"),项目总控台账!E102,IF(AND(项目总控台账!D102&lt;&gt;"",项目总控台账!D102&lt;&gt;"/"),项目总控台账!D102,项目总控台账!C102))</f>
        <v/>
      </c>
      <c r="D103" s="44">
        <f>项目总控台账!F102</f>
        <v/>
      </c>
      <c r="E103" s="44">
        <f>项目总控台账!G102</f>
        <v/>
      </c>
      <c r="F103" s="44">
        <f>项目总控台账!H102</f>
        <v/>
      </c>
      <c r="G103" s="46">
        <f>项目总控台账!J102</f>
        <v/>
      </c>
      <c r="H103" s="44">
        <f>IF(G103="","",G103-项目驾驶舱!$B$3)</f>
        <v/>
      </c>
      <c r="I103" s="44">
        <f>项目总控台账!AC102</f>
        <v/>
      </c>
      <c r="J103" s="44">
        <f>项目总控台账!AD102</f>
        <v/>
      </c>
      <c r="K103" s="44">
        <f>IF(A103&lt;&gt;"是","",IF(OR(E103="暂停",E103="挂起"),"确认暂停原因、恢复条件和责任人",IF(H103&lt;0,"立即确认延期原因、影响及补救计划",IF(H103&lt;=7,"本周确认交付承诺和完成证据","提前检查依赖与风险"))))</f>
        <v/>
      </c>
      <c r="L103" s="47" t="n"/>
      <c r="M103" s="48" t="n"/>
    </row>
    <row r="104">
      <c r="A104" s="44">
        <f>IF(B104="","",IF(AND(E104&lt;&gt;"已完成",ISNUMBER(G104),G104&lt;=项目驾驶舱!$B$3+14),"是","否"))</f>
        <v/>
      </c>
      <c r="B104" s="44">
        <f>项目总控台账!A103</f>
        <v/>
      </c>
      <c r="C104" s="44">
        <f>IF(AND(项目总控台账!E103&lt;&gt;"",项目总控台账!E103&lt;&gt;"/"),项目总控台账!E103,IF(AND(项目总控台账!D103&lt;&gt;"",项目总控台账!D103&lt;&gt;"/"),项目总控台账!D103,项目总控台账!C103))</f>
        <v/>
      </c>
      <c r="D104" s="44">
        <f>项目总控台账!F103</f>
        <v/>
      </c>
      <c r="E104" s="44">
        <f>项目总控台账!G103</f>
        <v/>
      </c>
      <c r="F104" s="44">
        <f>项目总控台账!H103</f>
        <v/>
      </c>
      <c r="G104" s="46">
        <f>项目总控台账!J103</f>
        <v/>
      </c>
      <c r="H104" s="44">
        <f>IF(G104="","",G104-项目驾驶舱!$B$3)</f>
        <v/>
      </c>
      <c r="I104" s="44">
        <f>项目总控台账!AC103</f>
        <v/>
      </c>
      <c r="J104" s="44">
        <f>项目总控台账!AD103</f>
        <v/>
      </c>
      <c r="K104" s="44">
        <f>IF(A104&lt;&gt;"是","",IF(OR(E104="暂停",E104="挂起"),"确认暂停原因、恢复条件和责任人",IF(H104&lt;0,"立即确认延期原因、影响及补救计划",IF(H104&lt;=7,"本周确认交付承诺和完成证据","提前检查依赖与风险"))))</f>
        <v/>
      </c>
      <c r="L104" s="47" t="n"/>
      <c r="M104" s="48" t="n"/>
    </row>
    <row r="105">
      <c r="A105" s="44">
        <f>IF(B105="","",IF(AND(E105&lt;&gt;"已完成",ISNUMBER(G105),G105&lt;=项目驾驶舱!$B$3+14),"是","否"))</f>
        <v/>
      </c>
      <c r="B105" s="44">
        <f>项目总控台账!A104</f>
        <v/>
      </c>
      <c r="C105" s="44">
        <f>IF(AND(项目总控台账!E104&lt;&gt;"",项目总控台账!E104&lt;&gt;"/"),项目总控台账!E104,IF(AND(项目总控台账!D104&lt;&gt;"",项目总控台账!D104&lt;&gt;"/"),项目总控台账!D104,项目总控台账!C104))</f>
        <v/>
      </c>
      <c r="D105" s="44">
        <f>项目总控台账!F104</f>
        <v/>
      </c>
      <c r="E105" s="44">
        <f>项目总控台账!G104</f>
        <v/>
      </c>
      <c r="F105" s="44">
        <f>项目总控台账!H104</f>
        <v/>
      </c>
      <c r="G105" s="46">
        <f>项目总控台账!J104</f>
        <v/>
      </c>
      <c r="H105" s="44">
        <f>IF(G105="","",G105-项目驾驶舱!$B$3)</f>
        <v/>
      </c>
      <c r="I105" s="44">
        <f>项目总控台账!AC104</f>
        <v/>
      </c>
      <c r="J105" s="44">
        <f>项目总控台账!AD104</f>
        <v/>
      </c>
      <c r="K105" s="44">
        <f>IF(A105&lt;&gt;"是","",IF(OR(E105="暂停",E105="挂起"),"确认暂停原因、恢复条件和责任人",IF(H105&lt;0,"立即确认延期原因、影响及补救计划",IF(H105&lt;=7,"本周确认交付承诺和完成证据","提前检查依赖与风险"))))</f>
        <v/>
      </c>
      <c r="L105" s="47" t="n"/>
      <c r="M105" s="48" t="n"/>
    </row>
    <row r="106">
      <c r="A106" s="44">
        <f>IF(B106="","",IF(AND(E106&lt;&gt;"已完成",ISNUMBER(G106),G106&lt;=项目驾驶舱!$B$3+14),"是","否"))</f>
        <v/>
      </c>
      <c r="B106" s="44">
        <f>项目总控台账!A105</f>
        <v/>
      </c>
      <c r="C106" s="44">
        <f>IF(AND(项目总控台账!E105&lt;&gt;"",项目总控台账!E105&lt;&gt;"/"),项目总控台账!E105,IF(AND(项目总控台账!D105&lt;&gt;"",项目总控台账!D105&lt;&gt;"/"),项目总控台账!D105,项目总控台账!C105))</f>
        <v/>
      </c>
      <c r="D106" s="44">
        <f>项目总控台账!F105</f>
        <v/>
      </c>
      <c r="E106" s="44">
        <f>项目总控台账!G105</f>
        <v/>
      </c>
      <c r="F106" s="44">
        <f>项目总控台账!H105</f>
        <v/>
      </c>
      <c r="G106" s="46">
        <f>项目总控台账!J105</f>
        <v/>
      </c>
      <c r="H106" s="44">
        <f>IF(G106="","",G106-项目驾驶舱!$B$3)</f>
        <v/>
      </c>
      <c r="I106" s="44">
        <f>项目总控台账!AC105</f>
        <v/>
      </c>
      <c r="J106" s="44">
        <f>项目总控台账!AD105</f>
        <v/>
      </c>
      <c r="K106" s="44">
        <f>IF(A106&lt;&gt;"是","",IF(OR(E106="暂停",E106="挂起"),"确认暂停原因、恢复条件和责任人",IF(H106&lt;0,"立即确认延期原因、影响及补救计划",IF(H106&lt;=7,"本周确认交付承诺和完成证据","提前检查依赖与风险"))))</f>
        <v/>
      </c>
      <c r="L106" s="47" t="n"/>
      <c r="M106" s="48" t="n"/>
    </row>
    <row r="107">
      <c r="A107" s="44">
        <f>IF(B107="","",IF(AND(E107&lt;&gt;"已完成",ISNUMBER(G107),G107&lt;=项目驾驶舱!$B$3+14),"是","否"))</f>
        <v/>
      </c>
      <c r="B107" s="44">
        <f>项目总控台账!A106</f>
        <v/>
      </c>
      <c r="C107" s="44">
        <f>IF(AND(项目总控台账!E106&lt;&gt;"",项目总控台账!E106&lt;&gt;"/"),项目总控台账!E106,IF(AND(项目总控台账!D106&lt;&gt;"",项目总控台账!D106&lt;&gt;"/"),项目总控台账!D106,项目总控台账!C106))</f>
        <v/>
      </c>
      <c r="D107" s="44">
        <f>项目总控台账!F106</f>
        <v/>
      </c>
      <c r="E107" s="44">
        <f>项目总控台账!G106</f>
        <v/>
      </c>
      <c r="F107" s="44">
        <f>项目总控台账!H106</f>
        <v/>
      </c>
      <c r="G107" s="46">
        <f>项目总控台账!J106</f>
        <v/>
      </c>
      <c r="H107" s="44">
        <f>IF(G107="","",G107-项目驾驶舱!$B$3)</f>
        <v/>
      </c>
      <c r="I107" s="44">
        <f>项目总控台账!AC106</f>
        <v/>
      </c>
      <c r="J107" s="44">
        <f>项目总控台账!AD106</f>
        <v/>
      </c>
      <c r="K107" s="44">
        <f>IF(A107&lt;&gt;"是","",IF(OR(E107="暂停",E107="挂起"),"确认暂停原因、恢复条件和责任人",IF(H107&lt;0,"立即确认延期原因、影响及补救计划",IF(H107&lt;=7,"本周确认交付承诺和完成证据","提前检查依赖与风险"))))</f>
        <v/>
      </c>
      <c r="L107" s="47" t="n"/>
      <c r="M107" s="48" t="n"/>
    </row>
    <row r="108">
      <c r="A108" s="44">
        <f>IF(B108="","",IF(AND(E108&lt;&gt;"已完成",ISNUMBER(G108),G108&lt;=项目驾驶舱!$B$3+14),"是","否"))</f>
        <v/>
      </c>
      <c r="B108" s="44">
        <f>项目总控台账!A107</f>
        <v/>
      </c>
      <c r="C108" s="44">
        <f>IF(AND(项目总控台账!E107&lt;&gt;"",项目总控台账!E107&lt;&gt;"/"),项目总控台账!E107,IF(AND(项目总控台账!D107&lt;&gt;"",项目总控台账!D107&lt;&gt;"/"),项目总控台账!D107,项目总控台账!C107))</f>
        <v/>
      </c>
      <c r="D108" s="44">
        <f>项目总控台账!F107</f>
        <v/>
      </c>
      <c r="E108" s="44">
        <f>项目总控台账!G107</f>
        <v/>
      </c>
      <c r="F108" s="44">
        <f>项目总控台账!H107</f>
        <v/>
      </c>
      <c r="G108" s="46">
        <f>项目总控台账!J107</f>
        <v/>
      </c>
      <c r="H108" s="44">
        <f>IF(G108="","",G108-项目驾驶舱!$B$3)</f>
        <v/>
      </c>
      <c r="I108" s="44">
        <f>项目总控台账!AC107</f>
        <v/>
      </c>
      <c r="J108" s="44">
        <f>项目总控台账!AD107</f>
        <v/>
      </c>
      <c r="K108" s="44">
        <f>IF(A108&lt;&gt;"是","",IF(OR(E108="暂停",E108="挂起"),"确认暂停原因、恢复条件和责任人",IF(H108&lt;0,"立即确认延期原因、影响及补救计划",IF(H108&lt;=7,"本周确认交付承诺和完成证据","提前检查依赖与风险"))))</f>
        <v/>
      </c>
      <c r="L108" s="47" t="n"/>
      <c r="M108" s="48" t="n"/>
    </row>
    <row r="109">
      <c r="A109" s="44">
        <f>IF(B109="","",IF(AND(E109&lt;&gt;"已完成",ISNUMBER(G109),G109&lt;=项目驾驶舱!$B$3+14),"是","否"))</f>
        <v/>
      </c>
      <c r="B109" s="44">
        <f>项目总控台账!A108</f>
        <v/>
      </c>
      <c r="C109" s="44">
        <f>IF(AND(项目总控台账!E108&lt;&gt;"",项目总控台账!E108&lt;&gt;"/"),项目总控台账!E108,IF(AND(项目总控台账!D108&lt;&gt;"",项目总控台账!D108&lt;&gt;"/"),项目总控台账!D108,项目总控台账!C108))</f>
        <v/>
      </c>
      <c r="D109" s="44">
        <f>项目总控台账!F108</f>
        <v/>
      </c>
      <c r="E109" s="44">
        <f>项目总控台账!G108</f>
        <v/>
      </c>
      <c r="F109" s="44">
        <f>项目总控台账!H108</f>
        <v/>
      </c>
      <c r="G109" s="46">
        <f>项目总控台账!J108</f>
        <v/>
      </c>
      <c r="H109" s="44">
        <f>IF(G109="","",G109-项目驾驶舱!$B$3)</f>
        <v/>
      </c>
      <c r="I109" s="44">
        <f>项目总控台账!AC108</f>
        <v/>
      </c>
      <c r="J109" s="44">
        <f>项目总控台账!AD108</f>
        <v/>
      </c>
      <c r="K109" s="44">
        <f>IF(A109&lt;&gt;"是","",IF(OR(E109="暂停",E109="挂起"),"确认暂停原因、恢复条件和责任人",IF(H109&lt;0,"立即确认延期原因、影响及补救计划",IF(H109&lt;=7,"本周确认交付承诺和完成证据","提前检查依赖与风险"))))</f>
        <v/>
      </c>
      <c r="L109" s="47" t="n"/>
      <c r="M109" s="48" t="n"/>
    </row>
    <row r="110">
      <c r="A110" s="44">
        <f>IF(B110="","",IF(AND(E110&lt;&gt;"已完成",ISNUMBER(G110),G110&lt;=项目驾驶舱!$B$3+14),"是","否"))</f>
        <v/>
      </c>
      <c r="B110" s="44">
        <f>项目总控台账!A109</f>
        <v/>
      </c>
      <c r="C110" s="44">
        <f>IF(AND(项目总控台账!E109&lt;&gt;"",项目总控台账!E109&lt;&gt;"/"),项目总控台账!E109,IF(AND(项目总控台账!D109&lt;&gt;"",项目总控台账!D109&lt;&gt;"/"),项目总控台账!D109,项目总控台账!C109))</f>
        <v/>
      </c>
      <c r="D110" s="44">
        <f>项目总控台账!F109</f>
        <v/>
      </c>
      <c r="E110" s="44">
        <f>项目总控台账!G109</f>
        <v/>
      </c>
      <c r="F110" s="44">
        <f>项目总控台账!H109</f>
        <v/>
      </c>
      <c r="G110" s="46">
        <f>项目总控台账!J109</f>
        <v/>
      </c>
      <c r="H110" s="44">
        <f>IF(G110="","",G110-项目驾驶舱!$B$3)</f>
        <v/>
      </c>
      <c r="I110" s="44">
        <f>项目总控台账!AC109</f>
        <v/>
      </c>
      <c r="J110" s="44">
        <f>项目总控台账!AD109</f>
        <v/>
      </c>
      <c r="K110" s="44">
        <f>IF(A110&lt;&gt;"是","",IF(OR(E110="暂停",E110="挂起"),"确认暂停原因、恢复条件和责任人",IF(H110&lt;0,"立即确认延期原因、影响及补救计划",IF(H110&lt;=7,"本周确认交付承诺和完成证据","提前检查依赖与风险"))))</f>
        <v/>
      </c>
      <c r="L110" s="47" t="n"/>
      <c r="M110" s="48" t="n"/>
    </row>
    <row r="111">
      <c r="A111" s="44">
        <f>IF(B111="","",IF(AND(E111&lt;&gt;"已完成",ISNUMBER(G111),G111&lt;=项目驾驶舱!$B$3+14),"是","否"))</f>
        <v/>
      </c>
      <c r="B111" s="44">
        <f>项目总控台账!A110</f>
        <v/>
      </c>
      <c r="C111" s="44">
        <f>IF(AND(项目总控台账!E110&lt;&gt;"",项目总控台账!E110&lt;&gt;"/"),项目总控台账!E110,IF(AND(项目总控台账!D110&lt;&gt;"",项目总控台账!D110&lt;&gt;"/"),项目总控台账!D110,项目总控台账!C110))</f>
        <v/>
      </c>
      <c r="D111" s="44">
        <f>项目总控台账!F110</f>
        <v/>
      </c>
      <c r="E111" s="44">
        <f>项目总控台账!G110</f>
        <v/>
      </c>
      <c r="F111" s="44">
        <f>项目总控台账!H110</f>
        <v/>
      </c>
      <c r="G111" s="46">
        <f>项目总控台账!J110</f>
        <v/>
      </c>
      <c r="H111" s="44">
        <f>IF(G111="","",G111-项目驾驶舱!$B$3)</f>
        <v/>
      </c>
      <c r="I111" s="44">
        <f>项目总控台账!AC110</f>
        <v/>
      </c>
      <c r="J111" s="44">
        <f>项目总控台账!AD110</f>
        <v/>
      </c>
      <c r="K111" s="44">
        <f>IF(A111&lt;&gt;"是","",IF(OR(E111="暂停",E111="挂起"),"确认暂停原因、恢复条件和责任人",IF(H111&lt;0,"立即确认延期原因、影响及补救计划",IF(H111&lt;=7,"本周确认交付承诺和完成证据","提前检查依赖与风险"))))</f>
        <v/>
      </c>
      <c r="L111" s="47" t="n"/>
      <c r="M111" s="48" t="n"/>
    </row>
    <row r="112">
      <c r="A112" s="44">
        <f>IF(B112="","",IF(AND(E112&lt;&gt;"已完成",ISNUMBER(G112),G112&lt;=项目驾驶舱!$B$3+14),"是","否"))</f>
        <v/>
      </c>
      <c r="B112" s="44">
        <f>项目总控台账!A111</f>
        <v/>
      </c>
      <c r="C112" s="44">
        <f>IF(AND(项目总控台账!E111&lt;&gt;"",项目总控台账!E111&lt;&gt;"/"),项目总控台账!E111,IF(AND(项目总控台账!D111&lt;&gt;"",项目总控台账!D111&lt;&gt;"/"),项目总控台账!D111,项目总控台账!C111))</f>
        <v/>
      </c>
      <c r="D112" s="44">
        <f>项目总控台账!F111</f>
        <v/>
      </c>
      <c r="E112" s="44">
        <f>项目总控台账!G111</f>
        <v/>
      </c>
      <c r="F112" s="44">
        <f>项目总控台账!H111</f>
        <v/>
      </c>
      <c r="G112" s="46">
        <f>项目总控台账!J111</f>
        <v/>
      </c>
      <c r="H112" s="44">
        <f>IF(G112="","",G112-项目驾驶舱!$B$3)</f>
        <v/>
      </c>
      <c r="I112" s="44">
        <f>项目总控台账!AC111</f>
        <v/>
      </c>
      <c r="J112" s="44">
        <f>项目总控台账!AD111</f>
        <v/>
      </c>
      <c r="K112" s="44">
        <f>IF(A112&lt;&gt;"是","",IF(OR(E112="暂停",E112="挂起"),"确认暂停原因、恢复条件和责任人",IF(H112&lt;0,"立即确认延期原因、影响及补救计划",IF(H112&lt;=7,"本周确认交付承诺和完成证据","提前检查依赖与风险"))))</f>
        <v/>
      </c>
      <c r="L112" s="47" t="n"/>
      <c r="M112" s="48" t="n"/>
    </row>
    <row r="113">
      <c r="A113" s="44">
        <f>IF(B113="","",IF(AND(E113&lt;&gt;"已完成",ISNUMBER(G113),G113&lt;=项目驾驶舱!$B$3+14),"是","否"))</f>
        <v/>
      </c>
      <c r="B113" s="44">
        <f>项目总控台账!A112</f>
        <v/>
      </c>
      <c r="C113" s="44">
        <f>IF(AND(项目总控台账!E112&lt;&gt;"",项目总控台账!E112&lt;&gt;"/"),项目总控台账!E112,IF(AND(项目总控台账!D112&lt;&gt;"",项目总控台账!D112&lt;&gt;"/"),项目总控台账!D112,项目总控台账!C112))</f>
        <v/>
      </c>
      <c r="D113" s="44">
        <f>项目总控台账!F112</f>
        <v/>
      </c>
      <c r="E113" s="44">
        <f>项目总控台账!G112</f>
        <v/>
      </c>
      <c r="F113" s="44">
        <f>项目总控台账!H112</f>
        <v/>
      </c>
      <c r="G113" s="46">
        <f>项目总控台账!J112</f>
        <v/>
      </c>
      <c r="H113" s="44">
        <f>IF(G113="","",G113-项目驾驶舱!$B$3)</f>
        <v/>
      </c>
      <c r="I113" s="44">
        <f>项目总控台账!AC112</f>
        <v/>
      </c>
      <c r="J113" s="44">
        <f>项目总控台账!AD112</f>
        <v/>
      </c>
      <c r="K113" s="44">
        <f>IF(A113&lt;&gt;"是","",IF(OR(E113="暂停",E113="挂起"),"确认暂停原因、恢复条件和责任人",IF(H113&lt;0,"立即确认延期原因、影响及补救计划",IF(H113&lt;=7,"本周确认交付承诺和完成证据","提前检查依赖与风险"))))</f>
        <v/>
      </c>
      <c r="L113" s="47" t="n"/>
      <c r="M113" s="48" t="n"/>
    </row>
    <row r="114">
      <c r="A114" s="44">
        <f>IF(B114="","",IF(AND(E114&lt;&gt;"已完成",ISNUMBER(G114),G114&lt;=项目驾驶舱!$B$3+14),"是","否"))</f>
        <v/>
      </c>
      <c r="B114" s="44">
        <f>项目总控台账!A113</f>
        <v/>
      </c>
      <c r="C114" s="44">
        <f>IF(AND(项目总控台账!E113&lt;&gt;"",项目总控台账!E113&lt;&gt;"/"),项目总控台账!E113,IF(AND(项目总控台账!D113&lt;&gt;"",项目总控台账!D113&lt;&gt;"/"),项目总控台账!D113,项目总控台账!C113))</f>
        <v/>
      </c>
      <c r="D114" s="44">
        <f>项目总控台账!F113</f>
        <v/>
      </c>
      <c r="E114" s="44">
        <f>项目总控台账!G113</f>
        <v/>
      </c>
      <c r="F114" s="44">
        <f>项目总控台账!H113</f>
        <v/>
      </c>
      <c r="G114" s="46">
        <f>项目总控台账!J113</f>
        <v/>
      </c>
      <c r="H114" s="44">
        <f>IF(G114="","",G114-项目驾驶舱!$B$3)</f>
        <v/>
      </c>
      <c r="I114" s="44">
        <f>项目总控台账!AC113</f>
        <v/>
      </c>
      <c r="J114" s="44">
        <f>项目总控台账!AD113</f>
        <v/>
      </c>
      <c r="K114" s="44">
        <f>IF(A114&lt;&gt;"是","",IF(OR(E114="暂停",E114="挂起"),"确认暂停原因、恢复条件和责任人",IF(H114&lt;0,"立即确认延期原因、影响及补救计划",IF(H114&lt;=7,"本周确认交付承诺和完成证据","提前检查依赖与风险"))))</f>
        <v/>
      </c>
      <c r="L114" s="47" t="n"/>
      <c r="M114" s="48" t="n"/>
    </row>
    <row r="115">
      <c r="A115" s="44">
        <f>IF(B115="","",IF(AND(E115&lt;&gt;"已完成",ISNUMBER(G115),G115&lt;=项目驾驶舱!$B$3+14),"是","否"))</f>
        <v/>
      </c>
      <c r="B115" s="44">
        <f>项目总控台账!A114</f>
        <v/>
      </c>
      <c r="C115" s="44">
        <f>IF(AND(项目总控台账!E114&lt;&gt;"",项目总控台账!E114&lt;&gt;"/"),项目总控台账!E114,IF(AND(项目总控台账!D114&lt;&gt;"",项目总控台账!D114&lt;&gt;"/"),项目总控台账!D114,项目总控台账!C114))</f>
        <v/>
      </c>
      <c r="D115" s="44">
        <f>项目总控台账!F114</f>
        <v/>
      </c>
      <c r="E115" s="44">
        <f>项目总控台账!G114</f>
        <v/>
      </c>
      <c r="F115" s="44">
        <f>项目总控台账!H114</f>
        <v/>
      </c>
      <c r="G115" s="46">
        <f>项目总控台账!J114</f>
        <v/>
      </c>
      <c r="H115" s="44">
        <f>IF(G115="","",G115-项目驾驶舱!$B$3)</f>
        <v/>
      </c>
      <c r="I115" s="44">
        <f>项目总控台账!AC114</f>
        <v/>
      </c>
      <c r="J115" s="44">
        <f>项目总控台账!AD114</f>
        <v/>
      </c>
      <c r="K115" s="44">
        <f>IF(A115&lt;&gt;"是","",IF(OR(E115="暂停",E115="挂起"),"确认暂停原因、恢复条件和责任人",IF(H115&lt;0,"立即确认延期原因、影响及补救计划",IF(H115&lt;=7,"本周确认交付承诺和完成证据","提前检查依赖与风险"))))</f>
        <v/>
      </c>
      <c r="L115" s="47" t="n"/>
      <c r="M115" s="48" t="n"/>
    </row>
    <row r="116">
      <c r="A116" s="44">
        <f>IF(B116="","",IF(AND(E116&lt;&gt;"已完成",ISNUMBER(G116),G116&lt;=项目驾驶舱!$B$3+14),"是","否"))</f>
        <v/>
      </c>
      <c r="B116" s="44">
        <f>项目总控台账!A115</f>
        <v/>
      </c>
      <c r="C116" s="44">
        <f>IF(AND(项目总控台账!E115&lt;&gt;"",项目总控台账!E115&lt;&gt;"/"),项目总控台账!E115,IF(AND(项目总控台账!D115&lt;&gt;"",项目总控台账!D115&lt;&gt;"/"),项目总控台账!D115,项目总控台账!C115))</f>
        <v/>
      </c>
      <c r="D116" s="44">
        <f>项目总控台账!F115</f>
        <v/>
      </c>
      <c r="E116" s="44">
        <f>项目总控台账!G115</f>
        <v/>
      </c>
      <c r="F116" s="44">
        <f>项目总控台账!H115</f>
        <v/>
      </c>
      <c r="G116" s="46">
        <f>项目总控台账!J115</f>
        <v/>
      </c>
      <c r="H116" s="44">
        <f>IF(G116="","",G116-项目驾驶舱!$B$3)</f>
        <v/>
      </c>
      <c r="I116" s="44">
        <f>项目总控台账!AC115</f>
        <v/>
      </c>
      <c r="J116" s="44">
        <f>项目总控台账!AD115</f>
        <v/>
      </c>
      <c r="K116" s="44">
        <f>IF(A116&lt;&gt;"是","",IF(OR(E116="暂停",E116="挂起"),"确认暂停原因、恢复条件和责任人",IF(H116&lt;0,"立即确认延期原因、影响及补救计划",IF(H116&lt;=7,"本周确认交付承诺和完成证据","提前检查依赖与风险"))))</f>
        <v/>
      </c>
      <c r="L116" s="47" t="n"/>
      <c r="M116" s="48" t="n"/>
    </row>
    <row r="117">
      <c r="A117" s="44">
        <f>IF(B117="","",IF(AND(E117&lt;&gt;"已完成",ISNUMBER(G117),G117&lt;=项目驾驶舱!$B$3+14),"是","否"))</f>
        <v/>
      </c>
      <c r="B117" s="44">
        <f>项目总控台账!A116</f>
        <v/>
      </c>
      <c r="C117" s="44">
        <f>IF(AND(项目总控台账!E116&lt;&gt;"",项目总控台账!E116&lt;&gt;"/"),项目总控台账!E116,IF(AND(项目总控台账!D116&lt;&gt;"",项目总控台账!D116&lt;&gt;"/"),项目总控台账!D116,项目总控台账!C116))</f>
        <v/>
      </c>
      <c r="D117" s="44">
        <f>项目总控台账!F116</f>
        <v/>
      </c>
      <c r="E117" s="44">
        <f>项目总控台账!G116</f>
        <v/>
      </c>
      <c r="F117" s="44">
        <f>项目总控台账!H116</f>
        <v/>
      </c>
      <c r="G117" s="46">
        <f>项目总控台账!J116</f>
        <v/>
      </c>
      <c r="H117" s="44">
        <f>IF(G117="","",G117-项目驾驶舱!$B$3)</f>
        <v/>
      </c>
      <c r="I117" s="44">
        <f>项目总控台账!AC116</f>
        <v/>
      </c>
      <c r="J117" s="44">
        <f>项目总控台账!AD116</f>
        <v/>
      </c>
      <c r="K117" s="44">
        <f>IF(A117&lt;&gt;"是","",IF(OR(E117="暂停",E117="挂起"),"确认暂停原因、恢复条件和责任人",IF(H117&lt;0,"立即确认延期原因、影响及补救计划",IF(H117&lt;=7,"本周确认交付承诺和完成证据","提前检查依赖与风险"))))</f>
        <v/>
      </c>
      <c r="L117" s="47" t="n"/>
      <c r="M117" s="48" t="n"/>
    </row>
    <row r="118">
      <c r="A118" s="44">
        <f>IF(B118="","",IF(AND(E118&lt;&gt;"已完成",ISNUMBER(G118),G118&lt;=项目驾驶舱!$B$3+14),"是","否"))</f>
        <v/>
      </c>
      <c r="B118" s="44">
        <f>项目总控台账!A117</f>
        <v/>
      </c>
      <c r="C118" s="44">
        <f>IF(AND(项目总控台账!E117&lt;&gt;"",项目总控台账!E117&lt;&gt;"/"),项目总控台账!E117,IF(AND(项目总控台账!D117&lt;&gt;"",项目总控台账!D117&lt;&gt;"/"),项目总控台账!D117,项目总控台账!C117))</f>
        <v/>
      </c>
      <c r="D118" s="44">
        <f>项目总控台账!F117</f>
        <v/>
      </c>
      <c r="E118" s="44">
        <f>项目总控台账!G117</f>
        <v/>
      </c>
      <c r="F118" s="44">
        <f>项目总控台账!H117</f>
        <v/>
      </c>
      <c r="G118" s="46">
        <f>项目总控台账!J117</f>
        <v/>
      </c>
      <c r="H118" s="44">
        <f>IF(G118="","",G118-项目驾驶舱!$B$3)</f>
        <v/>
      </c>
      <c r="I118" s="44">
        <f>项目总控台账!AC117</f>
        <v/>
      </c>
      <c r="J118" s="44">
        <f>项目总控台账!AD117</f>
        <v/>
      </c>
      <c r="K118" s="44">
        <f>IF(A118&lt;&gt;"是","",IF(OR(E118="暂停",E118="挂起"),"确认暂停原因、恢复条件和责任人",IF(H118&lt;0,"立即确认延期原因、影响及补救计划",IF(H118&lt;=7,"本周确认交付承诺和完成证据","提前检查依赖与风险"))))</f>
        <v/>
      </c>
      <c r="L118" s="47" t="n"/>
      <c r="M118" s="48" t="n"/>
    </row>
    <row r="119">
      <c r="A119" s="44">
        <f>IF(B119="","",IF(AND(E119&lt;&gt;"已完成",ISNUMBER(G119),G119&lt;=项目驾驶舱!$B$3+14),"是","否"))</f>
        <v/>
      </c>
      <c r="B119" s="44">
        <f>项目总控台账!A118</f>
        <v/>
      </c>
      <c r="C119" s="44">
        <f>IF(AND(项目总控台账!E118&lt;&gt;"",项目总控台账!E118&lt;&gt;"/"),项目总控台账!E118,IF(AND(项目总控台账!D118&lt;&gt;"",项目总控台账!D118&lt;&gt;"/"),项目总控台账!D118,项目总控台账!C118))</f>
        <v/>
      </c>
      <c r="D119" s="44">
        <f>项目总控台账!F118</f>
        <v/>
      </c>
      <c r="E119" s="44">
        <f>项目总控台账!G118</f>
        <v/>
      </c>
      <c r="F119" s="44">
        <f>项目总控台账!H118</f>
        <v/>
      </c>
      <c r="G119" s="46">
        <f>项目总控台账!J118</f>
        <v/>
      </c>
      <c r="H119" s="44">
        <f>IF(G119="","",G119-项目驾驶舱!$B$3)</f>
        <v/>
      </c>
      <c r="I119" s="44">
        <f>项目总控台账!AC118</f>
        <v/>
      </c>
      <c r="J119" s="44">
        <f>项目总控台账!AD118</f>
        <v/>
      </c>
      <c r="K119" s="44">
        <f>IF(A119&lt;&gt;"是","",IF(OR(E119="暂停",E119="挂起"),"确认暂停原因、恢复条件和责任人",IF(H119&lt;0,"立即确认延期原因、影响及补救计划",IF(H119&lt;=7,"本周确认交付承诺和完成证据","提前检查依赖与风险"))))</f>
        <v/>
      </c>
      <c r="L119" s="47" t="n"/>
      <c r="M119" s="48" t="n"/>
    </row>
    <row r="120">
      <c r="A120" s="44">
        <f>IF(B120="","",IF(AND(E120&lt;&gt;"已完成",ISNUMBER(G120),G120&lt;=项目驾驶舱!$B$3+14),"是","否"))</f>
        <v/>
      </c>
      <c r="B120" s="44">
        <f>项目总控台账!A119</f>
        <v/>
      </c>
      <c r="C120" s="44">
        <f>IF(AND(项目总控台账!E119&lt;&gt;"",项目总控台账!E119&lt;&gt;"/"),项目总控台账!E119,IF(AND(项目总控台账!D119&lt;&gt;"",项目总控台账!D119&lt;&gt;"/"),项目总控台账!D119,项目总控台账!C119))</f>
        <v/>
      </c>
      <c r="D120" s="44">
        <f>项目总控台账!F119</f>
        <v/>
      </c>
      <c r="E120" s="44">
        <f>项目总控台账!G119</f>
        <v/>
      </c>
      <c r="F120" s="44">
        <f>项目总控台账!H119</f>
        <v/>
      </c>
      <c r="G120" s="46">
        <f>项目总控台账!J119</f>
        <v/>
      </c>
      <c r="H120" s="44">
        <f>IF(G120="","",G120-项目驾驶舱!$B$3)</f>
        <v/>
      </c>
      <c r="I120" s="44">
        <f>项目总控台账!AC119</f>
        <v/>
      </c>
      <c r="J120" s="44">
        <f>项目总控台账!AD119</f>
        <v/>
      </c>
      <c r="K120" s="44">
        <f>IF(A120&lt;&gt;"是","",IF(OR(E120="暂停",E120="挂起"),"确认暂停原因、恢复条件和责任人",IF(H120&lt;0,"立即确认延期原因、影响及补救计划",IF(H120&lt;=7,"本周确认交付承诺和完成证据","提前检查依赖与风险"))))</f>
        <v/>
      </c>
      <c r="L120" s="47" t="n"/>
      <c r="M120" s="48" t="n"/>
    </row>
    <row r="121">
      <c r="A121" s="44">
        <f>IF(B121="","",IF(AND(E121&lt;&gt;"已完成",ISNUMBER(G121),G121&lt;=项目驾驶舱!$B$3+14),"是","否"))</f>
        <v/>
      </c>
      <c r="B121" s="44">
        <f>项目总控台账!A120</f>
        <v/>
      </c>
      <c r="C121" s="44">
        <f>IF(AND(项目总控台账!E120&lt;&gt;"",项目总控台账!E120&lt;&gt;"/"),项目总控台账!E120,IF(AND(项目总控台账!D120&lt;&gt;"",项目总控台账!D120&lt;&gt;"/"),项目总控台账!D120,项目总控台账!C120))</f>
        <v/>
      </c>
      <c r="D121" s="44">
        <f>项目总控台账!F120</f>
        <v/>
      </c>
      <c r="E121" s="44">
        <f>项目总控台账!G120</f>
        <v/>
      </c>
      <c r="F121" s="44">
        <f>项目总控台账!H120</f>
        <v/>
      </c>
      <c r="G121" s="46">
        <f>项目总控台账!J120</f>
        <v/>
      </c>
      <c r="H121" s="44">
        <f>IF(G121="","",G121-项目驾驶舱!$B$3)</f>
        <v/>
      </c>
      <c r="I121" s="44">
        <f>项目总控台账!AC120</f>
        <v/>
      </c>
      <c r="J121" s="44">
        <f>项目总控台账!AD120</f>
        <v/>
      </c>
      <c r="K121" s="44">
        <f>IF(A121&lt;&gt;"是","",IF(OR(E121="暂停",E121="挂起"),"确认暂停原因、恢复条件和责任人",IF(H121&lt;0,"立即确认延期原因、影响及补救计划",IF(H121&lt;=7,"本周确认交付承诺和完成证据","提前检查依赖与风险"))))</f>
        <v/>
      </c>
      <c r="L121" s="47" t="n"/>
      <c r="M121" s="48" t="n"/>
    </row>
    <row r="122">
      <c r="A122" s="44">
        <f>IF(B122="","",IF(AND(E122&lt;&gt;"已完成",ISNUMBER(G122),G122&lt;=项目驾驶舱!$B$3+14),"是","否"))</f>
        <v/>
      </c>
      <c r="B122" s="44">
        <f>项目总控台账!A121</f>
        <v/>
      </c>
      <c r="C122" s="44">
        <f>IF(AND(项目总控台账!E121&lt;&gt;"",项目总控台账!E121&lt;&gt;"/"),项目总控台账!E121,IF(AND(项目总控台账!D121&lt;&gt;"",项目总控台账!D121&lt;&gt;"/"),项目总控台账!D121,项目总控台账!C121))</f>
        <v/>
      </c>
      <c r="D122" s="44">
        <f>项目总控台账!F121</f>
        <v/>
      </c>
      <c r="E122" s="44">
        <f>项目总控台账!G121</f>
        <v/>
      </c>
      <c r="F122" s="44">
        <f>项目总控台账!H121</f>
        <v/>
      </c>
      <c r="G122" s="46">
        <f>项目总控台账!J121</f>
        <v/>
      </c>
      <c r="H122" s="44">
        <f>IF(G122="","",G122-项目驾驶舱!$B$3)</f>
        <v/>
      </c>
      <c r="I122" s="44">
        <f>项目总控台账!AC121</f>
        <v/>
      </c>
      <c r="J122" s="44">
        <f>项目总控台账!AD121</f>
        <v/>
      </c>
      <c r="K122" s="44">
        <f>IF(A122&lt;&gt;"是","",IF(OR(E122="暂停",E122="挂起"),"确认暂停原因、恢复条件和责任人",IF(H122&lt;0,"立即确认延期原因、影响及补救计划",IF(H122&lt;=7,"本周确认交付承诺和完成证据","提前检查依赖与风险"))))</f>
        <v/>
      </c>
      <c r="L122" s="47" t="n"/>
      <c r="M122" s="48" t="n"/>
    </row>
    <row r="123">
      <c r="A123" s="44">
        <f>IF(B123="","",IF(AND(E123&lt;&gt;"已完成",ISNUMBER(G123),G123&lt;=项目驾驶舱!$B$3+14),"是","否"))</f>
        <v/>
      </c>
      <c r="B123" s="44">
        <f>项目总控台账!A122</f>
        <v/>
      </c>
      <c r="C123" s="44">
        <f>IF(AND(项目总控台账!E122&lt;&gt;"",项目总控台账!E122&lt;&gt;"/"),项目总控台账!E122,IF(AND(项目总控台账!D122&lt;&gt;"",项目总控台账!D122&lt;&gt;"/"),项目总控台账!D122,项目总控台账!C122))</f>
        <v/>
      </c>
      <c r="D123" s="44">
        <f>项目总控台账!F122</f>
        <v/>
      </c>
      <c r="E123" s="44">
        <f>项目总控台账!G122</f>
        <v/>
      </c>
      <c r="F123" s="44">
        <f>项目总控台账!H122</f>
        <v/>
      </c>
      <c r="G123" s="46">
        <f>项目总控台账!J122</f>
        <v/>
      </c>
      <c r="H123" s="44">
        <f>IF(G123="","",G123-项目驾驶舱!$B$3)</f>
        <v/>
      </c>
      <c r="I123" s="44">
        <f>项目总控台账!AC122</f>
        <v/>
      </c>
      <c r="J123" s="44">
        <f>项目总控台账!AD122</f>
        <v/>
      </c>
      <c r="K123" s="44">
        <f>IF(A123&lt;&gt;"是","",IF(OR(E123="暂停",E123="挂起"),"确认暂停原因、恢复条件和责任人",IF(H123&lt;0,"立即确认延期原因、影响及补救计划",IF(H123&lt;=7,"本周确认交付承诺和完成证据","提前检查依赖与风险"))))</f>
        <v/>
      </c>
      <c r="L123" s="47" t="n"/>
      <c r="M123" s="48" t="n"/>
    </row>
    <row r="124">
      <c r="A124" s="44">
        <f>IF(B124="","",IF(AND(E124&lt;&gt;"已完成",ISNUMBER(G124),G124&lt;=项目驾驶舱!$B$3+14),"是","否"))</f>
        <v/>
      </c>
      <c r="B124" s="44">
        <f>项目总控台账!A123</f>
        <v/>
      </c>
      <c r="C124" s="44">
        <f>IF(AND(项目总控台账!E123&lt;&gt;"",项目总控台账!E123&lt;&gt;"/"),项目总控台账!E123,IF(AND(项目总控台账!D123&lt;&gt;"",项目总控台账!D123&lt;&gt;"/"),项目总控台账!D123,项目总控台账!C123))</f>
        <v/>
      </c>
      <c r="D124" s="44">
        <f>项目总控台账!F123</f>
        <v/>
      </c>
      <c r="E124" s="44">
        <f>项目总控台账!G123</f>
        <v/>
      </c>
      <c r="F124" s="44">
        <f>项目总控台账!H123</f>
        <v/>
      </c>
      <c r="G124" s="46">
        <f>项目总控台账!J123</f>
        <v/>
      </c>
      <c r="H124" s="44">
        <f>IF(G124="","",G124-项目驾驶舱!$B$3)</f>
        <v/>
      </c>
      <c r="I124" s="44">
        <f>项目总控台账!AC123</f>
        <v/>
      </c>
      <c r="J124" s="44">
        <f>项目总控台账!AD123</f>
        <v/>
      </c>
      <c r="K124" s="44">
        <f>IF(A124&lt;&gt;"是","",IF(OR(E124="暂停",E124="挂起"),"确认暂停原因、恢复条件和责任人",IF(H124&lt;0,"立即确认延期原因、影响及补救计划",IF(H124&lt;=7,"本周确认交付承诺和完成证据","提前检查依赖与风险"))))</f>
        <v/>
      </c>
      <c r="L124" s="47" t="n"/>
      <c r="M124" s="48" t="n"/>
    </row>
    <row r="125">
      <c r="A125" s="44">
        <f>IF(B125="","",IF(AND(E125&lt;&gt;"已完成",ISNUMBER(G125),G125&lt;=项目驾驶舱!$B$3+14),"是","否"))</f>
        <v/>
      </c>
      <c r="B125" s="44">
        <f>项目总控台账!A124</f>
        <v/>
      </c>
      <c r="C125" s="44">
        <f>IF(AND(项目总控台账!E124&lt;&gt;"",项目总控台账!E124&lt;&gt;"/"),项目总控台账!E124,IF(AND(项目总控台账!D124&lt;&gt;"",项目总控台账!D124&lt;&gt;"/"),项目总控台账!D124,项目总控台账!C124))</f>
        <v/>
      </c>
      <c r="D125" s="44">
        <f>项目总控台账!F124</f>
        <v/>
      </c>
      <c r="E125" s="44">
        <f>项目总控台账!G124</f>
        <v/>
      </c>
      <c r="F125" s="44">
        <f>项目总控台账!H124</f>
        <v/>
      </c>
      <c r="G125" s="46">
        <f>项目总控台账!J124</f>
        <v/>
      </c>
      <c r="H125" s="44">
        <f>IF(G125="","",G125-项目驾驶舱!$B$3)</f>
        <v/>
      </c>
      <c r="I125" s="44">
        <f>项目总控台账!AC124</f>
        <v/>
      </c>
      <c r="J125" s="44">
        <f>项目总控台账!AD124</f>
        <v/>
      </c>
      <c r="K125" s="44">
        <f>IF(A125&lt;&gt;"是","",IF(OR(E125="暂停",E125="挂起"),"确认暂停原因、恢复条件和责任人",IF(H125&lt;0,"立即确认延期原因、影响及补救计划",IF(H125&lt;=7,"本周确认交付承诺和完成证据","提前检查依赖与风险"))))</f>
        <v/>
      </c>
      <c r="L125" s="47" t="n"/>
      <c r="M125" s="48" t="n"/>
    </row>
    <row r="126">
      <c r="A126" s="44">
        <f>IF(B126="","",IF(AND(E126&lt;&gt;"已完成",ISNUMBER(G126),G126&lt;=项目驾驶舱!$B$3+14),"是","否"))</f>
        <v/>
      </c>
      <c r="B126" s="44">
        <f>项目总控台账!A125</f>
        <v/>
      </c>
      <c r="C126" s="44">
        <f>IF(AND(项目总控台账!E125&lt;&gt;"",项目总控台账!E125&lt;&gt;"/"),项目总控台账!E125,IF(AND(项目总控台账!D125&lt;&gt;"",项目总控台账!D125&lt;&gt;"/"),项目总控台账!D125,项目总控台账!C125))</f>
        <v/>
      </c>
      <c r="D126" s="44">
        <f>项目总控台账!F125</f>
        <v/>
      </c>
      <c r="E126" s="44">
        <f>项目总控台账!G125</f>
        <v/>
      </c>
      <c r="F126" s="44">
        <f>项目总控台账!H125</f>
        <v/>
      </c>
      <c r="G126" s="46">
        <f>项目总控台账!J125</f>
        <v/>
      </c>
      <c r="H126" s="44">
        <f>IF(G126="","",G126-项目驾驶舱!$B$3)</f>
        <v/>
      </c>
      <c r="I126" s="44">
        <f>项目总控台账!AC125</f>
        <v/>
      </c>
      <c r="J126" s="44">
        <f>项目总控台账!AD125</f>
        <v/>
      </c>
      <c r="K126" s="44">
        <f>IF(A126&lt;&gt;"是","",IF(OR(E126="暂停",E126="挂起"),"确认暂停原因、恢复条件和责任人",IF(H126&lt;0,"立即确认延期原因、影响及补救计划",IF(H126&lt;=7,"本周确认交付承诺和完成证据","提前检查依赖与风险"))))</f>
        <v/>
      </c>
      <c r="L126" s="47" t="n"/>
      <c r="M126" s="48" t="n"/>
    </row>
    <row r="127">
      <c r="A127" s="44">
        <f>IF(B127="","",IF(AND(E127&lt;&gt;"已完成",ISNUMBER(G127),G127&lt;=项目驾驶舱!$B$3+14),"是","否"))</f>
        <v/>
      </c>
      <c r="B127" s="44">
        <f>项目总控台账!A126</f>
        <v/>
      </c>
      <c r="C127" s="44">
        <f>IF(AND(项目总控台账!E126&lt;&gt;"",项目总控台账!E126&lt;&gt;"/"),项目总控台账!E126,IF(AND(项目总控台账!D126&lt;&gt;"",项目总控台账!D126&lt;&gt;"/"),项目总控台账!D126,项目总控台账!C126))</f>
        <v/>
      </c>
      <c r="D127" s="44">
        <f>项目总控台账!F126</f>
        <v/>
      </c>
      <c r="E127" s="44">
        <f>项目总控台账!G126</f>
        <v/>
      </c>
      <c r="F127" s="44">
        <f>项目总控台账!H126</f>
        <v/>
      </c>
      <c r="G127" s="46">
        <f>项目总控台账!J126</f>
        <v/>
      </c>
      <c r="H127" s="44">
        <f>IF(G127="","",G127-项目驾驶舱!$B$3)</f>
        <v/>
      </c>
      <c r="I127" s="44">
        <f>项目总控台账!AC126</f>
        <v/>
      </c>
      <c r="J127" s="44">
        <f>项目总控台账!AD126</f>
        <v/>
      </c>
      <c r="K127" s="44">
        <f>IF(A127&lt;&gt;"是","",IF(OR(E127="暂停",E127="挂起"),"确认暂停原因、恢复条件和责任人",IF(H127&lt;0,"立即确认延期原因、影响及补救计划",IF(H127&lt;=7,"本周确认交付承诺和完成证据","提前检查依赖与风险"))))</f>
        <v/>
      </c>
      <c r="L127" s="47" t="n"/>
      <c r="M127" s="48" t="n"/>
    </row>
    <row r="128">
      <c r="A128" s="44">
        <f>IF(B128="","",IF(AND(E128&lt;&gt;"已完成",ISNUMBER(G128),G128&lt;=项目驾驶舱!$B$3+14),"是","否"))</f>
        <v/>
      </c>
      <c r="B128" s="44">
        <f>项目总控台账!A127</f>
        <v/>
      </c>
      <c r="C128" s="44">
        <f>IF(AND(项目总控台账!E127&lt;&gt;"",项目总控台账!E127&lt;&gt;"/"),项目总控台账!E127,IF(AND(项目总控台账!D127&lt;&gt;"",项目总控台账!D127&lt;&gt;"/"),项目总控台账!D127,项目总控台账!C127))</f>
        <v/>
      </c>
      <c r="D128" s="44">
        <f>项目总控台账!F127</f>
        <v/>
      </c>
      <c r="E128" s="44">
        <f>项目总控台账!G127</f>
        <v/>
      </c>
      <c r="F128" s="44">
        <f>项目总控台账!H127</f>
        <v/>
      </c>
      <c r="G128" s="46">
        <f>项目总控台账!J127</f>
        <v/>
      </c>
      <c r="H128" s="44">
        <f>IF(G128="","",G128-项目驾驶舱!$B$3)</f>
        <v/>
      </c>
      <c r="I128" s="44">
        <f>项目总控台账!AC127</f>
        <v/>
      </c>
      <c r="J128" s="44">
        <f>项目总控台账!AD127</f>
        <v/>
      </c>
      <c r="K128" s="44">
        <f>IF(A128&lt;&gt;"是","",IF(OR(E128="暂停",E128="挂起"),"确认暂停原因、恢复条件和责任人",IF(H128&lt;0,"立即确认延期原因、影响及补救计划",IF(H128&lt;=7,"本周确认交付承诺和完成证据","提前检查依赖与风险"))))</f>
        <v/>
      </c>
      <c r="L128" s="47" t="n"/>
      <c r="M128" s="48" t="n"/>
    </row>
    <row r="129">
      <c r="A129" s="44">
        <f>IF(B129="","",IF(AND(E129&lt;&gt;"已完成",ISNUMBER(G129),G129&lt;=项目驾驶舱!$B$3+14),"是","否"))</f>
        <v/>
      </c>
      <c r="B129" s="44">
        <f>项目总控台账!A128</f>
        <v/>
      </c>
      <c r="C129" s="44">
        <f>IF(AND(项目总控台账!E128&lt;&gt;"",项目总控台账!E128&lt;&gt;"/"),项目总控台账!E128,IF(AND(项目总控台账!D128&lt;&gt;"",项目总控台账!D128&lt;&gt;"/"),项目总控台账!D128,项目总控台账!C128))</f>
        <v/>
      </c>
      <c r="D129" s="44">
        <f>项目总控台账!F128</f>
        <v/>
      </c>
      <c r="E129" s="44">
        <f>项目总控台账!G128</f>
        <v/>
      </c>
      <c r="F129" s="44">
        <f>项目总控台账!H128</f>
        <v/>
      </c>
      <c r="G129" s="46">
        <f>项目总控台账!J128</f>
        <v/>
      </c>
      <c r="H129" s="44">
        <f>IF(G129="","",G129-项目驾驶舱!$B$3)</f>
        <v/>
      </c>
      <c r="I129" s="44">
        <f>项目总控台账!AC128</f>
        <v/>
      </c>
      <c r="J129" s="44">
        <f>项目总控台账!AD128</f>
        <v/>
      </c>
      <c r="K129" s="44">
        <f>IF(A129&lt;&gt;"是","",IF(OR(E129="暂停",E129="挂起"),"确认暂停原因、恢复条件和责任人",IF(H129&lt;0,"立即确认延期原因、影响及补救计划",IF(H129&lt;=7,"本周确认交付承诺和完成证据","提前检查依赖与风险"))))</f>
        <v/>
      </c>
      <c r="L129" s="47" t="n"/>
      <c r="M129" s="48" t="n"/>
    </row>
    <row r="130">
      <c r="A130" s="44">
        <f>IF(B130="","",IF(AND(E130&lt;&gt;"已完成",ISNUMBER(G130),G130&lt;=项目驾驶舱!$B$3+14),"是","否"))</f>
        <v/>
      </c>
      <c r="B130" s="44">
        <f>项目总控台账!A129</f>
        <v/>
      </c>
      <c r="C130" s="44">
        <f>IF(AND(项目总控台账!E129&lt;&gt;"",项目总控台账!E129&lt;&gt;"/"),项目总控台账!E129,IF(AND(项目总控台账!D129&lt;&gt;"",项目总控台账!D129&lt;&gt;"/"),项目总控台账!D129,项目总控台账!C129))</f>
        <v/>
      </c>
      <c r="D130" s="44">
        <f>项目总控台账!F129</f>
        <v/>
      </c>
      <c r="E130" s="44">
        <f>项目总控台账!G129</f>
        <v/>
      </c>
      <c r="F130" s="44">
        <f>项目总控台账!H129</f>
        <v/>
      </c>
      <c r="G130" s="46">
        <f>项目总控台账!J129</f>
        <v/>
      </c>
      <c r="H130" s="44">
        <f>IF(G130="","",G130-项目驾驶舱!$B$3)</f>
        <v/>
      </c>
      <c r="I130" s="44">
        <f>项目总控台账!AC129</f>
        <v/>
      </c>
      <c r="J130" s="44">
        <f>项目总控台账!AD129</f>
        <v/>
      </c>
      <c r="K130" s="44">
        <f>IF(A130&lt;&gt;"是","",IF(OR(E130="暂停",E130="挂起"),"确认暂停原因、恢复条件和责任人",IF(H130&lt;0,"立即确认延期原因、影响及补救计划",IF(H130&lt;=7,"本周确认交付承诺和完成证据","提前检查依赖与风险"))))</f>
        <v/>
      </c>
      <c r="L130" s="47" t="n"/>
      <c r="M130" s="48" t="n"/>
    </row>
    <row r="131">
      <c r="A131" s="44">
        <f>IF(B131="","",IF(AND(E131&lt;&gt;"已完成",ISNUMBER(G131),G131&lt;=项目驾驶舱!$B$3+14),"是","否"))</f>
        <v/>
      </c>
      <c r="B131" s="44">
        <f>项目总控台账!A130</f>
        <v/>
      </c>
      <c r="C131" s="44">
        <f>IF(AND(项目总控台账!E130&lt;&gt;"",项目总控台账!E130&lt;&gt;"/"),项目总控台账!E130,IF(AND(项目总控台账!D130&lt;&gt;"",项目总控台账!D130&lt;&gt;"/"),项目总控台账!D130,项目总控台账!C130))</f>
        <v/>
      </c>
      <c r="D131" s="44">
        <f>项目总控台账!F130</f>
        <v/>
      </c>
      <c r="E131" s="44">
        <f>项目总控台账!G130</f>
        <v/>
      </c>
      <c r="F131" s="44">
        <f>项目总控台账!H130</f>
        <v/>
      </c>
      <c r="G131" s="46">
        <f>项目总控台账!J130</f>
        <v/>
      </c>
      <c r="H131" s="44">
        <f>IF(G131="","",G131-项目驾驶舱!$B$3)</f>
        <v/>
      </c>
      <c r="I131" s="44">
        <f>项目总控台账!AC130</f>
        <v/>
      </c>
      <c r="J131" s="44">
        <f>项目总控台账!AD130</f>
        <v/>
      </c>
      <c r="K131" s="44">
        <f>IF(A131&lt;&gt;"是","",IF(OR(E131="暂停",E131="挂起"),"确认暂停原因、恢复条件和责任人",IF(H131&lt;0,"立即确认延期原因、影响及补救计划",IF(H131&lt;=7,"本周确认交付承诺和完成证据","提前检查依赖与风险"))))</f>
        <v/>
      </c>
      <c r="L131" s="47" t="n"/>
      <c r="M131" s="48" t="n"/>
    </row>
    <row r="132">
      <c r="A132" s="44">
        <f>IF(B132="","",IF(AND(E132&lt;&gt;"已完成",ISNUMBER(G132),G132&lt;=项目驾驶舱!$B$3+14),"是","否"))</f>
        <v/>
      </c>
      <c r="B132" s="44">
        <f>项目总控台账!A131</f>
        <v/>
      </c>
      <c r="C132" s="44">
        <f>IF(AND(项目总控台账!E131&lt;&gt;"",项目总控台账!E131&lt;&gt;"/"),项目总控台账!E131,IF(AND(项目总控台账!D131&lt;&gt;"",项目总控台账!D131&lt;&gt;"/"),项目总控台账!D131,项目总控台账!C131))</f>
        <v/>
      </c>
      <c r="D132" s="44">
        <f>项目总控台账!F131</f>
        <v/>
      </c>
      <c r="E132" s="44">
        <f>项目总控台账!G131</f>
        <v/>
      </c>
      <c r="F132" s="44">
        <f>项目总控台账!H131</f>
        <v/>
      </c>
      <c r="G132" s="46">
        <f>项目总控台账!J131</f>
        <v/>
      </c>
      <c r="H132" s="44">
        <f>IF(G132="","",G132-项目驾驶舱!$B$3)</f>
        <v/>
      </c>
      <c r="I132" s="44">
        <f>项目总控台账!AC131</f>
        <v/>
      </c>
      <c r="J132" s="44">
        <f>项目总控台账!AD131</f>
        <v/>
      </c>
      <c r="K132" s="44">
        <f>IF(A132&lt;&gt;"是","",IF(OR(E132="暂停",E132="挂起"),"确认暂停原因、恢复条件和责任人",IF(H132&lt;0,"立即确认延期原因、影响及补救计划",IF(H132&lt;=7,"本周确认交付承诺和完成证据","提前检查依赖与风险"))))</f>
        <v/>
      </c>
      <c r="L132" s="47" t="n"/>
      <c r="M132" s="48" t="n"/>
    </row>
    <row r="133">
      <c r="A133" s="44">
        <f>IF(B133="","",IF(AND(E133&lt;&gt;"已完成",ISNUMBER(G133),G133&lt;=项目驾驶舱!$B$3+14),"是","否"))</f>
        <v/>
      </c>
      <c r="B133" s="44">
        <f>项目总控台账!A132</f>
        <v/>
      </c>
      <c r="C133" s="44">
        <f>IF(AND(项目总控台账!E132&lt;&gt;"",项目总控台账!E132&lt;&gt;"/"),项目总控台账!E132,IF(AND(项目总控台账!D132&lt;&gt;"",项目总控台账!D132&lt;&gt;"/"),项目总控台账!D132,项目总控台账!C132))</f>
        <v/>
      </c>
      <c r="D133" s="44">
        <f>项目总控台账!F132</f>
        <v/>
      </c>
      <c r="E133" s="44">
        <f>项目总控台账!G132</f>
        <v/>
      </c>
      <c r="F133" s="44">
        <f>项目总控台账!H132</f>
        <v/>
      </c>
      <c r="G133" s="46">
        <f>项目总控台账!J132</f>
        <v/>
      </c>
      <c r="H133" s="44">
        <f>IF(G133="","",G133-项目驾驶舱!$B$3)</f>
        <v/>
      </c>
      <c r="I133" s="44">
        <f>项目总控台账!AC132</f>
        <v/>
      </c>
      <c r="J133" s="44">
        <f>项目总控台账!AD132</f>
        <v/>
      </c>
      <c r="K133" s="44">
        <f>IF(A133&lt;&gt;"是","",IF(OR(E133="暂停",E133="挂起"),"确认暂停原因、恢复条件和责任人",IF(H133&lt;0,"立即确认延期原因、影响及补救计划",IF(H133&lt;=7,"本周确认交付承诺和完成证据","提前检查依赖与风险"))))</f>
        <v/>
      </c>
      <c r="L133" s="47" t="n"/>
      <c r="M133" s="48" t="n"/>
    </row>
    <row r="134">
      <c r="A134" s="44">
        <f>IF(B134="","",IF(AND(E134&lt;&gt;"已完成",ISNUMBER(G134),G134&lt;=项目驾驶舱!$B$3+14),"是","否"))</f>
        <v/>
      </c>
      <c r="B134" s="44">
        <f>项目总控台账!A133</f>
        <v/>
      </c>
      <c r="C134" s="44">
        <f>IF(AND(项目总控台账!E133&lt;&gt;"",项目总控台账!E133&lt;&gt;"/"),项目总控台账!E133,IF(AND(项目总控台账!D133&lt;&gt;"",项目总控台账!D133&lt;&gt;"/"),项目总控台账!D133,项目总控台账!C133))</f>
        <v/>
      </c>
      <c r="D134" s="44">
        <f>项目总控台账!F133</f>
        <v/>
      </c>
      <c r="E134" s="44">
        <f>项目总控台账!G133</f>
        <v/>
      </c>
      <c r="F134" s="44">
        <f>项目总控台账!H133</f>
        <v/>
      </c>
      <c r="G134" s="46">
        <f>项目总控台账!J133</f>
        <v/>
      </c>
      <c r="H134" s="44">
        <f>IF(G134="","",G134-项目驾驶舱!$B$3)</f>
        <v/>
      </c>
      <c r="I134" s="44">
        <f>项目总控台账!AC133</f>
        <v/>
      </c>
      <c r="J134" s="44">
        <f>项目总控台账!AD133</f>
        <v/>
      </c>
      <c r="K134" s="44">
        <f>IF(A134&lt;&gt;"是","",IF(OR(E134="暂停",E134="挂起"),"确认暂停原因、恢复条件和责任人",IF(H134&lt;0,"立即确认延期原因、影响及补救计划",IF(H134&lt;=7,"本周确认交付承诺和完成证据","提前检查依赖与风险"))))</f>
        <v/>
      </c>
      <c r="L134" s="47" t="n"/>
      <c r="M134" s="48" t="n"/>
    </row>
    <row r="135">
      <c r="A135" s="44">
        <f>IF(B135="","",IF(AND(E135&lt;&gt;"已完成",ISNUMBER(G135),G135&lt;=项目驾驶舱!$B$3+14),"是","否"))</f>
        <v/>
      </c>
      <c r="B135" s="44">
        <f>项目总控台账!A134</f>
        <v/>
      </c>
      <c r="C135" s="44">
        <f>IF(AND(项目总控台账!E134&lt;&gt;"",项目总控台账!E134&lt;&gt;"/"),项目总控台账!E134,IF(AND(项目总控台账!D134&lt;&gt;"",项目总控台账!D134&lt;&gt;"/"),项目总控台账!D134,项目总控台账!C134))</f>
        <v/>
      </c>
      <c r="D135" s="44">
        <f>项目总控台账!F134</f>
        <v/>
      </c>
      <c r="E135" s="44">
        <f>项目总控台账!G134</f>
        <v/>
      </c>
      <c r="F135" s="44">
        <f>项目总控台账!H134</f>
        <v/>
      </c>
      <c r="G135" s="46">
        <f>项目总控台账!J134</f>
        <v/>
      </c>
      <c r="H135" s="44">
        <f>IF(G135="","",G135-项目驾驶舱!$B$3)</f>
        <v/>
      </c>
      <c r="I135" s="44">
        <f>项目总控台账!AC134</f>
        <v/>
      </c>
      <c r="J135" s="44">
        <f>项目总控台账!AD134</f>
        <v/>
      </c>
      <c r="K135" s="44">
        <f>IF(A135&lt;&gt;"是","",IF(OR(E135="暂停",E135="挂起"),"确认暂停原因、恢复条件和责任人",IF(H135&lt;0,"立即确认延期原因、影响及补救计划",IF(H135&lt;=7,"本周确认交付承诺和完成证据","提前检查依赖与风险"))))</f>
        <v/>
      </c>
      <c r="L135" s="47" t="n"/>
      <c r="M135" s="48" t="n"/>
    </row>
    <row r="136">
      <c r="A136" s="44">
        <f>IF(B136="","",IF(AND(E136&lt;&gt;"已完成",ISNUMBER(G136),G136&lt;=项目驾驶舱!$B$3+14),"是","否"))</f>
        <v/>
      </c>
      <c r="B136" s="44">
        <f>项目总控台账!A135</f>
        <v/>
      </c>
      <c r="C136" s="44">
        <f>IF(AND(项目总控台账!E135&lt;&gt;"",项目总控台账!E135&lt;&gt;"/"),项目总控台账!E135,IF(AND(项目总控台账!D135&lt;&gt;"",项目总控台账!D135&lt;&gt;"/"),项目总控台账!D135,项目总控台账!C135))</f>
        <v/>
      </c>
      <c r="D136" s="44">
        <f>项目总控台账!F135</f>
        <v/>
      </c>
      <c r="E136" s="44">
        <f>项目总控台账!G135</f>
        <v/>
      </c>
      <c r="F136" s="44">
        <f>项目总控台账!H135</f>
        <v/>
      </c>
      <c r="G136" s="46">
        <f>项目总控台账!J135</f>
        <v/>
      </c>
      <c r="H136" s="44">
        <f>IF(G136="","",G136-项目驾驶舱!$B$3)</f>
        <v/>
      </c>
      <c r="I136" s="44">
        <f>项目总控台账!AC135</f>
        <v/>
      </c>
      <c r="J136" s="44">
        <f>项目总控台账!AD135</f>
        <v/>
      </c>
      <c r="K136" s="44">
        <f>IF(A136&lt;&gt;"是","",IF(OR(E136="暂停",E136="挂起"),"确认暂停原因、恢复条件和责任人",IF(H136&lt;0,"立即确认延期原因、影响及补救计划",IF(H136&lt;=7,"本周确认交付承诺和完成证据","提前检查依赖与风险"))))</f>
        <v/>
      </c>
      <c r="L136" s="47" t="n"/>
      <c r="M136" s="48" t="n"/>
    </row>
    <row r="137">
      <c r="A137" s="44">
        <f>IF(B137="","",IF(AND(E137&lt;&gt;"已完成",ISNUMBER(G137),G137&lt;=项目驾驶舱!$B$3+14),"是","否"))</f>
        <v/>
      </c>
      <c r="B137" s="44">
        <f>项目总控台账!A136</f>
        <v/>
      </c>
      <c r="C137" s="44">
        <f>IF(AND(项目总控台账!E136&lt;&gt;"",项目总控台账!E136&lt;&gt;"/"),项目总控台账!E136,IF(AND(项目总控台账!D136&lt;&gt;"",项目总控台账!D136&lt;&gt;"/"),项目总控台账!D136,项目总控台账!C136))</f>
        <v/>
      </c>
      <c r="D137" s="44">
        <f>项目总控台账!F136</f>
        <v/>
      </c>
      <c r="E137" s="44">
        <f>项目总控台账!G136</f>
        <v/>
      </c>
      <c r="F137" s="44">
        <f>项目总控台账!H136</f>
        <v/>
      </c>
      <c r="G137" s="46">
        <f>项目总控台账!J136</f>
        <v/>
      </c>
      <c r="H137" s="44">
        <f>IF(G137="","",G137-项目驾驶舱!$B$3)</f>
        <v/>
      </c>
      <c r="I137" s="44">
        <f>项目总控台账!AC136</f>
        <v/>
      </c>
      <c r="J137" s="44">
        <f>项目总控台账!AD136</f>
        <v/>
      </c>
      <c r="K137" s="44">
        <f>IF(A137&lt;&gt;"是","",IF(OR(E137="暂停",E137="挂起"),"确认暂停原因、恢复条件和责任人",IF(H137&lt;0,"立即确认延期原因、影响及补救计划",IF(H137&lt;=7,"本周确认交付承诺和完成证据","提前检查依赖与风险"))))</f>
        <v/>
      </c>
      <c r="L137" s="47" t="n"/>
      <c r="M137" s="48" t="n"/>
    </row>
    <row r="138">
      <c r="A138" s="44">
        <f>IF(B138="","",IF(AND(E138&lt;&gt;"已完成",ISNUMBER(G138),G138&lt;=项目驾驶舱!$B$3+14),"是","否"))</f>
        <v/>
      </c>
      <c r="B138" s="44">
        <f>项目总控台账!A137</f>
        <v/>
      </c>
      <c r="C138" s="44">
        <f>IF(AND(项目总控台账!E137&lt;&gt;"",项目总控台账!E137&lt;&gt;"/"),项目总控台账!E137,IF(AND(项目总控台账!D137&lt;&gt;"",项目总控台账!D137&lt;&gt;"/"),项目总控台账!D137,项目总控台账!C137))</f>
        <v/>
      </c>
      <c r="D138" s="44">
        <f>项目总控台账!F137</f>
        <v/>
      </c>
      <c r="E138" s="44">
        <f>项目总控台账!G137</f>
        <v/>
      </c>
      <c r="F138" s="44">
        <f>项目总控台账!H137</f>
        <v/>
      </c>
      <c r="G138" s="46">
        <f>项目总控台账!J137</f>
        <v/>
      </c>
      <c r="H138" s="44">
        <f>IF(G138="","",G138-项目驾驶舱!$B$3)</f>
        <v/>
      </c>
      <c r="I138" s="44">
        <f>项目总控台账!AC137</f>
        <v/>
      </c>
      <c r="J138" s="44">
        <f>项目总控台账!AD137</f>
        <v/>
      </c>
      <c r="K138" s="44">
        <f>IF(A138&lt;&gt;"是","",IF(OR(E138="暂停",E138="挂起"),"确认暂停原因、恢复条件和责任人",IF(H138&lt;0,"立即确认延期原因、影响及补救计划",IF(H138&lt;=7,"本周确认交付承诺和完成证据","提前检查依赖与风险"))))</f>
        <v/>
      </c>
      <c r="L138" s="47" t="n"/>
      <c r="M138" s="48" t="n"/>
    </row>
    <row r="139">
      <c r="A139" s="44">
        <f>IF(B139="","",IF(AND(E139&lt;&gt;"已完成",ISNUMBER(G139),G139&lt;=项目驾驶舱!$B$3+14),"是","否"))</f>
        <v/>
      </c>
      <c r="B139" s="44">
        <f>项目总控台账!A138</f>
        <v/>
      </c>
      <c r="C139" s="44">
        <f>IF(AND(项目总控台账!E138&lt;&gt;"",项目总控台账!E138&lt;&gt;"/"),项目总控台账!E138,IF(AND(项目总控台账!D138&lt;&gt;"",项目总控台账!D138&lt;&gt;"/"),项目总控台账!D138,项目总控台账!C138))</f>
        <v/>
      </c>
      <c r="D139" s="44">
        <f>项目总控台账!F138</f>
        <v/>
      </c>
      <c r="E139" s="44">
        <f>项目总控台账!G138</f>
        <v/>
      </c>
      <c r="F139" s="44">
        <f>项目总控台账!H138</f>
        <v/>
      </c>
      <c r="G139" s="46">
        <f>项目总控台账!J138</f>
        <v/>
      </c>
      <c r="H139" s="44">
        <f>IF(G139="","",G139-项目驾驶舱!$B$3)</f>
        <v/>
      </c>
      <c r="I139" s="44">
        <f>项目总控台账!AC138</f>
        <v/>
      </c>
      <c r="J139" s="44">
        <f>项目总控台账!AD138</f>
        <v/>
      </c>
      <c r="K139" s="44">
        <f>IF(A139&lt;&gt;"是","",IF(OR(E139="暂停",E139="挂起"),"确认暂停原因、恢复条件和责任人",IF(H139&lt;0,"立即确认延期原因、影响及补救计划",IF(H139&lt;=7,"本周确认交付承诺和完成证据","提前检查依赖与风险"))))</f>
        <v/>
      </c>
      <c r="L139" s="47" t="n"/>
      <c r="M139" s="48" t="n"/>
    </row>
    <row r="140">
      <c r="A140" s="44">
        <f>IF(B140="","",IF(AND(E140&lt;&gt;"已完成",ISNUMBER(G140),G140&lt;=项目驾驶舱!$B$3+14),"是","否"))</f>
        <v/>
      </c>
      <c r="B140" s="44">
        <f>项目总控台账!A139</f>
        <v/>
      </c>
      <c r="C140" s="44">
        <f>IF(AND(项目总控台账!E139&lt;&gt;"",项目总控台账!E139&lt;&gt;"/"),项目总控台账!E139,IF(AND(项目总控台账!D139&lt;&gt;"",项目总控台账!D139&lt;&gt;"/"),项目总控台账!D139,项目总控台账!C139))</f>
        <v/>
      </c>
      <c r="D140" s="44">
        <f>项目总控台账!F139</f>
        <v/>
      </c>
      <c r="E140" s="44">
        <f>项目总控台账!G139</f>
        <v/>
      </c>
      <c r="F140" s="44">
        <f>项目总控台账!H139</f>
        <v/>
      </c>
      <c r="G140" s="46">
        <f>项目总控台账!J139</f>
        <v/>
      </c>
      <c r="H140" s="44">
        <f>IF(G140="","",G140-项目驾驶舱!$B$3)</f>
        <v/>
      </c>
      <c r="I140" s="44">
        <f>项目总控台账!AC139</f>
        <v/>
      </c>
      <c r="J140" s="44">
        <f>项目总控台账!AD139</f>
        <v/>
      </c>
      <c r="K140" s="44">
        <f>IF(A140&lt;&gt;"是","",IF(OR(E140="暂停",E140="挂起"),"确认暂停原因、恢复条件和责任人",IF(H140&lt;0,"立即确认延期原因、影响及补救计划",IF(H140&lt;=7,"本周确认交付承诺和完成证据","提前检查依赖与风险"))))</f>
        <v/>
      </c>
      <c r="L140" s="47" t="n"/>
      <c r="M140" s="48" t="n"/>
    </row>
    <row r="141">
      <c r="A141" s="44">
        <f>IF(B141="","",IF(AND(E141&lt;&gt;"已完成",ISNUMBER(G141),G141&lt;=项目驾驶舱!$B$3+14),"是","否"))</f>
        <v/>
      </c>
      <c r="B141" s="44">
        <f>项目总控台账!A140</f>
        <v/>
      </c>
      <c r="C141" s="44">
        <f>IF(AND(项目总控台账!E140&lt;&gt;"",项目总控台账!E140&lt;&gt;"/"),项目总控台账!E140,IF(AND(项目总控台账!D140&lt;&gt;"",项目总控台账!D140&lt;&gt;"/"),项目总控台账!D140,项目总控台账!C140))</f>
        <v/>
      </c>
      <c r="D141" s="44">
        <f>项目总控台账!F140</f>
        <v/>
      </c>
      <c r="E141" s="44">
        <f>项目总控台账!G140</f>
        <v/>
      </c>
      <c r="F141" s="44">
        <f>项目总控台账!H140</f>
        <v/>
      </c>
      <c r="G141" s="46">
        <f>项目总控台账!J140</f>
        <v/>
      </c>
      <c r="H141" s="44">
        <f>IF(G141="","",G141-项目驾驶舱!$B$3)</f>
        <v/>
      </c>
      <c r="I141" s="44">
        <f>项目总控台账!AC140</f>
        <v/>
      </c>
      <c r="J141" s="44">
        <f>项目总控台账!AD140</f>
        <v/>
      </c>
      <c r="K141" s="44">
        <f>IF(A141&lt;&gt;"是","",IF(OR(E141="暂停",E141="挂起"),"确认暂停原因、恢复条件和责任人",IF(H141&lt;0,"立即确认延期原因、影响及补救计划",IF(H141&lt;=7,"本周确认交付承诺和完成证据","提前检查依赖与风险"))))</f>
        <v/>
      </c>
      <c r="L141" s="47" t="n"/>
      <c r="M141" s="48" t="n"/>
    </row>
    <row r="142">
      <c r="A142" s="44">
        <f>IF(B142="","",IF(AND(E142&lt;&gt;"已完成",ISNUMBER(G142),G142&lt;=项目驾驶舱!$B$3+14),"是","否"))</f>
        <v/>
      </c>
      <c r="B142" s="44">
        <f>项目总控台账!A141</f>
        <v/>
      </c>
      <c r="C142" s="44">
        <f>IF(AND(项目总控台账!E141&lt;&gt;"",项目总控台账!E141&lt;&gt;"/"),项目总控台账!E141,IF(AND(项目总控台账!D141&lt;&gt;"",项目总控台账!D141&lt;&gt;"/"),项目总控台账!D141,项目总控台账!C141))</f>
        <v/>
      </c>
      <c r="D142" s="44">
        <f>项目总控台账!F141</f>
        <v/>
      </c>
      <c r="E142" s="44">
        <f>项目总控台账!G141</f>
        <v/>
      </c>
      <c r="F142" s="44">
        <f>项目总控台账!H141</f>
        <v/>
      </c>
      <c r="G142" s="46">
        <f>项目总控台账!J141</f>
        <v/>
      </c>
      <c r="H142" s="44">
        <f>IF(G142="","",G142-项目驾驶舱!$B$3)</f>
        <v/>
      </c>
      <c r="I142" s="44">
        <f>项目总控台账!AC141</f>
        <v/>
      </c>
      <c r="J142" s="44">
        <f>项目总控台账!AD141</f>
        <v/>
      </c>
      <c r="K142" s="44">
        <f>IF(A142&lt;&gt;"是","",IF(OR(E142="暂停",E142="挂起"),"确认暂停原因、恢复条件和责任人",IF(H142&lt;0,"立即确认延期原因、影响及补救计划",IF(H142&lt;=7,"本周确认交付承诺和完成证据","提前检查依赖与风险"))))</f>
        <v/>
      </c>
      <c r="L142" s="47" t="n"/>
      <c r="M142" s="48" t="n"/>
    </row>
    <row r="143">
      <c r="A143" s="44">
        <f>IF(B143="","",IF(AND(E143&lt;&gt;"已完成",ISNUMBER(G143),G143&lt;=项目驾驶舱!$B$3+14),"是","否"))</f>
        <v/>
      </c>
      <c r="B143" s="44">
        <f>项目总控台账!A142</f>
        <v/>
      </c>
      <c r="C143" s="44">
        <f>IF(AND(项目总控台账!E142&lt;&gt;"",项目总控台账!E142&lt;&gt;"/"),项目总控台账!E142,IF(AND(项目总控台账!D142&lt;&gt;"",项目总控台账!D142&lt;&gt;"/"),项目总控台账!D142,项目总控台账!C142))</f>
        <v/>
      </c>
      <c r="D143" s="44">
        <f>项目总控台账!F142</f>
        <v/>
      </c>
      <c r="E143" s="44">
        <f>项目总控台账!G142</f>
        <v/>
      </c>
      <c r="F143" s="44">
        <f>项目总控台账!H142</f>
        <v/>
      </c>
      <c r="G143" s="46">
        <f>项目总控台账!J142</f>
        <v/>
      </c>
      <c r="H143" s="44">
        <f>IF(G143="","",G143-项目驾驶舱!$B$3)</f>
        <v/>
      </c>
      <c r="I143" s="44">
        <f>项目总控台账!AC142</f>
        <v/>
      </c>
      <c r="J143" s="44">
        <f>项目总控台账!AD142</f>
        <v/>
      </c>
      <c r="K143" s="44">
        <f>IF(A143&lt;&gt;"是","",IF(OR(E143="暂停",E143="挂起"),"确认暂停原因、恢复条件和责任人",IF(H143&lt;0,"立即确认延期原因、影响及补救计划",IF(H143&lt;=7,"本周确认交付承诺和完成证据","提前检查依赖与风险"))))</f>
        <v/>
      </c>
      <c r="L143" s="47" t="n"/>
      <c r="M143" s="48" t="n"/>
    </row>
    <row r="144">
      <c r="A144" s="44">
        <f>IF(B144="","",IF(AND(E144&lt;&gt;"已完成",ISNUMBER(G144),G144&lt;=项目驾驶舱!$B$3+14),"是","否"))</f>
        <v/>
      </c>
      <c r="B144" s="44">
        <f>项目总控台账!A143</f>
        <v/>
      </c>
      <c r="C144" s="44">
        <f>IF(AND(项目总控台账!E143&lt;&gt;"",项目总控台账!E143&lt;&gt;"/"),项目总控台账!E143,IF(AND(项目总控台账!D143&lt;&gt;"",项目总控台账!D143&lt;&gt;"/"),项目总控台账!D143,项目总控台账!C143))</f>
        <v/>
      </c>
      <c r="D144" s="44">
        <f>项目总控台账!F143</f>
        <v/>
      </c>
      <c r="E144" s="44">
        <f>项目总控台账!G143</f>
        <v/>
      </c>
      <c r="F144" s="44">
        <f>项目总控台账!H143</f>
        <v/>
      </c>
      <c r="G144" s="46">
        <f>项目总控台账!J143</f>
        <v/>
      </c>
      <c r="H144" s="44">
        <f>IF(G144="","",G144-项目驾驶舱!$B$3)</f>
        <v/>
      </c>
      <c r="I144" s="44">
        <f>项目总控台账!AC143</f>
        <v/>
      </c>
      <c r="J144" s="44">
        <f>项目总控台账!AD143</f>
        <v/>
      </c>
      <c r="K144" s="44">
        <f>IF(A144&lt;&gt;"是","",IF(OR(E144="暂停",E144="挂起"),"确认暂停原因、恢复条件和责任人",IF(H144&lt;0,"立即确认延期原因、影响及补救计划",IF(H144&lt;=7,"本周确认交付承诺和完成证据","提前检查依赖与风险"))))</f>
        <v/>
      </c>
      <c r="L144" s="47" t="n"/>
      <c r="M144" s="48" t="n"/>
    </row>
    <row r="145">
      <c r="A145" s="44">
        <f>IF(B145="","",IF(AND(E145&lt;&gt;"已完成",ISNUMBER(G145),G145&lt;=项目驾驶舱!$B$3+14),"是","否"))</f>
        <v/>
      </c>
      <c r="B145" s="44">
        <f>项目总控台账!A144</f>
        <v/>
      </c>
      <c r="C145" s="44">
        <f>IF(AND(项目总控台账!E144&lt;&gt;"",项目总控台账!E144&lt;&gt;"/"),项目总控台账!E144,IF(AND(项目总控台账!D144&lt;&gt;"",项目总控台账!D144&lt;&gt;"/"),项目总控台账!D144,项目总控台账!C144))</f>
        <v/>
      </c>
      <c r="D145" s="44">
        <f>项目总控台账!F144</f>
        <v/>
      </c>
      <c r="E145" s="44">
        <f>项目总控台账!G144</f>
        <v/>
      </c>
      <c r="F145" s="44">
        <f>项目总控台账!H144</f>
        <v/>
      </c>
      <c r="G145" s="46">
        <f>项目总控台账!J144</f>
        <v/>
      </c>
      <c r="H145" s="44">
        <f>IF(G145="","",G145-项目驾驶舱!$B$3)</f>
        <v/>
      </c>
      <c r="I145" s="44">
        <f>项目总控台账!AC144</f>
        <v/>
      </c>
      <c r="J145" s="44">
        <f>项目总控台账!AD144</f>
        <v/>
      </c>
      <c r="K145" s="44">
        <f>IF(A145&lt;&gt;"是","",IF(OR(E145="暂停",E145="挂起"),"确认暂停原因、恢复条件和责任人",IF(H145&lt;0,"立即确认延期原因、影响及补救计划",IF(H145&lt;=7,"本周确认交付承诺和完成证据","提前检查依赖与风险"))))</f>
        <v/>
      </c>
      <c r="L145" s="47" t="n"/>
      <c r="M145" s="48" t="n"/>
    </row>
    <row r="146">
      <c r="A146" s="44">
        <f>IF(B146="","",IF(AND(E146&lt;&gt;"已完成",ISNUMBER(G146),G146&lt;=项目驾驶舱!$B$3+14),"是","否"))</f>
        <v/>
      </c>
      <c r="B146" s="44">
        <f>项目总控台账!A145</f>
        <v/>
      </c>
      <c r="C146" s="44">
        <f>IF(AND(项目总控台账!E145&lt;&gt;"",项目总控台账!E145&lt;&gt;"/"),项目总控台账!E145,IF(AND(项目总控台账!D145&lt;&gt;"",项目总控台账!D145&lt;&gt;"/"),项目总控台账!D145,项目总控台账!C145))</f>
        <v/>
      </c>
      <c r="D146" s="44">
        <f>项目总控台账!F145</f>
        <v/>
      </c>
      <c r="E146" s="44">
        <f>项目总控台账!G145</f>
        <v/>
      </c>
      <c r="F146" s="44">
        <f>项目总控台账!H145</f>
        <v/>
      </c>
      <c r="G146" s="46">
        <f>项目总控台账!J145</f>
        <v/>
      </c>
      <c r="H146" s="44">
        <f>IF(G146="","",G146-项目驾驶舱!$B$3)</f>
        <v/>
      </c>
      <c r="I146" s="44">
        <f>项目总控台账!AC145</f>
        <v/>
      </c>
      <c r="J146" s="44">
        <f>项目总控台账!AD145</f>
        <v/>
      </c>
      <c r="K146" s="44">
        <f>IF(A146&lt;&gt;"是","",IF(OR(E146="暂停",E146="挂起"),"确认暂停原因、恢复条件和责任人",IF(H146&lt;0,"立即确认延期原因、影响及补救计划",IF(H146&lt;=7,"本周确认交付承诺和完成证据","提前检查依赖与风险"))))</f>
        <v/>
      </c>
      <c r="L146" s="47" t="n"/>
      <c r="M146" s="48" t="n"/>
    </row>
    <row r="147">
      <c r="A147" s="44">
        <f>IF(B147="","",IF(AND(E147&lt;&gt;"已完成",ISNUMBER(G147),G147&lt;=项目驾驶舱!$B$3+14),"是","否"))</f>
        <v/>
      </c>
      <c r="B147" s="44">
        <f>项目总控台账!A146</f>
        <v/>
      </c>
      <c r="C147" s="44">
        <f>IF(AND(项目总控台账!E146&lt;&gt;"",项目总控台账!E146&lt;&gt;"/"),项目总控台账!E146,IF(AND(项目总控台账!D146&lt;&gt;"",项目总控台账!D146&lt;&gt;"/"),项目总控台账!D146,项目总控台账!C146))</f>
        <v/>
      </c>
      <c r="D147" s="44">
        <f>项目总控台账!F146</f>
        <v/>
      </c>
      <c r="E147" s="44">
        <f>项目总控台账!G146</f>
        <v/>
      </c>
      <c r="F147" s="44">
        <f>项目总控台账!H146</f>
        <v/>
      </c>
      <c r="G147" s="46">
        <f>项目总控台账!J146</f>
        <v/>
      </c>
      <c r="H147" s="44">
        <f>IF(G147="","",G147-项目驾驶舱!$B$3)</f>
        <v/>
      </c>
      <c r="I147" s="44">
        <f>项目总控台账!AC146</f>
        <v/>
      </c>
      <c r="J147" s="44">
        <f>项目总控台账!AD146</f>
        <v/>
      </c>
      <c r="K147" s="44">
        <f>IF(A147&lt;&gt;"是","",IF(OR(E147="暂停",E147="挂起"),"确认暂停原因、恢复条件和责任人",IF(H147&lt;0,"立即确认延期原因、影响及补救计划",IF(H147&lt;=7,"本周确认交付承诺和完成证据","提前检查依赖与风险"))))</f>
        <v/>
      </c>
      <c r="L147" s="47" t="n"/>
      <c r="M147" s="48" t="n"/>
    </row>
    <row r="148">
      <c r="A148" s="44">
        <f>IF(B148="","",IF(AND(E148&lt;&gt;"已完成",ISNUMBER(G148),G148&lt;=项目驾驶舱!$B$3+14),"是","否"))</f>
        <v/>
      </c>
      <c r="B148" s="44">
        <f>项目总控台账!A147</f>
        <v/>
      </c>
      <c r="C148" s="44">
        <f>IF(AND(项目总控台账!E147&lt;&gt;"",项目总控台账!E147&lt;&gt;"/"),项目总控台账!E147,IF(AND(项目总控台账!D147&lt;&gt;"",项目总控台账!D147&lt;&gt;"/"),项目总控台账!D147,项目总控台账!C147))</f>
        <v/>
      </c>
      <c r="D148" s="44">
        <f>项目总控台账!F147</f>
        <v/>
      </c>
      <c r="E148" s="44">
        <f>项目总控台账!G147</f>
        <v/>
      </c>
      <c r="F148" s="44">
        <f>项目总控台账!H147</f>
        <v/>
      </c>
      <c r="G148" s="46">
        <f>项目总控台账!J147</f>
        <v/>
      </c>
      <c r="H148" s="44">
        <f>IF(G148="","",G148-项目驾驶舱!$B$3)</f>
        <v/>
      </c>
      <c r="I148" s="44">
        <f>项目总控台账!AC147</f>
        <v/>
      </c>
      <c r="J148" s="44">
        <f>项目总控台账!AD147</f>
        <v/>
      </c>
      <c r="K148" s="44">
        <f>IF(A148&lt;&gt;"是","",IF(OR(E148="暂停",E148="挂起"),"确认暂停原因、恢复条件和责任人",IF(H148&lt;0,"立即确认延期原因、影响及补救计划",IF(H148&lt;=7,"本周确认交付承诺和完成证据","提前检查依赖与风险"))))</f>
        <v/>
      </c>
      <c r="L148" s="47" t="n"/>
      <c r="M148" s="48" t="n"/>
    </row>
    <row r="149">
      <c r="A149" s="44">
        <f>IF(B149="","",IF(AND(E149&lt;&gt;"已完成",ISNUMBER(G149),G149&lt;=项目驾驶舱!$B$3+14),"是","否"))</f>
        <v/>
      </c>
      <c r="B149" s="44">
        <f>项目总控台账!A148</f>
        <v/>
      </c>
      <c r="C149" s="44">
        <f>IF(AND(项目总控台账!E148&lt;&gt;"",项目总控台账!E148&lt;&gt;"/"),项目总控台账!E148,IF(AND(项目总控台账!D148&lt;&gt;"",项目总控台账!D148&lt;&gt;"/"),项目总控台账!D148,项目总控台账!C148))</f>
        <v/>
      </c>
      <c r="D149" s="44">
        <f>项目总控台账!F148</f>
        <v/>
      </c>
      <c r="E149" s="44">
        <f>项目总控台账!G148</f>
        <v/>
      </c>
      <c r="F149" s="44">
        <f>项目总控台账!H148</f>
        <v/>
      </c>
      <c r="G149" s="46">
        <f>项目总控台账!J148</f>
        <v/>
      </c>
      <c r="H149" s="44">
        <f>IF(G149="","",G149-项目驾驶舱!$B$3)</f>
        <v/>
      </c>
      <c r="I149" s="44">
        <f>项目总控台账!AC148</f>
        <v/>
      </c>
      <c r="J149" s="44">
        <f>项目总控台账!AD148</f>
        <v/>
      </c>
      <c r="K149" s="44">
        <f>IF(A149&lt;&gt;"是","",IF(OR(E149="暂停",E149="挂起"),"确认暂停原因、恢复条件和责任人",IF(H149&lt;0,"立即确认延期原因、影响及补救计划",IF(H149&lt;=7,"本周确认交付承诺和完成证据","提前检查依赖与风险"))))</f>
        <v/>
      </c>
      <c r="L149" s="47" t="n"/>
      <c r="M149" s="48" t="n"/>
    </row>
  </sheetData>
  <autoFilter ref="A4:M149"/>
  <mergeCells count="2">
    <mergeCell ref="A2:M2"/>
    <mergeCell ref="A1:M1"/>
  </mergeCells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ColWidth="9" defaultRowHeight="16.8"/>
  <cols>
    <col width="22" customWidth="1" min="1" max="1"/>
    <col width="16" customWidth="1" min="2" max="2"/>
    <col width="34" customWidth="1" min="3" max="3"/>
    <col width="4" customWidth="1" min="4" max="4"/>
    <col width="14" customWidth="1" min="5" max="5"/>
  </cols>
  <sheetData>
    <row r="1" ht="28" customHeight="1">
      <c r="A1" s="34" t="inlineStr">
        <is>
          <t>PMO周报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35" t="inlineStr">
        <is>
          <t>面向项目领导的周报底稿。指标自动计算，黄色区域由项目经理审核后填写。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</row>
    <row r="4">
      <c r="A4" s="49" t="inlineStr">
        <is>
          <t>报告日期</t>
        </is>
      </c>
      <c r="B4" s="50">
        <f>项目驾驶舱!B3</f>
        <v/>
      </c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49" t="inlineStr">
        <is>
          <t>项目状态</t>
        </is>
      </c>
      <c r="B5" s="51">
        <f>AI项目诊断!E4</f>
        <v/>
      </c>
      <c r="C5" s="2" t="n"/>
      <c r="D5" s="2" t="n"/>
      <c r="E5" s="2" t="n"/>
      <c r="F5" s="2" t="n"/>
      <c r="G5" s="2" t="n"/>
      <c r="H5" s="2" t="n"/>
      <c r="I5" s="2" t="n"/>
      <c r="J5" s="3" t="n"/>
    </row>
    <row r="6">
      <c r="A6" s="49" t="inlineStr">
        <is>
          <t>状态说明</t>
        </is>
      </c>
      <c r="B6" s="51">
        <f>AI项目诊断!H4</f>
        <v/>
      </c>
      <c r="C6" s="2" t="n"/>
      <c r="D6" s="2" t="n"/>
      <c r="E6" s="2" t="n"/>
      <c r="F6" s="2" t="n"/>
      <c r="G6" s="2" t="n"/>
      <c r="H6" s="2" t="n"/>
      <c r="I6" s="2" t="n"/>
      <c r="J6" s="3" t="n"/>
    </row>
    <row r="7"/>
    <row r="8">
      <c r="A8" s="4" t="inlineStr">
        <is>
          <t>一、本周总体判断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</row>
    <row r="9" ht="36" customHeight="1">
      <c r="A9" s="48" t="inlineStr">
        <is>
          <t>说明项目整体状态、与上周相比的变化以及最大失控点。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>
      <c r="A10" s="19" t="n"/>
      <c r="J10" s="20" t="n"/>
    </row>
    <row r="11">
      <c r="A11" s="21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3" t="n"/>
    </row>
    <row r="12">
      <c r="A12" s="4" t="inlineStr">
        <is>
          <t>二、本周完成事项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</row>
    <row r="13" ht="36" customHeight="1">
      <c r="A13" s="48" t="inlineStr">
        <is>
          <t>列出已经完成且有证据的关键事项，不写日常过程。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8" t="n"/>
    </row>
    <row r="14">
      <c r="A14" s="19" t="n"/>
      <c r="J14" s="20" t="n"/>
    </row>
    <row r="15">
      <c r="A15" s="2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3" t="n"/>
    </row>
    <row r="16"/>
    <row r="17">
      <c r="A17" s="4" t="inlineStr">
        <is>
          <t>三、未来两周重点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48" t="inlineStr">
        <is>
          <t>从“两周督办”筛选“是否纳入=是”，确认责任人和承诺日期。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8" t="n"/>
    </row>
    <row r="19">
      <c r="A19" s="19" t="n"/>
      <c r="J19" s="20" t="n"/>
    </row>
    <row r="20">
      <c r="A20" s="2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3" t="n"/>
    </row>
    <row r="21"/>
    <row r="22">
      <c r="A22" s="4" t="inlineStr">
        <is>
          <t>四、主要风险与问题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 ht="36" customHeight="1">
      <c r="A23" s="48" t="inlineStr">
        <is>
          <t>优先说明高等级、已逾期、影响里程碑的风险与问题。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8" t="n"/>
    </row>
    <row r="24">
      <c r="A24" s="19" t="n"/>
      <c r="J24" s="20" t="n"/>
    </row>
    <row r="25">
      <c r="A25" s="2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3" t="n"/>
    </row>
    <row r="26"/>
    <row r="27">
      <c r="A27" s="4" t="inlineStr">
        <is>
          <t>五、待决策与需协调事项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 ht="36" customHeight="1">
      <c r="A28" s="48" t="inlineStr">
        <is>
          <t>从“待决策事项”提取仍未决策且已接近需要日期的事项。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8" t="n"/>
    </row>
    <row r="29">
      <c r="A29" s="19" t="n"/>
      <c r="J29" s="20" t="n"/>
    </row>
    <row r="30">
      <c r="A30" s="21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3" t="n"/>
    </row>
    <row r="31"/>
    <row r="32" ht="17.6" customHeight="1">
      <c r="A32" s="41" t="inlineStr">
        <is>
          <t>自动指标</t>
        </is>
      </c>
    </row>
    <row r="33" ht="28" customHeight="1">
      <c r="A33" s="42" t="inlineStr">
        <is>
          <t>指标</t>
        </is>
      </c>
      <c r="B33" s="42" t="inlineStr">
        <is>
          <t>本期值</t>
        </is>
      </c>
      <c r="C33" s="42" t="inlineStr">
        <is>
          <t>管理含义</t>
        </is>
      </c>
    </row>
    <row r="34">
      <c r="A34" s="44" t="inlineStr">
        <is>
          <t>任务完成率</t>
        </is>
      </c>
      <c r="B34" s="52">
        <f>IFERROR(COUNTIF(项目总控台账!$G$4:$G$148,"已完成")/COUNTIF(项目总控台账!$A$4:$A$148,"&lt;&gt;"),0)</f>
        <v/>
      </c>
      <c r="C34" s="44" t="inlineStr">
        <is>
          <t>观察总体交付进展</t>
        </is>
      </c>
    </row>
    <row r="35">
      <c r="A35" s="44" t="inlineStr">
        <is>
          <t>逾期任务数</t>
        </is>
      </c>
      <c r="B35" s="44">
        <f>COUNTIF(项目总控台账!$AC$4:$AC$148,"*延期*")</f>
        <v/>
      </c>
      <c r="C35" s="44" t="inlineStr">
        <is>
          <t>检查关键路径和补救计划</t>
        </is>
      </c>
    </row>
    <row r="36">
      <c r="A36" s="44" t="inlineStr">
        <is>
          <t>未关闭高风险</t>
        </is>
      </c>
      <c r="B36" s="44">
        <f>COUNTIFS(风险问题台账!$D$4:$D$102,"高",风险问题台账!$K$4:$K$102,"&lt;&gt;已关闭")</f>
        <v/>
      </c>
      <c r="C36" s="44" t="inlineStr">
        <is>
          <t>确认应对措施和升级需求</t>
        </is>
      </c>
    </row>
    <row r="37">
      <c r="A37" s="44" t="inlineStr">
        <is>
          <t>逾期行动项</t>
        </is>
      </c>
      <c r="B37" s="44">
        <f>COUNTIFS(会议行动项!$J$4:$J$102,"&gt;0",会议行动项!$H$4:$H$102,"&lt;&gt;已完成")</f>
        <v/>
      </c>
      <c r="C37" s="44" t="inlineStr">
        <is>
          <t>检查承诺兑现情况</t>
        </is>
      </c>
    </row>
    <row r="38">
      <c r="A38" s="44" t="inlineStr">
        <is>
          <t>待决策事项</t>
        </is>
      </c>
      <c r="B38" s="44">
        <f>COUNTIFS(待决策事项!$C$5:$C$54,"&lt;&gt;",待决策事项!$I$5:$I$54,"&lt;&gt;已决策",待决策事项!$I$5:$I$54,"&lt;&gt;已关闭")</f>
        <v/>
      </c>
      <c r="C38" s="44" t="inlineStr">
        <is>
          <t>明确决策人和最迟日期</t>
        </is>
      </c>
    </row>
    <row r="39">
      <c r="A39" s="44" t="inlineStr">
        <is>
          <t>数据质量问题</t>
        </is>
      </c>
      <c r="B39" s="44">
        <f>COUNTIF(数据质量检查!$H$5:$H$149,"需整改")</f>
        <v/>
      </c>
      <c r="C39" s="44" t="inlineStr">
        <is>
          <t>提高AI诊断可信度</t>
        </is>
      </c>
    </row>
  </sheetData>
  <mergeCells count="15">
    <mergeCell ref="A1:J1"/>
    <mergeCell ref="A9:J11"/>
    <mergeCell ref="A13:J15"/>
    <mergeCell ref="B5:J5"/>
    <mergeCell ref="A8:J8"/>
    <mergeCell ref="A18:J20"/>
    <mergeCell ref="A22:J22"/>
    <mergeCell ref="A17:J17"/>
    <mergeCell ref="A27:J27"/>
    <mergeCell ref="A12:J12"/>
    <mergeCell ref="B4:J4"/>
    <mergeCell ref="A2:J2"/>
    <mergeCell ref="A28:J30"/>
    <mergeCell ref="A23:J25"/>
    <mergeCell ref="B6:J6"/>
  </mergeCells>
  <pageMargins left="0.75" right="0.75" top="1" bottom="1" header="0.5" footer="0.5"/>
  <pageSetup orientation="landscape" paperSize="1" fitToHeight="0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2" customWidth="1" min="1" max="1"/>
    <col width="18" customWidth="1" min="2" max="2"/>
    <col width="15" customWidth="1" min="3" max="3"/>
    <col width="13" customWidth="1" min="4" max="4"/>
    <col width="22" customWidth="1" min="5" max="5"/>
    <col width="36" customWidth="1" min="6" max="6"/>
    <col width="12" customWidth="1" min="7" max="7"/>
    <col width="36" customWidth="1" min="8" max="8"/>
    <col width="30" customWidth="1" min="9" max="9"/>
    <col width="14" customWidth="1" min="10" max="10"/>
    <col width="13" customWidth="1" min="11" max="11"/>
  </cols>
  <sheetData>
    <row r="1" ht="28" customHeight="1">
      <c r="A1" s="34" t="inlineStr">
        <is>
          <t>AI运行日志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35" t="inlineStr">
        <is>
          <t>记录每次AI分析的输入范围、发现、建议、人工确认和处理结果，便于追踪与复盘。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</row>
    <row r="4" ht="28" customHeight="1">
      <c r="A4" s="42" t="inlineStr">
        <is>
          <t>运行ID</t>
        </is>
      </c>
      <c r="B4" s="42" t="inlineStr">
        <is>
          <t>运行时间</t>
        </is>
      </c>
      <c r="C4" s="42" t="inlineStr">
        <is>
          <t>分析类型</t>
        </is>
      </c>
      <c r="D4" s="42" t="inlineStr">
        <is>
          <t>数据日期</t>
        </is>
      </c>
      <c r="E4" s="42" t="inlineStr">
        <is>
          <t>分析范围</t>
        </is>
      </c>
      <c r="F4" s="42" t="inlineStr">
        <is>
          <t>主要发现</t>
        </is>
      </c>
      <c r="G4" s="42" t="inlineStr">
        <is>
          <t>风险等级</t>
        </is>
      </c>
      <c r="H4" s="42" t="inlineStr">
        <is>
          <t>AI建议</t>
        </is>
      </c>
      <c r="I4" s="42" t="inlineStr">
        <is>
          <t>人工结论</t>
        </is>
      </c>
      <c r="J4" s="42" t="inlineStr">
        <is>
          <t>处理人</t>
        </is>
      </c>
      <c r="K4" s="42" t="inlineStr">
        <is>
          <t>处理状态</t>
        </is>
      </c>
      <c r="L4" s="42" t="inlineStr">
        <is>
          <t>完成时间</t>
        </is>
      </c>
    </row>
    <row r="5">
      <c r="A5" s="44">
        <f>IF(B5="","","AI-"&amp;TEXT(ROW()-4,"0000"))</f>
        <v/>
      </c>
      <c r="B5" s="53" t="n"/>
      <c r="C5" s="48" t="n"/>
      <c r="D5" s="47" t="n"/>
      <c r="E5" s="48" t="n"/>
      <c r="F5" s="48" t="n"/>
      <c r="G5" s="48" t="n"/>
      <c r="H5" s="48" t="n"/>
      <c r="I5" s="48" t="n"/>
      <c r="J5" s="48" t="n"/>
      <c r="K5" s="48" t="n"/>
      <c r="L5" s="47" t="n"/>
    </row>
    <row r="6">
      <c r="A6" s="44">
        <f>IF(B6="","","AI-"&amp;TEXT(ROW()-4,"0000"))</f>
        <v/>
      </c>
      <c r="B6" s="53" t="n"/>
      <c r="C6" s="48" t="n"/>
      <c r="D6" s="47" t="n"/>
      <c r="E6" s="48" t="n"/>
      <c r="F6" s="48" t="n"/>
      <c r="G6" s="48" t="n"/>
      <c r="H6" s="48" t="n"/>
      <c r="I6" s="48" t="n"/>
      <c r="J6" s="48" t="n"/>
      <c r="K6" s="48" t="n"/>
      <c r="L6" s="47" t="n"/>
    </row>
    <row r="7">
      <c r="A7" s="44">
        <f>IF(B7="","","AI-"&amp;TEXT(ROW()-4,"0000"))</f>
        <v/>
      </c>
      <c r="B7" s="53" t="n"/>
      <c r="C7" s="48" t="n"/>
      <c r="D7" s="47" t="n"/>
      <c r="E7" s="48" t="n"/>
      <c r="F7" s="48" t="n"/>
      <c r="G7" s="48" t="n"/>
      <c r="H7" s="48" t="n"/>
      <c r="I7" s="48" t="n"/>
      <c r="J7" s="48" t="n"/>
      <c r="K7" s="48" t="n"/>
      <c r="L7" s="47" t="n"/>
    </row>
    <row r="8">
      <c r="A8" s="44">
        <f>IF(B8="","","AI-"&amp;TEXT(ROW()-4,"0000"))</f>
        <v/>
      </c>
      <c r="B8" s="53" t="n"/>
      <c r="C8" s="48" t="n"/>
      <c r="D8" s="47" t="n"/>
      <c r="E8" s="48" t="n"/>
      <c r="F8" s="48" t="n"/>
      <c r="G8" s="48" t="n"/>
      <c r="H8" s="48" t="n"/>
      <c r="I8" s="48" t="n"/>
      <c r="J8" s="48" t="n"/>
      <c r="K8" s="48" t="n"/>
      <c r="L8" s="47" t="n"/>
    </row>
    <row r="9">
      <c r="A9" s="44">
        <f>IF(B9="","","AI-"&amp;TEXT(ROW()-4,"0000"))</f>
        <v/>
      </c>
      <c r="B9" s="53" t="n"/>
      <c r="C9" s="48" t="n"/>
      <c r="D9" s="47" t="n"/>
      <c r="E9" s="48" t="n"/>
      <c r="F9" s="48" t="n"/>
      <c r="G9" s="48" t="n"/>
      <c r="H9" s="48" t="n"/>
      <c r="I9" s="48" t="n"/>
      <c r="J9" s="48" t="n"/>
      <c r="K9" s="48" t="n"/>
      <c r="L9" s="47" t="n"/>
    </row>
    <row r="10">
      <c r="A10" s="44">
        <f>IF(B10="","","AI-"&amp;TEXT(ROW()-4,"0000"))</f>
        <v/>
      </c>
      <c r="B10" s="53" t="n"/>
      <c r="C10" s="48" t="n"/>
      <c r="D10" s="47" t="n"/>
      <c r="E10" s="48" t="n"/>
      <c r="F10" s="48" t="n"/>
      <c r="G10" s="48" t="n"/>
      <c r="H10" s="48" t="n"/>
      <c r="I10" s="48" t="n"/>
      <c r="J10" s="48" t="n"/>
      <c r="K10" s="48" t="n"/>
      <c r="L10" s="47" t="n"/>
    </row>
    <row r="11">
      <c r="A11" s="44">
        <f>IF(B11="","","AI-"&amp;TEXT(ROW()-4,"0000"))</f>
        <v/>
      </c>
      <c r="B11" s="53" t="n"/>
      <c r="C11" s="48" t="n"/>
      <c r="D11" s="47" t="n"/>
      <c r="E11" s="48" t="n"/>
      <c r="F11" s="48" t="n"/>
      <c r="G11" s="48" t="n"/>
      <c r="H11" s="48" t="n"/>
      <c r="I11" s="48" t="n"/>
      <c r="J11" s="48" t="n"/>
      <c r="K11" s="48" t="n"/>
      <c r="L11" s="47" t="n"/>
    </row>
    <row r="12">
      <c r="A12" s="44">
        <f>IF(B12="","","AI-"&amp;TEXT(ROW()-4,"0000"))</f>
        <v/>
      </c>
      <c r="B12" s="53" t="n"/>
      <c r="C12" s="48" t="n"/>
      <c r="D12" s="47" t="n"/>
      <c r="E12" s="48" t="n"/>
      <c r="F12" s="48" t="n"/>
      <c r="G12" s="48" t="n"/>
      <c r="H12" s="48" t="n"/>
      <c r="I12" s="48" t="n"/>
      <c r="J12" s="48" t="n"/>
      <c r="K12" s="48" t="n"/>
      <c r="L12" s="47" t="n"/>
    </row>
    <row r="13">
      <c r="A13" s="44">
        <f>IF(B13="","","AI-"&amp;TEXT(ROW()-4,"0000"))</f>
        <v/>
      </c>
      <c r="B13" s="53" t="n"/>
      <c r="C13" s="48" t="n"/>
      <c r="D13" s="47" t="n"/>
      <c r="E13" s="48" t="n"/>
      <c r="F13" s="48" t="n"/>
      <c r="G13" s="48" t="n"/>
      <c r="H13" s="48" t="n"/>
      <c r="I13" s="48" t="n"/>
      <c r="J13" s="48" t="n"/>
      <c r="K13" s="48" t="n"/>
      <c r="L13" s="47" t="n"/>
    </row>
    <row r="14">
      <c r="A14" s="44">
        <f>IF(B14="","","AI-"&amp;TEXT(ROW()-4,"0000"))</f>
        <v/>
      </c>
      <c r="B14" s="53" t="n"/>
      <c r="C14" s="48" t="n"/>
      <c r="D14" s="47" t="n"/>
      <c r="E14" s="48" t="n"/>
      <c r="F14" s="48" t="n"/>
      <c r="G14" s="48" t="n"/>
      <c r="H14" s="48" t="n"/>
      <c r="I14" s="48" t="n"/>
      <c r="J14" s="48" t="n"/>
      <c r="K14" s="48" t="n"/>
      <c r="L14" s="47" t="n"/>
    </row>
    <row r="15">
      <c r="A15" s="44">
        <f>IF(B15="","","AI-"&amp;TEXT(ROW()-4,"0000"))</f>
        <v/>
      </c>
      <c r="B15" s="53" t="n"/>
      <c r="C15" s="48" t="n"/>
      <c r="D15" s="47" t="n"/>
      <c r="E15" s="48" t="n"/>
      <c r="F15" s="48" t="n"/>
      <c r="G15" s="48" t="n"/>
      <c r="H15" s="48" t="n"/>
      <c r="I15" s="48" t="n"/>
      <c r="J15" s="48" t="n"/>
      <c r="K15" s="48" t="n"/>
      <c r="L15" s="47" t="n"/>
    </row>
    <row r="16">
      <c r="A16" s="44">
        <f>IF(B16="","","AI-"&amp;TEXT(ROW()-4,"0000"))</f>
        <v/>
      </c>
      <c r="B16" s="53" t="n"/>
      <c r="C16" s="48" t="n"/>
      <c r="D16" s="47" t="n"/>
      <c r="E16" s="48" t="n"/>
      <c r="F16" s="48" t="n"/>
      <c r="G16" s="48" t="n"/>
      <c r="H16" s="48" t="n"/>
      <c r="I16" s="48" t="n"/>
      <c r="J16" s="48" t="n"/>
      <c r="K16" s="48" t="n"/>
      <c r="L16" s="47" t="n"/>
    </row>
    <row r="17">
      <c r="A17" s="44">
        <f>IF(B17="","","AI-"&amp;TEXT(ROW()-4,"0000"))</f>
        <v/>
      </c>
      <c r="B17" s="53" t="n"/>
      <c r="C17" s="48" t="n"/>
      <c r="D17" s="47" t="n"/>
      <c r="E17" s="48" t="n"/>
      <c r="F17" s="48" t="n"/>
      <c r="G17" s="48" t="n"/>
      <c r="H17" s="48" t="n"/>
      <c r="I17" s="48" t="n"/>
      <c r="J17" s="48" t="n"/>
      <c r="K17" s="48" t="n"/>
      <c r="L17" s="47" t="n"/>
    </row>
    <row r="18">
      <c r="A18" s="44">
        <f>IF(B18="","","AI-"&amp;TEXT(ROW()-4,"0000"))</f>
        <v/>
      </c>
      <c r="B18" s="53" t="n"/>
      <c r="C18" s="48" t="n"/>
      <c r="D18" s="47" t="n"/>
      <c r="E18" s="48" t="n"/>
      <c r="F18" s="48" t="n"/>
      <c r="G18" s="48" t="n"/>
      <c r="H18" s="48" t="n"/>
      <c r="I18" s="48" t="n"/>
      <c r="J18" s="48" t="n"/>
      <c r="K18" s="48" t="n"/>
      <c r="L18" s="47" t="n"/>
    </row>
    <row r="19">
      <c r="A19" s="44">
        <f>IF(B19="","","AI-"&amp;TEXT(ROW()-4,"0000"))</f>
        <v/>
      </c>
      <c r="B19" s="53" t="n"/>
      <c r="C19" s="48" t="n"/>
      <c r="D19" s="47" t="n"/>
      <c r="E19" s="48" t="n"/>
      <c r="F19" s="48" t="n"/>
      <c r="G19" s="48" t="n"/>
      <c r="H19" s="48" t="n"/>
      <c r="I19" s="48" t="n"/>
      <c r="J19" s="48" t="n"/>
      <c r="K19" s="48" t="n"/>
      <c r="L19" s="47" t="n"/>
    </row>
    <row r="20">
      <c r="A20" s="44">
        <f>IF(B20="","","AI-"&amp;TEXT(ROW()-4,"0000"))</f>
        <v/>
      </c>
      <c r="B20" s="53" t="n"/>
      <c r="C20" s="48" t="n"/>
      <c r="D20" s="47" t="n"/>
      <c r="E20" s="48" t="n"/>
      <c r="F20" s="48" t="n"/>
      <c r="G20" s="48" t="n"/>
      <c r="H20" s="48" t="n"/>
      <c r="I20" s="48" t="n"/>
      <c r="J20" s="48" t="n"/>
      <c r="K20" s="48" t="n"/>
      <c r="L20" s="47" t="n"/>
    </row>
    <row r="21">
      <c r="A21" s="44">
        <f>IF(B21="","","AI-"&amp;TEXT(ROW()-4,"0000"))</f>
        <v/>
      </c>
      <c r="B21" s="53" t="n"/>
      <c r="C21" s="48" t="n"/>
      <c r="D21" s="47" t="n"/>
      <c r="E21" s="48" t="n"/>
      <c r="F21" s="48" t="n"/>
      <c r="G21" s="48" t="n"/>
      <c r="H21" s="48" t="n"/>
      <c r="I21" s="48" t="n"/>
      <c r="J21" s="48" t="n"/>
      <c r="K21" s="48" t="n"/>
      <c r="L21" s="47" t="n"/>
    </row>
    <row r="22">
      <c r="A22" s="44">
        <f>IF(B22="","","AI-"&amp;TEXT(ROW()-4,"0000"))</f>
        <v/>
      </c>
      <c r="B22" s="53" t="n"/>
      <c r="C22" s="48" t="n"/>
      <c r="D22" s="47" t="n"/>
      <c r="E22" s="48" t="n"/>
      <c r="F22" s="48" t="n"/>
      <c r="G22" s="48" t="n"/>
      <c r="H22" s="48" t="n"/>
      <c r="I22" s="48" t="n"/>
      <c r="J22" s="48" t="n"/>
      <c r="K22" s="48" t="n"/>
      <c r="L22" s="47" t="n"/>
    </row>
    <row r="23">
      <c r="A23" s="44">
        <f>IF(B23="","","AI-"&amp;TEXT(ROW()-4,"0000"))</f>
        <v/>
      </c>
      <c r="B23" s="53" t="n"/>
      <c r="C23" s="48" t="n"/>
      <c r="D23" s="47" t="n"/>
      <c r="E23" s="48" t="n"/>
      <c r="F23" s="48" t="n"/>
      <c r="G23" s="48" t="n"/>
      <c r="H23" s="48" t="n"/>
      <c r="I23" s="48" t="n"/>
      <c r="J23" s="48" t="n"/>
      <c r="K23" s="48" t="n"/>
      <c r="L23" s="47" t="n"/>
    </row>
    <row r="24">
      <c r="A24" s="44">
        <f>IF(B24="","","AI-"&amp;TEXT(ROW()-4,"0000"))</f>
        <v/>
      </c>
      <c r="B24" s="53" t="n"/>
      <c r="C24" s="48" t="n"/>
      <c r="D24" s="47" t="n"/>
      <c r="E24" s="48" t="n"/>
      <c r="F24" s="48" t="n"/>
      <c r="G24" s="48" t="n"/>
      <c r="H24" s="48" t="n"/>
      <c r="I24" s="48" t="n"/>
      <c r="J24" s="48" t="n"/>
      <c r="K24" s="48" t="n"/>
      <c r="L24" s="47" t="n"/>
    </row>
    <row r="25">
      <c r="A25" s="44">
        <f>IF(B25="","","AI-"&amp;TEXT(ROW()-4,"0000"))</f>
        <v/>
      </c>
      <c r="B25" s="53" t="n"/>
      <c r="C25" s="48" t="n"/>
      <c r="D25" s="47" t="n"/>
      <c r="E25" s="48" t="n"/>
      <c r="F25" s="48" t="n"/>
      <c r="G25" s="48" t="n"/>
      <c r="H25" s="48" t="n"/>
      <c r="I25" s="48" t="n"/>
      <c r="J25" s="48" t="n"/>
      <c r="K25" s="48" t="n"/>
      <c r="L25" s="47" t="n"/>
    </row>
    <row r="26">
      <c r="A26" s="44">
        <f>IF(B26="","","AI-"&amp;TEXT(ROW()-4,"0000"))</f>
        <v/>
      </c>
      <c r="B26" s="53" t="n"/>
      <c r="C26" s="48" t="n"/>
      <c r="D26" s="47" t="n"/>
      <c r="E26" s="48" t="n"/>
      <c r="F26" s="48" t="n"/>
      <c r="G26" s="48" t="n"/>
      <c r="H26" s="48" t="n"/>
      <c r="I26" s="48" t="n"/>
      <c r="J26" s="48" t="n"/>
      <c r="K26" s="48" t="n"/>
      <c r="L26" s="47" t="n"/>
    </row>
    <row r="27">
      <c r="A27" s="44">
        <f>IF(B27="","","AI-"&amp;TEXT(ROW()-4,"0000"))</f>
        <v/>
      </c>
      <c r="B27" s="53" t="n"/>
      <c r="C27" s="48" t="n"/>
      <c r="D27" s="47" t="n"/>
      <c r="E27" s="48" t="n"/>
      <c r="F27" s="48" t="n"/>
      <c r="G27" s="48" t="n"/>
      <c r="H27" s="48" t="n"/>
      <c r="I27" s="48" t="n"/>
      <c r="J27" s="48" t="n"/>
      <c r="K27" s="48" t="n"/>
      <c r="L27" s="47" t="n"/>
    </row>
    <row r="28">
      <c r="A28" s="44">
        <f>IF(B28="","","AI-"&amp;TEXT(ROW()-4,"0000"))</f>
        <v/>
      </c>
      <c r="B28" s="53" t="n"/>
      <c r="C28" s="48" t="n"/>
      <c r="D28" s="47" t="n"/>
      <c r="E28" s="48" t="n"/>
      <c r="F28" s="48" t="n"/>
      <c r="G28" s="48" t="n"/>
      <c r="H28" s="48" t="n"/>
      <c r="I28" s="48" t="n"/>
      <c r="J28" s="48" t="n"/>
      <c r="K28" s="48" t="n"/>
      <c r="L28" s="47" t="n"/>
    </row>
    <row r="29">
      <c r="A29" s="44">
        <f>IF(B29="","","AI-"&amp;TEXT(ROW()-4,"0000"))</f>
        <v/>
      </c>
      <c r="B29" s="53" t="n"/>
      <c r="C29" s="48" t="n"/>
      <c r="D29" s="47" t="n"/>
      <c r="E29" s="48" t="n"/>
      <c r="F29" s="48" t="n"/>
      <c r="G29" s="48" t="n"/>
      <c r="H29" s="48" t="n"/>
      <c r="I29" s="48" t="n"/>
      <c r="J29" s="48" t="n"/>
      <c r="K29" s="48" t="n"/>
      <c r="L29" s="47" t="n"/>
    </row>
    <row r="30">
      <c r="A30" s="44">
        <f>IF(B30="","","AI-"&amp;TEXT(ROW()-4,"0000"))</f>
        <v/>
      </c>
      <c r="B30" s="53" t="n"/>
      <c r="C30" s="48" t="n"/>
      <c r="D30" s="47" t="n"/>
      <c r="E30" s="48" t="n"/>
      <c r="F30" s="48" t="n"/>
      <c r="G30" s="48" t="n"/>
      <c r="H30" s="48" t="n"/>
      <c r="I30" s="48" t="n"/>
      <c r="J30" s="48" t="n"/>
      <c r="K30" s="48" t="n"/>
      <c r="L30" s="47" t="n"/>
    </row>
    <row r="31">
      <c r="A31" s="44">
        <f>IF(B31="","","AI-"&amp;TEXT(ROW()-4,"0000"))</f>
        <v/>
      </c>
      <c r="B31" s="53" t="n"/>
      <c r="C31" s="48" t="n"/>
      <c r="D31" s="47" t="n"/>
      <c r="E31" s="48" t="n"/>
      <c r="F31" s="48" t="n"/>
      <c r="G31" s="48" t="n"/>
      <c r="H31" s="48" t="n"/>
      <c r="I31" s="48" t="n"/>
      <c r="J31" s="48" t="n"/>
      <c r="K31" s="48" t="n"/>
      <c r="L31" s="47" t="n"/>
    </row>
    <row r="32">
      <c r="A32" s="44">
        <f>IF(B32="","","AI-"&amp;TEXT(ROW()-4,"0000"))</f>
        <v/>
      </c>
      <c r="B32" s="53" t="n"/>
      <c r="C32" s="48" t="n"/>
      <c r="D32" s="47" t="n"/>
      <c r="E32" s="48" t="n"/>
      <c r="F32" s="48" t="n"/>
      <c r="G32" s="48" t="n"/>
      <c r="H32" s="48" t="n"/>
      <c r="I32" s="48" t="n"/>
      <c r="J32" s="48" t="n"/>
      <c r="K32" s="48" t="n"/>
      <c r="L32" s="47" t="n"/>
    </row>
    <row r="33">
      <c r="A33" s="44">
        <f>IF(B33="","","AI-"&amp;TEXT(ROW()-4,"0000"))</f>
        <v/>
      </c>
      <c r="B33" s="53" t="n"/>
      <c r="C33" s="48" t="n"/>
      <c r="D33" s="47" t="n"/>
      <c r="E33" s="48" t="n"/>
      <c r="F33" s="48" t="n"/>
      <c r="G33" s="48" t="n"/>
      <c r="H33" s="48" t="n"/>
      <c r="I33" s="48" t="n"/>
      <c r="J33" s="48" t="n"/>
      <c r="K33" s="48" t="n"/>
      <c r="L33" s="47" t="n"/>
    </row>
    <row r="34">
      <c r="A34" s="44">
        <f>IF(B34="","","AI-"&amp;TEXT(ROW()-4,"0000"))</f>
        <v/>
      </c>
      <c r="B34" s="53" t="n"/>
      <c r="C34" s="48" t="n"/>
      <c r="D34" s="47" t="n"/>
      <c r="E34" s="48" t="n"/>
      <c r="F34" s="48" t="n"/>
      <c r="G34" s="48" t="n"/>
      <c r="H34" s="48" t="n"/>
      <c r="I34" s="48" t="n"/>
      <c r="J34" s="48" t="n"/>
      <c r="K34" s="48" t="n"/>
      <c r="L34" s="47" t="n"/>
    </row>
    <row r="35">
      <c r="A35" s="44">
        <f>IF(B35="","","AI-"&amp;TEXT(ROW()-4,"0000"))</f>
        <v/>
      </c>
      <c r="B35" s="53" t="n"/>
      <c r="C35" s="48" t="n"/>
      <c r="D35" s="47" t="n"/>
      <c r="E35" s="48" t="n"/>
      <c r="F35" s="48" t="n"/>
      <c r="G35" s="48" t="n"/>
      <c r="H35" s="48" t="n"/>
      <c r="I35" s="48" t="n"/>
      <c r="J35" s="48" t="n"/>
      <c r="K35" s="48" t="n"/>
      <c r="L35" s="47" t="n"/>
    </row>
    <row r="36">
      <c r="A36" s="44">
        <f>IF(B36="","","AI-"&amp;TEXT(ROW()-4,"0000"))</f>
        <v/>
      </c>
      <c r="B36" s="53" t="n"/>
      <c r="C36" s="48" t="n"/>
      <c r="D36" s="47" t="n"/>
      <c r="E36" s="48" t="n"/>
      <c r="F36" s="48" t="n"/>
      <c r="G36" s="48" t="n"/>
      <c r="H36" s="48" t="n"/>
      <c r="I36" s="48" t="n"/>
      <c r="J36" s="48" t="n"/>
      <c r="K36" s="48" t="n"/>
      <c r="L36" s="47" t="n"/>
    </row>
    <row r="37">
      <c r="A37" s="44">
        <f>IF(B37="","","AI-"&amp;TEXT(ROW()-4,"0000"))</f>
        <v/>
      </c>
      <c r="B37" s="53" t="n"/>
      <c r="C37" s="48" t="n"/>
      <c r="D37" s="47" t="n"/>
      <c r="E37" s="48" t="n"/>
      <c r="F37" s="48" t="n"/>
      <c r="G37" s="48" t="n"/>
      <c r="H37" s="48" t="n"/>
      <c r="I37" s="48" t="n"/>
      <c r="J37" s="48" t="n"/>
      <c r="K37" s="48" t="n"/>
      <c r="L37" s="47" t="n"/>
    </row>
    <row r="38">
      <c r="A38" s="44">
        <f>IF(B38="","","AI-"&amp;TEXT(ROW()-4,"0000"))</f>
        <v/>
      </c>
      <c r="B38" s="53" t="n"/>
      <c r="C38" s="48" t="n"/>
      <c r="D38" s="47" t="n"/>
      <c r="E38" s="48" t="n"/>
      <c r="F38" s="48" t="n"/>
      <c r="G38" s="48" t="n"/>
      <c r="H38" s="48" t="n"/>
      <c r="I38" s="48" t="n"/>
      <c r="J38" s="48" t="n"/>
      <c r="K38" s="48" t="n"/>
      <c r="L38" s="47" t="n"/>
    </row>
    <row r="39">
      <c r="A39" s="44">
        <f>IF(B39="","","AI-"&amp;TEXT(ROW()-4,"0000"))</f>
        <v/>
      </c>
      <c r="B39" s="53" t="n"/>
      <c r="C39" s="48" t="n"/>
      <c r="D39" s="47" t="n"/>
      <c r="E39" s="48" t="n"/>
      <c r="F39" s="48" t="n"/>
      <c r="G39" s="48" t="n"/>
      <c r="H39" s="48" t="n"/>
      <c r="I39" s="48" t="n"/>
      <c r="J39" s="48" t="n"/>
      <c r="K39" s="48" t="n"/>
      <c r="L39" s="47" t="n"/>
    </row>
    <row r="40">
      <c r="A40" s="44">
        <f>IF(B40="","","AI-"&amp;TEXT(ROW()-4,"0000"))</f>
        <v/>
      </c>
      <c r="B40" s="53" t="n"/>
      <c r="C40" s="48" t="n"/>
      <c r="D40" s="47" t="n"/>
      <c r="E40" s="48" t="n"/>
      <c r="F40" s="48" t="n"/>
      <c r="G40" s="48" t="n"/>
      <c r="H40" s="48" t="n"/>
      <c r="I40" s="48" t="n"/>
      <c r="J40" s="48" t="n"/>
      <c r="K40" s="48" t="n"/>
      <c r="L40" s="47" t="n"/>
    </row>
    <row r="41">
      <c r="A41" s="44">
        <f>IF(B41="","","AI-"&amp;TEXT(ROW()-4,"0000"))</f>
        <v/>
      </c>
      <c r="B41" s="53" t="n"/>
      <c r="C41" s="48" t="n"/>
      <c r="D41" s="47" t="n"/>
      <c r="E41" s="48" t="n"/>
      <c r="F41" s="48" t="n"/>
      <c r="G41" s="48" t="n"/>
      <c r="H41" s="48" t="n"/>
      <c r="I41" s="48" t="n"/>
      <c r="J41" s="48" t="n"/>
      <c r="K41" s="48" t="n"/>
      <c r="L41" s="47" t="n"/>
    </row>
    <row r="42">
      <c r="A42" s="44">
        <f>IF(B42="","","AI-"&amp;TEXT(ROW()-4,"0000"))</f>
        <v/>
      </c>
      <c r="B42" s="53" t="n"/>
      <c r="C42" s="48" t="n"/>
      <c r="D42" s="47" t="n"/>
      <c r="E42" s="48" t="n"/>
      <c r="F42" s="48" t="n"/>
      <c r="G42" s="48" t="n"/>
      <c r="H42" s="48" t="n"/>
      <c r="I42" s="48" t="n"/>
      <c r="J42" s="48" t="n"/>
      <c r="K42" s="48" t="n"/>
      <c r="L42" s="47" t="n"/>
    </row>
    <row r="43">
      <c r="A43" s="44">
        <f>IF(B43="","","AI-"&amp;TEXT(ROW()-4,"0000"))</f>
        <v/>
      </c>
      <c r="B43" s="53" t="n"/>
      <c r="C43" s="48" t="n"/>
      <c r="D43" s="47" t="n"/>
      <c r="E43" s="48" t="n"/>
      <c r="F43" s="48" t="n"/>
      <c r="G43" s="48" t="n"/>
      <c r="H43" s="48" t="n"/>
      <c r="I43" s="48" t="n"/>
      <c r="J43" s="48" t="n"/>
      <c r="K43" s="48" t="n"/>
      <c r="L43" s="47" t="n"/>
    </row>
    <row r="44">
      <c r="A44" s="44">
        <f>IF(B44="","","AI-"&amp;TEXT(ROW()-4,"0000"))</f>
        <v/>
      </c>
      <c r="B44" s="53" t="n"/>
      <c r="C44" s="48" t="n"/>
      <c r="D44" s="47" t="n"/>
      <c r="E44" s="48" t="n"/>
      <c r="F44" s="48" t="n"/>
      <c r="G44" s="48" t="n"/>
      <c r="H44" s="48" t="n"/>
      <c r="I44" s="48" t="n"/>
      <c r="J44" s="48" t="n"/>
      <c r="K44" s="48" t="n"/>
      <c r="L44" s="47" t="n"/>
    </row>
    <row r="45">
      <c r="A45" s="44">
        <f>IF(B45="","","AI-"&amp;TEXT(ROW()-4,"0000"))</f>
        <v/>
      </c>
      <c r="B45" s="53" t="n"/>
      <c r="C45" s="48" t="n"/>
      <c r="D45" s="47" t="n"/>
      <c r="E45" s="48" t="n"/>
      <c r="F45" s="48" t="n"/>
      <c r="G45" s="48" t="n"/>
      <c r="H45" s="48" t="n"/>
      <c r="I45" s="48" t="n"/>
      <c r="J45" s="48" t="n"/>
      <c r="K45" s="48" t="n"/>
      <c r="L45" s="47" t="n"/>
    </row>
    <row r="46">
      <c r="A46" s="44">
        <f>IF(B46="","","AI-"&amp;TEXT(ROW()-4,"0000"))</f>
        <v/>
      </c>
      <c r="B46" s="53" t="n"/>
      <c r="C46" s="48" t="n"/>
      <c r="D46" s="47" t="n"/>
      <c r="E46" s="48" t="n"/>
      <c r="F46" s="48" t="n"/>
      <c r="G46" s="48" t="n"/>
      <c r="H46" s="48" t="n"/>
      <c r="I46" s="48" t="n"/>
      <c r="J46" s="48" t="n"/>
      <c r="K46" s="48" t="n"/>
      <c r="L46" s="47" t="n"/>
    </row>
    <row r="47">
      <c r="A47" s="44">
        <f>IF(B47="","","AI-"&amp;TEXT(ROW()-4,"0000"))</f>
        <v/>
      </c>
      <c r="B47" s="53" t="n"/>
      <c r="C47" s="48" t="n"/>
      <c r="D47" s="47" t="n"/>
      <c r="E47" s="48" t="n"/>
      <c r="F47" s="48" t="n"/>
      <c r="G47" s="48" t="n"/>
      <c r="H47" s="48" t="n"/>
      <c r="I47" s="48" t="n"/>
      <c r="J47" s="48" t="n"/>
      <c r="K47" s="48" t="n"/>
      <c r="L47" s="47" t="n"/>
    </row>
    <row r="48">
      <c r="A48" s="44">
        <f>IF(B48="","","AI-"&amp;TEXT(ROW()-4,"0000"))</f>
        <v/>
      </c>
      <c r="B48" s="53" t="n"/>
      <c r="C48" s="48" t="n"/>
      <c r="D48" s="47" t="n"/>
      <c r="E48" s="48" t="n"/>
      <c r="F48" s="48" t="n"/>
      <c r="G48" s="48" t="n"/>
      <c r="H48" s="48" t="n"/>
      <c r="I48" s="48" t="n"/>
      <c r="J48" s="48" t="n"/>
      <c r="K48" s="48" t="n"/>
      <c r="L48" s="47" t="n"/>
    </row>
    <row r="49">
      <c r="A49" s="44">
        <f>IF(B49="","","AI-"&amp;TEXT(ROW()-4,"0000"))</f>
        <v/>
      </c>
      <c r="B49" s="53" t="n"/>
      <c r="C49" s="48" t="n"/>
      <c r="D49" s="47" t="n"/>
      <c r="E49" s="48" t="n"/>
      <c r="F49" s="48" t="n"/>
      <c r="G49" s="48" t="n"/>
      <c r="H49" s="48" t="n"/>
      <c r="I49" s="48" t="n"/>
      <c r="J49" s="48" t="n"/>
      <c r="K49" s="48" t="n"/>
      <c r="L49" s="47" t="n"/>
    </row>
    <row r="50">
      <c r="A50" s="44">
        <f>IF(B50="","","AI-"&amp;TEXT(ROW()-4,"0000"))</f>
        <v/>
      </c>
      <c r="B50" s="53" t="n"/>
      <c r="C50" s="48" t="n"/>
      <c r="D50" s="47" t="n"/>
      <c r="E50" s="48" t="n"/>
      <c r="F50" s="48" t="n"/>
      <c r="G50" s="48" t="n"/>
      <c r="H50" s="48" t="n"/>
      <c r="I50" s="48" t="n"/>
      <c r="J50" s="48" t="n"/>
      <c r="K50" s="48" t="n"/>
      <c r="L50" s="47" t="n"/>
    </row>
    <row r="51">
      <c r="A51" s="44">
        <f>IF(B51="","","AI-"&amp;TEXT(ROW()-4,"0000"))</f>
        <v/>
      </c>
      <c r="B51" s="53" t="n"/>
      <c r="C51" s="48" t="n"/>
      <c r="D51" s="47" t="n"/>
      <c r="E51" s="48" t="n"/>
      <c r="F51" s="48" t="n"/>
      <c r="G51" s="48" t="n"/>
      <c r="H51" s="48" t="n"/>
      <c r="I51" s="48" t="n"/>
      <c r="J51" s="48" t="n"/>
      <c r="K51" s="48" t="n"/>
      <c r="L51" s="47" t="n"/>
    </row>
    <row r="52">
      <c r="A52" s="44">
        <f>IF(B52="","","AI-"&amp;TEXT(ROW()-4,"0000"))</f>
        <v/>
      </c>
      <c r="B52" s="53" t="n"/>
      <c r="C52" s="48" t="n"/>
      <c r="D52" s="47" t="n"/>
      <c r="E52" s="48" t="n"/>
      <c r="F52" s="48" t="n"/>
      <c r="G52" s="48" t="n"/>
      <c r="H52" s="48" t="n"/>
      <c r="I52" s="48" t="n"/>
      <c r="J52" s="48" t="n"/>
      <c r="K52" s="48" t="n"/>
      <c r="L52" s="47" t="n"/>
    </row>
    <row r="53">
      <c r="A53" s="44">
        <f>IF(B53="","","AI-"&amp;TEXT(ROW()-4,"0000"))</f>
        <v/>
      </c>
      <c r="B53" s="53" t="n"/>
      <c r="C53" s="48" t="n"/>
      <c r="D53" s="47" t="n"/>
      <c r="E53" s="48" t="n"/>
      <c r="F53" s="48" t="n"/>
      <c r="G53" s="48" t="n"/>
      <c r="H53" s="48" t="n"/>
      <c r="I53" s="48" t="n"/>
      <c r="J53" s="48" t="n"/>
      <c r="K53" s="48" t="n"/>
      <c r="L53" s="47" t="n"/>
    </row>
    <row r="54">
      <c r="A54" s="44">
        <f>IF(B54="","","AI-"&amp;TEXT(ROW()-4,"0000"))</f>
        <v/>
      </c>
      <c r="B54" s="53" t="n"/>
      <c r="C54" s="48" t="n"/>
      <c r="D54" s="47" t="n"/>
      <c r="E54" s="48" t="n"/>
      <c r="F54" s="48" t="n"/>
      <c r="G54" s="48" t="n"/>
      <c r="H54" s="48" t="n"/>
      <c r="I54" s="48" t="n"/>
      <c r="J54" s="48" t="n"/>
      <c r="K54" s="48" t="n"/>
      <c r="L54" s="47" t="n"/>
    </row>
    <row r="55">
      <c r="A55" s="44">
        <f>IF(B55="","","AI-"&amp;TEXT(ROW()-4,"0000"))</f>
        <v/>
      </c>
      <c r="B55" s="53" t="n"/>
      <c r="C55" s="48" t="n"/>
      <c r="D55" s="47" t="n"/>
      <c r="E55" s="48" t="n"/>
      <c r="F55" s="48" t="n"/>
      <c r="G55" s="48" t="n"/>
      <c r="H55" s="48" t="n"/>
      <c r="I55" s="48" t="n"/>
      <c r="J55" s="48" t="n"/>
      <c r="K55" s="48" t="n"/>
      <c r="L55" s="47" t="n"/>
    </row>
    <row r="56">
      <c r="A56" s="44">
        <f>IF(B56="","","AI-"&amp;TEXT(ROW()-4,"0000"))</f>
        <v/>
      </c>
      <c r="B56" s="53" t="n"/>
      <c r="C56" s="48" t="n"/>
      <c r="D56" s="47" t="n"/>
      <c r="E56" s="48" t="n"/>
      <c r="F56" s="48" t="n"/>
      <c r="G56" s="48" t="n"/>
      <c r="H56" s="48" t="n"/>
      <c r="I56" s="48" t="n"/>
      <c r="J56" s="48" t="n"/>
      <c r="K56" s="48" t="n"/>
      <c r="L56" s="47" t="n"/>
    </row>
    <row r="57">
      <c r="A57" s="44">
        <f>IF(B57="","","AI-"&amp;TEXT(ROW()-4,"0000"))</f>
        <v/>
      </c>
      <c r="B57" s="53" t="n"/>
      <c r="C57" s="48" t="n"/>
      <c r="D57" s="47" t="n"/>
      <c r="E57" s="48" t="n"/>
      <c r="F57" s="48" t="n"/>
      <c r="G57" s="48" t="n"/>
      <c r="H57" s="48" t="n"/>
      <c r="I57" s="48" t="n"/>
      <c r="J57" s="48" t="n"/>
      <c r="K57" s="48" t="n"/>
      <c r="L57" s="47" t="n"/>
    </row>
    <row r="58">
      <c r="A58" s="44">
        <f>IF(B58="","","AI-"&amp;TEXT(ROW()-4,"0000"))</f>
        <v/>
      </c>
      <c r="B58" s="53" t="n"/>
      <c r="C58" s="48" t="n"/>
      <c r="D58" s="47" t="n"/>
      <c r="E58" s="48" t="n"/>
      <c r="F58" s="48" t="n"/>
      <c r="G58" s="48" t="n"/>
      <c r="H58" s="48" t="n"/>
      <c r="I58" s="48" t="n"/>
      <c r="J58" s="48" t="n"/>
      <c r="K58" s="48" t="n"/>
      <c r="L58" s="47" t="n"/>
    </row>
    <row r="59">
      <c r="A59" s="44">
        <f>IF(B59="","","AI-"&amp;TEXT(ROW()-4,"0000"))</f>
        <v/>
      </c>
      <c r="B59" s="53" t="n"/>
      <c r="C59" s="48" t="n"/>
      <c r="D59" s="47" t="n"/>
      <c r="E59" s="48" t="n"/>
      <c r="F59" s="48" t="n"/>
      <c r="G59" s="48" t="n"/>
      <c r="H59" s="48" t="n"/>
      <c r="I59" s="48" t="n"/>
      <c r="J59" s="48" t="n"/>
      <c r="K59" s="48" t="n"/>
      <c r="L59" s="47" t="n"/>
    </row>
    <row r="60">
      <c r="A60" s="44">
        <f>IF(B60="","","AI-"&amp;TEXT(ROW()-4,"0000"))</f>
        <v/>
      </c>
      <c r="B60" s="53" t="n"/>
      <c r="C60" s="48" t="n"/>
      <c r="D60" s="47" t="n"/>
      <c r="E60" s="48" t="n"/>
      <c r="F60" s="48" t="n"/>
      <c r="G60" s="48" t="n"/>
      <c r="H60" s="48" t="n"/>
      <c r="I60" s="48" t="n"/>
      <c r="J60" s="48" t="n"/>
      <c r="K60" s="48" t="n"/>
      <c r="L60" s="47" t="n"/>
    </row>
    <row r="61">
      <c r="A61" s="44">
        <f>IF(B61="","","AI-"&amp;TEXT(ROW()-4,"0000"))</f>
        <v/>
      </c>
      <c r="B61" s="53" t="n"/>
      <c r="C61" s="48" t="n"/>
      <c r="D61" s="47" t="n"/>
      <c r="E61" s="48" t="n"/>
      <c r="F61" s="48" t="n"/>
      <c r="G61" s="48" t="n"/>
      <c r="H61" s="48" t="n"/>
      <c r="I61" s="48" t="n"/>
      <c r="J61" s="48" t="n"/>
      <c r="K61" s="48" t="n"/>
      <c r="L61" s="47" t="n"/>
    </row>
    <row r="62">
      <c r="A62" s="44">
        <f>IF(B62="","","AI-"&amp;TEXT(ROW()-4,"0000"))</f>
        <v/>
      </c>
      <c r="B62" s="53" t="n"/>
      <c r="C62" s="48" t="n"/>
      <c r="D62" s="47" t="n"/>
      <c r="E62" s="48" t="n"/>
      <c r="F62" s="48" t="n"/>
      <c r="G62" s="48" t="n"/>
      <c r="H62" s="48" t="n"/>
      <c r="I62" s="48" t="n"/>
      <c r="J62" s="48" t="n"/>
      <c r="K62" s="48" t="n"/>
      <c r="L62" s="47" t="n"/>
    </row>
    <row r="63">
      <c r="A63" s="44">
        <f>IF(B63="","","AI-"&amp;TEXT(ROW()-4,"0000"))</f>
        <v/>
      </c>
      <c r="B63" s="53" t="n"/>
      <c r="C63" s="48" t="n"/>
      <c r="D63" s="47" t="n"/>
      <c r="E63" s="48" t="n"/>
      <c r="F63" s="48" t="n"/>
      <c r="G63" s="48" t="n"/>
      <c r="H63" s="48" t="n"/>
      <c r="I63" s="48" t="n"/>
      <c r="J63" s="48" t="n"/>
      <c r="K63" s="48" t="n"/>
      <c r="L63" s="47" t="n"/>
    </row>
    <row r="64">
      <c r="A64" s="44">
        <f>IF(B64="","","AI-"&amp;TEXT(ROW()-4,"0000"))</f>
        <v/>
      </c>
      <c r="B64" s="53" t="n"/>
      <c r="C64" s="48" t="n"/>
      <c r="D64" s="47" t="n"/>
      <c r="E64" s="48" t="n"/>
      <c r="F64" s="48" t="n"/>
      <c r="G64" s="48" t="n"/>
      <c r="H64" s="48" t="n"/>
      <c r="I64" s="48" t="n"/>
      <c r="J64" s="48" t="n"/>
      <c r="K64" s="48" t="n"/>
      <c r="L64" s="47" t="n"/>
    </row>
    <row r="65">
      <c r="A65" s="44">
        <f>IF(B65="","","AI-"&amp;TEXT(ROW()-4,"0000"))</f>
        <v/>
      </c>
      <c r="B65" s="53" t="n"/>
      <c r="C65" s="48" t="n"/>
      <c r="D65" s="47" t="n"/>
      <c r="E65" s="48" t="n"/>
      <c r="F65" s="48" t="n"/>
      <c r="G65" s="48" t="n"/>
      <c r="H65" s="48" t="n"/>
      <c r="I65" s="48" t="n"/>
      <c r="J65" s="48" t="n"/>
      <c r="K65" s="48" t="n"/>
      <c r="L65" s="47" t="n"/>
    </row>
    <row r="66">
      <c r="A66" s="44">
        <f>IF(B66="","","AI-"&amp;TEXT(ROW()-4,"0000"))</f>
        <v/>
      </c>
      <c r="B66" s="53" t="n"/>
      <c r="C66" s="48" t="n"/>
      <c r="D66" s="47" t="n"/>
      <c r="E66" s="48" t="n"/>
      <c r="F66" s="48" t="n"/>
      <c r="G66" s="48" t="n"/>
      <c r="H66" s="48" t="n"/>
      <c r="I66" s="48" t="n"/>
      <c r="J66" s="48" t="n"/>
      <c r="K66" s="48" t="n"/>
      <c r="L66" s="47" t="n"/>
    </row>
    <row r="67">
      <c r="A67" s="44">
        <f>IF(B67="","","AI-"&amp;TEXT(ROW()-4,"0000"))</f>
        <v/>
      </c>
      <c r="B67" s="53" t="n"/>
      <c r="C67" s="48" t="n"/>
      <c r="D67" s="47" t="n"/>
      <c r="E67" s="48" t="n"/>
      <c r="F67" s="48" t="n"/>
      <c r="G67" s="48" t="n"/>
      <c r="H67" s="48" t="n"/>
      <c r="I67" s="48" t="n"/>
      <c r="J67" s="48" t="n"/>
      <c r="K67" s="48" t="n"/>
      <c r="L67" s="47" t="n"/>
    </row>
    <row r="68">
      <c r="A68" s="44">
        <f>IF(B68="","","AI-"&amp;TEXT(ROW()-4,"0000"))</f>
        <v/>
      </c>
      <c r="B68" s="53" t="n"/>
      <c r="C68" s="48" t="n"/>
      <c r="D68" s="47" t="n"/>
      <c r="E68" s="48" t="n"/>
      <c r="F68" s="48" t="n"/>
      <c r="G68" s="48" t="n"/>
      <c r="H68" s="48" t="n"/>
      <c r="I68" s="48" t="n"/>
      <c r="J68" s="48" t="n"/>
      <c r="K68" s="48" t="n"/>
      <c r="L68" s="47" t="n"/>
    </row>
    <row r="69">
      <c r="A69" s="44">
        <f>IF(B69="","","AI-"&amp;TEXT(ROW()-4,"0000"))</f>
        <v/>
      </c>
      <c r="B69" s="53" t="n"/>
      <c r="C69" s="48" t="n"/>
      <c r="D69" s="47" t="n"/>
      <c r="E69" s="48" t="n"/>
      <c r="F69" s="48" t="n"/>
      <c r="G69" s="48" t="n"/>
      <c r="H69" s="48" t="n"/>
      <c r="I69" s="48" t="n"/>
      <c r="J69" s="48" t="n"/>
      <c r="K69" s="48" t="n"/>
      <c r="L69" s="47" t="n"/>
    </row>
    <row r="70">
      <c r="A70" s="44">
        <f>IF(B70="","","AI-"&amp;TEXT(ROW()-4,"0000"))</f>
        <v/>
      </c>
      <c r="B70" s="53" t="n"/>
      <c r="C70" s="48" t="n"/>
      <c r="D70" s="47" t="n"/>
      <c r="E70" s="48" t="n"/>
      <c r="F70" s="48" t="n"/>
      <c r="G70" s="48" t="n"/>
      <c r="H70" s="48" t="n"/>
      <c r="I70" s="48" t="n"/>
      <c r="J70" s="48" t="n"/>
      <c r="K70" s="48" t="n"/>
      <c r="L70" s="47" t="n"/>
    </row>
    <row r="71">
      <c r="A71" s="44">
        <f>IF(B71="","","AI-"&amp;TEXT(ROW()-4,"0000"))</f>
        <v/>
      </c>
      <c r="B71" s="53" t="n"/>
      <c r="C71" s="48" t="n"/>
      <c r="D71" s="47" t="n"/>
      <c r="E71" s="48" t="n"/>
      <c r="F71" s="48" t="n"/>
      <c r="G71" s="48" t="n"/>
      <c r="H71" s="48" t="n"/>
      <c r="I71" s="48" t="n"/>
      <c r="J71" s="48" t="n"/>
      <c r="K71" s="48" t="n"/>
      <c r="L71" s="47" t="n"/>
    </row>
    <row r="72">
      <c r="A72" s="44">
        <f>IF(B72="","","AI-"&amp;TEXT(ROW()-4,"0000"))</f>
        <v/>
      </c>
      <c r="B72" s="53" t="n"/>
      <c r="C72" s="48" t="n"/>
      <c r="D72" s="47" t="n"/>
      <c r="E72" s="48" t="n"/>
      <c r="F72" s="48" t="n"/>
      <c r="G72" s="48" t="n"/>
      <c r="H72" s="48" t="n"/>
      <c r="I72" s="48" t="n"/>
      <c r="J72" s="48" t="n"/>
      <c r="K72" s="48" t="n"/>
      <c r="L72" s="47" t="n"/>
    </row>
    <row r="73">
      <c r="A73" s="44">
        <f>IF(B73="","","AI-"&amp;TEXT(ROW()-4,"0000"))</f>
        <v/>
      </c>
      <c r="B73" s="53" t="n"/>
      <c r="C73" s="48" t="n"/>
      <c r="D73" s="47" t="n"/>
      <c r="E73" s="48" t="n"/>
      <c r="F73" s="48" t="n"/>
      <c r="G73" s="48" t="n"/>
      <c r="H73" s="48" t="n"/>
      <c r="I73" s="48" t="n"/>
      <c r="J73" s="48" t="n"/>
      <c r="K73" s="48" t="n"/>
      <c r="L73" s="47" t="n"/>
    </row>
    <row r="74">
      <c r="A74" s="44">
        <f>IF(B74="","","AI-"&amp;TEXT(ROW()-4,"0000"))</f>
        <v/>
      </c>
      <c r="B74" s="53" t="n"/>
      <c r="C74" s="48" t="n"/>
      <c r="D74" s="47" t="n"/>
      <c r="E74" s="48" t="n"/>
      <c r="F74" s="48" t="n"/>
      <c r="G74" s="48" t="n"/>
      <c r="H74" s="48" t="n"/>
      <c r="I74" s="48" t="n"/>
      <c r="J74" s="48" t="n"/>
      <c r="K74" s="48" t="n"/>
      <c r="L74" s="47" t="n"/>
    </row>
    <row r="75">
      <c r="A75" s="44">
        <f>IF(B75="","","AI-"&amp;TEXT(ROW()-4,"0000"))</f>
        <v/>
      </c>
      <c r="B75" s="53" t="n"/>
      <c r="C75" s="48" t="n"/>
      <c r="D75" s="47" t="n"/>
      <c r="E75" s="48" t="n"/>
      <c r="F75" s="48" t="n"/>
      <c r="G75" s="48" t="n"/>
      <c r="H75" s="48" t="n"/>
      <c r="I75" s="48" t="n"/>
      <c r="J75" s="48" t="n"/>
      <c r="K75" s="48" t="n"/>
      <c r="L75" s="47" t="n"/>
    </row>
    <row r="76">
      <c r="A76" s="44">
        <f>IF(B76="","","AI-"&amp;TEXT(ROW()-4,"0000"))</f>
        <v/>
      </c>
      <c r="B76" s="53" t="n"/>
      <c r="C76" s="48" t="n"/>
      <c r="D76" s="47" t="n"/>
      <c r="E76" s="48" t="n"/>
      <c r="F76" s="48" t="n"/>
      <c r="G76" s="48" t="n"/>
      <c r="H76" s="48" t="n"/>
      <c r="I76" s="48" t="n"/>
      <c r="J76" s="48" t="n"/>
      <c r="K76" s="48" t="n"/>
      <c r="L76" s="47" t="n"/>
    </row>
    <row r="77">
      <c r="A77" s="44">
        <f>IF(B77="","","AI-"&amp;TEXT(ROW()-4,"0000"))</f>
        <v/>
      </c>
      <c r="B77" s="53" t="n"/>
      <c r="C77" s="48" t="n"/>
      <c r="D77" s="47" t="n"/>
      <c r="E77" s="48" t="n"/>
      <c r="F77" s="48" t="n"/>
      <c r="G77" s="48" t="n"/>
      <c r="H77" s="48" t="n"/>
      <c r="I77" s="48" t="n"/>
      <c r="J77" s="48" t="n"/>
      <c r="K77" s="48" t="n"/>
      <c r="L77" s="47" t="n"/>
    </row>
    <row r="78">
      <c r="A78" s="44">
        <f>IF(B78="","","AI-"&amp;TEXT(ROW()-4,"0000"))</f>
        <v/>
      </c>
      <c r="B78" s="53" t="n"/>
      <c r="C78" s="48" t="n"/>
      <c r="D78" s="47" t="n"/>
      <c r="E78" s="48" t="n"/>
      <c r="F78" s="48" t="n"/>
      <c r="G78" s="48" t="n"/>
      <c r="H78" s="48" t="n"/>
      <c r="I78" s="48" t="n"/>
      <c r="J78" s="48" t="n"/>
      <c r="K78" s="48" t="n"/>
      <c r="L78" s="47" t="n"/>
    </row>
    <row r="79">
      <c r="A79" s="44">
        <f>IF(B79="","","AI-"&amp;TEXT(ROW()-4,"0000"))</f>
        <v/>
      </c>
      <c r="B79" s="53" t="n"/>
      <c r="C79" s="48" t="n"/>
      <c r="D79" s="47" t="n"/>
      <c r="E79" s="48" t="n"/>
      <c r="F79" s="48" t="n"/>
      <c r="G79" s="48" t="n"/>
      <c r="H79" s="48" t="n"/>
      <c r="I79" s="48" t="n"/>
      <c r="J79" s="48" t="n"/>
      <c r="K79" s="48" t="n"/>
      <c r="L79" s="47" t="n"/>
    </row>
    <row r="80">
      <c r="A80" s="44">
        <f>IF(B80="","","AI-"&amp;TEXT(ROW()-4,"0000"))</f>
        <v/>
      </c>
      <c r="B80" s="53" t="n"/>
      <c r="C80" s="48" t="n"/>
      <c r="D80" s="47" t="n"/>
      <c r="E80" s="48" t="n"/>
      <c r="F80" s="48" t="n"/>
      <c r="G80" s="48" t="n"/>
      <c r="H80" s="48" t="n"/>
      <c r="I80" s="48" t="n"/>
      <c r="J80" s="48" t="n"/>
      <c r="K80" s="48" t="n"/>
      <c r="L80" s="47" t="n"/>
    </row>
    <row r="81">
      <c r="A81" s="44">
        <f>IF(B81="","","AI-"&amp;TEXT(ROW()-4,"0000"))</f>
        <v/>
      </c>
      <c r="B81" s="53" t="n"/>
      <c r="C81" s="48" t="n"/>
      <c r="D81" s="47" t="n"/>
      <c r="E81" s="48" t="n"/>
      <c r="F81" s="48" t="n"/>
      <c r="G81" s="48" t="n"/>
      <c r="H81" s="48" t="n"/>
      <c r="I81" s="48" t="n"/>
      <c r="J81" s="48" t="n"/>
      <c r="K81" s="48" t="n"/>
      <c r="L81" s="47" t="n"/>
    </row>
    <row r="82">
      <c r="A82" s="44">
        <f>IF(B82="","","AI-"&amp;TEXT(ROW()-4,"0000"))</f>
        <v/>
      </c>
      <c r="B82" s="53" t="n"/>
      <c r="C82" s="48" t="n"/>
      <c r="D82" s="47" t="n"/>
      <c r="E82" s="48" t="n"/>
      <c r="F82" s="48" t="n"/>
      <c r="G82" s="48" t="n"/>
      <c r="H82" s="48" t="n"/>
      <c r="I82" s="48" t="n"/>
      <c r="J82" s="48" t="n"/>
      <c r="K82" s="48" t="n"/>
      <c r="L82" s="47" t="n"/>
    </row>
    <row r="83">
      <c r="A83" s="44">
        <f>IF(B83="","","AI-"&amp;TEXT(ROW()-4,"0000"))</f>
        <v/>
      </c>
      <c r="B83" s="53" t="n"/>
      <c r="C83" s="48" t="n"/>
      <c r="D83" s="47" t="n"/>
      <c r="E83" s="48" t="n"/>
      <c r="F83" s="48" t="n"/>
      <c r="G83" s="48" t="n"/>
      <c r="H83" s="48" t="n"/>
      <c r="I83" s="48" t="n"/>
      <c r="J83" s="48" t="n"/>
      <c r="K83" s="48" t="n"/>
      <c r="L83" s="47" t="n"/>
    </row>
    <row r="84">
      <c r="A84" s="44">
        <f>IF(B84="","","AI-"&amp;TEXT(ROW()-4,"0000"))</f>
        <v/>
      </c>
      <c r="B84" s="53" t="n"/>
      <c r="C84" s="48" t="n"/>
      <c r="D84" s="47" t="n"/>
      <c r="E84" s="48" t="n"/>
      <c r="F84" s="48" t="n"/>
      <c r="G84" s="48" t="n"/>
      <c r="H84" s="48" t="n"/>
      <c r="I84" s="48" t="n"/>
      <c r="J84" s="48" t="n"/>
      <c r="K84" s="48" t="n"/>
      <c r="L84" s="47" t="n"/>
    </row>
    <row r="85">
      <c r="A85" s="44">
        <f>IF(B85="","","AI-"&amp;TEXT(ROW()-4,"0000"))</f>
        <v/>
      </c>
      <c r="B85" s="53" t="n"/>
      <c r="C85" s="48" t="n"/>
      <c r="D85" s="47" t="n"/>
      <c r="E85" s="48" t="n"/>
      <c r="F85" s="48" t="n"/>
      <c r="G85" s="48" t="n"/>
      <c r="H85" s="48" t="n"/>
      <c r="I85" s="48" t="n"/>
      <c r="J85" s="48" t="n"/>
      <c r="K85" s="48" t="n"/>
      <c r="L85" s="47" t="n"/>
    </row>
    <row r="86">
      <c r="A86" s="44">
        <f>IF(B86="","","AI-"&amp;TEXT(ROW()-4,"0000"))</f>
        <v/>
      </c>
      <c r="B86" s="53" t="n"/>
      <c r="C86" s="48" t="n"/>
      <c r="D86" s="47" t="n"/>
      <c r="E86" s="48" t="n"/>
      <c r="F86" s="48" t="n"/>
      <c r="G86" s="48" t="n"/>
      <c r="H86" s="48" t="n"/>
      <c r="I86" s="48" t="n"/>
      <c r="J86" s="48" t="n"/>
      <c r="K86" s="48" t="n"/>
      <c r="L86" s="47" t="n"/>
    </row>
    <row r="87">
      <c r="A87" s="44">
        <f>IF(B87="","","AI-"&amp;TEXT(ROW()-4,"0000"))</f>
        <v/>
      </c>
      <c r="B87" s="53" t="n"/>
      <c r="C87" s="48" t="n"/>
      <c r="D87" s="47" t="n"/>
      <c r="E87" s="48" t="n"/>
      <c r="F87" s="48" t="n"/>
      <c r="G87" s="48" t="n"/>
      <c r="H87" s="48" t="n"/>
      <c r="I87" s="48" t="n"/>
      <c r="J87" s="48" t="n"/>
      <c r="K87" s="48" t="n"/>
      <c r="L87" s="47" t="n"/>
    </row>
    <row r="88">
      <c r="A88" s="44">
        <f>IF(B88="","","AI-"&amp;TEXT(ROW()-4,"0000"))</f>
        <v/>
      </c>
      <c r="B88" s="53" t="n"/>
      <c r="C88" s="48" t="n"/>
      <c r="D88" s="47" t="n"/>
      <c r="E88" s="48" t="n"/>
      <c r="F88" s="48" t="n"/>
      <c r="G88" s="48" t="n"/>
      <c r="H88" s="48" t="n"/>
      <c r="I88" s="48" t="n"/>
      <c r="J88" s="48" t="n"/>
      <c r="K88" s="48" t="n"/>
      <c r="L88" s="47" t="n"/>
    </row>
    <row r="89">
      <c r="A89" s="44">
        <f>IF(B89="","","AI-"&amp;TEXT(ROW()-4,"0000"))</f>
        <v/>
      </c>
      <c r="B89" s="53" t="n"/>
      <c r="C89" s="48" t="n"/>
      <c r="D89" s="47" t="n"/>
      <c r="E89" s="48" t="n"/>
      <c r="F89" s="48" t="n"/>
      <c r="G89" s="48" t="n"/>
      <c r="H89" s="48" t="n"/>
      <c r="I89" s="48" t="n"/>
      <c r="J89" s="48" t="n"/>
      <c r="K89" s="48" t="n"/>
      <c r="L89" s="47" t="n"/>
    </row>
    <row r="90">
      <c r="A90" s="44">
        <f>IF(B90="","","AI-"&amp;TEXT(ROW()-4,"0000"))</f>
        <v/>
      </c>
      <c r="B90" s="53" t="n"/>
      <c r="C90" s="48" t="n"/>
      <c r="D90" s="47" t="n"/>
      <c r="E90" s="48" t="n"/>
      <c r="F90" s="48" t="n"/>
      <c r="G90" s="48" t="n"/>
      <c r="H90" s="48" t="n"/>
      <c r="I90" s="48" t="n"/>
      <c r="J90" s="48" t="n"/>
      <c r="K90" s="48" t="n"/>
      <c r="L90" s="47" t="n"/>
    </row>
    <row r="91">
      <c r="A91" s="44">
        <f>IF(B91="","","AI-"&amp;TEXT(ROW()-4,"0000"))</f>
        <v/>
      </c>
      <c r="B91" s="53" t="n"/>
      <c r="C91" s="48" t="n"/>
      <c r="D91" s="47" t="n"/>
      <c r="E91" s="48" t="n"/>
      <c r="F91" s="48" t="n"/>
      <c r="G91" s="48" t="n"/>
      <c r="H91" s="48" t="n"/>
      <c r="I91" s="48" t="n"/>
      <c r="J91" s="48" t="n"/>
      <c r="K91" s="48" t="n"/>
      <c r="L91" s="47" t="n"/>
    </row>
    <row r="92">
      <c r="A92" s="44">
        <f>IF(B92="","","AI-"&amp;TEXT(ROW()-4,"0000"))</f>
        <v/>
      </c>
      <c r="B92" s="53" t="n"/>
      <c r="C92" s="48" t="n"/>
      <c r="D92" s="47" t="n"/>
      <c r="E92" s="48" t="n"/>
      <c r="F92" s="48" t="n"/>
      <c r="G92" s="48" t="n"/>
      <c r="H92" s="48" t="n"/>
      <c r="I92" s="48" t="n"/>
      <c r="J92" s="48" t="n"/>
      <c r="K92" s="48" t="n"/>
      <c r="L92" s="47" t="n"/>
    </row>
    <row r="93">
      <c r="A93" s="44">
        <f>IF(B93="","","AI-"&amp;TEXT(ROW()-4,"0000"))</f>
        <v/>
      </c>
      <c r="B93" s="53" t="n"/>
      <c r="C93" s="48" t="n"/>
      <c r="D93" s="47" t="n"/>
      <c r="E93" s="48" t="n"/>
      <c r="F93" s="48" t="n"/>
      <c r="G93" s="48" t="n"/>
      <c r="H93" s="48" t="n"/>
      <c r="I93" s="48" t="n"/>
      <c r="J93" s="48" t="n"/>
      <c r="K93" s="48" t="n"/>
      <c r="L93" s="47" t="n"/>
    </row>
    <row r="94">
      <c r="A94" s="44">
        <f>IF(B94="","","AI-"&amp;TEXT(ROW()-4,"0000"))</f>
        <v/>
      </c>
      <c r="B94" s="53" t="n"/>
      <c r="C94" s="48" t="n"/>
      <c r="D94" s="47" t="n"/>
      <c r="E94" s="48" t="n"/>
      <c r="F94" s="48" t="n"/>
      <c r="G94" s="48" t="n"/>
      <c r="H94" s="48" t="n"/>
      <c r="I94" s="48" t="n"/>
      <c r="J94" s="48" t="n"/>
      <c r="K94" s="48" t="n"/>
      <c r="L94" s="47" t="n"/>
    </row>
    <row r="95">
      <c r="A95" s="44">
        <f>IF(B95="","","AI-"&amp;TEXT(ROW()-4,"0000"))</f>
        <v/>
      </c>
      <c r="B95" s="53" t="n"/>
      <c r="C95" s="48" t="n"/>
      <c r="D95" s="47" t="n"/>
      <c r="E95" s="48" t="n"/>
      <c r="F95" s="48" t="n"/>
      <c r="G95" s="48" t="n"/>
      <c r="H95" s="48" t="n"/>
      <c r="I95" s="48" t="n"/>
      <c r="J95" s="48" t="n"/>
      <c r="K95" s="48" t="n"/>
      <c r="L95" s="47" t="n"/>
    </row>
    <row r="96">
      <c r="A96" s="44">
        <f>IF(B96="","","AI-"&amp;TEXT(ROW()-4,"0000"))</f>
        <v/>
      </c>
      <c r="B96" s="53" t="n"/>
      <c r="C96" s="48" t="n"/>
      <c r="D96" s="47" t="n"/>
      <c r="E96" s="48" t="n"/>
      <c r="F96" s="48" t="n"/>
      <c r="G96" s="48" t="n"/>
      <c r="H96" s="48" t="n"/>
      <c r="I96" s="48" t="n"/>
      <c r="J96" s="48" t="n"/>
      <c r="K96" s="48" t="n"/>
      <c r="L96" s="47" t="n"/>
    </row>
    <row r="97">
      <c r="A97" s="44">
        <f>IF(B97="","","AI-"&amp;TEXT(ROW()-4,"0000"))</f>
        <v/>
      </c>
      <c r="B97" s="53" t="n"/>
      <c r="C97" s="48" t="n"/>
      <c r="D97" s="47" t="n"/>
      <c r="E97" s="48" t="n"/>
      <c r="F97" s="48" t="n"/>
      <c r="G97" s="48" t="n"/>
      <c r="H97" s="48" t="n"/>
      <c r="I97" s="48" t="n"/>
      <c r="J97" s="48" t="n"/>
      <c r="K97" s="48" t="n"/>
      <c r="L97" s="47" t="n"/>
    </row>
    <row r="98">
      <c r="A98" s="44">
        <f>IF(B98="","","AI-"&amp;TEXT(ROW()-4,"0000"))</f>
        <v/>
      </c>
      <c r="B98" s="53" t="n"/>
      <c r="C98" s="48" t="n"/>
      <c r="D98" s="47" t="n"/>
      <c r="E98" s="48" t="n"/>
      <c r="F98" s="48" t="n"/>
      <c r="G98" s="48" t="n"/>
      <c r="H98" s="48" t="n"/>
      <c r="I98" s="48" t="n"/>
      <c r="J98" s="48" t="n"/>
      <c r="K98" s="48" t="n"/>
      <c r="L98" s="47" t="n"/>
    </row>
    <row r="99">
      <c r="A99" s="44">
        <f>IF(B99="","","AI-"&amp;TEXT(ROW()-4,"0000"))</f>
        <v/>
      </c>
      <c r="B99" s="53" t="n"/>
      <c r="C99" s="48" t="n"/>
      <c r="D99" s="47" t="n"/>
      <c r="E99" s="48" t="n"/>
      <c r="F99" s="48" t="n"/>
      <c r="G99" s="48" t="n"/>
      <c r="H99" s="48" t="n"/>
      <c r="I99" s="48" t="n"/>
      <c r="J99" s="48" t="n"/>
      <c r="K99" s="48" t="n"/>
      <c r="L99" s="47" t="n"/>
    </row>
    <row r="100">
      <c r="A100" s="44">
        <f>IF(B100="","","AI-"&amp;TEXT(ROW()-4,"0000"))</f>
        <v/>
      </c>
      <c r="B100" s="53" t="n"/>
      <c r="C100" s="48" t="n"/>
      <c r="D100" s="47" t="n"/>
      <c r="E100" s="48" t="n"/>
      <c r="F100" s="48" t="n"/>
      <c r="G100" s="48" t="n"/>
      <c r="H100" s="48" t="n"/>
      <c r="I100" s="48" t="n"/>
      <c r="J100" s="48" t="n"/>
      <c r="K100" s="48" t="n"/>
      <c r="L100" s="47" t="n"/>
    </row>
    <row r="101">
      <c r="A101" s="44">
        <f>IF(B101="","","AI-"&amp;TEXT(ROW()-4,"0000"))</f>
        <v/>
      </c>
      <c r="B101" s="53" t="n"/>
      <c r="C101" s="48" t="n"/>
      <c r="D101" s="47" t="n"/>
      <c r="E101" s="48" t="n"/>
      <c r="F101" s="48" t="n"/>
      <c r="G101" s="48" t="n"/>
      <c r="H101" s="48" t="n"/>
      <c r="I101" s="48" t="n"/>
      <c r="J101" s="48" t="n"/>
      <c r="K101" s="48" t="n"/>
      <c r="L101" s="47" t="n"/>
    </row>
    <row r="102">
      <c r="A102" s="44">
        <f>IF(B102="","","AI-"&amp;TEXT(ROW()-4,"0000"))</f>
        <v/>
      </c>
      <c r="B102" s="53" t="n"/>
      <c r="C102" s="48" t="n"/>
      <c r="D102" s="47" t="n"/>
      <c r="E102" s="48" t="n"/>
      <c r="F102" s="48" t="n"/>
      <c r="G102" s="48" t="n"/>
      <c r="H102" s="48" t="n"/>
      <c r="I102" s="48" t="n"/>
      <c r="J102" s="48" t="n"/>
      <c r="K102" s="48" t="n"/>
      <c r="L102" s="47" t="n"/>
    </row>
    <row r="103">
      <c r="A103" s="44">
        <f>IF(B103="","","AI-"&amp;TEXT(ROW()-4,"0000"))</f>
        <v/>
      </c>
      <c r="B103" s="53" t="n"/>
      <c r="C103" s="48" t="n"/>
      <c r="D103" s="47" t="n"/>
      <c r="E103" s="48" t="n"/>
      <c r="F103" s="48" t="n"/>
      <c r="G103" s="48" t="n"/>
      <c r="H103" s="48" t="n"/>
      <c r="I103" s="48" t="n"/>
      <c r="J103" s="48" t="n"/>
      <c r="K103" s="48" t="n"/>
      <c r="L103" s="47" t="n"/>
    </row>
    <row r="104">
      <c r="A104" s="44">
        <f>IF(B104="","","AI-"&amp;TEXT(ROW()-4,"0000"))</f>
        <v/>
      </c>
      <c r="B104" s="53" t="n"/>
      <c r="C104" s="48" t="n"/>
      <c r="D104" s="47" t="n"/>
      <c r="E104" s="48" t="n"/>
      <c r="F104" s="48" t="n"/>
      <c r="G104" s="48" t="n"/>
      <c r="H104" s="48" t="n"/>
      <c r="I104" s="48" t="n"/>
      <c r="J104" s="48" t="n"/>
      <c r="K104" s="48" t="n"/>
      <c r="L104" s="47" t="n"/>
    </row>
  </sheetData>
  <autoFilter ref="A4:L104"/>
  <mergeCells count="2">
    <mergeCell ref="A2:L2"/>
    <mergeCell ref="A1:L1"/>
  </mergeCells>
  <dataValidations count="3">
    <dataValidation sqref="C5:C104" showDropDown="0" showInputMessage="0" showErrorMessage="0" allowBlank="1" type="list">
      <formula1>"健康扫描,周报生成,风险分析,变更分析,会议提取,专项诊断"</formula1>
    </dataValidation>
    <dataValidation sqref="G5:G104" showDropDown="0" showInputMessage="0" showErrorMessage="0" allowBlank="1" type="list">
      <formula1>"低,中,高"</formula1>
    </dataValidation>
    <dataValidation sqref="K5:K104" showDropDown="0" showInputMessage="0" showErrorMessage="0" allowBlank="1" type="list">
      <formula1>"待确认,已采纳,部分采纳,不采纳,已完成"</formula1>
    </dataValidation>
  </dataValidations>
  <pageMargins left="0.75" right="0.75" top="1" bottom="1" header="0.5" footer="0.5"/>
  <pageSetup orientation="landscape" paperSize="1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10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2026-09-16T00:44:24Z</dcterms:created>
  <dcterms:modified xmlns:dcterms="http://purl.org/dc/terms/" xmlns:xsi="http://www.w3.org/2001/XMLSchema-instance" xsi:type="dcterms:W3CDTF">2026-09-16T00:44:24Z</dcterms:modified>
</cp:coreProperties>
</file>
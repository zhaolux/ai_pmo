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4af9b7399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驾驶舱" sheetId="1" r:id="R6bf03acb45964680" state="hidden"/>
    <x:sheet xmlns:r="http://schemas.openxmlformats.org/officeDocument/2006/relationships" name="项目总控台账" sheetId="2" r:id="R0d784c606d134bcb" state="hidden"/>
    <x:sheet xmlns:r="http://schemas.openxmlformats.org/officeDocument/2006/relationships" name="资源计划" sheetId="3" r:id="R8c3fbb259d9f4ecc" state="hidden"/>
    <x:sheet xmlns:r="http://schemas.openxmlformats.org/officeDocument/2006/relationships" name="相关方管理" sheetId="4" r:id="R2ad77ffb74524995"/>
    <x:sheet xmlns:r="http://schemas.openxmlformats.org/officeDocument/2006/relationships" name="风险管理计划" sheetId="5" r:id="R1d45eaf0ccac4bdd" state="hidden"/>
    <x:sheet xmlns:r="http://schemas.openxmlformats.org/officeDocument/2006/relationships" name="风险登记册" sheetId="6" r:id="R6ca7079bde714ea7" state="hidden"/>
    <x:sheet xmlns:r="http://schemas.openxmlformats.org/officeDocument/2006/relationships" name="风险热力图" sheetId="7" r:id="R2746c69582024084" state="hidden"/>
    <x:sheet xmlns:r="http://schemas.openxmlformats.org/officeDocument/2006/relationships" name="重点风险清单" sheetId="8" r:id="Rfc49b31d517f4197" state="hidden"/>
    <x:sheet xmlns:r="http://schemas.openxmlformats.org/officeDocument/2006/relationships" name="重大风险应对" sheetId="9" r:id="Rd1d5f9a23fb2434e" state="hidden"/>
    <x:sheet xmlns:r="http://schemas.openxmlformats.org/officeDocument/2006/relationships" name="风险应对计划" sheetId="10" r:id="Rff16964adc2c4006" state="hidden"/>
    <x:sheet xmlns:r="http://schemas.openxmlformats.org/officeDocument/2006/relationships" name="里程碑计划" sheetId="11" r:id="R5619e123440a41ec" state="hidden"/>
    <x:sheet xmlns:r="http://schemas.openxmlformats.org/officeDocument/2006/relationships" name="周迭代计划" sheetId="12" r:id="R4c3dca79bb2646ed" state="hidden"/>
    <x:sheet xmlns:r="http://schemas.openxmlformats.org/officeDocument/2006/relationships" name="集成管理" sheetId="13" r:id="R4e2a3d2403f74c89" state="hidden"/>
    <x:sheet xmlns:r="http://schemas.openxmlformats.org/officeDocument/2006/relationships" name="风险问题台账" sheetId="14" r:id="Rda403c1098d64ea0" state="hidden"/>
    <x:sheet xmlns:r="http://schemas.openxmlformats.org/officeDocument/2006/relationships" name="变更台账" sheetId="15" r:id="Rb4fff98dacf14bcf" state="hidden"/>
    <x:sheet xmlns:r="http://schemas.openxmlformats.org/officeDocument/2006/relationships" name="交付物台账" sheetId="16" r:id="Rb9600a6a07964533" state="hidden"/>
    <x:sheet xmlns:r="http://schemas.openxmlformats.org/officeDocument/2006/relationships" name="会议行动项" sheetId="17" r:id="Rf6eb1c206fce427a"/>
    <x:sheet xmlns:r="http://schemas.openxmlformats.org/officeDocument/2006/relationships" name="使用说明" sheetId="18" r:id="R8b0cf4703e064502" state="hidden"/>
    <x:sheet xmlns:r="http://schemas.openxmlformats.org/officeDocument/2006/relationships" name="AI项目诊断" sheetId="19" r:id="R709bb1887cba4cfb" state="hidden"/>
    <x:sheet xmlns:r="http://schemas.openxmlformats.org/officeDocument/2006/relationships" name="数据质量检查" sheetId="20" r:id="R784d7d4ea7c4462d" state="hidden"/>
    <x:sheet xmlns:r="http://schemas.openxmlformats.org/officeDocument/2006/relationships" name="待决策事项" sheetId="21" r:id="R7b91f563a86c4dc2"/>
    <x:sheet xmlns:r="http://schemas.openxmlformats.org/officeDocument/2006/relationships" name="两周督办" sheetId="22" r:id="R5439a0ba11274b42" state="hidden"/>
    <x:sheet xmlns:r="http://schemas.openxmlformats.org/officeDocument/2006/relationships" name="PMO周报" sheetId="23" r:id="R3af6670192d841de" state="hidden"/>
    <x:sheet xmlns:r="http://schemas.openxmlformats.org/officeDocument/2006/relationships" name="AI运行日志" sheetId="24" r:id="Refe8ff6d2f374777" state="hidden"/>
  </x:sheets>
</x:workbook>
</file>

<file path=xl/sharedStrings.xml><?xml version="1.0" encoding="utf-8"?>
<x:sst xmlns:x="http://schemas.openxmlformats.org/spreadsheetml/2006/main">
  <x:si>
    <x:t xml:space="preserve">统计日期</x:t>
  </x:si>
  <x:si>
    <x:t xml:space="preserve">总任务数</x:t>
  </x:si>
  <x:si>
    <x:t xml:space="preserve">已完成</x:t>
  </x:si>
  <x:si>
    <x:t xml:space="preserve">进行中</x:t>
  </x:si>
  <x:si>
    <x:t xml:space="preserve">未开始</x:t>
  </x:si>
  <x:si>
    <x:t xml:space="preserve">暂停</x:t>
  </x:si>
  <x:si>
    <x:t xml:space="preserve">平均进度</x:t>
  </x:si>
  <x:si>
    <x:t xml:space="preserve">已延期</x:t>
  </x:si>
  <x:si>
    <x:t xml:space="preserve">临近到期</x:t>
  </x:si>
  <x:si>
    <x:t xml:space="preserve">高风险</x:t>
  </x:si>
  <x:si>
    <x:t xml:space="preserve">未关闭问题</x:t>
  </x:si>
  <x:si>
    <x:t xml:space="preserve">待决变更</x:t>
  </x:si>
  <x:si>
    <x:t xml:space="preserve">里程碑达成</x:t>
  </x:si>
  <x:si>
    <x:t xml:space="preserve">集成完成</x:t>
  </x:si>
  <x:si>
    <x:t xml:space="preserve">交付物完成</x:t>
  </x:si>
  <x:si>
    <x:t xml:space="preserve">综合进度</x:t>
  </x:si>
  <x:si>
    <x:t xml:space="preserve">任务完成率</x:t>
  </x:si>
  <x:si>
    <x:t xml:space="preserve">计划投入人天</x:t>
  </x:si>
  <x:si>
    <x:t xml:space="preserve">计划人工成本</x:t>
  </x:si>
  <x:si>
    <x:t xml:space="preserve">人日单价</x:t>
  </x:si>
  <x:si>
    <x:t xml:space="preserve">状态</x:t>
  </x:si>
  <x:si>
    <x:t xml:space="preserve">任务数</x:t>
  </x:si>
  <x:si>
    <x:t xml:space="preserve">批次</x:t>
  </x:si>
  <x:si>
    <x:t xml:space="preserve">完成率</x:t>
  </x:si>
  <x:si>
    <x:t xml:space="preserve">第一批次</x:t>
  </x:si>
  <x:si>
    <x:t xml:space="preserve">第二批次</x:t>
  </x:si>
  <x:si>
    <x:t xml:space="preserve">其他</x:t>
  </x:si>
  <x:si>
    <x:t xml:space="preserve">管理关注点</x:t>
  </x:si>
  <x:si>
    <x:t xml:space="preserve">相关方管理</x:t>
  </x:si>
  <x:si>
    <x:t xml:space="preserve">重点管理：</x:t>
  </x:si>
  <x:si>
    <x:t xml:space="preserve">当前不支持：</x:t>
  </x:si>
  <x:si>
    <x:t xml:space="preserve">沟通逾期：</x:t>
  </x:si>
  <x:si>
    <x:t xml:space="preserve">待升级事项：</x:t>
  </x:si>
  <x:si>
    <x:t xml:space="preserve">风险管理</x:t>
  </x:si>
  <x:si>
    <x:t xml:space="preserve">重大剩余风险</x:t>
  </x:si>
  <x:si>
    <x:t xml:space="preserve">高剩余风险</x:t>
  </x:si>
  <x:si>
    <x:t xml:space="preserve">应对逾期</x:t>
  </x:si>
  <x:si>
    <x:t xml:space="preserve">趋势上升</x:t>
  </x:si>
  <x:si>
    <x:t xml:space="preserve">蓝色字段来自原开发计划；黄色字段为管理补充项；进度与延期由公式自动计算。</x:t>
  </x:si>
  <x:si>
    <x:t xml:space="preserve">任务ID</x:t>
  </x:si>
  <x:si>
    <x:t xml:space="preserve">一级功能</x:t>
  </x:si>
  <x:si>
    <x:t xml:space="preserve">二级功能</x:t>
  </x:si>
  <x:si>
    <x:t xml:space="preserve">三级功能</x:t>
  </x:si>
  <x:si>
    <x:t xml:space="preserve">四级功能</x:t>
  </x:si>
  <x:si>
    <x:t xml:space="preserve">总体状态</x:t>
  </x:si>
  <x:si>
    <x:t xml:space="preserve">主责人</x:t>
  </x:si>
  <x:si>
    <x:t xml:space="preserve">计划开始</x:t>
  </x:si>
  <x:si>
    <x:t xml:space="preserve">计划完成</x:t>
  </x:si>
  <x:si>
    <x:t xml:space="preserve">计划上线</x:t>
  </x:si>
  <x:si>
    <x:t xml:space="preserve">业务负责人</x:t>
  </x:si>
  <x:si>
    <x:t xml:space="preserve">业务状态</x:t>
  </x:si>
  <x:si>
    <x:t xml:space="preserve">业务开始</x:t>
  </x:si>
  <x:si>
    <x:t xml:space="preserve">业务结束</x:t>
  </x:si>
  <x:si>
    <x:t xml:space="preserve">后端负责人</x:t>
  </x:si>
  <x:si>
    <x:t xml:space="preserve">后端状态</x:t>
  </x:si>
  <x:si>
    <x:t xml:space="preserve">后端开始</x:t>
  </x:si>
  <x:si>
    <x:t xml:space="preserve">后端结束</x:t>
  </x:si>
  <x:si>
    <x:t xml:space="preserve">前端负责人</x:t>
  </x:si>
  <x:si>
    <x:t xml:space="preserve">前端状态</x:t>
  </x:si>
  <x:si>
    <x:t xml:space="preserve">前端开始</x:t>
  </x:si>
  <x:si>
    <x:t xml:space="preserve">前端结束</x:t>
  </x:si>
  <x:si>
    <x:t xml:space="preserve">测试负责人</x:t>
  </x:si>
  <x:si>
    <x:t xml:space="preserve">测试状态</x:t>
  </x:si>
  <x:si>
    <x:t xml:space="preserve">测试开始</x:t>
  </x:si>
  <x:si>
    <x:t xml:space="preserve">测试结束</x:t>
  </x:si>
  <x:si>
    <x:t xml:space="preserve">延期状态</x:t>
  </x:si>
  <x:si>
    <x:t xml:space="preserve">当前问题/阻塞</x:t>
  </x:si>
  <x:si>
    <x:t xml:space="preserve">备注</x:t>
  </x:si>
  <x:si>
    <x:t xml:space="preserve">资源计划</x:t>
  </x:si>
  <x:si>
    <x:t xml:space="preserve">汇总业务、后端、前端和测试任务分配。黄色区域用于填写可用工时、任务投入工时和资源调整说明。</x:t>
  </x:si>
  <x:si>
    <x:t xml:space="preserve">人员</x:t>
  </x:si>
  <x:si>
    <x:t xml:space="preserve">角色</x:t>
  </x:si>
  <x:si>
    <x:t xml:space="preserve">未完成任务</x:t>
  </x:si>
  <x:si>
    <x:t xml:space="preserve">最早开始</x:t>
  </x:si>
  <x:si>
    <x:t xml:space="preserve">最晚结束</x:t>
  </x:si>
  <x:si>
    <x:t xml:space="preserve">周可用工时</x:t>
  </x:si>
  <x:si>
    <x:t xml:space="preserve">计划投入工时</x:t>
  </x:si>
  <x:si>
    <x:t xml:space="preserve">负荷率</x:t>
  </x:si>
  <x:si>
    <x:t xml:space="preserve">负荷判断</x:t>
  </x:si>
  <x:si>
    <x:t xml:space="preserve">资源建议</x:t>
  </x:si>
  <x:si>
    <x:t xml:space="preserve">资源周计划</x:t>
  </x:si>
  <x:si>
    <x:t xml:space="preserve">项目相关方管理</x:t>
  </x:si>
  <x:si>
    <x:t xml:space="preserve">持续跟踪影响力、支持度、沟通节奏和待办行动，黄色单元格由项目团队维护。</x:t>
  </x:si>
  <x:si>
    <x:t xml:space="preserve">相关方总数</x:t>
  </x:si>
  <x:si>
    <x:t xml:space="preserve">高权力相关方</x:t>
  </x:si>
  <x:si>
    <x:t xml:space="preserve">重点管理人数</x:t>
  </x:si>
  <x:si>
    <x:t xml:space="preserve">当前不支持人数</x:t>
  </x:si>
  <x:si>
    <x:t xml:space="preserve">存在支持差距</x:t>
  </x:si>
  <x:si>
    <x:t xml:space="preserve">沟通逾期人数</x:t>
  </x:si>
  <x:si>
    <x:t xml:space="preserve">未关闭行动数</x:t>
  </x:si>
  <x:si>
    <x:t xml:space="preserve">待升级事项</x:t>
  </x:si>
  <x:si>
    <x:t xml:space="preserve">相关方管理明细</x:t>
  </x:si>
  <x:si>
    <x:t xml:space="preserve">相关方ID</x:t>
  </x:si>
  <x:si>
    <x:t xml:space="preserve">姓名/组织</x:t>
  </x:si>
  <x:si>
    <x:t xml:space="preserve">所属单位/部门</x:t>
  </x:si>
  <x:si>
    <x:t xml:space="preserve">职务/角色</x:t>
  </x:si>
  <x:si>
    <x:t xml:space="preserve">相关方类别</x:t>
  </x:si>
  <x:si>
    <x:t xml:space="preserve">项目责任</x:t>
  </x:si>
  <x:si>
    <x:t xml:space="preserve">关注事项</x:t>
  </x:si>
  <x:si>
    <x:t xml:space="preserve">权力等级</x:t>
  </x:si>
  <x:si>
    <x:t xml:space="preserve">关注度</x:t>
  </x:si>
  <x:si>
    <x:t xml:space="preserve">当前支持度</x:t>
  </x:si>
  <x:si>
    <x:t xml:space="preserve">目标支持度</x:t>
  </x:si>
  <x:si>
    <x:t xml:space="preserve">支持差距</x:t>
  </x:si>
  <x:si>
    <x:t xml:space="preserve">影响方向</x:t>
  </x:si>
  <x:si>
    <x:t xml:space="preserve">管理策略</x:t>
  </x:si>
  <x:si>
    <x:t xml:space="preserve">沟通方式</x:t>
  </x:si>
  <x:si>
    <x:t xml:space="preserve">沟通频率</x:t>
  </x:si>
  <x:si>
    <x:t xml:space="preserve">沟通内容</x:t>
  </x:si>
  <x:si>
    <x:t xml:space="preserve">关系责任人</x:t>
  </x:si>
  <x:si>
    <x:t xml:space="preserve">最近沟通日期</x:t>
  </x:si>
  <x:si>
    <x:t xml:space="preserve">下次沟通日期</x:t>
  </x:si>
  <x:si>
    <x:t xml:space="preserve">当前诉求/意见</x:t>
  </x:si>
  <x:si>
    <x:t xml:space="preserve">待办行动</x:t>
  </x:si>
  <x:si>
    <x:t xml:space="preserve">行动责任人</x:t>
  </x:si>
  <x:si>
    <x:t xml:space="preserve">承诺完成日期</x:t>
  </x:si>
  <x:si>
    <x:t xml:space="preserve">行动状态</x:t>
  </x:si>
  <x:si>
    <x:t xml:space="preserve">是否需要升级</x:t>
  </x:si>
  <x:si>
    <x:t xml:space="preserve">升级对象</x:t>
  </x:si>
  <x:si>
    <x:t xml:space="preserve">风险提示</x:t>
  </x:si>
  <x:si>
    <x:t xml:space="preserve">项目风险管理计划</x:t>
  </x:si>
  <x:si>
    <x:t xml:space="preserve">定义风险分类、评分、升级、评审和责任规则；本项目同时管理威胁与机会。</x:t>
  </x:si>
  <x:si>
    <x:t xml:space="preserve">项目名称</x:t>
  </x:si>
  <x:si>
    <x:t xml:space="preserve">风险管理负责人</x:t>
  </x:si>
  <x:si>
    <x:t xml:space="preserve">项目经理</x:t>
  </x:si>
  <x:si>
    <x:t xml:space="preserve">项目阶段</x:t>
  </x:si>
  <x:si>
    <x:t xml:space="preserve">开发与集成测试</x:t>
  </x:si>
  <x:si>
    <x:t xml:space="preserve">重大风险批准人</x:t>
  </x:si>
  <x:si>
    <x:t xml:space="preserve">项目发起人/项目总监</x:t>
  </x:si>
  <x:si>
    <x:t xml:space="preserve">常规评审频率</x:t>
  </x:si>
  <x:si>
    <x:t xml:space="preserve">每周</x:t>
  </x:si>
  <x:si>
    <x:t xml:space="preserve">重大风险评审</x:t>
  </x:si>
  <x:si>
    <x:t xml:space="preserve">触发后立即召集</x:t>
  </x:si>
  <x:si>
    <x:t xml:space="preserve">风险报告周期</x:t>
  </x:si>
  <x:si>
    <x:t xml:space="preserve">随PMO周报</x:t>
  </x:si>
  <x:si>
    <x:t xml:space="preserve">角色与责任</x:t>
  </x:si>
  <x:si>
    <x:t xml:space="preserve">核心责任</x:t>
  </x:si>
  <x:si>
    <x:t xml:space="preserve">输入</x:t>
  </x:si>
  <x:si>
    <x:t xml:space="preserve">输出</x:t>
  </x:si>
  <x:si>
    <x:t xml:space="preserve">升级权限</x:t>
  </x:si>
  <x:si>
    <x:t xml:space="preserve">项目发起人</x:t>
  </x:si>
  <x:si>
    <x:t xml:space="preserve">批准重大风险策略和储备使用</x:t>
  </x:si>
  <x:si>
    <x:t xml:space="preserve">重大风险专项分析</x:t>
  </x:si>
  <x:si>
    <x:t xml:space="preserve">批准结论</x:t>
  </x:si>
  <x:si>
    <x:t xml:space="preserve">最终决策</x:t>
  </x:si>
  <x:si>
    <x:t xml:space="preserve">组织识别、分析、应对、监控和升级</x:t>
  </x:si>
  <x:si>
    <x:t xml:space="preserve">项目信息</x:t>
  </x:si>
  <x:si>
    <x:t xml:space="preserve">风险报告</x:t>
  </x:si>
  <x:si>
    <x:t xml:space="preserve">高风险升级</x:t>
  </x:si>
  <x:si>
    <x:t xml:space="preserve">风险责任人</x:t>
  </x:si>
  <x:si>
    <x:t xml:space="preserve">对风险结果及剩余风险负责</x:t>
  </x:si>
  <x:si>
    <x:t xml:space="preserve">评分和触发信号</x:t>
  </x:si>
  <x:si>
    <x:t xml:space="preserve">处置决策</x:t>
  </x:si>
  <x:si>
    <x:t xml:space="preserve">提请升级</x:t>
  </x:si>
  <x:si>
    <x:t xml:space="preserve">应对责任人</x:t>
  </x:si>
  <x:si>
    <x:t xml:space="preserve">按期完成具体应对行动</x:t>
  </x:si>
  <x:si>
    <x:t xml:space="preserve">应对计划</x:t>
  </x:si>
  <x:si>
    <x:t xml:space="preserve">完成证据</x:t>
  </x:si>
  <x:si>
    <x:t xml:space="preserve">报告阻塞</x:t>
  </x:si>
  <x:si>
    <x:t xml:space="preserve">PMO</x:t>
  </x:si>
  <x:si>
    <x:t xml:space="preserve">维护规则、检查逾期和生成报告</x:t>
  </x:si>
  <x:si>
    <x:t xml:space="preserve">各类台账</x:t>
  </x:si>
  <x:si>
    <x:t xml:space="preserve">重点风险清单</x:t>
  </x:si>
  <x:si>
    <x:t xml:space="preserve">治理升级</x:t>
  </x:si>
  <x:si>
    <x:t xml:space="preserve">风险分类结构（RBS）</x:t>
  </x:si>
  <x:si>
    <x:t xml:space="preserve">业务与需求</x:t>
  </x:si>
  <x:si>
    <x:t xml:space="preserve">范围与变更</x:t>
  </x:si>
  <x:si>
    <x:t xml:space="preserve">计划与进度</x:t>
  </x:si>
  <x:si>
    <x:t xml:space="preserve">资源与关键人员</x:t>
  </x:si>
  <x:si>
    <x:t xml:space="preserve">技术与架构</x:t>
  </x:si>
  <x:si>
    <x:t xml:space="preserve">数据与迁移</x:t>
  </x:si>
  <x:si>
    <x:t xml:space="preserve">接口与外部依赖</x:t>
  </x:si>
  <x:si>
    <x:t xml:space="preserve">测试与质量</x:t>
  </x:si>
  <x:si>
    <x:t xml:space="preserve">安全与合规</x:t>
  </x:si>
  <x:si>
    <x:t xml:space="preserve">部署与上线</x:t>
  </x:si>
  <x:si>
    <x:t xml:space="preserve">运维与服务</x:t>
  </x:si>
  <x:si>
    <x:t xml:space="preserve">采购与供应商</x:t>
  </x:si>
  <x:si>
    <x:t xml:space="preserve">合同与成本</x:t>
  </x:si>
  <x:si>
    <x:t xml:space="preserve">相关方与决策</x:t>
  </x:si>
  <x:si>
    <x:t xml:space="preserve">外部环境</x:t>
  </x:si>
  <x:si>
    <x:t xml:space="preserve">机会类风险</x:t>
  </x:si>
  <x:si>
    <x:t xml:space="preserve">概率与影响评分</x:t>
  </x:si>
  <x:si>
    <x:t xml:space="preserve">等级</x:t>
  </x:si>
  <x:si>
    <x:t xml:space="preserve">概率参考</x:t>
  </x:si>
  <x:si>
    <x:t xml:space="preserve">影响描述</x:t>
  </x:si>
  <x:si>
    <x:t xml:space="preserve">分值</x:t>
  </x:si>
  <x:si>
    <x:t xml:space="preserve">风险等级</x:t>
  </x:si>
  <x:si>
    <x:t xml:space="preserve">管理要求</x:t>
  </x:si>
  <x:si>
    <x:t xml:space="preserve">≤10%</x:t>
  </x:si>
  <x:si>
    <x:t xml:space="preserve">极低</x:t>
  </x:si>
  <x:si>
    <x:t xml:space="preserve">1–4</x:t>
  </x:si>
  <x:si>
    <x:t xml:space="preserve">低</x:t>
  </x:si>
  <x:si>
    <x:t xml:space="preserve">月度观察</x:t>
  </x:si>
  <x:si>
    <x:t xml:space="preserve">11%–30%</x:t>
  </x:si>
  <x:si>
    <x:t xml:space="preserve">较低</x:t>
  </x:si>
  <x:si>
    <x:t xml:space="preserve">5–9</x:t>
  </x:si>
  <x:si>
    <x:t xml:space="preserve">中</x:t>
  </x:si>
  <x:si>
    <x:t xml:space="preserve">每两周检查</x:t>
  </x:si>
  <x:si>
    <x:t xml:space="preserve">31%–50%</x:t>
  </x:si>
  <x:si>
    <x:t xml:space="preserve">中等</x:t>
  </x:si>
  <x:si>
    <x:t xml:space="preserve">10–16</x:t>
  </x:si>
  <x:si>
    <x:t xml:space="preserve">高</x:t>
  </x:si>
  <x:si>
    <x:t xml:space="preserve">每周检查</x:t>
  </x:si>
  <x:si>
    <x:t xml:space="preserve">51%–70%</x:t>
  </x:si>
  <x:si>
    <x:t xml:space="preserve">较高</x:t>
  </x:si>
  <x:si>
    <x:t xml:space="preserve">17–25</x:t>
  </x:si>
  <x:si>
    <x:t xml:space="preserve">重大</x:t>
  </x:si>
  <x:si>
    <x:t xml:space="preserve">立即升级</x:t>
  </x:si>
  <x:si>
    <x:t xml:space="preserve">＞70%</x:t>
  </x:si>
  <x:si>
    <x:t xml:space="preserve">极高</x:t>
  </x:si>
  <x:si>
    <x:t xml:space="preserve">影响=5</x:t>
  </x:si>
  <x:si>
    <x:t xml:space="preserve">可按单项重大处理</x:t>
  </x:si>
  <x:si>
    <x:t xml:space="preserve">项目风险登记册</x:t>
  </x:si>
  <x:si>
    <x:t xml:space="preserve">用“原因—事件—影响”描述风险；区分固有风险与应对后剩余风险。黄色为人工输入。</x:t>
  </x:si>
  <x:si>
    <x:t xml:space="preserve">风险总数</x:t>
  </x:si>
  <x:si>
    <x:t xml:space="preserve">重大风险</x:t>
  </x:si>
  <x:si>
    <x:t xml:space="preserve">已发生</x:t>
  </x:si>
  <x:si>
    <x:t xml:space="preserve">无责任人</x:t>
  </x:si>
  <x:si>
    <x:t xml:space="preserve">剩余暴露值</x:t>
  </x:si>
  <x:si>
    <x:t xml:space="preserve">风险明细</x:t>
  </x:si>
  <x:si>
    <x:t xml:space="preserve">风险ID</x:t>
  </x:si>
  <x:si>
    <x:t xml:space="preserve">风险名称</x:t>
  </x:si>
  <x:si>
    <x:t xml:space="preserve">类型</x:t>
  </x:si>
  <x:si>
    <x:t xml:space="preserve">风险类别</x:t>
  </x:si>
  <x:si>
    <x:t xml:space="preserve">原因</x:t>
  </x:si>
  <x:si>
    <x:t xml:space="preserve">风险事件</x:t>
  </x:si>
  <x:si>
    <x:t xml:space="preserve">可能影响</x:t>
  </x:si>
  <x:si>
    <x:t xml:space="preserve">识别人</x:t>
  </x:si>
  <x:si>
    <x:t xml:space="preserve">识别日期</x:t>
  </x:si>
  <x:si>
    <x:t xml:space="preserve">信息来源</x:t>
  </x:si>
  <x:si>
    <x:t xml:space="preserve">概率</x:t>
  </x:si>
  <x:si>
    <x:t xml:space="preserve">进度影响</x:t>
  </x:si>
  <x:si>
    <x:t xml:space="preserve">成本影响</x:t>
  </x:si>
  <x:si>
    <x:t xml:space="preserve">范围影响</x:t>
  </x:si>
  <x:si>
    <x:t xml:space="preserve">质量影响</x:t>
  </x:si>
  <x:si>
    <x:t xml:space="preserve">业务价值影响</x:t>
  </x:si>
  <x:si>
    <x:t xml:space="preserve">安全合规影响</x:t>
  </x:si>
  <x:si>
    <x:t xml:space="preserve">相关方影响</x:t>
  </x:si>
  <x:si>
    <x:t xml:space="preserve">综合影响</x:t>
  </x:si>
  <x:si>
    <x:t xml:space="preserve">固有风险分值</x:t>
  </x:si>
  <x:si>
    <x:t xml:space="preserve">固有风险等级</x:t>
  </x:si>
  <x:si>
    <x:t xml:space="preserve">责任部门</x:t>
  </x:si>
  <x:si>
    <x:t xml:space="preserve">应对策略</x:t>
  </x:si>
  <x:si>
    <x:t xml:space="preserve">触发条件</x:t>
  </x:si>
  <x:si>
    <x:t xml:space="preserve">预警指标</x:t>
  </x:si>
  <x:si>
    <x:t xml:space="preserve">最迟应对日期</x:t>
  </x:si>
  <x:si>
    <x:t xml:space="preserve">应对完成率</x:t>
  </x:si>
  <x:si>
    <x:t xml:space="preserve">剩余概率</x:t>
  </x:si>
  <x:si>
    <x:t xml:space="preserve">剩余影响</x:t>
  </x:si>
  <x:si>
    <x:t xml:space="preserve">剩余风险分值</x:t>
  </x:si>
  <x:si>
    <x:t xml:space="preserve">剩余风险等级</x:t>
  </x:si>
  <x:si>
    <x:t xml:space="preserve">趋势</x:t>
  </x:si>
  <x:si>
    <x:t xml:space="preserve">是否已发生</x:t>
  </x:si>
  <x:si>
    <x:t xml:space="preserve">关联问题ID</x:t>
  </x:si>
  <x:si>
    <x:t xml:space="preserve">最近评审日期</x:t>
  </x:si>
  <x:si>
    <x:t xml:space="preserve">下次评审日期</x:t>
  </x:si>
  <x:si>
    <x:t xml:space="preserve">关闭日期</x:t>
  </x:si>
  <x:si>
    <x:t xml:space="preserve">关闭证据</x:t>
  </x:si>
  <x:si>
    <x:t xml:space="preserve">是否重点</x:t>
  </x:si>
  <x:si>
    <x:t xml:space="preserve">数据质量提示</x:t>
  </x:si>
  <x:si>
    <x:t xml:space="preserve">_key_order</x:t>
  </x:si>
  <x:si>
    <x:t xml:space="preserve">项目风险热力图</x:t>
  </x:si>
  <x:si>
    <x:t xml:space="preserve">左侧展示固有风险，右侧展示应对后剩余风险；数字为对应概率和影响组合中的风险数量。</x:t>
  </x:si>
  <x:si>
    <x:t xml:space="preserve">固有风险</x:t>
  </x:si>
  <x:si>
    <x:t xml:space="preserve">剩余风险</x:t>
  </x:si>
  <x:si>
    <x:t xml:space="preserve">影响\概率</x:t>
  </x:si>
  <x:si>
    <x:t xml:space="preserve">等级说明</x:t>
  </x:si>
  <x:si>
    <x:t xml:space="preserve">低（1–4）</x:t>
  </x:si>
  <x:si>
    <x:t xml:space="preserve">中（5–9）</x:t>
  </x:si>
  <x:si>
    <x:t xml:space="preserve">高（10–16）</x:t>
  </x:si>
  <x:si>
    <x:t xml:space="preserve">重大（17–25或影响=5）</x:t>
  </x:si>
  <x:si>
    <x:t xml:space="preserve">自动纳入重大/高剩余风险、趋势上升、已发生或应对逾期的风险。</x:t>
  </x:si>
  <x:si>
    <x:t xml:space="preserve">序号</x:t>
  </x:si>
  <x:si>
    <x:t xml:space="preserve">类别</x:t>
  </x:si>
  <x:si>
    <x:t xml:space="preserve">剩余等级</x:t>
  </x:si>
  <x:si>
    <x:t xml:space="preserve">当前状态</x:t>
  </x:si>
  <x:si>
    <x:t xml:space="preserve">下一步行动</x:t>
  </x:si>
  <x:si>
    <x:t xml:space="preserve">需要支持</x:t>
  </x:si>
  <x:si>
    <x:t xml:space="preserve">管理层结论</x:t>
  </x:si>
  <x:si>
    <x:t xml:space="preserve">_source_index</x:t>
  </x:si>
  <x:si>
    <x:t xml:space="preserve">重大风险专项应对</x:t>
  </x:si>
  <x:si>
    <x:t xml:space="preserve">用于重大风险的场景分析、应急计划、备用计划、储备和正式批准。</x:t>
  </x:si>
  <x:si>
    <x:t xml:space="preserve">专项ID</x:t>
  </x:si>
  <x:si>
    <x:t xml:space="preserve">影响目标</x:t>
  </x:si>
  <x:si>
    <x:t xml:space="preserve">关联里程碑/交付物</x:t>
  </x:si>
  <x:si>
    <x:t xml:space="preserve">最坏情景</x:t>
  </x:si>
  <x:si>
    <x:t xml:space="preserve">较可能情景</x:t>
  </x:si>
  <x:si>
    <x:t xml:space="preserve">最好情景</x:t>
  </x:si>
  <x:si>
    <x:t xml:space="preserve">发生窗口</x:t>
  </x:si>
  <x:si>
    <x:t xml:space="preserve">关键假设</x:t>
  </x:si>
  <x:si>
    <x:t xml:space="preserve">依赖事项</x:t>
  </x:si>
  <x:si>
    <x:t xml:space="preserve">主应对方案</x:t>
  </x:si>
  <x:si>
    <x:t xml:space="preserve">应急计划</x:t>
  </x:si>
  <x:si>
    <x:t xml:space="preserve">备用计划</x:t>
  </x:si>
  <x:si>
    <x:t xml:space="preserve">应急储备</x:t>
  </x:si>
  <x:si>
    <x:t xml:space="preserve">决策权限</x:t>
  </x:si>
  <x:si>
    <x:t xml:space="preserve">升级路径</x:t>
  </x:si>
  <x:si>
    <x:t xml:space="preserve">基准影响</x:t>
  </x:si>
  <x:si>
    <x:t xml:space="preserve">批准人</x:t>
  </x:si>
  <x:si>
    <x:t xml:space="preserve">决策日期</x:t>
  </x:si>
  <x:si>
    <x:t xml:space="preserve">决策结论</x:t>
  </x:si>
  <x:si>
    <x:t xml:space="preserve">接受的剩余风险</x:t>
  </x:si>
  <x:si>
    <x:t xml:space="preserve">下次专项评审日期</x:t>
  </x:si>
  <x:si>
    <x:t xml:space="preserve">风险应对计划</x:t>
  </x:si>
  <x:si>
    <x:t xml:space="preserve">将风险应对策略拆解为可执行、可验收、可追踪的行动。</x:t>
  </x:si>
  <x:si>
    <x:t xml:space="preserve">行动ID</x:t>
  </x:si>
  <x:si>
    <x:t xml:space="preserve">应对措施</x:t>
  </x:si>
  <x:si>
    <x:t xml:space="preserve">行动类型</x:t>
  </x:si>
  <x:si>
    <x:t xml:space="preserve">配合部门</x:t>
  </x:si>
  <x:si>
    <x:t xml:space="preserve">计划开始日期</x:t>
  </x:si>
  <x:si>
    <x:t xml:space="preserve">计划完成日期</x:t>
  </x:si>
  <x:si>
    <x:t xml:space="preserve">实际完成日期</x:t>
  </x:si>
  <x:si>
    <x:t xml:space="preserve">所需工时</x:t>
  </x:si>
  <x:si>
    <x:t xml:space="preserve">预算</x:t>
  </x:si>
  <x:si>
    <x:t xml:space="preserve">交付证据</x:t>
  </x:si>
  <x:si>
    <x:t xml:space="preserve">完成百分比</x:t>
  </x:si>
  <x:si>
    <x:t xml:space="preserve">是否逾期</x:t>
  </x:si>
  <x:si>
    <x:t xml:space="preserve">实施效果</x:t>
  </x:si>
  <x:si>
    <x:t xml:space="preserve">剩余风险评价</x:t>
  </x:si>
  <x:si>
    <x:t xml:space="preserve">里程碑计划与阶段门管理</x:t>
  </x:si>
  <x:si>
    <x:t xml:space="preserve">里程碑ID</x:t>
  </x:si>
  <x:si>
    <x:t xml:space="preserve">里程碑名称</x:t>
  </x:si>
  <x:si>
    <x:t xml:space="preserve">验收/完成标准</x:t>
  </x:si>
  <x:si>
    <x:t xml:space="preserve">责任人</x:t>
  </x:si>
  <x:si>
    <x:t xml:space="preserve">计划日期</x:t>
  </x:si>
  <x:si>
    <x:t xml:space="preserve">实际日期</x:t>
  </x:si>
  <x:si>
    <x:t xml:space="preserve">偏差天数</x:t>
  </x:si>
  <x:si>
    <x:t xml:space="preserve">健康度</x:t>
  </x:si>
  <x:si>
    <x:t xml:space="preserve">说明</x:t>
  </x:si>
  <x:si>
    <x:t xml:space="preserve">69</x:t>
  </x:si>
  <x:si>
    <x:t xml:space="preserve">周迭代计划与完成跟踪</x:t>
  </x:si>
  <x:si>
    <x:t xml:space="preserve">上方汇总承诺完成、延期和暂停；下方按总控任务四阶段展开。周目标和复盘人工填写，其余内容更新V2时重建。</x:t>
  </x:si>
  <x:si>
    <x:t xml:space="preserve">迭代周</x:t>
  </x:si>
  <x:si>
    <x:t xml:space="preserve">开始日期</x:t>
  </x:si>
  <x:si>
    <x:t xml:space="preserve">结束日期</x:t>
  </x:si>
  <x:si>
    <x:t xml:space="preserve">周目标</x:t>
  </x:si>
  <x:si>
    <x:t xml:space="preserve">原周计划摘要</x:t>
  </x:si>
  <x:si>
    <x:t xml:space="preserve">计划完成阶段数</x:t>
  </x:si>
  <x:si>
    <x:t xml:space="preserve">实际完成阶段数</x:t>
  </x:si>
  <x:si>
    <x:t xml:space="preserve">承诺完成率</x:t>
  </x:si>
  <x:si>
    <x:t xml:space="preserve">延期数</x:t>
  </x:si>
  <x:si>
    <x:t xml:space="preserve">暂停数</x:t>
  </x:si>
  <x:si>
    <x:t xml:space="preserve">周状态</x:t>
  </x:si>
  <x:si>
    <x:t xml:space="preserve">复盘结论</x:t>
  </x:si>
  <x:si>
    <x:t xml:space="preserve">_key</x:t>
  </x:si>
  <x:si>
    <x:t xml:space="preserve">前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后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测试：结算条款管理、协同视览、费用合同签订校验</x:t>
  </x:si>
  <x:si>
    <x:t xml:space="preserve">W017</x:t>
  </x:si>
  <x:si>
    <x:t xml:space="preserve">W018</x:t>
  </x:si>
  <x:si>
    <x:t xml:space="preserve">W019</x:t>
  </x:si>
  <x:si>
    <x:t xml:space="preserve">W020</x:t>
  </x:si>
  <x:si>
    <x:t xml:space="preserve">W021</x:t>
  </x:si>
  <x:si>
    <x:t xml:space="preserve">测试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x:t>
  </x:si>
  <x:si>
    <x:t xml:space="preserve">W022</x:t>
  </x:si>
  <x:si>
    <x:t xml:space="preserve">W023</x:t>
  </x:si>
  <x:si>
    <x:t xml:space="preserve">周任务明细</x:t>
  </x:si>
  <x:si>
    <x:t xml:space="preserve">任务名称</x:t>
  </x:si>
  <x:si>
    <x:t xml:space="preserve">专业阶段</x:t>
  </x:si>
  <x:si>
    <x:t xml:space="preserve">负责人</x:t>
  </x:si>
  <x:si>
    <x:t xml:space="preserve">阶段状态</x:t>
  </x:si>
  <x:si>
    <x:t xml:space="preserve">是否延期</x:t>
  </x:si>
  <x:si>
    <x:t xml:space="preserve">异常提示</x:t>
  </x:si>
  <x:si>
    <x:t xml:space="preserve">复盘说明</x:t>
  </x:si>
  <x:si>
    <x:t xml:space="preserve">_detail_key</x:t>
  </x:si>
  <x:si>
    <x:t xml:space="preserve">T001</x:t>
  </x:si>
  <x:si>
    <x:t xml:space="preserve">新增车辆信息</x:t>
  </x:si>
  <x:si>
    <x:t xml:space="preserve">业务</x:t>
  </x:si>
  <x:si>
    <x:t xml:space="preserve">郑士旺</x:t>
  </x:si>
  <x:si>
    <x:t xml:space="preserve">否</x:t>
  </x:si>
  <x:si>
    <x:t xml:space="preserve">完成日期待补充</x:t>
  </x:si>
  <x:si>
    <x:t xml:space="preserve">W002|tsk-33c582966f67#001|业务</x:t>
  </x:si>
  <x:si>
    <x:t xml:space="preserve">T002</x:t>
  </x:si>
  <x:si>
    <x:t xml:space="preserve">修改车辆信息</x:t>
  </x:si>
  <x:si>
    <x:t xml:space="preserve">W002|tsk-23275116439b#001|业务</x:t>
  </x:si>
  <x:si>
    <x:t xml:space="preserve">T003</x:t>
  </x:si>
  <x:si>
    <x:t xml:space="preserve">删除车辆信息</x:t>
  </x:si>
  <x:si>
    <x:t xml:space="preserve">W002|tsk-f668411c7176#001|业务</x:t>
  </x:si>
  <x:si>
    <x:t xml:space="preserve">T004</x:t>
  </x:si>
  <x:si>
    <x:t xml:space="preserve">查询展示车辆信息</x:t>
  </x:si>
  <x:si>
    <x:t xml:space="preserve">W002|tsk-9344390f42cf#001|业务</x:t>
  </x:si>
  <x:si>
    <x:t xml:space="preserve">T006</x:t>
  </x:si>
  <x:si>
    <x:t xml:space="preserve">优化收费标准（装卸费）新增</x:t>
  </x:si>
  <x:si>
    <x:t xml:space="preserve">W002|tsk-ed149daad87d#001|业务</x:t>
  </x:si>
  <x:si>
    <x:t xml:space="preserve">T007</x:t>
  </x:si>
  <x:si>
    <x:t xml:space="preserve">优化收费标准（装卸费）编辑</x:t>
  </x:si>
  <x:si>
    <x:t xml:space="preserve">W002|tsk-97a98e6009e6#001|业务</x:t>
  </x:si>
  <x:si>
    <x:t xml:space="preserve">T008</x:t>
  </x:si>
  <x:si>
    <x:t xml:space="preserve">优化收费标准（装卸费）详情</x:t>
  </x:si>
  <x:si>
    <x:t xml:space="preserve">W002|tsk-a12265c00afb#001|业务</x:t>
  </x:si>
  <x:si>
    <x:t xml:space="preserve">T009</x:t>
  </x:si>
  <x:si>
    <x:t xml:space="preserve">优化采样方式新增</x:t>
  </x:si>
  <x:si>
    <x:t xml:space="preserve">W002|tsk-e3cb05a8752f#001|业务</x:t>
  </x:si>
  <x:si>
    <x:t xml:space="preserve">T010</x:t>
  </x:si>
  <x:si>
    <x:t xml:space="preserve">优化采样方式编辑</x:t>
  </x:si>
  <x:si>
    <x:t xml:space="preserve">W002|tsk-b7577ba49e91#001|业务</x:t>
  </x:si>
  <x:si>
    <x:t xml:space="preserve">T011</x:t>
  </x:si>
  <x:si>
    <x:t xml:space="preserve">获取报单数据及展示</x:t>
  </x:si>
  <x:si>
    <x:t xml:space="preserve">W002|tsk-7f2aa4709d11#001|业务</x:t>
  </x:si>
  <x:si>
    <x:t xml:space="preserve">T012</x:t>
  </x:si>
  <x:si>
    <x:t xml:space="preserve">应单入口</x:t>
  </x:si>
  <x:si>
    <x:t xml:space="preserve">W002|tsk-702fd2cdf48f#001|业务</x:t>
  </x:si>
  <x:si>
    <x:t xml:space="preserve">T050</x:t>
  </x:si>
  <x:si>
    <x:t xml:space="preserve">维护需跟踪船舶清单</x:t>
  </x:si>
  <x:si>
    <x:t xml:space="preserve">W002|tsk-d0de99d77921#001|业务</x:t>
  </x:si>
  <x:si>
    <x:t xml:space="preserve">T051</x:t>
  </x:si>
  <x:si>
    <x:t xml:space="preserve">根据船舶清单更新第三方系统推送数据船舶清单</x:t>
  </x:si>
  <x:si>
    <x:t xml:space="preserve">W002|tsk-8e0f61ad2405#001|业务</x:t>
  </x:si>
  <x:si>
    <x:t xml:space="preserve">T052</x:t>
  </x:si>
  <x:si>
    <x:t xml:space="preserve">船舶轨迹跟踪</x:t>
  </x:si>
  <x:si>
    <x:t xml:space="preserve">W002|tsk-a12801ccffa6#001|业务</x:t>
  </x:si>
  <x:si>
    <x:t xml:space="preserve">T060</x:t>
  </x:si>
  <x:si>
    <x:t xml:space="preserve">货权录入</x:t>
  </x:si>
  <x:si>
    <x:t xml:space="preserve">W002|tsk-978d907ae469#001|业务</x:t>
  </x:si>
  <x:si>
    <x:t xml:space="preserve">T061</x:t>
  </x:si>
  <x:si>
    <x:t xml:space="preserve">货权修改</x:t>
  </x:si>
  <x:si>
    <x:t xml:space="preserve">W002|tsk-f4466ad5469c#001|业务</x:t>
  </x:si>
  <x:si>
    <x:t xml:space="preserve">T062</x:t>
  </x:si>
  <x:si>
    <x:t xml:space="preserve">获取查询</x:t>
  </x:si>
  <x:si>
    <x:t xml:space="preserve">W002|tsk-7d88bf49e933#001|业务</x:t>
  </x:si>
  <x:si>
    <x:t xml:space="preserve">T063</x:t>
  </x:si>
  <x:si>
    <x:t xml:space="preserve">卸船作业货权跟踪</x:t>
  </x:si>
  <x:si>
    <x:t xml:space="preserve">W002|tsk-7d592b89a46f#001|业务</x:t>
  </x:si>
  <x:si>
    <x:t xml:space="preserve">T064</x:t>
  </x:si>
  <x:si>
    <x:t xml:space="preserve">W002|tsk-7d592b89a46f#002|业务</x:t>
  </x:si>
  <x:si>
    <x:t xml:space="preserve">T065</x:t>
  </x:si>
  <x:si>
    <x:t xml:space="preserve">装船作业货权跟踪</x:t>
  </x:si>
  <x:si>
    <x:t xml:space="preserve">W002|tsk-10c71dc857f0#001|业务</x:t>
  </x:si>
  <x:si>
    <x:t xml:space="preserve">T066</x:t>
  </x:si>
  <x:si>
    <x:t xml:space="preserve">W002|tsk-10c71dc857f0#002|业务</x:t>
  </x:si>
  <x:si>
    <x:t xml:space="preserve">T067</x:t>
  </x:si>
  <x:si>
    <x:t xml:space="preserve">W002|tsk-10c71dc857f0#003|业务</x:t>
  </x:si>
  <x:si>
    <x:t xml:space="preserve">T068</x:t>
  </x:si>
  <x:si>
    <x:t xml:space="preserve">W002|tsk-10c71dc857f0#004|业务</x:t>
  </x:si>
  <x:si>
    <x:t xml:space="preserve">T072</x:t>
  </x:si>
  <x:si>
    <x:t xml:space="preserve">OCR识别</x:t>
  </x:si>
  <x:si>
    <x:t xml:space="preserve">W002|tsk-57b8e280d274#001|业务</x:t>
  </x:si>
  <x:si>
    <x:t xml:space="preserve">T073</x:t>
  </x:si>
  <x:si>
    <x:t xml:space="preserve">采样作业信息录入新增</x:t>
  </x:si>
  <x:si>
    <x:t xml:space="preserve">W002|tsk-211024d6f6de#001|业务</x:t>
  </x:si>
  <x:si>
    <x:t xml:space="preserve">T074</x:t>
  </x:si>
  <x:si>
    <x:t xml:space="preserve">采样作业信息录入编辑</x:t>
  </x:si>
  <x:si>
    <x:t xml:space="preserve">W002|tsk-c0d2087ea559#001|业务</x:t>
  </x:si>
  <x:si>
    <x:t xml:space="preserve">T075</x:t>
  </x:si>
  <x:si>
    <x:t xml:space="preserve">采样作业信息录入详情</x:t>
  </x:si>
  <x:si>
    <x:t xml:space="preserve">W002|tsk-ef409224d46b#001|业务</x:t>
  </x:si>
  <x:si>
    <x:t xml:space="preserve">T076</x:t>
  </x:si>
  <x:si>
    <x:t xml:space="preserve">采样作业信息录入删除</x:t>
  </x:si>
  <x:si>
    <x:t xml:space="preserve">W002|tsk-febee99e5a1e#001|业务</x:t>
  </x:si>
  <x:si>
    <x:t xml:space="preserve">T077</x:t>
  </x:si>
  <x:si>
    <x:t xml:space="preserve">采样作业信息录入列表</x:t>
  </x:si>
  <x:si>
    <x:t xml:space="preserve">W002|tsk-177bff8cf7f9#001|业务</x:t>
  </x:si>
  <x:si>
    <x:t xml:space="preserve">T095</x:t>
  </x:si>
  <x:si>
    <x:t xml:space="preserve">自动生成堆存费</x:t>
  </x:si>
  <x:si>
    <x:t xml:space="preserve">W002|tsk-15570328b3e1#001|业务</x:t>
  </x:si>
  <x:si>
    <x:t xml:space="preserve">T096</x:t>
  </x:si>
  <x:si>
    <x:t xml:space="preserve">自动生成装船港杂费</x:t>
  </x:si>
  <x:si>
    <x:t xml:space="preserve">W002|tsk-2f7c5586317d#001|业务</x:t>
  </x:si>
  <x:si>
    <x:t xml:space="preserve">T097</x:t>
  </x:si>
  <x:si>
    <x:t xml:space="preserve">自动生成租赁费</x:t>
  </x:si>
  <x:si>
    <x:t xml:space="preserve">W002|tsk-a5528f60d6ad#001|业务</x:t>
  </x:si>
  <x:si>
    <x:t xml:space="preserve">T098</x:t>
  </x:si>
  <x:si>
    <x:t xml:space="preserve">优化装卸费新增</x:t>
  </x:si>
  <x:si>
    <x:t xml:space="preserve">W002|tsk-e8fdac8072e1#001|业务</x:t>
  </x:si>
  <x:si>
    <x:t xml:space="preserve">T099</x:t>
  </x:si>
  <x:si>
    <x:t xml:space="preserve">优化装卸费编辑</x:t>
  </x:si>
  <x:si>
    <x:t xml:space="preserve">W002|tsk-628e22896d5e#001|业务</x:t>
  </x:si>
  <x:si>
    <x:t xml:space="preserve">T058</x:t>
  </x:si>
  <x:si>
    <x:t xml:space="preserve">OCR识别及编辑</x:t>
  </x:si>
  <x:si>
    <x:t xml:space="preserve">前端</x:t>
  </x:si>
  <x:si>
    <x:t xml:space="preserve">贺航</x:t>
  </x:si>
  <x:si>
    <x:t xml:space="preserve">W002|tsk-8e34ce8f4239#001|前端</x:t>
  </x:si>
  <x:si>
    <x:t xml:space="preserve">T069</x:t>
  </x:si>
  <x:si>
    <x:t xml:space="preserve">新增、详情、修改页内容调整</x:t>
  </x:si>
  <x:si>
    <x:t xml:space="preserve">W002|tsk-965e74d49261#001|前端</x:t>
  </x:si>
  <x:si>
    <x:t xml:space="preserve">T070</x:t>
  </x:si>
  <x:si>
    <x:t xml:space="preserve">生成报告</x:t>
  </x:si>
  <x:si>
    <x:t xml:space="preserve">W002|tsk-38a802bbe105#001|前端</x:t>
  </x:si>
  <x:si>
    <x:t xml:space="preserve">T071</x:t>
  </x:si>
  <x:si>
    <x:t xml:space="preserve">装船作业信息录入优化（太仓）</x:t>
  </x:si>
  <x:si>
    <x:t xml:space="preserve">W002|tsk-cb19eab07c79#001|前端</x:t>
  </x:si>
  <x:si>
    <x:t xml:space="preserve">后端</x:t>
  </x:si>
  <x:si>
    <x:t xml:space="preserve">石军磊、刘凯</x:t>
  </x:si>
  <x:si>
    <x:t xml:space="preserve">W002|tsk-8e34ce8f4239#001|后端</x:t>
  </x:si>
  <x:si>
    <x:t xml:space="preserve">W002|tsk-965e74d49261#001|后端</x:t>
  </x:si>
  <x:si>
    <x:t xml:space="preserve">W002|tsk-38a802bbe105#001|后端</x:t>
  </x:si>
  <x:si>
    <x:t xml:space="preserve">W002|tsk-cb19eab07c79#001|后端</x:t>
  </x:si>
  <x:si>
    <x:t xml:space="preserve">T037</x:t>
  </x:si>
  <x:si>
    <x:t xml:space="preserve">创建卸车流程</x:t>
  </x:si>
  <x:si>
    <x:t xml:space="preserve">W003|tsk-41f84a2dbee7#001|业务</x:t>
  </x:si>
  <x:si>
    <x:t xml:space="preserve">T038</x:t>
  </x:si>
  <x:si>
    <x:t xml:space="preserve">查询卸车流程</x:t>
  </x:si>
  <x:si>
    <x:t xml:space="preserve">W003|tsk-720110050036#001|业务</x:t>
  </x:si>
  <x:si>
    <x:t xml:space="preserve">T039</x:t>
  </x:si>
  <x:si>
    <x:t xml:space="preserve">修改卸车流程</x:t>
  </x:si>
  <x:si>
    <x:t xml:space="preserve">W003|tsk-72392976ed5d#001|业务</x:t>
  </x:si>
  <x:si>
    <x:t xml:space="preserve">T040</x:t>
  </x:si>
  <x:si>
    <x:t xml:space="preserve">创建装船流程</x:t>
  </x:si>
  <x:si>
    <x:t xml:space="preserve">W003|tsk-f1427d0c97d9#001|业务</x:t>
  </x:si>
  <x:si>
    <x:t xml:space="preserve">T041</x:t>
  </x:si>
  <x:si>
    <x:t xml:space="preserve">查询装船流程</x:t>
  </x:si>
  <x:si>
    <x:t xml:space="preserve">W003|tsk-060d8a1d14e2#001|业务</x:t>
  </x:si>
  <x:si>
    <x:t xml:space="preserve">T042</x:t>
  </x:si>
  <x:si>
    <x:t xml:space="preserve">修改装船流程</x:t>
  </x:si>
  <x:si>
    <x:t xml:space="preserve">W003|tsk-b0bfc16bb18d#001|业务</x:t>
  </x:si>
  <x:si>
    <x:t xml:space="preserve">T043</x:t>
  </x:si>
  <x:si>
    <x:t xml:space="preserve">创建卸船流程</x:t>
  </x:si>
  <x:si>
    <x:t xml:space="preserve">W003|tsk-e7e708d55c95#001|业务</x:t>
  </x:si>
  <x:si>
    <x:t xml:space="preserve">T044</x:t>
  </x:si>
  <x:si>
    <x:t xml:space="preserve">查询卸船流程</x:t>
  </x:si>
  <x:si>
    <x:t xml:space="preserve">W003|tsk-ae0234715f64#001|业务</x:t>
  </x:si>
  <x:si>
    <x:t xml:space="preserve">T045</x:t>
  </x:si>
  <x:si>
    <x:t xml:space="preserve">修改卸船流程</x:t>
  </x:si>
  <x:si>
    <x:t xml:space="preserve">W003|tsk-58da4f05f2c4#001|业务</x:t>
  </x:si>
  <x:si>
    <x:t xml:space="preserve">T100</x:t>
  </x:si>
  <x:si>
    <x:t xml:space="preserve">创建行业资讯数据</x:t>
  </x:si>
  <x:si>
    <x:t xml:space="preserve">W003|tsk-86a7a8f2d6d2#001|业务</x:t>
  </x:si>
  <x:si>
    <x:t xml:space="preserve">T101</x:t>
  </x:si>
  <x:si>
    <x:t xml:space="preserve">修改行业资讯数据</x:t>
  </x:si>
  <x:si>
    <x:t xml:space="preserve">W003|tsk-5dde71d1afa6#001|业务</x:t>
  </x:si>
  <x:si>
    <x:t xml:space="preserve">T102</x:t>
  </x:si>
  <x:si>
    <x:t xml:space="preserve">删除行业资讯数据</x:t>
  </x:si>
  <x:si>
    <x:t xml:space="preserve">W003|tsk-b414c5bb0e5c#001|业务</x:t>
  </x:si>
  <x:si>
    <x:t xml:space="preserve">T103</x:t>
  </x:si>
  <x:si>
    <x:t xml:space="preserve">展示行业资讯数据</x:t>
  </x:si>
  <x:si>
    <x:t xml:space="preserve">W003|tsk-d8cee4246d76#001|业务</x:t>
  </x:si>
  <x:si>
    <x:t xml:space="preserve">T104</x:t>
  </x:si>
  <x:si>
    <x:t xml:space="preserve">吞吐量统计（曹妃甸）</x:t>
  </x:si>
  <x:si>
    <x:t xml:space="preserve">W003|tsk-2383292632d6#001|业务</x:t>
  </x:si>
  <x:si>
    <x:t xml:space="preserve">T105</x:t>
  </x:si>
  <x:si>
    <x:t xml:space="preserve">泊位占用率分析（曹妃甸）</x:t>
  </x:si>
  <x:si>
    <x:t xml:space="preserve">W003|tsk-6844eefcb09f#001|业务</x:t>
  </x:si>
  <x:si>
    <x:t xml:space="preserve">T106</x:t>
  </x:si>
  <x:si>
    <x:t xml:space="preserve">堆存库存统计（曹妃甸）</x:t>
  </x:si>
  <x:si>
    <x:t xml:space="preserve">W003|tsk-c0b615e95db5#001|业务</x:t>
  </x:si>
  <x:si>
    <x:t xml:space="preserve">T107</x:t>
  </x:si>
  <x:si>
    <x:t xml:space="preserve">分货主实时统计表（曹妃甸）</x:t>
  </x:si>
  <x:si>
    <x:t xml:space="preserve">W003|tsk-010f2f0578d8#001|业务</x:t>
  </x:si>
  <x:si>
    <x:t xml:space="preserve">T108</x:t>
  </x:si>
  <x:si>
    <x:t xml:space="preserve">综合装船效率分析（曹妃甸）</x:t>
  </x:si>
  <x:si>
    <x:t xml:space="preserve">W003|tsk-ba126ef0228f#001|业务</x:t>
  </x:si>
  <x:si>
    <x:t xml:space="preserve">T109</x:t>
  </x:si>
  <x:si>
    <x:t xml:space="preserve">综合卸车效率分析（曹妃甸）</x:t>
  </x:si>
  <x:si>
    <x:t xml:space="preserve">W003|tsk-13ad283484a7#001|业务</x:t>
  </x:si>
  <x:si>
    <x:t xml:space="preserve">T110</x:t>
  </x:si>
  <x:si>
    <x:t xml:space="preserve">综合卸船效率分析（曹妃甸）</x:t>
  </x:si>
  <x:si>
    <x:t xml:space="preserve">W003|tsk-f441c61f54ad#001|业务</x:t>
  </x:si>
  <x:si>
    <x:t xml:space="preserve">T138</x:t>
  </x:si>
  <x:si>
    <x:t xml:space="preserve">W003|tsk-a9cbee439438#001|业务</x:t>
  </x:si>
  <x:si>
    <x:t xml:space="preserve">T139</x:t>
  </x:si>
  <x:si>
    <x:t xml:space="preserve">W003|tsk-b174cf36c1c8#001|业务</x:t>
  </x:si>
  <x:si>
    <x:t xml:space="preserve">T140</x:t>
  </x:si>
  <x:si>
    <x:t xml:space="preserve">W003|tsk-b782224c74f5#001|业务</x:t>
  </x:si>
  <x:si>
    <x:t xml:space="preserve">T143</x:t>
  </x:si>
  <x:si>
    <x:t xml:space="preserve">图片上传</x:t>
  </x:si>
  <x:si>
    <x:t xml:space="preserve">W003|tsk-b14957c92331#001|业务</x:t>
  </x:si>
  <x:si>
    <x:t xml:space="preserve">T144</x:t>
  </x:si>
  <x:si>
    <x:t xml:space="preserve">W003|tsk-d942dd328122#001|业务</x:t>
  </x:si>
  <x:si>
    <x:t xml:space="preserve">T145</x:t>
  </x:si>
  <x:si>
    <x:t xml:space="preserve">W003|tsk-577f9f403da5#001|业务</x:t>
  </x:si>
  <x:si>
    <x:t xml:space="preserve">测试</x:t>
  </x:si>
  <x:si>
    <x:t xml:space="preserve">袁丽荣</x:t>
  </x:si>
  <x:si>
    <x:t xml:space="preserve">W003|tsk-8e34ce8f4239#001|测试</x:t>
  </x:si>
  <x:si>
    <x:t xml:space="preserve">W003|tsk-38a802bbe105#001|测试</x:t>
  </x:si>
  <x:si>
    <x:t xml:space="preserve">W003|tsk-cb19eab07c79#001|测试</x:t>
  </x:si>
  <x:si>
    <x:t xml:space="preserve">T121</x:t>
  </x:si>
  <x:si>
    <x:t xml:space="preserve">船舶供应服务查询</x:t>
  </x:si>
  <x:si>
    <x:t xml:space="preserve">W004|tsk-3c49a764e4d0#001|业务</x:t>
  </x:si>
  <x:si>
    <x:t xml:space="preserve">T122</x:t>
  </x:si>
  <x:si>
    <x:t xml:space="preserve">船舶预到（内贸）查询</x:t>
  </x:si>
  <x:si>
    <x:t xml:space="preserve">W004|tsk-7adc76236513#001|业务</x:t>
  </x:si>
  <x:si>
    <x:t xml:space="preserve">T123</x:t>
  </x:si>
  <x:si>
    <x:t xml:space="preserve">台账查询</x:t>
  </x:si>
  <x:si>
    <x:t xml:space="preserve">W004|tsk-27502e8eb665#001|业务</x:t>
  </x:si>
  <x:si>
    <x:t xml:space="preserve">T124</x:t>
  </x:si>
  <x:si>
    <x:t xml:space="preserve">停泊费（内贸）查询</x:t>
  </x:si>
  <x:si>
    <x:t xml:space="preserve">W004|tsk-4bbd9b69bf8e#001|业务</x:t>
  </x:si>
  <x:si>
    <x:t xml:space="preserve">T125</x:t>
  </x:si>
  <x:si>
    <x:t xml:space="preserve">船舶供应服务费（内贸）查询</x:t>
  </x:si>
  <x:si>
    <x:t xml:space="preserve">W004|tsk-d4c78b2bbc7a#001|业务</x:t>
  </x:si>
  <x:si>
    <x:t xml:space="preserve">T013</x:t>
  </x:si>
  <x:si>
    <x:t xml:space="preserve">新增结算条款</x:t>
  </x:si>
  <x:si>
    <x:t xml:space="preserve">W005|tsk-2e5e69219e67#001|业务</x:t>
  </x:si>
  <x:si>
    <x:t xml:space="preserve">T014</x:t>
  </x:si>
  <x:si>
    <x:t xml:space="preserve">结算条款审批</x:t>
  </x:si>
  <x:si>
    <x:t xml:space="preserve">W005|tsk-c1590b9d60b9#001|业务</x:t>
  </x:si>
  <x:si>
    <x:t xml:space="preserve">T015</x:t>
  </x:si>
  <x:si>
    <x:t xml:space="preserve">修改结算条款</x:t>
  </x:si>
  <x:si>
    <x:t xml:space="preserve">W005|tsk-449ebaf20126#001|业务</x:t>
  </x:si>
  <x:si>
    <x:t xml:space="preserve">T016</x:t>
  </x:si>
  <x:si>
    <x:t xml:space="preserve">删除结算条款</x:t>
  </x:si>
  <x:si>
    <x:t xml:space="preserve">W005|tsk-01c63684d31f#001|业务</x:t>
  </x:si>
  <x:si>
    <x:t xml:space="preserve">T017</x:t>
  </x:si>
  <x:si>
    <x:t xml:space="preserve">查询展示结算条款</x:t>
  </x:si>
  <x:si>
    <x:t xml:space="preserve">W005|tsk-684ea1a8faac#001|业务</x:t>
  </x:si>
  <x:si>
    <x:t xml:space="preserve">T018</x:t>
  </x:si>
  <x:si>
    <x:t xml:space="preserve">结算条款推送法务系统</x:t>
  </x:si>
  <x:si>
    <x:t xml:space="preserve">是</x:t>
  </x:si>
  <x:si>
    <x:t xml:space="preserve">W005|tsk-e439a610e5c1#001|业务</x:t>
  </x:si>
  <x:si>
    <x:t xml:space="preserve">T053</x:t>
  </x:si>
  <x:si>
    <x:t xml:space="preserve">接入港口侧视频监控</x:t>
  </x:si>
  <x:si>
    <x:t xml:space="preserve">W005|tsk-339841bab1cf#001|业务</x:t>
  </x:si>
  <x:si>
    <x:t xml:space="preserve">T054</x:t>
  </x:si>
  <x:si>
    <x:t xml:space="preserve">视频查看权限申请</x:t>
  </x:si>
  <x:si>
    <x:t xml:space="preserve">W005|tsk-5c3c488e8374#001|业务</x:t>
  </x:si>
  <x:si>
    <x:t xml:space="preserve">T055</x:t>
  </x:si>
  <x:si>
    <x:t xml:space="preserve">视频查看权限审批</x:t>
  </x:si>
  <x:si>
    <x:t xml:space="preserve">W005|tsk-031a8fd31f7a#001|业务</x:t>
  </x:si>
  <x:si>
    <x:t xml:space="preserve">T056</x:t>
  </x:si>
  <x:si>
    <x:t xml:space="preserve">视频查看权限有效期控制</x:t>
  </x:si>
  <x:si>
    <x:t xml:space="preserve">W005|tsk-eda52a0a3d62#001|业务</x:t>
  </x:si>
  <x:si>
    <x:t xml:space="preserve">T057</x:t>
  </x:si>
  <x:si>
    <x:t xml:space="preserve">外网PC端视频监控查询</x:t>
  </x:si>
  <x:si>
    <x:t xml:space="preserve">W005|tsk-13a94a87edcb#001|业务</x:t>
  </x:si>
  <x:si>
    <x:t xml:space="preserve">T078</x:t>
  </x:si>
  <x:si>
    <x:t xml:space="preserve">业务数据合同签订校验</x:t>
  </x:si>
  <x:si>
    <x:t xml:space="preserve">W005|tsk-9716888ab487#001|业务</x:t>
  </x:si>
  <x:si>
    <x:t xml:space="preserve">T079</x:t>
  </x:si>
  <x:si>
    <x:t xml:space="preserve">结算数据合同签订校验</x:t>
  </x:si>
  <x:si>
    <x:t xml:space="preserve">W005|tsk-a195bb2f0e59#001|业务</x:t>
  </x:si>
  <x:si>
    <x:t xml:space="preserve">T080</x:t>
  </x:si>
  <x:si>
    <x:t xml:space="preserve">合同校验结果查询</x:t>
  </x:si>
  <x:si>
    <x:t xml:space="preserve">W005|tsk-d6b4db0b7fa5#001|业务</x:t>
  </x:si>
  <x:si>
    <x:t xml:space="preserve">T141</x:t>
  </x:si>
  <x:si>
    <x:t xml:space="preserve">视频监控查询</x:t>
  </x:si>
  <x:si>
    <x:t xml:space="preserve">W005|tsk-504c9ba6309d#001|业务</x:t>
  </x:si>
  <x:si>
    <x:t xml:space="preserve">W005|tsk-33c582966f67#001|前端</x:t>
  </x:si>
  <x:si>
    <x:t xml:space="preserve">W005|tsk-23275116439b#001|前端</x:t>
  </x:si>
  <x:si>
    <x:t xml:space="preserve">W005|tsk-f668411c7176#001|前端</x:t>
  </x:si>
  <x:si>
    <x:t xml:space="preserve">W005|tsk-9344390f42cf#001|前端</x:t>
  </x:si>
  <x:si>
    <x:t xml:space="preserve">W005|tsk-ed149daad87d#001|前端</x:t>
  </x:si>
  <x:si>
    <x:t xml:space="preserve">W005|tsk-97a98e6009e6#001|前端</x:t>
  </x:si>
  <x:si>
    <x:t xml:space="preserve">W005|tsk-a12265c00afb#001|前端</x:t>
  </x:si>
  <x:si>
    <x:t xml:space="preserve">W005|tsk-e3cb05a8752f#001|前端</x:t>
  </x:si>
  <x:si>
    <x:t xml:space="preserve">W005|tsk-b7577ba49e91#001|前端</x:t>
  </x:si>
  <x:si>
    <x:t xml:space="preserve">W005|tsk-7f2aa4709d11#001|前端</x:t>
  </x:si>
  <x:si>
    <x:t xml:space="preserve">W005|tsk-702fd2cdf48f#001|前端</x:t>
  </x:si>
  <x:si>
    <x:t xml:space="preserve">W005|tsk-978d907ae469#001|前端</x:t>
  </x:si>
  <x:si>
    <x:t xml:space="preserve">W005|tsk-f4466ad5469c#001|前端</x:t>
  </x:si>
  <x:si>
    <x:t xml:space="preserve">W005|tsk-7d88bf49e933#001|前端</x:t>
  </x:si>
  <x:si>
    <x:t xml:space="preserve">W005|tsk-7d592b89a46f#001|前端</x:t>
  </x:si>
  <x:si>
    <x:t xml:space="preserve">W005|tsk-7d592b89a46f#002|前端</x:t>
  </x:si>
  <x:si>
    <x:t xml:space="preserve">W005|tsk-10c71dc857f0#001|前端</x:t>
  </x:si>
  <x:si>
    <x:t xml:space="preserve">W005|tsk-10c71dc857f0#002|前端</x:t>
  </x:si>
  <x:si>
    <x:t xml:space="preserve">W005|tsk-10c71dc857f0#003|前端</x:t>
  </x:si>
  <x:si>
    <x:t xml:space="preserve">W005|tsk-10c71dc857f0#004|前端</x:t>
  </x:si>
  <x:si>
    <x:t xml:space="preserve">W005|tsk-57b8e280d274#001|前端</x:t>
  </x:si>
  <x:si>
    <x:t xml:space="preserve">W005|tsk-211024d6f6de#001|前端</x:t>
  </x:si>
  <x:si>
    <x:t xml:space="preserve">W005|tsk-c0d2087ea559#001|前端</x:t>
  </x:si>
  <x:si>
    <x:t xml:space="preserve">W005|tsk-ef409224d46b#001|前端</x:t>
  </x:si>
  <x:si>
    <x:t xml:space="preserve">W005|tsk-febee99e5a1e#001|前端</x:t>
  </x:si>
  <x:si>
    <x:t xml:space="preserve">W005|tsk-177bff8cf7f9#001|前端</x:t>
  </x:si>
  <x:si>
    <x:t xml:space="preserve">W005|tsk-2f7c5586317d#001|前端</x:t>
  </x:si>
  <x:si>
    <x:t xml:space="preserve">W005|tsk-a5528f60d6ad#001|前端</x:t>
  </x:si>
  <x:si>
    <x:t xml:space="preserve">W005|tsk-e8fdac8072e1#001|前端</x:t>
  </x:si>
  <x:si>
    <x:t xml:space="preserve">W005|tsk-628e22896d5e#001|前端</x:t>
  </x:si>
  <x:si>
    <x:t xml:space="preserve">W005|tsk-33c582966f67#001|后端</x:t>
  </x:si>
  <x:si>
    <x:t xml:space="preserve">W005|tsk-23275116439b#001|后端</x:t>
  </x:si>
  <x:si>
    <x:t xml:space="preserve">W005|tsk-f668411c7176#001|后端</x:t>
  </x:si>
  <x:si>
    <x:t xml:space="preserve">W005|tsk-9344390f42cf#001|后端</x:t>
  </x:si>
  <x:si>
    <x:t xml:space="preserve">W005|tsk-ed149daad87d#001|后端</x:t>
  </x:si>
  <x:si>
    <x:t xml:space="preserve">W005|tsk-97a98e6009e6#001|后端</x:t>
  </x:si>
  <x:si>
    <x:t xml:space="preserve">W005|tsk-a12265c00afb#001|后端</x:t>
  </x:si>
  <x:si>
    <x:t xml:space="preserve">W005|tsk-e3cb05a8752f#001|后端</x:t>
  </x:si>
  <x:si>
    <x:t xml:space="preserve">W005|tsk-b7577ba49e91#001|后端</x:t>
  </x:si>
  <x:si>
    <x:t xml:space="preserve">W005|tsk-7f2aa4709d11#001|后端</x:t>
  </x:si>
  <x:si>
    <x:t xml:space="preserve">W005|tsk-702fd2cdf48f#001|后端</x:t>
  </x:si>
  <x:si>
    <x:t xml:space="preserve">W005|tsk-978d907ae469#001|后端</x:t>
  </x:si>
  <x:si>
    <x:t xml:space="preserve">W005|tsk-f4466ad5469c#001|后端</x:t>
  </x:si>
  <x:si>
    <x:t xml:space="preserve">W005|tsk-7d88bf49e933#001|后端</x:t>
  </x:si>
  <x:si>
    <x:t xml:space="preserve">W005|tsk-7d592b89a46f#001|后端</x:t>
  </x:si>
  <x:si>
    <x:t xml:space="preserve">W005|tsk-7d592b89a46f#002|后端</x:t>
  </x:si>
  <x:si>
    <x:t xml:space="preserve">W005|tsk-10c71dc857f0#001|后端</x:t>
  </x:si>
  <x:si>
    <x:t xml:space="preserve">W005|tsk-10c71dc857f0#002|后端</x:t>
  </x:si>
  <x:si>
    <x:t xml:space="preserve">W005|tsk-10c71dc857f0#003|后端</x:t>
  </x:si>
  <x:si>
    <x:t xml:space="preserve">W005|tsk-10c71dc857f0#004|后端</x:t>
  </x:si>
  <x:si>
    <x:t xml:space="preserve">W005|tsk-57b8e280d274#001|后端</x:t>
  </x:si>
  <x:si>
    <x:t xml:space="preserve">W005|tsk-211024d6f6de#001|后端</x:t>
  </x:si>
  <x:si>
    <x:t xml:space="preserve">W005|tsk-c0d2087ea559#001|后端</x:t>
  </x:si>
  <x:si>
    <x:t xml:space="preserve">W005|tsk-ef409224d46b#001|后端</x:t>
  </x:si>
  <x:si>
    <x:t xml:space="preserve">W005|tsk-febee99e5a1e#001|后端</x:t>
  </x:si>
  <x:si>
    <x:t xml:space="preserve">W005|tsk-177bff8cf7f9#001|后端</x:t>
  </x:si>
  <x:si>
    <x:t xml:space="preserve">W005|tsk-2f7c5586317d#001|后端</x:t>
  </x:si>
  <x:si>
    <x:t xml:space="preserve">W005|tsk-a5528f60d6ad#001|后端</x:t>
  </x:si>
  <x:si>
    <x:t xml:space="preserve">W005|tsk-e8fdac8072e1#001|后端</x:t>
  </x:si>
  <x:si>
    <x:t xml:space="preserve">W005|tsk-628e22896d5e#001|后端</x:t>
  </x:si>
  <x:si>
    <x:t xml:space="preserve">W006|tsk-33c582966f67#001|测试</x:t>
  </x:si>
  <x:si>
    <x:t xml:space="preserve">W006|tsk-23275116439b#001|测试</x:t>
  </x:si>
  <x:si>
    <x:t xml:space="preserve">W006|tsk-f668411c7176#001|测试</x:t>
  </x:si>
  <x:si>
    <x:t xml:space="preserve">W006|tsk-9344390f42cf#001|测试</x:t>
  </x:si>
  <x:si>
    <x:t xml:space="preserve">W006|tsk-ed149daad87d#001|测试</x:t>
  </x:si>
  <x:si>
    <x:t xml:space="preserve">W006|tsk-97a98e6009e6#001|测试</x:t>
  </x:si>
  <x:si>
    <x:t xml:space="preserve">W006|tsk-a12265c00afb#001|测试</x:t>
  </x:si>
  <x:si>
    <x:t xml:space="preserve">W006|tsk-e3cb05a8752f#001|测试</x:t>
  </x:si>
  <x:si>
    <x:t xml:space="preserve">W006|tsk-b7577ba49e91#001|测试</x:t>
  </x:si>
  <x:si>
    <x:t xml:space="preserve">W006|tsk-7f2aa4709d11#001|测试</x:t>
  </x:si>
  <x:si>
    <x:t xml:space="preserve">W006|tsk-702fd2cdf48f#001|测试</x:t>
  </x:si>
  <x:si>
    <x:t xml:space="preserve">W006|tsk-d0de99d77921#001|测试</x:t>
  </x:si>
  <x:si>
    <x:t xml:space="preserve">W006|tsk-8e0f61ad2405#001|测试</x:t>
  </x:si>
  <x:si>
    <x:t xml:space="preserve">W006|tsk-a12801ccffa6#001|测试</x:t>
  </x:si>
  <x:si>
    <x:t xml:space="preserve">W006|tsk-978d907ae469#001|测试</x:t>
  </x:si>
  <x:si>
    <x:t xml:space="preserve">W006|tsk-f4466ad5469c#001|测试</x:t>
  </x:si>
  <x:si>
    <x:t xml:space="preserve">W006|tsk-7d88bf49e933#001|测试</x:t>
  </x:si>
  <x:si>
    <x:t xml:space="preserve">W006|tsk-7d592b89a46f#001|测试</x:t>
  </x:si>
  <x:si>
    <x:t xml:space="preserve">W006|tsk-7d592b89a46f#002|测试</x:t>
  </x:si>
  <x:si>
    <x:t xml:space="preserve">W006|tsk-10c71dc857f0#001|测试</x:t>
  </x:si>
  <x:si>
    <x:t xml:space="preserve">W006|tsk-10c71dc857f0#002|测试</x:t>
  </x:si>
  <x:si>
    <x:t xml:space="preserve">W006|tsk-10c71dc857f0#003|测试</x:t>
  </x:si>
  <x:si>
    <x:t xml:space="preserve">W006|tsk-10c71dc857f0#004|测试</x:t>
  </x:si>
  <x:si>
    <x:t xml:space="preserve">W006|tsk-965e74d49261#001|测试</x:t>
  </x:si>
  <x:si>
    <x:t xml:space="preserve">W006|tsk-57b8e280d274#001|测试</x:t>
  </x:si>
  <x:si>
    <x:t xml:space="preserve">W006|tsk-211024d6f6de#001|测试</x:t>
  </x:si>
  <x:si>
    <x:t xml:space="preserve">W006|tsk-c0d2087ea559#001|测试</x:t>
  </x:si>
  <x:si>
    <x:t xml:space="preserve">W006|tsk-ef409224d46b#001|测试</x:t>
  </x:si>
  <x:si>
    <x:t xml:space="preserve">W006|tsk-febee99e5a1e#001|测试</x:t>
  </x:si>
  <x:si>
    <x:t xml:space="preserve">W006|tsk-177bff8cf7f9#001|测试</x:t>
  </x:si>
  <x:si>
    <x:t xml:space="preserve">W006|tsk-15570328b3e1#001|测试</x:t>
  </x:si>
  <x:si>
    <x:t xml:space="preserve">W006|tsk-2f7c5586317d#001|测试</x:t>
  </x:si>
  <x:si>
    <x:t xml:space="preserve">W006|tsk-a5528f60d6ad#001|测试</x:t>
  </x:si>
  <x:si>
    <x:t xml:space="preserve">W006|tsk-e8fdac8072e1#001|测试</x:t>
  </x:si>
  <x:si>
    <x:t xml:space="preserve">W006|tsk-628e22896d5e#001|测试</x:t>
  </x:si>
  <x:si>
    <x:t xml:space="preserve">T005</x:t>
  </x:si>
  <x:si>
    <x:t xml:space="preserve">船舶唯一性校验</x:t>
  </x:si>
  <x:si>
    <x:t xml:space="preserve">W007|tsk-48d2a2f6f0ca#001|业务</x:t>
  </x:si>
  <x:si>
    <x:t xml:space="preserve">T019</x:t>
  </x:si>
  <x:si>
    <x:t xml:space="preserve">对接卸船计划</x:t>
  </x:si>
  <x:si>
    <x:t xml:space="preserve">W007|tsk-1434d732f324#001|业务</x:t>
  </x:si>
  <x:si>
    <x:t xml:space="preserve">T020</x:t>
  </x:si>
  <x:si>
    <x:t xml:space="preserve">查询卸车计划</x:t>
  </x:si>
  <x:si>
    <x:t xml:space="preserve">W007|tsk-6f7899347220#001|业务</x:t>
  </x:si>
  <x:si>
    <x:t xml:space="preserve">T021</x:t>
  </x:si>
  <x:si>
    <x:t xml:space="preserve">外部客户确认</x:t>
  </x:si>
  <x:si>
    <x:t xml:space="preserve">W007|tsk-5e443e932dea#001|业务</x:t>
  </x:si>
  <x:si>
    <x:t xml:space="preserve">T022</x:t>
  </x:si>
  <x:si>
    <x:t xml:space="preserve">对接卸船作业信息</x:t>
  </x:si>
  <x:si>
    <x:t xml:space="preserve">W007|tsk-687e056338b0#001|业务</x:t>
  </x:si>
  <x:si>
    <x:t xml:space="preserve">T023</x:t>
  </x:si>
  <x:si>
    <x:t xml:space="preserve">查询卸船作业信息</x:t>
  </x:si>
  <x:si>
    <x:t xml:space="preserve">W007|tsk-1f2d6d901b96#001|业务</x:t>
  </x:si>
  <x:si>
    <x:t xml:space="preserve">T024</x:t>
  </x:si>
  <x:si>
    <x:t xml:space="preserve">卸船查询列表</x:t>
  </x:si>
  <x:si>
    <x:t xml:space="preserve">W007|tsk-569b438a861f#001|业务</x:t>
  </x:si>
  <x:si>
    <x:t xml:space="preserve">T025</x:t>
  </x:si>
  <x:si>
    <x:t xml:space="preserve">卸船查询详情</x:t>
  </x:si>
  <x:si>
    <x:t xml:space="preserve">W007|tsk-190248011e64#001|业务</x:t>
  </x:si>
  <x:si>
    <x:t xml:space="preserve">T026</x:t>
  </x:si>
  <x:si>
    <x:t xml:space="preserve">创建卸船作业委托信息</x:t>
  </x:si>
  <x:si>
    <x:t xml:space="preserve">W007|tsk-f6c637702ac8#001|业务</x:t>
  </x:si>
  <x:si>
    <x:t xml:space="preserve">T027</x:t>
  </x:si>
  <x:si>
    <x:t xml:space="preserve">修改卸船作业委托信息</x:t>
  </x:si>
  <x:si>
    <x:t xml:space="preserve">W007|tsk-b94ca72bec1d#001|业务</x:t>
  </x:si>
  <x:si>
    <x:t xml:space="preserve">T028</x:t>
  </x:si>
  <x:si>
    <x:t xml:space="preserve">作废卸船作业委托信息</x:t>
  </x:si>
  <x:si>
    <x:t xml:space="preserve">W007|tsk-042dd9e15de9#001|业务</x:t>
  </x:si>
  <x:si>
    <x:t xml:space="preserve">T029</x:t>
  </x:si>
  <x:si>
    <x:t xml:space="preserve">推送卸船作业委托信息</x:t>
  </x:si>
  <x:si>
    <x:t xml:space="preserve">W007|tsk-733eb8844d0a#001|业务</x:t>
  </x:si>
  <x:si>
    <x:t xml:space="preserve">T030</x:t>
  </x:si>
  <x:si>
    <x:t xml:space="preserve">查询卸船作业委托信息</x:t>
  </x:si>
  <x:si>
    <x:t xml:space="preserve">W007|tsk-2b8fe09330fa#001|业务</x:t>
  </x:si>
  <x:si>
    <x:t xml:space="preserve">T031</x:t>
  </x:si>
  <x:si>
    <x:t xml:space="preserve">创建外轮转内贸业务信息</x:t>
  </x:si>
  <x:si>
    <x:t xml:space="preserve">W007|tsk-2cf4f1125368#001|业务</x:t>
  </x:si>
  <x:si>
    <x:t xml:space="preserve">T032</x:t>
  </x:si>
  <x:si>
    <x:t xml:space="preserve">作废外轮转内贸业务信息</x:t>
  </x:si>
  <x:si>
    <x:t xml:space="preserve">W007|tsk-a8a88945c3aa#001|业务</x:t>
  </x:si>
  <x:si>
    <x:t xml:space="preserve">T033</x:t>
  </x:si>
  <x:si>
    <x:t xml:space="preserve">查询外轮转内贸业务信息</x:t>
  </x:si>
  <x:si>
    <x:t xml:space="preserve">W007|tsk-1257be12f654#001|业务</x:t>
  </x:si>
  <x:si>
    <x:t xml:space="preserve">T034</x:t>
  </x:si>
  <x:si>
    <x:t xml:space="preserve">新增船舶靠泊通知单</x:t>
  </x:si>
  <x:si>
    <x:t xml:space="preserve">W007|tsk-0941687334ee#001|业务</x:t>
  </x:si>
  <x:si>
    <x:t xml:space="preserve">T035</x:t>
  </x:si>
  <x:si>
    <x:t xml:space="preserve">审批船舶靠泊通知单</x:t>
  </x:si>
  <x:si>
    <x:t xml:space="preserve">W007|tsk-df5becb03546#001|业务</x:t>
  </x:si>
  <x:si>
    <x:t xml:space="preserve">T036</x:t>
  </x:si>
  <x:si>
    <x:t xml:space="preserve">查询船舶靠泊通知单</x:t>
  </x:si>
  <x:si>
    <x:t xml:space="preserve">W007|tsk-40a850a3615b#001|业务</x:t>
  </x:si>
  <x:si>
    <x:t xml:space="preserve">T046</x:t>
  </x:si>
  <x:si>
    <x:t xml:space="preserve">新增船舶预到（外贸）</x:t>
  </x:si>
  <x:si>
    <x:t xml:space="preserve">W007|tsk-51e2a658ea29#001|业务</x:t>
  </x:si>
  <x:si>
    <x:t xml:space="preserve">T047</x:t>
  </x:si>
  <x:si>
    <x:t xml:space="preserve">退回船舶预到（外贸）</x:t>
  </x:si>
  <x:si>
    <x:t xml:space="preserve">W007|tsk-6e540ffca5c7#001|业务</x:t>
  </x:si>
  <x:si>
    <x:t xml:space="preserve">T048</x:t>
  </x:si>
  <x:si>
    <x:t xml:space="preserve">W007|tsk-09a02f4d7d83#001|业务</x:t>
  </x:si>
  <x:si>
    <x:t xml:space="preserve">T049</x:t>
  </x:si>
  <x:si>
    <x:t xml:space="preserve">申请采样申请（外贸）</x:t>
  </x:si>
  <x:si>
    <x:t xml:space="preserve">W007|tsk-da7f1bbdc582#001|业务</x:t>
  </x:si>
  <x:si>
    <x:t xml:space="preserve">T059</x:t>
  </x:si>
  <x:si>
    <x:t xml:space="preserve">优化新增装车作业信息</x:t>
  </x:si>
  <x:si>
    <x:t xml:space="preserve">W007|tsk-af568665c0d5#001|业务</x:t>
  </x:si>
  <x:si>
    <x:t xml:space="preserve">T081</x:t>
  </x:si>
  <x:si>
    <x:t xml:space="preserve">数据对接</x:t>
  </x:si>
  <x:si>
    <x:t xml:space="preserve">W007|tsk-f0e8e7f9f9ee#001|业务</x:t>
  </x:si>
  <x:si>
    <x:t xml:space="preserve">T082</x:t>
  </x:si>
  <x:si>
    <x:t xml:space="preserve">数据展示</x:t>
  </x:si>
  <x:si>
    <x:t xml:space="preserve">W007|tsk-ca380e0d0aee#001|业务</x:t>
  </x:si>
  <x:si>
    <x:t xml:space="preserve">T083</x:t>
  </x:si>
  <x:si>
    <x:t xml:space="preserve">W007|tsk-ed4dab57b66a#001|业务</x:t>
  </x:si>
  <x:si>
    <x:t xml:space="preserve">T084</x:t>
  </x:si>
  <x:si>
    <x:t xml:space="preserve">数据产生</x:t>
  </x:si>
  <x:si>
    <x:t xml:space="preserve">W007|tsk-ba4956b049fc#001|业务</x:t>
  </x:si>
  <x:si>
    <x:t xml:space="preserve">T085</x:t>
  </x:si>
  <x:si>
    <x:t xml:space="preserve">W007|tsk-36b50b083723#001|业务</x:t>
  </x:si>
  <x:si>
    <x:t xml:space="preserve">T086</x:t>
  </x:si>
  <x:si>
    <x:t xml:space="preserve">W007|tsk-8b699cb2d97b#001|业务</x:t>
  </x:si>
  <x:si>
    <x:t xml:space="preserve">T087</x:t>
  </x:si>
  <x:si>
    <x:t xml:space="preserve">W007|tsk-97239b879826#001|业务</x:t>
  </x:si>
  <x:si>
    <x:t xml:space="preserve">T088</x:t>
  </x:si>
  <x:si>
    <x:t xml:space="preserve">W007|tsk-67356a4c38e7#001|业务</x:t>
  </x:si>
  <x:si>
    <x:t xml:space="preserve">T089</x:t>
  </x:si>
  <x:si>
    <x:t xml:space="preserve">新增采样服务费（外贸）</x:t>
  </x:si>
  <x:si>
    <x:t xml:space="preserve">W007|tsk-d843b0070289#001|业务</x:t>
  </x:si>
  <x:si>
    <x:t xml:space="preserve">T090</x:t>
  </x:si>
  <x:si>
    <x:t xml:space="preserve">审批采样服务费（外贸）</x:t>
  </x:si>
  <x:si>
    <x:t xml:space="preserve">W007|tsk-f0fcc8b90f2f#001|业务</x:t>
  </x:si>
  <x:si>
    <x:t xml:space="preserve">T091</x:t>
  </x:si>
  <x:si>
    <x:t xml:space="preserve">单据签章</x:t>
  </x:si>
  <x:si>
    <x:t xml:space="preserve">W007|tsk-18bc2a0df442#001|业务</x:t>
  </x:si>
  <x:si>
    <x:t xml:space="preserve">T092</x:t>
  </x:si>
  <x:si>
    <x:t xml:space="preserve">数据推送</x:t>
  </x:si>
  <x:si>
    <x:t xml:space="preserve">W007|tsk-5d63b672e354#001|业务</x:t>
  </x:si>
  <x:si>
    <x:t xml:space="preserve">T093</x:t>
  </x:si>
  <x:si>
    <x:t xml:space="preserve">W007|tsk-c19b20b85e7d#001|业务</x:t>
  </x:si>
  <x:si>
    <x:t xml:space="preserve">T094</x:t>
  </x:si>
  <x:si>
    <x:t xml:space="preserve">W007|tsk-4d9a344af7af#001|业务</x:t>
  </x:si>
  <x:si>
    <x:t xml:space="preserve">T126</x:t>
  </x:si>
  <x:si>
    <x:t xml:space="preserve">停泊费（外贸）查询</x:t>
  </x:si>
  <x:si>
    <x:t xml:space="preserve">W007|tsk-9b71d83dfa28#001|业务</x:t>
  </x:si>
  <x:si>
    <x:t xml:space="preserve">T127</x:t>
  </x:si>
  <x:si>
    <x:t xml:space="preserve">锚泊费（外贸）查询</x:t>
  </x:si>
  <x:si>
    <x:t xml:space="preserve">W007|tsk-ce4913ddfaf8#001|业务</x:t>
  </x:si>
  <x:si>
    <x:t xml:space="preserve">T128</x:t>
  </x:si>
  <x:si>
    <x:t xml:space="preserve">堆存费（外贸）查询</x:t>
  </x:si>
  <x:si>
    <x:t xml:space="preserve">W007|tsk-178c0ad2db5d#001|业务</x:t>
  </x:si>
  <x:si>
    <x:t xml:space="preserve">T129</x:t>
  </x:si>
  <x:si>
    <x:t xml:space="preserve">卸船费（外贸）查询</x:t>
  </x:si>
  <x:si>
    <x:t xml:space="preserve">W007|tsk-6c8633be9834#001|业务</x:t>
  </x:si>
  <x:si>
    <x:t xml:space="preserve">T130</x:t>
  </x:si>
  <x:si>
    <x:t xml:space="preserve">采样服务费（外贸）查询</x:t>
  </x:si>
  <x:si>
    <x:t xml:space="preserve">W007|tsk-b2bf08346ef0#001|业务</x:t>
  </x:si>
  <x:si>
    <x:t xml:space="preserve">T131</x:t>
  </x:si>
  <x:si>
    <x:t xml:space="preserve">船舶供应服务费（外贸）查询</x:t>
  </x:si>
  <x:si>
    <x:t xml:space="preserve">W007|tsk-dc1028c0741b#001|业务</x:t>
  </x:si>
  <x:si>
    <x:t xml:space="preserve">T132</x:t>
  </x:si>
  <x:si>
    <x:t xml:space="preserve">W007|tsk-ba976910e0a8#001|业务</x:t>
  </x:si>
  <x:si>
    <x:t xml:space="preserve">T133</x:t>
  </x:si>
  <x:si>
    <x:t xml:space="preserve">W007|tsk-2f656028e1ee#001|业务</x:t>
  </x:si>
  <x:si>
    <x:t xml:space="preserve">T134</x:t>
  </x:si>
  <x:si>
    <x:t xml:space="preserve">卸船计划查询</x:t>
  </x:si>
  <x:si>
    <x:t xml:space="preserve">W007|tsk-8da0ab00b9be#001|业务</x:t>
  </x:si>
  <x:si>
    <x:t xml:space="preserve">T135</x:t>
  </x:si>
  <x:si>
    <x:t xml:space="preserve">卸船查询</x:t>
  </x:si>
  <x:si>
    <x:t xml:space="preserve">W007|tsk-16b867992f39#001|业务</x:t>
  </x:si>
  <x:si>
    <x:t xml:space="preserve">T136</x:t>
  </x:si>
  <x:si>
    <x:t xml:space="preserve">卸船作业委托</x:t>
  </x:si>
  <x:si>
    <x:t xml:space="preserve">W007|tsk-51f72709ab2b#001|业务</x:t>
  </x:si>
  <x:si>
    <x:t xml:space="preserve">T137</x:t>
  </x:si>
  <x:si>
    <x:t xml:space="preserve">外轮转内贸业务查询</x:t>
  </x:si>
  <x:si>
    <x:t xml:space="preserve">W007|tsk-fc2047391ae1#001|业务</x:t>
  </x:si>
  <x:si>
    <x:t xml:space="preserve">T142</x:t>
  </x:si>
  <x:si>
    <x:t xml:space="preserve">W007|tsk-c3816ac8c41c#001|业务</x:t>
  </x:si>
  <x:si>
    <x:t xml:space="preserve">W007|tsk-af568665c0d5#001|前端</x:t>
  </x:si>
  <x:si>
    <x:t xml:space="preserve">W007|tsk-af568665c0d5#001|后端</x:t>
  </x:si>
  <x:si>
    <x:t xml:space="preserve">W009|tsk-b14957c92331#001|前端</x:t>
  </x:si>
  <x:si>
    <x:t xml:space="preserve">W009|tsk-d942dd328122#001|前端</x:t>
  </x:si>
  <x:si>
    <x:t xml:space="preserve">W009|tsk-577f9f403da5#001|前端</x:t>
  </x:si>
  <x:si>
    <x:t xml:space="preserve">W009|tsk-b14957c92331#001|后端</x:t>
  </x:si>
  <x:si>
    <x:t xml:space="preserve">W009|tsk-d942dd328122#001|后端</x:t>
  </x:si>
  <x:si>
    <x:t xml:space="preserve">W009|tsk-577f9f403da5#001|后端</x:t>
  </x:si>
  <x:si>
    <x:t xml:space="preserve">W010|tsk-41f84a2dbee7#001|前端</x:t>
  </x:si>
  <x:si>
    <x:t xml:space="preserve">W010|tsk-720110050036#001|前端</x:t>
  </x:si>
  <x:si>
    <x:t xml:space="preserve">W010|tsk-72392976ed5d#001|前端</x:t>
  </x:si>
  <x:si>
    <x:t xml:space="preserve">W010|tsk-f1427d0c97d9#001|前端</x:t>
  </x:si>
  <x:si>
    <x:t xml:space="preserve">W010|tsk-060d8a1d14e2#001|前端</x:t>
  </x:si>
  <x:si>
    <x:t xml:space="preserve">W010|tsk-b0bfc16bb18d#001|前端</x:t>
  </x:si>
  <x:si>
    <x:t xml:space="preserve">W010|tsk-e7e708d55c95#001|前端</x:t>
  </x:si>
  <x:si>
    <x:t xml:space="preserve">W010|tsk-ae0234715f64#001|前端</x:t>
  </x:si>
  <x:si>
    <x:t xml:space="preserve">W010|tsk-58da4f05f2c4#001|前端</x:t>
  </x:si>
  <x:si>
    <x:t xml:space="preserve">W010|tsk-86a7a8f2d6d2#001|前端</x:t>
  </x:si>
  <x:si>
    <x:t xml:space="preserve">W010|tsk-5dde71d1afa6#001|前端</x:t>
  </x:si>
  <x:si>
    <x:t xml:space="preserve">W010|tsk-b414c5bb0e5c#001|前端</x:t>
  </x:si>
  <x:si>
    <x:t xml:space="preserve">W010|tsk-d8cee4246d76#001|前端</x:t>
  </x:si>
  <x:si>
    <x:t xml:space="preserve">W010|tsk-2383292632d6#001|前端</x:t>
  </x:si>
  <x:si>
    <x:t xml:space="preserve">W010|tsk-6844eefcb09f#001|前端</x:t>
  </x:si>
  <x:si>
    <x:t xml:space="preserve">W010|tsk-c0b615e95db5#001|前端</x:t>
  </x:si>
  <x:si>
    <x:t xml:space="preserve">W010|tsk-010f2f0578d8#001|前端</x:t>
  </x:si>
  <x:si>
    <x:t xml:space="preserve">W010|tsk-ba126ef0228f#001|前端</x:t>
  </x:si>
  <x:si>
    <x:t xml:space="preserve">W010|tsk-13ad283484a7#001|前端</x:t>
  </x:si>
  <x:si>
    <x:t xml:space="preserve">W010|tsk-f441c61f54ad#001|前端</x:t>
  </x:si>
  <x:si>
    <x:t xml:space="preserve">T117</x:t>
  </x:si>
  <x:si>
    <x:t xml:space="preserve">经营任务情况分析报告</x:t>
  </x:si>
  <x:si>
    <x:t xml:space="preserve">W010|tsk-4537a4eb5b31#001|前端</x:t>
  </x:si>
  <x:si>
    <x:t xml:space="preserve">T118</x:t>
  </x:si>
  <x:si>
    <x:t xml:space="preserve">客户月报报告</x:t>
  </x:si>
  <x:si>
    <x:t xml:space="preserve">W010|tsk-9a64b8ed984e#001|前端</x:t>
  </x:si>
  <x:si>
    <x:t xml:space="preserve">T119</x:t>
  </x:si>
  <x:si>
    <x:t xml:space="preserve">月度客户情况报告</x:t>
  </x:si>
  <x:si>
    <x:t xml:space="preserve">W010|tsk-9355d4cfb537#001|前端</x:t>
  </x:si>
  <x:si>
    <x:t xml:space="preserve">T120</x:t>
  </x:si>
  <x:si>
    <x:t xml:space="preserve">商务计划周报</x:t>
  </x:si>
  <x:si>
    <x:t xml:space="preserve">W010|tsk-b55e82bcfe4a#001|前端</x:t>
  </x:si>
  <x:si>
    <x:t xml:space="preserve">W010|tsk-a9cbee439438#001|前端</x:t>
  </x:si>
  <x:si>
    <x:t xml:space="preserve">W010|tsk-b174cf36c1c8#001|前端</x:t>
  </x:si>
  <x:si>
    <x:t xml:space="preserve">W010|tsk-b782224c74f5#001|前端</x:t>
  </x:si>
  <x:si>
    <x:t xml:space="preserve">W010|tsk-41f84a2dbee7#001|后端</x:t>
  </x:si>
  <x:si>
    <x:t xml:space="preserve">W010|tsk-720110050036#001|后端</x:t>
  </x:si>
  <x:si>
    <x:t xml:space="preserve">W010|tsk-72392976ed5d#001|后端</x:t>
  </x:si>
  <x:si>
    <x:t xml:space="preserve">W010|tsk-f1427d0c97d9#001|后端</x:t>
  </x:si>
  <x:si>
    <x:t xml:space="preserve">W010|tsk-060d8a1d14e2#001|后端</x:t>
  </x:si>
  <x:si>
    <x:t xml:space="preserve">W010|tsk-b0bfc16bb18d#001|后端</x:t>
  </x:si>
  <x:si>
    <x:t xml:space="preserve">W010|tsk-e7e708d55c95#001|后端</x:t>
  </x:si>
  <x:si>
    <x:t xml:space="preserve">W010|tsk-ae0234715f64#001|后端</x:t>
  </x:si>
  <x:si>
    <x:t xml:space="preserve">W010|tsk-58da4f05f2c4#001|后端</x:t>
  </x:si>
  <x:si>
    <x:t xml:space="preserve">W010|tsk-86a7a8f2d6d2#001|后端</x:t>
  </x:si>
  <x:si>
    <x:t xml:space="preserve">W010|tsk-5dde71d1afa6#001|后端</x:t>
  </x:si>
  <x:si>
    <x:t xml:space="preserve">W010|tsk-b414c5bb0e5c#001|后端</x:t>
  </x:si>
  <x:si>
    <x:t xml:space="preserve">W010|tsk-d8cee4246d76#001|后端</x:t>
  </x:si>
  <x:si>
    <x:t xml:space="preserve">W010|tsk-2383292632d6#001|后端</x:t>
  </x:si>
  <x:si>
    <x:t xml:space="preserve">W010|tsk-6844eefcb09f#001|后端</x:t>
  </x:si>
  <x:si>
    <x:t xml:space="preserve">W010|tsk-c0b615e95db5#001|后端</x:t>
  </x:si>
  <x:si>
    <x:t xml:space="preserve">W010|tsk-010f2f0578d8#001|后端</x:t>
  </x:si>
  <x:si>
    <x:t xml:space="preserve">W010|tsk-ba126ef0228f#001|后端</x:t>
  </x:si>
  <x:si>
    <x:t xml:space="preserve">W010|tsk-13ad283484a7#001|后端</x:t>
  </x:si>
  <x:si>
    <x:t xml:space="preserve">W010|tsk-f441c61f54ad#001|后端</x:t>
  </x:si>
  <x:si>
    <x:t xml:space="preserve">W010|tsk-4537a4eb5b31#001|后端</x:t>
  </x:si>
  <x:si>
    <x:t xml:space="preserve">W010|tsk-9a64b8ed984e#001|后端</x:t>
  </x:si>
  <x:si>
    <x:t xml:space="preserve">W010|tsk-9355d4cfb537#001|后端</x:t>
  </x:si>
  <x:si>
    <x:t xml:space="preserve">W010|tsk-b55e82bcfe4a#001|后端</x:t>
  </x:si>
  <x:si>
    <x:t xml:space="preserve">W010|tsk-a9cbee439438#001|后端</x:t>
  </x:si>
  <x:si>
    <x:t xml:space="preserve">W010|tsk-b174cf36c1c8#001|后端</x:t>
  </x:si>
  <x:si>
    <x:t xml:space="preserve">W010|tsk-b782224c74f5#001|后端</x:t>
  </x:si>
  <x:si>
    <x:t xml:space="preserve">W011|tsk-d0de99d77921#001|前端</x:t>
  </x:si>
  <x:si>
    <x:t xml:space="preserve">W011|tsk-8e0f61ad2405#001|前端</x:t>
  </x:si>
  <x:si>
    <x:t xml:space="preserve">W011|tsk-a12801ccffa6#001|前端</x:t>
  </x:si>
  <x:si>
    <x:t xml:space="preserve">W011|tsk-3c49a764e4d0#001|前端</x:t>
  </x:si>
  <x:si>
    <x:t xml:space="preserve">W011|tsk-7adc76236513#001|前端</x:t>
  </x:si>
  <x:si>
    <x:t xml:space="preserve">W011|tsk-27502e8eb665#001|前端</x:t>
  </x:si>
  <x:si>
    <x:t xml:space="preserve">W011|tsk-4bbd9b69bf8e#001|前端</x:t>
  </x:si>
  <x:si>
    <x:t xml:space="preserve">W011|tsk-d4c78b2bbc7a#001|前端</x:t>
  </x:si>
  <x:si>
    <x:t xml:space="preserve">常浩</x:t>
  </x:si>
  <x:si>
    <x:t xml:space="preserve">W011|tsk-d0de99d77921#001|后端</x:t>
  </x:si>
  <x:si>
    <x:t xml:space="preserve">W011|tsk-8e0f61ad2405#001|后端</x:t>
  </x:si>
  <x:si>
    <x:t xml:space="preserve">W011|tsk-a12801ccffa6#001|后端</x:t>
  </x:si>
  <x:si>
    <x:t xml:space="preserve">W011|tsk-3c49a764e4d0#001|后端</x:t>
  </x:si>
  <x:si>
    <x:t xml:space="preserve">W011|tsk-7adc76236513#001|后端</x:t>
  </x:si>
  <x:si>
    <x:t xml:space="preserve">W011|tsk-27502e8eb665#001|后端</x:t>
  </x:si>
  <x:si>
    <x:t xml:space="preserve">W011|tsk-4bbd9b69bf8e#001|后端</x:t>
  </x:si>
  <x:si>
    <x:t xml:space="preserve">W011|tsk-d4c78b2bbc7a#001|后端</x:t>
  </x:si>
  <x:si>
    <x:t xml:space="preserve">W011|tsk-41f84a2dbee7#001|测试</x:t>
  </x:si>
  <x:si>
    <x:t xml:space="preserve">W011|tsk-720110050036#001|测试</x:t>
  </x:si>
  <x:si>
    <x:t xml:space="preserve">W011|tsk-72392976ed5d#001|测试</x:t>
  </x:si>
  <x:si>
    <x:t xml:space="preserve">W011|tsk-f1427d0c97d9#001|测试</x:t>
  </x:si>
  <x:si>
    <x:t xml:space="preserve">W011|tsk-060d8a1d14e2#001|测试</x:t>
  </x:si>
  <x:si>
    <x:t xml:space="preserve">W011|tsk-b0bfc16bb18d#001|测试</x:t>
  </x:si>
  <x:si>
    <x:t xml:space="preserve">W011|tsk-e7e708d55c95#001|测试</x:t>
  </x:si>
  <x:si>
    <x:t xml:space="preserve">W011|tsk-ae0234715f64#001|测试</x:t>
  </x:si>
  <x:si>
    <x:t xml:space="preserve">W011|tsk-58da4f05f2c4#001|测试</x:t>
  </x:si>
  <x:si>
    <x:t xml:space="preserve">W011|tsk-86a7a8f2d6d2#001|测试</x:t>
  </x:si>
  <x:si>
    <x:t xml:space="preserve">W011|tsk-5dde71d1afa6#001|测试</x:t>
  </x:si>
  <x:si>
    <x:t xml:space="preserve">W011|tsk-b414c5bb0e5c#001|测试</x:t>
  </x:si>
  <x:si>
    <x:t xml:space="preserve">W011|tsk-d8cee4246d76#001|测试</x:t>
  </x:si>
  <x:si>
    <x:t xml:space="preserve">W011|tsk-2383292632d6#001|测试</x:t>
  </x:si>
  <x:si>
    <x:t xml:space="preserve">W011|tsk-6844eefcb09f#001|测试</x:t>
  </x:si>
  <x:si>
    <x:t xml:space="preserve">W011|tsk-c0b615e95db5#001|测试</x:t>
  </x:si>
  <x:si>
    <x:t xml:space="preserve">W011|tsk-010f2f0578d8#001|测试</x:t>
  </x:si>
  <x:si>
    <x:t xml:space="preserve">W011|tsk-ba126ef0228f#001|测试</x:t>
  </x:si>
  <x:si>
    <x:t xml:space="preserve">W011|tsk-13ad283484a7#001|测试</x:t>
  </x:si>
  <x:si>
    <x:t xml:space="preserve">W011|tsk-f441c61f54ad#001|测试</x:t>
  </x:si>
  <x:si>
    <x:t xml:space="preserve">W011|tsk-4537a4eb5b31#001|测试</x:t>
  </x:si>
  <x:si>
    <x:t xml:space="preserve">W011|tsk-9a64b8ed984e#001|测试</x:t>
  </x:si>
  <x:si>
    <x:t xml:space="preserve">W011|tsk-9355d4cfb537#001|测试</x:t>
  </x:si>
  <x:si>
    <x:t xml:space="preserve">W011|tsk-b55e82bcfe4a#001|测试</x:t>
  </x:si>
  <x:si>
    <x:t xml:space="preserve">W011|tsk-b14957c92331#001|测试</x:t>
  </x:si>
  <x:si>
    <x:t xml:space="preserve">W011|tsk-d942dd328122#001|测试</x:t>
  </x:si>
  <x:si>
    <x:t xml:space="preserve">W011|tsk-577f9f403da5#001|测试</x:t>
  </x:si>
  <x:si>
    <x:t xml:space="preserve">W012|tsk-6f7899347220#001|前端</x:t>
  </x:si>
  <x:si>
    <x:t xml:space="preserve">W012|tsk-5e443e932dea#001|前端</x:t>
  </x:si>
  <x:si>
    <x:t xml:space="preserve">W012|tsk-f6c637702ac8#001|前端</x:t>
  </x:si>
  <x:si>
    <x:t xml:space="preserve">W012|tsk-b94ca72bec1d#001|前端</x:t>
  </x:si>
  <x:si>
    <x:t xml:space="preserve">W012|tsk-2b8fe09330fa#001|前端</x:t>
  </x:si>
  <x:si>
    <x:t xml:space="preserve">W012|tsk-0941687334ee#001|前端</x:t>
  </x:si>
  <x:si>
    <x:t xml:space="preserve">W012|tsk-df5becb03546#001|前端</x:t>
  </x:si>
  <x:si>
    <x:t xml:space="preserve">W012|tsk-40a850a3615b#001|前端</x:t>
  </x:si>
  <x:si>
    <x:t xml:space="preserve">W012|tsk-15570328b3e1#001|前端</x:t>
  </x:si>
  <x:si>
    <x:t xml:space="preserve">W012|tsk-6f7899347220#001|后端</x:t>
  </x:si>
  <x:si>
    <x:t xml:space="preserve">W012|tsk-5e443e932dea#001|后端</x:t>
  </x:si>
  <x:si>
    <x:t xml:space="preserve">W012|tsk-f6c637702ac8#001|后端</x:t>
  </x:si>
  <x:si>
    <x:t xml:space="preserve">W012|tsk-b94ca72bec1d#001|后端</x:t>
  </x:si>
  <x:si>
    <x:t xml:space="preserve">W012|tsk-2b8fe09330fa#001|后端</x:t>
  </x:si>
  <x:si>
    <x:t xml:space="preserve">W012|tsk-0941687334ee#001|后端</x:t>
  </x:si>
  <x:si>
    <x:t xml:space="preserve">W012|tsk-df5becb03546#001|后端</x:t>
  </x:si>
  <x:si>
    <x:t xml:space="preserve">W012|tsk-40a850a3615b#001|后端</x:t>
  </x:si>
  <x:si>
    <x:t xml:space="preserve">W012|tsk-15570328b3e1#001|后端</x:t>
  </x:si>
  <x:si>
    <x:t xml:space="preserve">W012|tsk-3c49a764e4d0#001|测试</x:t>
  </x:si>
  <x:si>
    <x:t xml:space="preserve">W012|tsk-7adc76236513#001|测试</x:t>
  </x:si>
  <x:si>
    <x:t xml:space="preserve">W012|tsk-27502e8eb665#001|测试</x:t>
  </x:si>
  <x:si>
    <x:t xml:space="preserve">W012|tsk-4bbd9b69bf8e#001|测试</x:t>
  </x:si>
  <x:si>
    <x:t xml:space="preserve">W012|tsk-d4c78b2bbc7a#001|测试</x:t>
  </x:si>
  <x:si>
    <x:t xml:space="preserve">W013|tsk-2e5e69219e67#001|前端</x:t>
  </x:si>
  <x:si>
    <x:t xml:space="preserve">W013|tsk-c1590b9d60b9#001|前端</x:t>
  </x:si>
  <x:si>
    <x:t xml:space="preserve">W013|tsk-449ebaf20126#001|前端</x:t>
  </x:si>
  <x:si>
    <x:t xml:space="preserve">W013|tsk-01c63684d31f#001|前端</x:t>
  </x:si>
  <x:si>
    <x:t xml:space="preserve">W013|tsk-684ea1a8faac#001|前端</x:t>
  </x:si>
  <x:si>
    <x:t xml:space="preserve">W013|tsk-9716888ab487#001|前端</x:t>
  </x:si>
  <x:si>
    <x:t xml:space="preserve">W013|tsk-a195bb2f0e59#001|前端</x:t>
  </x:si>
  <x:si>
    <x:t xml:space="preserve">W013|tsk-d6b4db0b7fa5#001|前端</x:t>
  </x:si>
  <x:si>
    <x:t xml:space="preserve">W013|tsk-2e5e69219e67#001|后端</x:t>
  </x:si>
  <x:si>
    <x:t xml:space="preserve">W013|tsk-c1590b9d60b9#001|后端</x:t>
  </x:si>
  <x:si>
    <x:t xml:space="preserve">W013|tsk-449ebaf20126#001|后端</x:t>
  </x:si>
  <x:si>
    <x:t xml:space="preserve">W013|tsk-01c63684d31f#001|后端</x:t>
  </x:si>
  <x:si>
    <x:t xml:space="preserve">W013|tsk-684ea1a8faac#001|后端</x:t>
  </x:si>
  <x:si>
    <x:t xml:space="preserve">W013|tsk-9716888ab487#001|后端</x:t>
  </x:si>
  <x:si>
    <x:t xml:space="preserve">W013|tsk-a195bb2f0e59#001|后端</x:t>
  </x:si>
  <x:si>
    <x:t xml:space="preserve">W013|tsk-d6b4db0b7fa5#001|后端</x:t>
  </x:si>
  <x:si>
    <x:t xml:space="preserve">W014|tsk-2cf4f1125368#001|前端</x:t>
  </x:si>
  <x:si>
    <x:t xml:space="preserve">W014|tsk-a8a88945c3aa#001|前端</x:t>
  </x:si>
  <x:si>
    <x:t xml:space="preserve">W014|tsk-1257be12f654#001|前端</x:t>
  </x:si>
  <x:si>
    <x:t xml:space="preserve">W014|tsk-2cf4f1125368#001|后端</x:t>
  </x:si>
  <x:si>
    <x:t xml:space="preserve">W014|tsk-a8a88945c3aa#001|后端</x:t>
  </x:si>
  <x:si>
    <x:t xml:space="preserve">W014|tsk-1257be12f654#001|后端</x:t>
  </x:si>
  <x:si>
    <x:t xml:space="preserve">W016|tsk-e439a610e5c1#001|前端</x:t>
  </x:si>
  <x:si>
    <x:t xml:space="preserve">W016|tsk-339841bab1cf#001|前端</x:t>
  </x:si>
  <x:si>
    <x:t xml:space="preserve">W016|tsk-5c3c488e8374#001|前端</x:t>
  </x:si>
  <x:si>
    <x:t xml:space="preserve">W016|tsk-031a8fd31f7a#001|前端</x:t>
  </x:si>
  <x:si>
    <x:t xml:space="preserve">W016|tsk-eda52a0a3d62#001|前端</x:t>
  </x:si>
  <x:si>
    <x:t xml:space="preserve">W016|tsk-13a94a87edcb#001|前端</x:t>
  </x:si>
  <x:si>
    <x:t xml:space="preserve">W016|tsk-504c9ba6309d#001|前端</x:t>
  </x:si>
  <x:si>
    <x:t xml:space="preserve">W016|tsk-e439a610e5c1#001|后端</x:t>
  </x:si>
  <x:si>
    <x:t xml:space="preserve">W016|tsk-339841bab1cf#001|后端</x:t>
  </x:si>
  <x:si>
    <x:t xml:space="preserve">W016|tsk-5c3c488e8374#001|后端</x:t>
  </x:si>
  <x:si>
    <x:t xml:space="preserve">W016|tsk-031a8fd31f7a#001|后端</x:t>
  </x:si>
  <x:si>
    <x:t xml:space="preserve">W016|tsk-eda52a0a3d62#001|后端</x:t>
  </x:si>
  <x:si>
    <x:t xml:space="preserve">W016|tsk-13a94a87edcb#001|后端</x:t>
  </x:si>
  <x:si>
    <x:t xml:space="preserve">W016|tsk-504c9ba6309d#001|后端</x:t>
  </x:si>
  <x:si>
    <x:t xml:space="preserve">W017|tsk-36b50b083723#001|前端</x:t>
  </x:si>
  <x:si>
    <x:t xml:space="preserve">W017|tsk-8b699cb2d97b#001|前端</x:t>
  </x:si>
  <x:si>
    <x:t xml:space="preserve">W017|tsk-97239b879826#001|前端</x:t>
  </x:si>
  <x:si>
    <x:t xml:space="preserve">W017|tsk-67356a4c38e7#001|前端</x:t>
  </x:si>
  <x:si>
    <x:t xml:space="preserve">W017|tsk-36b50b083723#001|后端</x:t>
  </x:si>
  <x:si>
    <x:t xml:space="preserve">W017|tsk-8b699cb2d97b#001|后端</x:t>
  </x:si>
  <x:si>
    <x:t xml:space="preserve">W017|tsk-97239b879826#001|后端</x:t>
  </x:si>
  <x:si>
    <x:t xml:space="preserve">W017|tsk-67356a4c38e7#001|后端</x:t>
  </x:si>
  <x:si>
    <x:t xml:space="preserve">W018|tsk-2e5e69219e67#001|测试</x:t>
  </x:si>
  <x:si>
    <x:t xml:space="preserve">W018|tsk-c1590b9d60b9#001|测试</x:t>
  </x:si>
  <x:si>
    <x:t xml:space="preserve">W018|tsk-449ebaf20126#001|测试</x:t>
  </x:si>
  <x:si>
    <x:t xml:space="preserve">W018|tsk-01c63684d31f#001|测试</x:t>
  </x:si>
  <x:si>
    <x:t xml:space="preserve">W018|tsk-684ea1a8faac#001|测试</x:t>
  </x:si>
  <x:si>
    <x:t xml:space="preserve">W018|tsk-e439a610e5c1#001|测试</x:t>
  </x:si>
  <x:si>
    <x:t xml:space="preserve">W018|tsk-339841bab1cf#001|测试</x:t>
  </x:si>
  <x:si>
    <x:t xml:space="preserve">W018|tsk-5c3c488e8374#001|测试</x:t>
  </x:si>
  <x:si>
    <x:t xml:space="preserve">W018|tsk-031a8fd31f7a#001|测试</x:t>
  </x:si>
  <x:si>
    <x:t xml:space="preserve">W018|tsk-eda52a0a3d62#001|测试</x:t>
  </x:si>
  <x:si>
    <x:t xml:space="preserve">W018|tsk-13a94a87edcb#001|测试</x:t>
  </x:si>
  <x:si>
    <x:t xml:space="preserve">W018|tsk-af568665c0d5#001|测试</x:t>
  </x:si>
  <x:si>
    <x:t xml:space="preserve">W018|tsk-9716888ab487#001|测试</x:t>
  </x:si>
  <x:si>
    <x:t xml:space="preserve">W018|tsk-a195bb2f0e59#001|测试</x:t>
  </x:si>
  <x:si>
    <x:t xml:space="preserve">W018|tsk-d6b4db0b7fa5#001|测试</x:t>
  </x:si>
  <x:si>
    <x:t xml:space="preserve">W018|tsk-504c9ba6309d#001|测试</x:t>
  </x:si>
  <x:si>
    <x:t xml:space="preserve">W021|tsk-48d2a2f6f0ca#001|前端</x:t>
  </x:si>
  <x:si>
    <x:t xml:space="preserve">W021|tsk-1434d732f324#001|前端</x:t>
  </x:si>
  <x:si>
    <x:t xml:space="preserve">W021|tsk-687e056338b0#001|前端</x:t>
  </x:si>
  <x:si>
    <x:t xml:space="preserve">W021|tsk-1f2d6d901b96#001|前端</x:t>
  </x:si>
  <x:si>
    <x:t xml:space="preserve">W021|tsk-569b438a861f#001|前端</x:t>
  </x:si>
  <x:si>
    <x:t xml:space="preserve">W021|tsk-190248011e64#001|前端</x:t>
  </x:si>
  <x:si>
    <x:t xml:space="preserve">W021|tsk-042dd9e15de9#001|前端</x:t>
  </x:si>
  <x:si>
    <x:t xml:space="preserve">W021|tsk-733eb8844d0a#001|前端</x:t>
  </x:si>
  <x:si>
    <x:t xml:space="preserve">W021|tsk-51e2a658ea29#001|前端</x:t>
  </x:si>
  <x:si>
    <x:t xml:space="preserve">W021|tsk-6e540ffca5c7#001|前端</x:t>
  </x:si>
  <x:si>
    <x:t xml:space="preserve">W021|tsk-09a02f4d7d83#001|前端</x:t>
  </x:si>
  <x:si>
    <x:t xml:space="preserve">W021|tsk-da7f1bbdc582#001|前端</x:t>
  </x:si>
  <x:si>
    <x:t xml:space="preserve">W021|tsk-f0e8e7f9f9ee#001|前端</x:t>
  </x:si>
  <x:si>
    <x:t xml:space="preserve">W021|tsk-ca380e0d0aee#001|前端</x:t>
  </x:si>
  <x:si>
    <x:t xml:space="preserve">W021|tsk-ed4dab57b66a#001|前端</x:t>
  </x:si>
  <x:si>
    <x:t xml:space="preserve">W021|tsk-ba4956b049fc#001|前端</x:t>
  </x:si>
  <x:si>
    <x:t xml:space="preserve">W021|tsk-d843b0070289#001|前端</x:t>
  </x:si>
  <x:si>
    <x:t xml:space="preserve">W021|tsk-f0fcc8b90f2f#001|前端</x:t>
  </x:si>
  <x:si>
    <x:t xml:space="preserve">W021|tsk-18bc2a0df442#001|前端</x:t>
  </x:si>
  <x:si>
    <x:t xml:space="preserve">W021|tsk-5d63b672e354#001|前端</x:t>
  </x:si>
  <x:si>
    <x:t xml:space="preserve">W021|tsk-c19b20b85e7d#001|前端</x:t>
  </x:si>
  <x:si>
    <x:t xml:space="preserve">W021|tsk-4d9a344af7af#001|前端</x:t>
  </x:si>
  <x:si>
    <x:t xml:space="preserve">W021|tsk-9b71d83dfa28#001|前端</x:t>
  </x:si>
  <x:si>
    <x:t xml:space="preserve">W021|tsk-ce4913ddfaf8#001|前端</x:t>
  </x:si>
  <x:si>
    <x:t xml:space="preserve">W021|tsk-178c0ad2db5d#001|前端</x:t>
  </x:si>
  <x:si>
    <x:t xml:space="preserve">W021|tsk-6c8633be9834#001|前端</x:t>
  </x:si>
  <x:si>
    <x:t xml:space="preserve">W021|tsk-b2bf08346ef0#001|前端</x:t>
  </x:si>
  <x:si>
    <x:t xml:space="preserve">W021|tsk-dc1028c0741b#001|前端</x:t>
  </x:si>
  <x:si>
    <x:t xml:space="preserve">W021|tsk-ba976910e0a8#001|前端</x:t>
  </x:si>
  <x:si>
    <x:t xml:space="preserve">W021|tsk-2f656028e1ee#001|前端</x:t>
  </x:si>
  <x:si>
    <x:t xml:space="preserve">W021|tsk-8da0ab00b9be#001|前端</x:t>
  </x:si>
  <x:si>
    <x:t xml:space="preserve">W021|tsk-16b867992f39#001|前端</x:t>
  </x:si>
  <x:si>
    <x:t xml:space="preserve">W021|tsk-51f72709ab2b#001|前端</x:t>
  </x:si>
  <x:si>
    <x:t xml:space="preserve">W021|tsk-fc2047391ae1#001|前端</x:t>
  </x:si>
  <x:si>
    <x:t xml:space="preserve">W021|tsk-c3816ac8c41c#001|前端</x:t>
  </x:si>
  <x:si>
    <x:t xml:space="preserve">W021|tsk-48d2a2f6f0ca#001|后端</x:t>
  </x:si>
  <x:si>
    <x:t xml:space="preserve">W021|tsk-1434d732f324#001|后端</x:t>
  </x:si>
  <x:si>
    <x:t xml:space="preserve">W021|tsk-687e056338b0#001|后端</x:t>
  </x:si>
  <x:si>
    <x:t xml:space="preserve">W021|tsk-1f2d6d901b96#001|后端</x:t>
  </x:si>
  <x:si>
    <x:t xml:space="preserve">W021|tsk-569b438a861f#001|后端</x:t>
  </x:si>
  <x:si>
    <x:t xml:space="preserve">W021|tsk-190248011e64#001|后端</x:t>
  </x:si>
  <x:si>
    <x:t xml:space="preserve">W021|tsk-042dd9e15de9#001|后端</x:t>
  </x:si>
  <x:si>
    <x:t xml:space="preserve">W021|tsk-733eb8844d0a#001|后端</x:t>
  </x:si>
  <x:si>
    <x:t xml:space="preserve">W021|tsk-51e2a658ea29#001|后端</x:t>
  </x:si>
  <x:si>
    <x:t xml:space="preserve">W021|tsk-6e540ffca5c7#001|后端</x:t>
  </x:si>
  <x:si>
    <x:t xml:space="preserve">W021|tsk-09a02f4d7d83#001|后端</x:t>
  </x:si>
  <x:si>
    <x:t xml:space="preserve">W021|tsk-da7f1bbdc582#001|后端</x:t>
  </x:si>
  <x:si>
    <x:t xml:space="preserve">W021|tsk-f0e8e7f9f9ee#001|后端</x:t>
  </x:si>
  <x:si>
    <x:t xml:space="preserve">W021|tsk-ca380e0d0aee#001|后端</x:t>
  </x:si>
  <x:si>
    <x:t xml:space="preserve">W021|tsk-ed4dab57b66a#001|后端</x:t>
  </x:si>
  <x:si>
    <x:t xml:space="preserve">W021|tsk-ba4956b049fc#001|后端</x:t>
  </x:si>
  <x:si>
    <x:t xml:space="preserve">W021|tsk-d843b0070289#001|后端</x:t>
  </x:si>
  <x:si>
    <x:t xml:space="preserve">W021|tsk-f0fcc8b90f2f#001|后端</x:t>
  </x:si>
  <x:si>
    <x:t xml:space="preserve">W021|tsk-18bc2a0df442#001|后端</x:t>
  </x:si>
  <x:si>
    <x:t xml:space="preserve">W021|tsk-5d63b672e354#001|后端</x:t>
  </x:si>
  <x:si>
    <x:t xml:space="preserve">W021|tsk-c19b20b85e7d#001|后端</x:t>
  </x:si>
  <x:si>
    <x:t xml:space="preserve">W021|tsk-4d9a344af7af#001|后端</x:t>
  </x:si>
  <x:si>
    <x:t xml:space="preserve">W021|tsk-9b71d83dfa28#001|后端</x:t>
  </x:si>
  <x:si>
    <x:t xml:space="preserve">W021|tsk-ce4913ddfaf8#001|后端</x:t>
  </x:si>
  <x:si>
    <x:t xml:space="preserve">W021|tsk-178c0ad2db5d#001|后端</x:t>
  </x:si>
  <x:si>
    <x:t xml:space="preserve">W021|tsk-6c8633be9834#001|后端</x:t>
  </x:si>
  <x:si>
    <x:t xml:space="preserve">W021|tsk-b2bf08346ef0#001|后端</x:t>
  </x:si>
  <x:si>
    <x:t xml:space="preserve">W021|tsk-dc1028c0741b#001|后端</x:t>
  </x:si>
  <x:si>
    <x:t xml:space="preserve">W021|tsk-ba976910e0a8#001|后端</x:t>
  </x:si>
  <x:si>
    <x:t xml:space="preserve">W021|tsk-2f656028e1ee#001|后端</x:t>
  </x:si>
  <x:si>
    <x:t xml:space="preserve">W021|tsk-8da0ab00b9be#001|后端</x:t>
  </x:si>
  <x:si>
    <x:t xml:space="preserve">W021|tsk-16b867992f39#001|后端</x:t>
  </x:si>
  <x:si>
    <x:t xml:space="preserve">W021|tsk-51f72709ab2b#001|后端</x:t>
  </x:si>
  <x:si>
    <x:t xml:space="preserve">W021|tsk-fc2047391ae1#001|后端</x:t>
  </x:si>
  <x:si>
    <x:t xml:space="preserve">W021|tsk-c3816ac8c41c#001|后端</x:t>
  </x:si>
  <x:si>
    <x:t xml:space="preserve">W023|tsk-48d2a2f6f0ca#001|测试</x:t>
  </x:si>
  <x:si>
    <x:t xml:space="preserve">W023|tsk-1434d732f324#001|测试</x:t>
  </x:si>
  <x:si>
    <x:t xml:space="preserve">W023|tsk-6f7899347220#001|测试</x:t>
  </x:si>
  <x:si>
    <x:t xml:space="preserve">W023|tsk-5e443e932dea#001|测试</x:t>
  </x:si>
  <x:si>
    <x:t xml:space="preserve">W023|tsk-687e056338b0#001|测试</x:t>
  </x:si>
  <x:si>
    <x:t xml:space="preserve">W023|tsk-1f2d6d901b96#001|测试</x:t>
  </x:si>
  <x:si>
    <x:t xml:space="preserve">W023|tsk-569b438a861f#001|测试</x:t>
  </x:si>
  <x:si>
    <x:t xml:space="preserve">W023|tsk-190248011e64#001|测试</x:t>
  </x:si>
  <x:si>
    <x:t xml:space="preserve">W023|tsk-f6c637702ac8#001|测试</x:t>
  </x:si>
  <x:si>
    <x:t xml:space="preserve">W023|tsk-b94ca72bec1d#001|测试</x:t>
  </x:si>
  <x:si>
    <x:t xml:space="preserve">W023|tsk-042dd9e15de9#001|测试</x:t>
  </x:si>
  <x:si>
    <x:t xml:space="preserve">W023|tsk-733eb8844d0a#001|测试</x:t>
  </x:si>
  <x:si>
    <x:t xml:space="preserve">W023|tsk-2b8fe09330fa#001|测试</x:t>
  </x:si>
  <x:si>
    <x:t xml:space="preserve">W023|tsk-2cf4f1125368#001|测试</x:t>
  </x:si>
  <x:si>
    <x:t xml:space="preserve">W023|tsk-a8a88945c3aa#001|测试</x:t>
  </x:si>
  <x:si>
    <x:t xml:space="preserve">W023|tsk-1257be12f654#001|测试</x:t>
  </x:si>
  <x:si>
    <x:t xml:space="preserve">W023|tsk-0941687334ee#001|测试</x:t>
  </x:si>
  <x:si>
    <x:t xml:space="preserve">W023|tsk-df5becb03546#001|测试</x:t>
  </x:si>
  <x:si>
    <x:t xml:space="preserve">W023|tsk-40a850a3615b#001|测试</x:t>
  </x:si>
  <x:si>
    <x:t xml:space="preserve">W023|tsk-51e2a658ea29#001|测试</x:t>
  </x:si>
  <x:si>
    <x:t xml:space="preserve">W023|tsk-6e540ffca5c7#001|测试</x:t>
  </x:si>
  <x:si>
    <x:t xml:space="preserve">W023|tsk-09a02f4d7d83#001|测试</x:t>
  </x:si>
  <x:si>
    <x:t xml:space="preserve">W023|tsk-da7f1bbdc582#001|测试</x:t>
  </x:si>
  <x:si>
    <x:t xml:space="preserve">W023|tsk-f0e8e7f9f9ee#001|测试</x:t>
  </x:si>
  <x:si>
    <x:t xml:space="preserve">W023|tsk-ca380e0d0aee#001|测试</x:t>
  </x:si>
  <x:si>
    <x:t xml:space="preserve">W023|tsk-ed4dab57b66a#001|测试</x:t>
  </x:si>
  <x:si>
    <x:t xml:space="preserve">W023|tsk-ba4956b049fc#001|测试</x:t>
  </x:si>
  <x:si>
    <x:t xml:space="preserve">W023|tsk-36b50b083723#001|测试</x:t>
  </x:si>
  <x:si>
    <x:t xml:space="preserve">W023|tsk-8b699cb2d97b#001|测试</x:t>
  </x:si>
  <x:si>
    <x:t xml:space="preserve">W023|tsk-97239b879826#001|测试</x:t>
  </x:si>
  <x:si>
    <x:t xml:space="preserve">W023|tsk-67356a4c38e7#001|测试</x:t>
  </x:si>
  <x:si>
    <x:t xml:space="preserve">W023|tsk-d843b0070289#001|测试</x:t>
  </x:si>
  <x:si>
    <x:t xml:space="preserve">W023|tsk-f0fcc8b90f2f#001|测试</x:t>
  </x:si>
  <x:si>
    <x:t xml:space="preserve">W023|tsk-18bc2a0df442#001|测试</x:t>
  </x:si>
  <x:si>
    <x:t xml:space="preserve">W023|tsk-5d63b672e354#001|测试</x:t>
  </x:si>
  <x:si>
    <x:t xml:space="preserve">W023|tsk-c19b20b85e7d#001|测试</x:t>
  </x:si>
  <x:si>
    <x:t xml:space="preserve">W023|tsk-4d9a344af7af#001|测试</x:t>
  </x:si>
  <x:si>
    <x:t xml:space="preserve">W023|tsk-9b71d83dfa28#001|测试</x:t>
  </x:si>
  <x:si>
    <x:t xml:space="preserve">W023|tsk-ce4913ddfaf8#001|测试</x:t>
  </x:si>
  <x:si>
    <x:t xml:space="preserve">W023|tsk-178c0ad2db5d#001|测试</x:t>
  </x:si>
  <x:si>
    <x:t xml:space="preserve">W023|tsk-6c8633be9834#001|测试</x:t>
  </x:si>
  <x:si>
    <x:t xml:space="preserve">W023|tsk-b2bf08346ef0#001|测试</x:t>
  </x:si>
  <x:si>
    <x:t xml:space="preserve">W023|tsk-dc1028c0741b#001|测试</x:t>
  </x:si>
  <x:si>
    <x:t xml:space="preserve">W023|tsk-ba976910e0a8#001|测试</x:t>
  </x:si>
  <x:si>
    <x:t xml:space="preserve">W023|tsk-2f656028e1ee#001|测试</x:t>
  </x:si>
  <x:si>
    <x:t xml:space="preserve">W023|tsk-8da0ab00b9be#001|测试</x:t>
  </x:si>
  <x:si>
    <x:t xml:space="preserve">W023|tsk-16b867992f39#001|测试</x:t>
  </x:si>
  <x:si>
    <x:t xml:space="preserve">W023|tsk-51f72709ab2b#001|测试</x:t>
  </x:si>
  <x:si>
    <x:t xml:space="preserve">W023|tsk-fc2047391ae1#001|测试</x:t>
  </x:si>
  <x:si>
    <x:t xml:space="preserve">W023|tsk-a9cbee439438#001|测试</x:t>
  </x:si>
  <x:si>
    <x:t xml:space="preserve">W023|tsk-b174cf36c1c8#001|测试</x:t>
  </x:si>
  <x:si>
    <x:t xml:space="preserve">W023|tsk-b782224c74f5#001|测试</x:t>
  </x:si>
  <x:si>
    <x:t xml:space="preserve">W023|tsk-c3816ac8c41c#001|测试</x:t>
  </x:si>
  <x:si>
    <x:t xml:space="preserve">待排期</x:t>
  </x:si>
  <x:si>
    <x:t xml:space="preserve">计划完成待补充</x:t>
  </x:si>
  <x:si>
    <x:t xml:space="preserve">待排期|tsk-8e34ce8f4239#001|业务</x:t>
  </x:si>
  <x:si>
    <x:t xml:space="preserve">待排期|tsk-965e74d49261#001|业务</x:t>
  </x:si>
  <x:si>
    <x:t xml:space="preserve">待排期|tsk-38a802bbe105#001|业务</x:t>
  </x:si>
  <x:si>
    <x:t xml:space="preserve">待排期|tsk-cb19eab07c79#001|业务</x:t>
  </x:si>
  <x:si>
    <x:t xml:space="preserve">T111</x:t>
  </x:si>
  <x:si>
    <x:t xml:space="preserve">吞吐量统计（太仓）</x:t>
  </x:si>
  <x:si>
    <x:t xml:space="preserve">负责人待补充
计划完成待补充</x:t>
  </x:si>
  <x:si>
    <x:t xml:space="preserve">待排期|tsk-291e10c22527#001|业务</x:t>
  </x:si>
  <x:si>
    <x:t xml:space="preserve">T112</x:t>
  </x:si>
  <x:si>
    <x:t xml:space="preserve">泊位占用率分析（太仓）</x:t>
  </x:si>
  <x:si>
    <x:t xml:space="preserve">待排期|tsk-2f972324dec9#001|业务</x:t>
  </x:si>
  <x:si>
    <x:t xml:space="preserve">T113</x:t>
  </x:si>
  <x:si>
    <x:t xml:space="preserve">堆存库存统计（太仓）</x:t>
  </x:si>
  <x:si>
    <x:t xml:space="preserve">待排期|tsk-4a266e697780#001|业务</x:t>
  </x:si>
  <x:si>
    <x:t xml:space="preserve">T114</x:t>
  </x:si>
  <x:si>
    <x:t xml:space="preserve">分货主实时统计表（太仓）</x:t>
  </x:si>
  <x:si>
    <x:t xml:space="preserve">待排期|tsk-1ae4783480c2#001|业务</x:t>
  </x:si>
  <x:si>
    <x:t xml:space="preserve">T115</x:t>
  </x:si>
  <x:si>
    <x:t xml:space="preserve">综合卸船效率分析（太仓）</x:t>
  </x:si>
  <x:si>
    <x:t xml:space="preserve">待排期|tsk-16a27f7bcbd1#001|业务</x:t>
  </x:si>
  <x:si>
    <x:t xml:space="preserve">T116</x:t>
  </x:si>
  <x:si>
    <x:t xml:space="preserve">堆垛雨布苫盖情况表（太仓）</x:t>
  </x:si>
  <x:si>
    <x:t xml:space="preserve">待排期|tsk-3bc03b0253af#001|业务</x:t>
  </x:si>
  <x:si>
    <x:t xml:space="preserve">计划完成待补充
完成日期待补充</x:t>
  </x:si>
  <x:si>
    <x:t xml:space="preserve">待排期|tsk-4537a4eb5b31#001|业务</x:t>
  </x:si>
  <x:si>
    <x:t xml:space="preserve">待排期|tsk-9a64b8ed984e#001|业务</x:t>
  </x:si>
  <x:si>
    <x:t xml:space="preserve">待排期|tsk-9355d4cfb537#001|业务</x:t>
  </x:si>
  <x:si>
    <x:t xml:space="preserve">待排期|tsk-b55e82bcfe4a#001|业务</x:t>
  </x:si>
  <x:si>
    <x:t xml:space="preserve">待排期|tsk-291e10c22527#001|前端</x:t>
  </x:si>
  <x:si>
    <x:t xml:space="preserve">待排期|tsk-2f972324dec9#001|前端</x:t>
  </x:si>
  <x:si>
    <x:t xml:space="preserve">待排期|tsk-4a266e697780#001|前端</x:t>
  </x:si>
  <x:si>
    <x:t xml:space="preserve">待排期|tsk-1ae4783480c2#001|前端</x:t>
  </x:si>
  <x:si>
    <x:t xml:space="preserve">待排期|tsk-16a27f7bcbd1#001|前端</x:t>
  </x:si>
  <x:si>
    <x:t xml:space="preserve">待排期|tsk-3bc03b0253af#001|前端</x:t>
  </x:si>
  <x:si>
    <x:t xml:space="preserve">待排期|tsk-291e10c22527#001|后端</x:t>
  </x:si>
  <x:si>
    <x:t xml:space="preserve">待排期|tsk-2f972324dec9#001|后端</x:t>
  </x:si>
  <x:si>
    <x:t xml:space="preserve">待排期|tsk-4a266e697780#001|后端</x:t>
  </x:si>
  <x:si>
    <x:t xml:space="preserve">待排期|tsk-1ae4783480c2#001|后端</x:t>
  </x:si>
  <x:si>
    <x:t xml:space="preserve">待排期|tsk-16a27f7bcbd1#001|后端</x:t>
  </x:si>
  <x:si>
    <x:t xml:space="preserve">待排期|tsk-3bc03b0253af#001|后端</x:t>
  </x:si>
  <x:si>
    <x:t xml:space="preserve">待排期|tsk-291e10c22527#001|测试</x:t>
  </x:si>
  <x:si>
    <x:t xml:space="preserve">待排期|tsk-2f972324dec9#001|测试</x:t>
  </x:si>
  <x:si>
    <x:t xml:space="preserve">待排期|tsk-4a266e697780#001|测试</x:t>
  </x:si>
  <x:si>
    <x:t xml:space="preserve">待排期|tsk-1ae4783480c2#001|测试</x:t>
  </x:si>
  <x:si>
    <x:t xml:space="preserve">待排期|tsk-16a27f7bcbd1#001|测试</x:t>
  </x:si>
  <x:si>
    <x:t xml:space="preserve">待排期|tsk-3bc03b0253af#001|测试</x:t>
  </x:si>
  <x:si>
    <x:t xml:space="preserve">外部系统集成管理</x:t>
  </x:si>
  <x:si>
    <x:t xml:space="preserve">集成ID</x:t>
  </x:si>
  <x:si>
    <x:t xml:space="preserve">集成系统</x:t>
  </x:si>
  <x:si>
    <x:t xml:space="preserve">交互方式</x:t>
  </x:si>
  <x:si>
    <x:t xml:space="preserve">对接人</x:t>
  </x:si>
  <x:si>
    <x:t xml:space="preserve">集成内容</x:t>
  </x:si>
  <x:si>
    <x:t xml:space="preserve">原计划进展</x:t>
  </x:si>
  <x:si>
    <x:t xml:space="preserve">管理状态</x:t>
  </x:si>
  <x:si>
    <x:t xml:space="preserve">实际完成</x:t>
  </x:si>
  <x:si>
    <x:t xml:space="preserve">风险/备注</x:t>
  </x:si>
  <x:si>
    <x:t xml:space="preserve">INT-01</x:t>
  </x:si>
  <x:si>
    <x:t xml:space="preserve">调运系统</x:t>
  </x:si>
  <x:si>
    <x:t xml:space="preserve">接入</x:t>
  </x:si>
  <x:si>
    <x:t xml:space="preserve">佘万明</x:t>
  </x:si>
  <x:si>
    <x:t xml:space="preserve">船舶轨迹位置、船舶档案、海图信息</x:t>
  </x:si>
  <x:si>
    <x:t xml:space="preserve">INT-02</x:t>
  </x:si>
  <x:si>
    <x:t xml:space="preserve">法治平台</x:t>
  </x:si>
  <x:si>
    <x:t xml:space="preserve">许祥</x:t>
  </x:si>
  <x:si>
    <x:t xml:space="preserve">曹妃甸港、太仓港合同信息</x:t>
  </x:si>
  <x:si>
    <x:t xml:space="preserve">已初步对接，对方已提供接口文档，数据清单</x:t>
  </x:si>
  <x:si>
    <x:t xml:space="preserve">1.进度风险：法制平台7月上线试点运行，会在10月份全面上线，相关功能应用需在10月份后才能上线；
2.功能风险：企法部要求法制平台咱不提供接收合同接口，无法满足客户在本系统录入合同的需求，已与用户反馈，用户内部需进行评估</x:t>
  </x:si>
  <x:si>
    <x:t xml:space="preserve">INT-03</x:t>
  </x:si>
  <x:si>
    <x:t xml:space="preserve">集团大模型服务</x:t>
  </x:si>
  <x:si>
    <x:t xml:space="preserve">李超来</x:t>
  </x:si>
  <x:si>
    <x:t xml:space="preserve">OCR能力</x:t>
  </x:si>
  <x:si>
    <x:t xml:space="preserve">1.效率风险：文件识别效率偏低，需1分钟左右</x:t>
  </x:si>
  <x:si>
    <x:t xml:space="preserve">INT-04</x:t>
  </x:si>
  <x:si>
    <x:t xml:space="preserve">港航部科技项目系统</x:t>
  </x:si>
  <x:si>
    <x:t xml:space="preserve">曹妃甸港、太仓港视频监控数据</x:t>
  </x:si>
  <x:si>
    <x:t xml:space="preserve">已初步对接，对方预计10月份具备接口联调条件</x:t>
  </x:si>
  <x:si>
    <x:t xml:space="preserve">1.科技项目不会对接全部生产作业视频监控数据，需确认科技项目对接范围后确认是否满足用户需求</x:t>
  </x:si>
  <x:si>
    <x:t xml:space="preserve">INT-05</x:t>
  </x:si>
  <x:si>
    <x:t xml:space="preserve">曹妃甸管控一体化系统</x:t>
  </x:si>
  <x:si>
    <x:t xml:space="preserve">接入、推送</x:t>
  </x:si>
  <x:si>
    <x:t xml:space="preserve">张应龙</x:t>
  </x:si>
  <x:si>
    <x:t xml:space="preserve">基础数据、业务数据、结算数据</x:t>
  </x:si>
  <x:si>
    <x:t xml:space="preserve">未对接</x:t>
  </x:si>
  <x:si>
    <x:t xml:space="preserve">暂无</x:t>
  </x:si>
  <x:si>
    <x:t xml:space="preserve">INT-06</x:t>
  </x:si>
  <x:si>
    <x:t xml:space="preserve">太仓港管控一体化系统</x:t>
  </x:si>
  <x:si>
    <x:t xml:space="preserve">/</x:t>
  </x:si>
  <x:si>
    <x:t xml:space="preserve">1.太仓港管控一体化系统刚立项，集成工作暂时无法开展</x:t>
  </x:si>
  <x:si>
    <x:t xml:space="preserve">风险与问题闭环台账</x:t>
  </x:si>
  <x:si>
    <x:t xml:space="preserve">编号</x:t>
  </x:si>
  <x:si>
    <x:t xml:space="preserve">风险/问题描述</x:t>
  </x:si>
  <x:si>
    <x:t xml:space="preserve">影响范围</x:t>
  </x:si>
  <x:si>
    <x:t xml:space="preserve">计划关闭</x:t>
  </x:si>
  <x:si>
    <x:t xml:space="preserve">实际关闭</x:t>
  </x:si>
  <x:si>
    <x:t xml:space="preserve">触发条件/根因</x:t>
  </x:si>
  <x:si>
    <x:t xml:space="preserve">剩余天数</x:t>
  </x:si>
  <x:si>
    <x:t xml:space="preserve">跟踪记录</x:t>
  </x:si>
  <x:si>
    <x:t xml:space="preserve">R-001</x:t>
  </x:si>
  <x:si>
    <x:t xml:space="preserve">风险</x:t>
  </x:si>
  <x:si>
    <x:t xml:space="preserve">法治平台全面上线时间影响相关功能投产</x:t>
  </x:si>
  <x:si>
    <x:t xml:space="preserve">合同信息集成</x:t>
  </x:si>
  <x:si>
    <x:t xml:space="preserve">集成负责人</x:t>
  </x:si>
  <x:si>
    <x:t xml:space="preserve">确认对方正式上线窗口，制定模拟数据和延期切换方案</x:t>
  </x:si>
  <x:si>
    <x:t xml:space="preserve">对方10月后方可正式支撑</x:t>
  </x:si>
  <x:si>
    <x:t xml:space="preserve">处理中</x:t>
  </x:si>
  <x:si>
    <x:t xml:space="preserve">来源：原计划-集成工作</x:t>
  </x:si>
  <x:si>
    <x:t xml:space="preserve">R-002</x:t>
  </x:si>
  <x:si>
    <x:t xml:space="preserve">法治平台不提供合同接收接口，可能无法满足本系统录入合同需求</x:t>
  </x:si>
  <x:si>
    <x:t xml:space="preserve">合同业务闭环</x:t>
  </x:si>
  <x:si>
    <x:t xml:space="preserve">推动用户决策，形成接口边界与替代方案确认单</x:t>
  </x:si>
  <x:si>
    <x:t xml:space="preserve">接口能力与业务诉求不一致</x:t>
  </x:si>
  <x:si>
    <x:t xml:space="preserve">待处理</x:t>
  </x:si>
  <x:si>
    <x:t xml:space="preserve">R-003</x:t>
  </x:si>
  <x:si>
    <x:t xml:space="preserve">OCR识别耗时约1分钟，影响业务效率</x:t>
  </x:si>
  <x:si>
    <x:t xml:space="preserve">技术负责人</x:t>
  </x:si>
  <x:si>
    <x:t xml:space="preserve">压测典型文件，确定超时阈值、异步处理与结果回调方案</x:t>
  </x:si>
  <x:si>
    <x:t xml:space="preserve">外部大模型服务性能</x:t>
  </x:si>
  <x:si>
    <x:t xml:space="preserve">R-004</x:t>
  </x:si>
  <x:si>
    <x:t xml:space="preserve">视频监控数据对接范围尚未明确</x:t>
  </x:si>
  <x:si>
    <x:t xml:space="preserve">视频监控</x:t>
  </x:si>
  <x:si>
    <x:t xml:space="preserve">确认科技项目覆盖清单并补充缺口方案</x:t>
  </x:si>
  <x:si>
    <x:t xml:space="preserve">上游系统范围不确定</x:t>
  </x:si>
  <x:si>
    <x:t xml:space="preserve">R-005</x:t>
  </x:si>
  <x:si>
    <x:t xml:space="preserve">太仓港管控一体化系统刚立项，集成工作无法按期开展</x:t>
  </x:si>
  <x:si>
    <x:t xml:space="preserve">太仓港数据集成</x:t>
  </x:si>
  <x:si>
    <x:t xml:space="preserve">拆分依赖与非依赖工作，设立外部条件就绪门槛</x:t>
  </x:si>
  <x:si>
    <x:t xml:space="preserve">外部项目未形成可对接环境</x:t>
  </x:si>
  <x:si>
    <x:t xml:space="preserve">R-006</x:t>
  </x:si>
  <x:si>
    <x:t xml:space="preserve">第二批次存在大量未开始任务，后续开发测试窗口集中</x:t>
  </x:si>
  <x:si>
    <x:t xml:space="preserve">开发负责人</x:t>
  </x:si>
  <x:si>
    <x:t xml:space="preserve">按关键路径重排优先级，按周跟踪启动率与完成率</x:t>
  </x:si>
  <x:si>
    <x:t xml:space="preserve">资源与工作量集中</x:t>
  </x:si>
  <x:si>
    <x:t xml:space="preserve">基于开发计划识别</x:t>
  </x:si>
  <x:si>
    <x:t xml:space="preserve">项目变更台账</x:t>
  </x:si>
  <x:si>
    <x:t xml:space="preserve">变更编号</x:t>
  </x:si>
  <x:si>
    <x:t xml:space="preserve">提出日期</x:t>
  </x:si>
  <x:si>
    <x:t xml:space="preserve">提出人</x:t>
  </x:si>
  <x:si>
    <x:t xml:space="preserve">变更内容</x:t>
  </x:si>
  <x:si>
    <x:t xml:space="preserve">变更原因</x:t>
  </x:si>
  <x:si>
    <x:t xml:space="preserve">优先级</x:t>
  </x:si>
  <x:si>
    <x:t xml:space="preserve">审批状态</x:t>
  </x:si>
  <x:si>
    <x:t xml:space="preserve">工期影响(天)</x:t>
  </x:si>
  <x:si>
    <x:t xml:space="preserve">评估人</x:t>
  </x:si>
  <x:si>
    <x:t xml:space="preserve">实施日期</x:t>
  </x:si>
  <x:si>
    <x:t xml:space="preserve">关闭说明</x:t>
  </x:si>
  <x:si>
    <x:t xml:space="preserve">项目交付物与质量门禁</x:t>
  </x:si>
  <x:si>
    <x:t xml:space="preserve">交付物ID</x:t>
  </x:si>
  <x:si>
    <x:t xml:space="preserve">交付物名称</x:t>
  </x:si>
  <x:si>
    <x:t xml:space="preserve">评审人</x:t>
  </x:si>
  <x:si>
    <x:t xml:space="preserve">评审结论</x:t>
  </x:si>
  <x:si>
    <x:t xml:space="preserve">版本/存放位置</x:t>
  </x:si>
  <x:si>
    <x:t xml:space="preserve">D-001</x:t>
  </x:si>
  <x:si>
    <x:t xml:space="preserve">项目管理计划</x:t>
  </x:si>
  <x:si>
    <x:t xml:space="preserve">管理</x:t>
  </x:si>
  <x:si>
    <x:t xml:space="preserve">项目负责人</x:t>
  </x:si>
  <x:si>
    <x:t xml:space="preserve">待评审</x:t>
  </x:si>
  <x:si>
    <x:t xml:space="preserve">D-002</x:t>
  </x:si>
  <x:si>
    <x:t xml:space="preserve">业务需求规格说明书</x:t>
  </x:si>
  <x:si>
    <x:t xml:space="preserve">需求</x:t>
  </x:si>
  <x:si>
    <x:t xml:space="preserve">D-003</x:t>
  </x:si>
  <x:si>
    <x:t xml:space="preserve">系统总体设计说明书</x:t>
  </x:si>
  <x:si>
    <x:t xml:space="preserve">设计</x:t>
  </x:si>
  <x:si>
    <x:t xml:space="preserve">架构负责人</x:t>
  </x:si>
  <x:si>
    <x:t xml:space="preserve">D-004</x:t>
  </x:si>
  <x:si>
    <x:t xml:space="preserve">接口清单及接口设计说明</x:t>
  </x:si>
  <x:si>
    <x:t xml:space="preserve">集成</x:t>
  </x:si>
  <x:si>
    <x:t xml:space="preserve">D-005</x:t>
  </x:si>
  <x:si>
    <x:t xml:space="preserve">第一批次测试报告</x:t>
  </x:si>
  <x:si>
    <x:t xml:space="preserve">D-006</x:t>
  </x:si>
  <x:si>
    <x:t xml:space="preserve">第二批次测试报告</x:t>
  </x:si>
  <x:si>
    <x:t xml:space="preserve">D-007</x:t>
  </x:si>
  <x:si>
    <x:t xml:space="preserve">上线方案及回退方案</x:t>
  </x:si>
  <x:si>
    <x:t xml:space="preserve">上线</x:t>
  </x:si>
  <x:si>
    <x:t xml:space="preserve">运维负责人</x:t>
  </x:si>
  <x:si>
    <x:t xml:space="preserve">D-008</x:t>
  </x:si>
  <x:si>
    <x:t xml:space="preserve">用户操作手册</x:t>
  </x:si>
  <x:si>
    <x:t xml:space="preserve">培训</x:t>
  </x:si>
  <x:si>
    <x:t xml:space="preserve">实施负责人</x:t>
  </x:si>
  <x:si>
    <x:t xml:space="preserve">D-009</x:t>
  </x:si>
  <x:si>
    <x:t xml:space="preserve">用户验收报告</x:t>
  </x:si>
  <x:si>
    <x:t xml:space="preserve">验收</x:t>
  </x:si>
  <x:si>
    <x:t xml:space="preserve">D-010</x:t>
  </x:si>
  <x:si>
    <x:t xml:space="preserve">项目总结与移交清单</x:t>
  </x:si>
  <x:si>
    <x:t xml:space="preserve">收尾</x:t>
  </x:si>
  <x:si>
    <x:t xml:space="preserve">会议纪要与行动项跟踪</x:t>
  </x:si>
  <x:si>
    <x:t xml:space="preserve">行动项ID</x:t>
  </x:si>
  <x:si>
    <x:t xml:space="preserve">会议日期</x:t>
  </x:si>
  <x:si>
    <x:t xml:space="preserve">会议主题</x:t>
  </x:si>
  <x:si>
    <x:t xml:space="preserve">决策/行动事项</x:t>
  </x:si>
  <x:si>
    <x:t xml:space="preserve">协同人</x:t>
  </x:si>
  <x:si>
    <x:t xml:space="preserve">截止日期</x:t>
  </x:si>
  <x:si>
    <x:t xml:space="preserve">完成日期</x:t>
  </x:si>
  <x:si>
    <x:t xml:space="preserve">逾期天数</x:t>
  </x:si>
  <x:si>
    <x:t xml:space="preserve">结果说明</x:t>
  </x:si>
  <x:si>
    <x:t xml:space="preserve">项目管理工作簿使用说明</x:t>
  </x:si>
  <x:si>
    <x:t xml:space="preserve">标准更新流程</x:t>
  </x:si>
  <x:si>
    <x:t xml:space="preserve">1. 将最新项目计划放入inputs目录；2. 发起“更新V2模板”；3. 系统按文件修改时间选择最新Excel；4. 核对总控、诊断、督办和资源计划。</x:t>
  </x:si>
  <x:si>
    <x:t xml:space="preserve">输入目录</x:t>
  </x:si>
  <x:si>
    <x:t xml:space="preserve">固定从项目目录下的inputs文件夹读取；支持.xlsx和.xlsm，并自动忽略以~$开头的Excel临时文件。</x:t>
  </x:si>
  <x:si>
    <x:t xml:space="preserve">本次数据来源</x:t>
  </x:si>
  <x:si>
    <x:t xml:space="preserve">任务范围</x:t>
  </x:si>
  <x:si>
    <x:t xml:space="preserve">在“项目驾驶舱”B3修改统计日期，延期、剩余天数、临近到期和两周督办会同步变化。</x:t>
  </x:si>
  <x:si>
    <x:t xml:space="preserve">挂起与暂停</x:t>
  </x:si>
  <x:si>
    <x:t xml:space="preserve">业务、后端、前端或测试任一环节为“挂起”或“暂停”时，总体状态自动显示“暂停”；延期状态同步显示“暂停”。</x:t>
  </x:si>
  <x:si>
    <x:t xml:space="preserve">综合进度口径</x:t>
  </x:si>
  <x:si>
    <x:t xml:space="preserve">业务设计15%、后端开发35%、前端开发30%、测试20%；进行中按该阶段50%计，完成按100%计。</x:t>
  </x:si>
  <x:si>
    <x:t xml:space="preserve">延期口径</x:t>
  </x:si>
  <x:si>
    <x:t xml:space="preserve">总体状态不是“已完成”或“暂停”，且计划完成日期早于统计日期，判定为“已延期”；7天内到期为“临近到期”。</x:t>
  </x:si>
  <x:si>
    <x:t xml:space="preserve">资源汇总和周计划直接根据总控台账生成；周计划按人员分组合并，用于查看每周是否有任务及任务清单。</x:t>
  </x:si>
  <x:si>
    <x:t xml:space="preserve">资源录入</x:t>
  </x:si>
  <x:si>
    <x:t xml:space="preserve">每人每周可用工时固定为40小时，并在同一周的并行任务间平均分配到0.5小时档位；取整超额从部分任务中调减，确保该人员当周合计仍为40小时。跨周任务累计各周分摊工时。</x:t>
  </x:si>
  <x:si>
    <x:t xml:space="preserve">成本口径</x:t>
  </x:si>
  <x:si>
    <x:t xml:space="preserve">统一人员单价为1200元/人天，按8小时/人天折算为150元/小时。驾驶舱计划人工成本根据资源汇总的计划投入工时计算。</x:t>
  </x:si>
  <x:si>
    <x:t xml:space="preserve">周迭代计划</x:t>
  </x:si>
  <x:si>
    <x:t xml:space="preserve">上方周汇总承诺完成、延期、暂停；下方按总控任务四阶段展开；周目标和复盘由人工填写，其余内容在更新V2时重建。</x:t>
  </x:si>
  <x:si>
    <x:t xml:space="preserve">高：影响上线、关键业务闭环或外部关键依赖；中：可通过方案或资源调整控制；低：局部、短期、可快速恢复。</x:t>
  </x:si>
  <x:si>
    <x:t xml:space="preserve">更新频率</x:t>
  </x:si>
  <x:si>
    <x:t xml:space="preserve">总控台账和行动项每周至少更新1次；风险问题发生变化即更新；变更提出后即登记；里程碑在阶段门前后更新。</x:t>
  </x:si>
  <x:si>
    <x:t xml:space="preserve">注意事项</x:t>
  </x:si>
  <x:si>
    <x:t xml:space="preserve">源计划中的空白或“/”保持为空。刷新后重点核对新增任务、暂停任务、外部接口完成时间、上线窗口和实际完成日期。</x:t>
  </x:si>
  <x:si>
    <x:t xml:space="preserve">登记影响项目的决策方、业务方、建设方、使用方、监管方和供应商；每周检查支持差距、沟通逾期、待办行动和升级事项。</x:t>
  </x:si>
  <x:si>
    <x:t xml:space="preserve">风险管理工具</x:t>
  </x:si>
  <x:si>
    <x:t xml:space="preserve">按风险管理计划统一评分和升级口径；风险登记册是唯一风险数据源；热力图、重点清单和驾驶舱自动读取登记册；重大风险填写专项应对，具体行动进入风险应对计划。</x:t>
  </x:si>
  <x:si>
    <x:t xml:space="preserve">AI项目诊断</x:t>
  </x:si>
  <x:si>
    <x:t xml:space="preserve">数据日期引用“项目驾驶舱”B3；红黄绿由客观规则计算，管理判断由项目经理确认。</x:t>
  </x:si>
  <x:si>
    <x:t xml:space="preserve">数据日期</x:t>
  </x:si>
  <x:si>
    <x:t xml:space="preserve">项目经理判断</x:t>
  </x:si>
  <x:si>
    <x:t xml:space="preserve">待确认</x:t>
  </x:si>
  <x:si>
    <x:t xml:space="preserve">判断说明</x:t>
  </x:si>
  <x:si>
    <x:t xml:space="preserve">根据诊断指标补充总体判断、最大失控点和需要的支持。</x:t>
  </x:si>
  <x:si>
    <x:t xml:space="preserve">任务总数</x:t>
  </x:si>
  <x:si>
    <x:t xml:space="preserve">已完成任务</x:t>
  </x:si>
  <x:si>
    <x:t xml:space="preserve">逾期任务</x:t>
  </x:si>
  <x:si>
    <x:t xml:space="preserve">未来14天到期</x:t>
  </x:si>
  <x:si>
    <x:t xml:space="preserve">未关闭高风险</x:t>
  </x:si>
  <x:si>
    <x:t xml:space="preserve">逾期风险/问题</x:t>
  </x:si>
  <x:si>
    <x:t xml:space="preserve">逾期行动项</x:t>
  </x:si>
  <x:si>
    <x:t xml:space="preserve">数据质量问题</x:t>
  </x:si>
  <x:si>
    <x:t xml:space="preserve">项目健康规则</x:t>
  </x:si>
  <x:si>
    <x:t xml:space="preserve">状态分布</x:t>
  </x:si>
  <x:si>
    <x:t xml:space="preserve">维度</x:t>
  </x:si>
  <x:si>
    <x:t xml:space="preserve">客观判断</x:t>
  </x:si>
  <x:si>
    <x:t xml:space="preserve">触发规则</x:t>
  </x:si>
  <x:si>
    <x:t xml:space="preserve">建议动作</x:t>
  </x:si>
  <x:si>
    <x:t xml:space="preserve">责任角色</x:t>
  </x:si>
  <x:si>
    <x:t xml:space="preserve">数量</x:t>
  </x:si>
  <x:si>
    <x:t xml:space="preserve">进度</x:t>
  </x:si>
  <x:si>
    <x:t xml:space="preserve">延期≥5红；有延期或暂停黄；否则绿</x:t>
  </x:si>
  <x:si>
    <x:t xml:space="preserve">确认关键路径、暂停原因和恢复条件</x:t>
  </x:si>
  <x:si>
    <x:t xml:space="preserve">绿</x:t>
  </x:si>
  <x:si>
    <x:t xml:space="preserve">高风险≥3红；1-2黄；0绿</x:t>
  </x:si>
  <x:si>
    <x:t xml:space="preserve">逐项落实责任人和关闭证据</x:t>
  </x:si>
  <x:si>
    <x:t xml:space="preserve">黄</x:t>
  </x:si>
  <x:si>
    <x:t xml:space="preserve">行动</x:t>
  </x:si>
  <x:si>
    <x:t xml:space="preserve">逾期&gt;7天红；有逾期黄；无逾期绿</x:t>
  </x:si>
  <x:si>
    <x:t xml:space="preserve">升级逾期事项并确认新承诺</x:t>
  </x:si>
  <x:si>
    <x:t xml:space="preserve">红</x:t>
  </x:si>
  <x:si>
    <x:t xml:space="preserve">数据</x:t>
  </x:si>
  <x:si>
    <x:t xml:space="preserve">缺陷≥10红；1-9黄；0绿</x:t>
  </x:si>
  <x:si>
    <x:t xml:space="preserve">补齐责任人、日期和状态</x:t>
  </x:si>
  <x:si>
    <x:t xml:space="preserve">台账维护人</x:t>
  </x:si>
  <x:si>
    <x:t xml:space="preserve">灰</x:t>
  </x:si>
  <x:si>
    <x:t xml:space="preserve">相关方</x:t>
  </x:si>
  <x:si>
    <x:t xml:space="preserve">高权力不支持红；存在支持差距或沟通逾期黄；否则绿</x:t>
  </x:si>
  <x:si>
    <x:t xml:space="preserve">确认诉求、沟通计划、责任人和升级路径</x:t>
  </x:si>
  <x:si>
    <x:t xml:space="preserve">风险治理</x:t>
  </x:si>
  <x:si>
    <x:t xml:space="preserve">有重大剩余风险红；有高风险或应对逾期黄；否则绿</x:t>
  </x:si>
  <x:si>
    <x:t xml:space="preserve">确认重大风险决策、应对责任和关闭证据</x:t>
  </x:si>
  <x:si>
    <x:t xml:space="preserve">数据质量检查</x:t>
  </x:si>
  <x:si>
    <x:t xml:space="preserve">逐条检查项目总控台账中的关键管理字段。状态为“需整改”的记录应在源台账中修正。</x:t>
  </x:si>
  <x:si>
    <x:t xml:space="preserve">来源</x:t>
  </x:si>
  <x:si>
    <x:t xml:space="preserve">记录ID</x:t>
  </x:si>
  <x:si>
    <x:t xml:space="preserve">发现的问题</x:t>
  </x:si>
  <x:si>
    <x:t xml:space="preserve">检查状态</x:t>
  </x:si>
  <x:si>
    <x:t xml:space="preserve">源行号</x:t>
  </x:si>
  <x:si>
    <x:t xml:space="preserve">项目总控台账</x:t>
  </x:si>
  <x:si>
    <x:t xml:space="preserve">待决策事项</x:t>
  </x:si>
  <x:si>
    <x:t xml:space="preserve">记录超出项目团队权限、需要管理层或业务方明确取舍的事项。黄色单元格需要人工维护。</x:t>
  </x:si>
  <x:si>
    <x:t xml:space="preserve">决策ID</x:t>
  </x:si>
  <x:si>
    <x:t xml:space="preserve">决策主题</x:t>
  </x:si>
  <x:si>
    <x:t xml:space="preserve">背景与现状</x:t>
  </x:si>
  <x:si>
    <x:t xml:space="preserve">可选方案</x:t>
  </x:si>
  <x:si>
    <x:t xml:space="preserve">建议方案</x:t>
  </x:si>
  <x:si>
    <x:t xml:space="preserve">决策人</x:t>
  </x:si>
  <x:si>
    <x:t xml:space="preserve">需要日期</x:t>
  </x:si>
  <x:si>
    <x:t xml:space="preserve">决策结果</x:t>
  </x:si>
  <x:si>
    <x:t xml:space="preserve">两周督办</x:t>
  </x:si>
  <x:si>
    <x:t xml:space="preserve">自动识别未来14天到期及已经逾期的未完成任务。使用“是否纳入”筛选出需要督办的记录。</x:t>
  </x:si>
  <x:si>
    <x:t xml:space="preserve">是否纳入</x:t>
  </x:si>
  <x:si>
    <x:t xml:space="preserve">距截止天数</x:t>
  </x:si>
  <x:si>
    <x:t xml:space="preserve">承诺完成</x:t>
  </x:si>
  <x:si>
    <x:t xml:space="preserve">PMO周报</x:t>
  </x:si>
  <x:si>
    <x:t xml:space="preserve">面向项目领导的周报底稿。指标自动计算，黄色区域由项目经理审核后填写。</x:t>
  </x:si>
  <x:si>
    <x:t xml:space="preserve">报告日期</x:t>
  </x:si>
  <x:si>
    <x:t xml:space="preserve">项目状态</x:t>
  </x:si>
  <x:si>
    <x:t xml:space="preserve">状态说明</x:t>
  </x:si>
  <x:si>
    <x:t xml:space="preserve">一、本周总体判断</x:t>
  </x:si>
  <x:si>
    <x:t xml:space="preserve">说明项目整体状态、与上周相比的变化以及最大失控点。</x:t>
  </x:si>
  <x:si>
    <x:t xml:space="preserve">二、本周完成事项</x:t>
  </x:si>
  <x:si>
    <x:t xml:space="preserve">列出已经完成且有证据的关键事项，不写日常过程。</x:t>
  </x:si>
  <x:si>
    <x:t xml:space="preserve">三、未来两周重点</x:t>
  </x:si>
  <x:si>
    <x:t xml:space="preserve">从“两周督办”筛选“是否纳入=是”，确认责任人和承诺日期。</x:t>
  </x:si>
  <x:si>
    <x:t xml:space="preserve">四、主要风险与问题</x:t>
  </x:si>
  <x:si>
    <x:t xml:space="preserve">优先说明高等级、已逾期、影响里程碑的风险与问题。</x:t>
  </x:si>
  <x:si>
    <x:t xml:space="preserve">五、待决策与需协调事项</x:t>
  </x:si>
  <x:si>
    <x:t xml:space="preserve">从“待决策事项”提取仍未决策且已接近需要日期的事项。</x:t>
  </x:si>
  <x:si>
    <x:t xml:space="preserve">自动指标</x:t>
  </x:si>
  <x:si>
    <x:t xml:space="preserve">指标</x:t>
  </x:si>
  <x:si>
    <x:t xml:space="preserve">本期值</x:t>
  </x:si>
  <x:si>
    <x:t xml:space="preserve">管理含义</x:t>
  </x:si>
  <x:si>
    <x:t xml:space="preserve">观察总体交付进展</x:t>
  </x:si>
  <x:si>
    <x:t xml:space="preserve">逾期任务数</x:t>
  </x:si>
  <x:si>
    <x:t xml:space="preserve">检查关键路径和补救计划</x:t>
  </x:si>
  <x:si>
    <x:t xml:space="preserve">确认应对措施和升级需求</x:t>
  </x:si>
  <x:si>
    <x:t xml:space="preserve">检查承诺兑现情况</x:t>
  </x:si>
  <x:si>
    <x:t xml:space="preserve">明确决策人和最迟日期</x:t>
  </x:si>
  <x:si>
    <x:t xml:space="preserve">提高AI诊断可信度</x:t>
  </x:si>
  <x:si>
    <x:t xml:space="preserve">AI运行日志</x:t>
  </x:si>
  <x:si>
    <x:t xml:space="preserve">记录每次AI分析的输入范围、发现、建议、人工确认和处理结果，便于追踪与复盘。</x:t>
  </x:si>
  <x:si>
    <x:t xml:space="preserve">运行ID</x:t>
  </x:si>
  <x:si>
    <x:t xml:space="preserve">运行时间</x:t>
  </x:si>
  <x:si>
    <x:t xml:space="preserve">分析类型</x:t>
  </x:si>
  <x:si>
    <x:t xml:space="preserve">分析范围</x:t>
  </x:si>
  <x:si>
    <x:t xml:space="preserve">主要发现</x:t>
  </x:si>
  <x:si>
    <x:t xml:space="preserve">AI建议</x:t>
  </x:si>
  <x:si>
    <x:t xml:space="preserve">人工结论</x:t>
  </x:si>
  <x:si>
    <x:t xml:space="preserve">处理人</x:t>
  </x:si>
  <x:si>
    <x:t xml:space="preserve">处理状态</x:t>
  </x:si>
  <x:si>
    <x:t xml:space="preserve">完成时间</x:t>
  </x:si>
</x:sst>
</file>

<file path=xl/styles.xml><?xml version="1.0" encoding="utf-8"?>
<x:styleSheet xmlns:x="http://schemas.openxmlformats.org/spreadsheetml/2006/main">
  <x:numFmts count="11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\ hh:mm"/>
    <x:numFmt numFmtId="177" formatCode="yyyy\-mm\-dd"/>
    <x:numFmt numFmtId="178" formatCode="\¥#,##0"/>
    <x:numFmt numFmtId="179" formatCode="yyyy&quot;年&quot;m&quot;月&quot;d&quot;日&quot;;@"/>
    <x:numFmt numFmtId="180" formatCode="0.0"/>
    <x:numFmt numFmtId="200" formatCode="yyyy-mm-dd"/>
    <x:numFmt numFmtId="201" formatCode="0%"/>
  </x:numFmts>
  <x:fonts count="38">
    <x:font>
      <x:sz val="11"/>
      <x:name val="Carlito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1"/>
      <x:color rgb="FF17365D"/>
      <x:name val="Carlito"/>
    </x:font>
    <x:font>
      <x:b/>
      <x:sz val="12"/>
      <x:color rgb="FF17365D"/>
      <x:name val="Carlito"/>
    </x:font>
    <x:font>
      <x:sz val="10"/>
      <x:color rgb="FF5B6573"/>
      <x:name val="Carlito"/>
    </x:font>
    <x:font>
      <x:b/>
      <x:sz val="18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5"/>
      <x:color rgb="FF17365D"/>
      <x:name val="Carlito"/>
    </x:font>
    <x:font>
      <x:b/>
      <x:sz val="11"/>
      <x:color rgb="FF1F2937"/>
      <x:name val="Carlito"/>
    </x:font>
    <x:font>
      <x:b/>
      <x:sz val="11"/>
      <x:color rgb="FFC00000"/>
      <x:name val="Carlito"/>
    </x:font>
    <x:font>
      <x:i/>
      <x:sz val="9"/>
      <x:color rgb="FF666666"/>
      <x:name val="Carlito"/>
    </x:font>
    <x:font>
      <x:i/>
      <x:sz val="11"/>
      <x:color rgb="FF17365D"/>
      <x:name val="Carlito"/>
    </x:font>
    <x:font>
      <x:b/>
      <x:sz val="14"/>
      <x:color rgb="FF17365D"/>
      <x:name val="Carlito"/>
    </x:font>
    <x:font>
      <x:i/>
      <x:sz val="9"/>
      <x:color rgb="FF6B728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4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1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19" fillId="0" borderId="0">
      <x:alignment vertical="center"/>
    </x:xf>
    <x:xf numFmtId="44" fontId="19" fillId="0" borderId="0">
      <x:alignment vertical="center"/>
    </x:xf>
    <x:xf numFmtId="9" fontId="19" fillId="0" borderId="0">
      <x:alignment vertical="center"/>
    </x:xf>
    <x:xf numFmtId="41" fontId="19" fillId="0" borderId="0">
      <x:alignment vertical="center"/>
    </x:xf>
    <x:xf numFmtId="42" fontId="19" fillId="0" borderId="0">
      <x:alignment vertical="center"/>
    </x:xf>
    <x:xf numFmtId="0" fontId="20" fillId="0" borderId="0">
      <x:alignment vertical="center"/>
    </x:xf>
    <x:xf numFmtId="0" fontId="21" fillId="0" borderId="0">
      <x:alignment vertical="center"/>
    </x:xf>
    <x:xf numFmtId="0" fontId="19" fillId="14" borderId="13">
      <x:alignment vertical="center"/>
    </x:xf>
    <x:xf numFmtId="0" fontId="22" fillId="0" borderId="0">
      <x:alignment vertical="center"/>
    </x:xf>
    <x:xf numFmtId="0" fontId="23" fillId="0" borderId="0">
      <x:alignment vertical="center"/>
    </x:xf>
    <x:xf numFmtId="0" fontId="24" fillId="0" borderId="0">
      <x:alignment vertical="center"/>
    </x:xf>
    <x:xf numFmtId="0" fontId="25" fillId="0" borderId="14">
      <x:alignment vertical="center"/>
    </x:xf>
    <x:xf numFmtId="0" fontId="26" fillId="0" borderId="14">
      <x:alignment vertical="center"/>
    </x:xf>
    <x:xf numFmtId="0" fontId="27" fillId="0" borderId="15">
      <x:alignment vertical="center"/>
    </x:xf>
    <x:xf numFmtId="0" fontId="27" fillId="0" borderId="0">
      <x:alignment vertical="center"/>
    </x:xf>
    <x:xf numFmtId="0" fontId="28" fillId="15" borderId="16">
      <x:alignment vertical="center"/>
    </x:xf>
    <x:xf numFmtId="0" fontId="29" fillId="11" borderId="17">
      <x:alignment vertical="center"/>
    </x:xf>
    <x:xf numFmtId="0" fontId="30" fillId="11" borderId="16">
      <x:alignment vertical="center"/>
    </x:xf>
    <x:xf numFmtId="0" fontId="31" fillId="16" borderId="18">
      <x:alignment vertical="center"/>
    </x:xf>
    <x:xf numFmtId="0" fontId="32" fillId="0" borderId="19">
      <x:alignment vertical="center"/>
    </x:xf>
    <x:xf numFmtId="0" fontId="33" fillId="0" borderId="20">
      <x:alignment vertical="center"/>
    </x:xf>
    <x:xf numFmtId="0" fontId="34" fillId="17" borderId="0">
      <x:alignment vertical="center"/>
    </x:xf>
    <x:xf numFmtId="0" fontId="35" fillId="18" borderId="0">
      <x:alignment vertical="center"/>
    </x:xf>
    <x:xf numFmtId="0" fontId="36" fillId="19" borderId="0">
      <x:alignment vertical="center"/>
    </x:xf>
    <x:xf numFmtId="0" fontId="37" fillId="20" borderId="0">
      <x:alignment vertical="center"/>
    </x:xf>
    <x:xf numFmtId="0" fontId="19" fillId="21" borderId="0">
      <x:alignment vertical="center"/>
    </x:xf>
    <x:xf numFmtId="0" fontId="19" fillId="22" borderId="0">
      <x:alignment vertical="center"/>
    </x:xf>
    <x:xf numFmtId="0" fontId="37" fillId="23" borderId="0">
      <x:alignment vertical="center"/>
    </x:xf>
    <x:xf numFmtId="0" fontId="37" fillId="24" borderId="0">
      <x:alignment vertical="center"/>
    </x:xf>
    <x:xf numFmtId="0" fontId="19" fillId="25" borderId="0">
      <x:alignment vertical="center"/>
    </x:xf>
    <x:xf numFmtId="0" fontId="19" fillId="26" borderId="0">
      <x:alignment vertical="center"/>
    </x:xf>
    <x:xf numFmtId="0" fontId="37" fillId="27" borderId="0">
      <x:alignment vertical="center"/>
    </x:xf>
    <x:xf numFmtId="0" fontId="37" fillId="28" borderId="0">
      <x:alignment vertical="center"/>
    </x:xf>
    <x:xf numFmtId="0" fontId="19" fillId="29" borderId="0">
      <x:alignment vertical="center"/>
    </x:xf>
    <x:xf numFmtId="0" fontId="19" fillId="30" borderId="0">
      <x:alignment vertical="center"/>
    </x:xf>
    <x:xf numFmtId="0" fontId="37" fillId="31" borderId="0">
      <x:alignment vertical="center"/>
    </x:xf>
    <x:xf numFmtId="0" fontId="37" fillId="32" borderId="0">
      <x:alignment vertical="center"/>
    </x:xf>
    <x:xf numFmtId="0" fontId="19" fillId="33" borderId="0">
      <x:alignment vertical="center"/>
    </x:xf>
    <x:xf numFmtId="0" fontId="19" fillId="34" borderId="0">
      <x:alignment vertical="center"/>
    </x:xf>
    <x:xf numFmtId="0" fontId="37" fillId="35" borderId="0">
      <x:alignment vertical="center"/>
    </x:xf>
    <x:xf numFmtId="0" fontId="37" fillId="36" borderId="0">
      <x:alignment vertical="center"/>
    </x:xf>
    <x:xf numFmtId="0" fontId="19" fillId="37" borderId="0">
      <x:alignment vertical="center"/>
    </x:xf>
    <x:xf numFmtId="0" fontId="19" fillId="38" borderId="0">
      <x:alignment vertical="center"/>
    </x:xf>
    <x:xf numFmtId="0" fontId="37" fillId="39" borderId="0">
      <x:alignment vertical="center"/>
    </x:xf>
    <x:xf numFmtId="0" fontId="37" fillId="40" borderId="0">
      <x:alignment vertical="center"/>
    </x:xf>
    <x:xf numFmtId="0" fontId="19" fillId="41" borderId="0">
      <x:alignment vertical="center"/>
    </x:xf>
    <x:xf numFmtId="0" fontId="19" fillId="42" borderId="0">
      <x:alignment vertical="center"/>
    </x:xf>
    <x:xf numFmtId="0" fontId="37" fillId="43" borderId="0">
      <x:alignment vertical="center"/>
    </x:xf>
    <x:xf numFmtId="0" fontId="0" fillId="0" borderId="0"/>
  </x:cellStyleXfs>
  <x:cellXfs count="101">
    <x:xf numFmtId="0" fontId="0" fillId="0" borderId="0" xfId="49"/>
    <x:xf numFmtId="0" fontId="0" fillId="0" borderId="0" xfId="0" applyAlignment="1"/>
    <x:xf numFmtId="0" fontId="1" fillId="0" borderId="1" xfId="0" applyFont="1" applyBorder="1" applyAlignment="1">
      <x:alignment horizontal="left" vertical="center"/>
    </x:xf>
    <x:xf numFmtId="0" fontId="0" fillId="0" borderId="2" xfId="0" applyBorder="1" applyAlignment="1"/>
    <x:xf numFmtId="0" fontId="0" fillId="0" borderId="3" xfId="0" applyBorder="1" applyAlignment="1"/>
    <x:xf numFmtId="0" fontId="2" fillId="0" borderId="1" xfId="0" applyFont="1" applyBorder="1" applyAlignment="1">
      <x:alignment horizontal="left" vertical="center"/>
    </x:xf>
    <x:xf numFmtId="0" fontId="0" fillId="0" borderId="1" xfId="0" applyBorder="1" applyAlignment="1"/>
    <x:xf numFmtId="0" fontId="3" fillId="2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vertical="top" wrapText="1"/>
    </x:xf>
    <x:xf numFmtId="176" fontId="4" fillId="3" borderId="1" xfId="0" applyNumberFormat="1" applyFont="1" applyFill="1" applyBorder="1" applyAlignment="1">
      <x:alignment vertical="top" wrapText="1"/>
    </x:xf>
    <x:xf numFmtId="0" fontId="4" fillId="3" borderId="1" xfId="0" applyFont="1" applyFill="1" applyBorder="1" applyAlignment="1">
      <x:alignment vertical="top" wrapText="1"/>
    </x:xf>
    <x:xf numFmtId="177" fontId="4" fillId="3" borderId="1" xfId="0" applyNumberFormat="1" applyFont="1" applyFill="1" applyBorder="1" applyAlignment="1">
      <x:alignment vertical="top" wrapText="1"/>
    </x:xf>
    <x:xf numFmtId="0" fontId="5" fillId="0" borderId="1" xfId="0" applyFont="1" applyBorder="1" applyAlignment="1"/>
    <x:xf numFmtId="177" fontId="0" fillId="4" borderId="1" xfId="0" applyNumberFormat="1" applyFill="1" applyBorder="1" applyAlignment="1">
      <x:alignment vertical="top" wrapText="1"/>
    </x:xf>
    <x:xf numFmtId="0" fontId="0" fillId="4" borderId="1" xfId="0" applyFill="1" applyBorder="1" applyAlignment="1">
      <x:alignment vertical="top" wrapText="1"/>
    </x:xf>
    <x:xf numFmtId="0" fontId="5" fillId="5" borderId="1" xfId="0" applyFont="1" applyFill="1" applyBorder="1" applyAlignment="1"/>
    <x:xf numFmtId="0" fontId="0" fillId="0" borderId="4" xfId="0" applyBorder="1" applyAlignment="1"/>
    <x:xf numFmtId="0" fontId="0" fillId="0" borderId="5" xfId="0" applyBorder="1" applyAlignment="1"/>
    <x:xf numFmtId="0" fontId="0" fillId="0" borderId="6" xfId="0" applyBorder="1" applyAlignment="1"/>
    <x:xf numFmtId="0" fontId="0" fillId="0" borderId="7" xfId="0" applyBorder="1" applyAlignment="1"/>
    <x:xf numFmtId="0" fontId="0" fillId="0" borderId="8" xfId="0" applyBorder="1" applyAlignment="1"/>
    <x:xf numFmtId="0" fontId="0" fillId="0" borderId="9" xfId="0" applyBorder="1" applyAlignment="1"/>
    <x:xf numFmtId="0" fontId="0" fillId="0" borderId="10" xfId="0" applyBorder="1" applyAlignment="1"/>
    <x:xf numFmtId="0" fontId="6" fillId="0" borderId="1" xfId="0" applyFont="1" applyBorder="1" applyAlignment="1"/>
    <x:xf numFmtId="9" fontId="4" fillId="0" borderId="1" xfId="0" applyNumberFormat="1" applyFont="1" applyBorder="1" applyAlignment="1">
      <x:alignment vertical="top" wrapText="1"/>
    </x:xf>
    <x:xf numFmtId="177" fontId="4" fillId="0" borderId="1" xfId="0" applyNumberFormat="1" applyFont="1" applyBorder="1" applyAlignment="1">
      <x:alignment vertical="top" wrapText="1"/>
    </x:xf>
    <x:xf numFmtId="177" fontId="0" fillId="0" borderId="1" xfId="0" applyNumberFormat="1" applyBorder="1" applyAlignment="1"/>
    <x:xf numFmtId="0" fontId="0" fillId="3" borderId="1" xfId="0" applyFill="1" applyBorder="1" applyAlignment="1"/>
    <x:xf numFmtId="0" fontId="7" fillId="0" borderId="1" xfId="0" applyFont="1" applyBorder="1" applyAlignment="1"/>
    <x:xf numFmtId="0" fontId="8" fillId="0" borderId="1" xfId="0" applyFont="1" applyBorder="1" applyAlignment="1"/>
    <x:xf numFmtId="0" fontId="9" fillId="2" borderId="1" xfId="0" applyFont="1" applyFill="1" applyBorder="1" applyAlignment="1"/>
    <x:xf numFmtId="0" fontId="0" fillId="0" borderId="1" xfId="0" applyBorder="1" applyAlignment="1">
      <x:alignment vertical="top" wrapText="1"/>
    </x:xf>
    <x:xf numFmtId="0" fontId="9" fillId="6" borderId="1" xfId="49" applyFont="1" applyFill="1" applyBorder="1" applyAlignment="1">
      <x:alignment horizontal="left" vertical="center"/>
    </x:xf>
    <x:xf numFmtId="0" fontId="5" fillId="5" borderId="1" xfId="49" applyFont="1" applyFill="1" applyBorder="1" applyAlignment="1">
      <x:alignment wrapText="1"/>
    </x:xf>
    <x:xf numFmtId="0" fontId="10" fillId="0" borderId="1" xfId="49" applyFont="1" applyBorder="1" applyAlignment="1">
      <x:alignment vertical="center" wrapText="1"/>
    </x:xf>
    <x:xf numFmtId="0" fontId="11" fillId="5" borderId="1" xfId="0" applyFont="1" applyFill="1" applyBorder="1" applyAlignment="1">
      <x:alignment vertical="top" wrapText="1"/>
    </x:xf>
    <x:xf numFmtId="0" fontId="5" fillId="5" borderId="1" xfId="0" applyFont="1" applyFill="1" applyBorder="1" applyAlignment="1">
      <x:alignment vertical="top" wrapText="1"/>
    </x:xf>
    <x:xf numFmtId="0" fontId="9" fillId="2" borderId="1" xfId="49" applyFont="1" applyFill="1" applyBorder="1" applyAlignment="1">
      <x:alignment horizontal="center" vertical="center" wrapText="1"/>
    </x:xf>
    <x:xf numFmtId="177" fontId="10" fillId="0" borderId="1" xfId="49" applyNumberFormat="1" applyFont="1" applyBorder="1" applyAlignment="1">
      <x:alignment vertical="center" wrapText="1"/>
    </x:xf>
    <x:xf numFmtId="0" fontId="0" fillId="0" borderId="1" xfId="49" applyBorder="1" applyAlignment="1">
      <x:alignment wrapText="1"/>
    </x:xf>
    <x:xf numFmtId="0" fontId="4" fillId="5" borderId="1" xfId="0" applyFont="1" applyFill="1" applyBorder="1" applyAlignment="1">
      <x:alignment vertical="top" wrapText="1"/>
    </x:xf>
    <x:xf numFmtId="177" fontId="4" fillId="5" borderId="1" xfId="0" applyNumberFormat="1" applyFont="1" applyFill="1" applyBorder="1" applyAlignment="1">
      <x:alignment vertical="top" wrapText="1"/>
    </x:xf>
    <x:xf numFmtId="9" fontId="4" fillId="5" borderId="1" xfId="0" applyNumberFormat="1" applyFont="1" applyFill="1" applyBorder="1" applyAlignment="1">
      <x:alignment vertical="top" wrapText="1"/>
    </x:xf>
    <x:xf numFmtId="0" fontId="6" fillId="0" borderId="1" xfId="0" applyFont="1" applyBorder="1" applyAlignment="1">
      <x:alignment vertical="center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178" fontId="4" fillId="3" borderId="1" xfId="0" applyNumberFormat="1" applyFont="1" applyFill="1" applyBorder="1" applyAlignment="1">
      <x:alignment vertical="top" wrapText="1"/>
    </x:xf>
    <x:xf numFmtId="9" fontId="4" fillId="3" borderId="1" xfId="0" applyNumberFormat="1" applyFont="1" applyFill="1" applyBorder="1" applyAlignment="1">
      <x:alignment vertical="top" wrapText="1"/>
    </x:xf>
    <x:xf numFmtId="0" fontId="9" fillId="6" borderId="0" xfId="0" applyFont="1" applyFill="1" applyAlignment="1">
      <x:alignment horizontal="center"/>
    </x:xf>
    <x:xf numFmtId="0" fontId="12" fillId="5" borderId="0" xfId="0" applyFont="1" applyFill="1" applyAlignment="1">
      <x:alignment horizontal="center"/>
    </x:xf>
    <x:xf numFmtId="0" fontId="6" fillId="0" borderId="0" xfId="0" applyFont="1" applyAlignment="1"/>
    <x:xf numFmtId="0" fontId="13" fillId="3" borderId="1" xfId="0" applyFont="1" applyFill="1" applyBorder="1" applyAlignment="1">
      <x:alignment horizontal="center" vertical="center"/>
    </x:xf>
    <x:xf numFmtId="0" fontId="13" fillId="7" borderId="1" xfId="0" applyFont="1" applyFill="1" applyBorder="1" applyAlignment="1">
      <x:alignment horizontal="center" vertical="center"/>
    </x:xf>
    <x:xf numFmtId="0" fontId="14" fillId="8" borderId="1" xfId="0" applyFont="1" applyFill="1" applyBorder="1" applyAlignment="1">
      <x:alignment horizontal="center" vertical="center"/>
    </x:xf>
    <x:xf numFmtId="0" fontId="13" fillId="9" borderId="1" xfId="0" applyFont="1" applyFill="1" applyBorder="1" applyAlignment="1">
      <x:alignment horizontal="center" vertical="center"/>
    </x:xf>
    <x:xf numFmtId="0" fontId="0" fillId="9" borderId="1" xfId="0" applyFill="1" applyBorder="1" applyAlignment="1"/>
    <x:xf numFmtId="0" fontId="0" fillId="7" borderId="1" xfId="0" applyFill="1" applyBorder="1" applyAlignment="1"/>
    <x:xf numFmtId="0" fontId="0" fillId="8" borderId="1" xfId="0" applyFill="1" applyBorder="1" applyAlignment="1"/>
    <x:xf numFmtId="0" fontId="9" fillId="6" borderId="1" xfId="0" applyFont="1" applyFill="1" applyBorder="1" applyAlignment="1">
      <x:alignment horizontal="center" vertical="center"/>
    </x:xf>
    <x:xf numFmtId="0" fontId="12" fillId="5" borderId="1" xfId="0" applyFont="1" applyFill="1" applyBorder="1" applyAlignment="1">
      <x:alignment horizontal="center" vertical="center"/>
    </x:xf>
    <x:xf numFmtId="0" fontId="0" fillId="3" borderId="1" xfId="0" applyFill="1" applyBorder="1" applyAlignment="1">
      <x:alignment vertical="top" wrapText="1"/>
    </x:xf>
    <x:xf numFmtId="0" fontId="0" fillId="3" borderId="2" xfId="0" applyFill="1" applyBorder="1" applyAlignment="1"/>
    <x:xf numFmtId="0" fontId="0" fillId="3" borderId="3" xfId="0" applyFill="1" applyBorder="1" applyAlignment="1"/>
    <x:xf numFmtId="179" fontId="0" fillId="3" borderId="1" xfId="0" applyNumberFormat="1" applyFill="1" applyBorder="1" applyAlignment="1">
      <x:alignment vertical="top" wrapText="1"/>
    </x:xf>
    <x:xf numFmtId="179" fontId="0" fillId="3" borderId="2" xfId="0" applyNumberFormat="1" applyFill="1" applyBorder="1" applyAlignment="1"/>
    <x:xf numFmtId="179" fontId="0" fillId="3" borderId="3" xfId="0" applyNumberFormat="1" applyFill="1" applyBorder="1" applyAlignment="1"/>
    <x:xf numFmtId="0" fontId="0" fillId="5" borderId="1" xfId="0" applyFill="1" applyBorder="1" applyAlignment="1"/>
    <x:xf numFmtId="0" fontId="2" fillId="0" borderId="0" xfId="0" applyFont="1" applyAlignment="1"/>
    <x:xf numFmtId="0" fontId="3" fillId="6" borderId="1" xfId="0" applyFont="1" applyFill="1" applyBorder="1" applyAlignment="1">
      <x:alignment horizontal="center" vertical="center"/>
    </x:xf>
    <x:xf numFmtId="180" fontId="4" fillId="0" borderId="1" xfId="0" applyNumberFormat="1" applyFont="1" applyBorder="1" applyAlignment="1">
      <x:alignment vertical="top" wrapText="1"/>
    </x:xf>
    <x:xf numFmtId="0" fontId="15" fillId="0" borderId="1" xfId="0" applyFont="1" applyBorder="1" applyAlignment="1"/>
    <x:xf numFmtId="0" fontId="4" fillId="0" borderId="1" xfId="0" applyFont="1" applyBorder="1" applyAlignment="1">
      <x:alignment horizontal="center" vertical="center" wrapText="1"/>
    </x:xf>
    <x:xf numFmtId="0" fontId="0" fillId="0" borderId="11" xfId="0" applyBorder="1" applyAlignment="1"/>
    <x:xf numFmtId="0" fontId="0" fillId="0" borderId="12" xfId="0" applyBorder="1" applyAlignment="1"/>
    <x:xf numFmtId="0" fontId="16" fillId="10" borderId="1" xfId="49" applyFont="1" applyFill="1" applyBorder="1" applyAlignment="1">
      <x:alignment vertical="center"/>
    </x:xf>
    <x:xf numFmtId="9" fontId="10" fillId="0" borderId="1" xfId="49" applyNumberFormat="1" applyFont="1" applyBorder="1" applyAlignment="1">
      <x:alignment vertical="center" wrapText="1"/>
    </x:xf>
    <x:xf numFmtId="0" fontId="5" fillId="5" borderId="1" xfId="49" applyFont="1" applyFill="1" applyBorder="1"/>
    <x:xf numFmtId="177" fontId="5" fillId="5" borderId="1" xfId="49" applyNumberFormat="1" applyFont="1" applyFill="1" applyBorder="1"/>
    <x:xf numFmtId="0" fontId="5" fillId="11" borderId="1" xfId="49" applyFont="1" applyFill="1" applyBorder="1" applyAlignment="1">
      <x:alignment horizontal="center" vertical="center"/>
    </x:xf>
    <x:xf numFmtId="9" fontId="5" fillId="11" borderId="1" xfId="49" applyNumberFormat="1" applyFont="1" applyFill="1" applyBorder="1" applyAlignment="1">
      <x:alignment horizontal="center" vertical="center"/>
    </x:xf>
    <x:xf numFmtId="9" fontId="17" fillId="4" borderId="1" xfId="0" applyNumberFormat="1" applyFont="1" applyFill="1" applyBorder="1" applyAlignment="1">
      <x:alignment horizontal="center" vertical="center"/>
    </x:xf>
    <x:xf numFmtId="180" fontId="17" fillId="4" borderId="1" xfId="0" applyNumberFormat="1" applyFont="1" applyFill="1" applyBorder="1" applyAlignment="1">
      <x:alignment horizontal="center" vertical="center"/>
    </x:xf>
    <x:xf numFmtId="178" fontId="17" fillId="4" borderId="1" xfId="0" applyNumberFormat="1" applyFont="1" applyFill="1" applyBorder="1" applyAlignment="1">
      <x:alignment horizontal="center" vertical="center"/>
    </x:xf>
    <x:xf numFmtId="178" fontId="17" fillId="3" borderId="1" xfId="0" applyNumberFormat="1" applyFont="1" applyFill="1" applyBorder="1" applyAlignment="1">
      <x:alignment horizontal="center" vertical="center"/>
    </x:xf>
    <x:xf numFmtId="0" fontId="10" fillId="0" borderId="1" xfId="49" applyFont="1" applyBorder="1" applyAlignment="1">
      <x:alignment vertical="center"/>
    </x:xf>
    <x:xf numFmtId="9" fontId="10" fillId="0" borderId="1" xfId="49" applyNumberFormat="1" applyFont="1" applyBorder="1" applyAlignment="1">
      <x:alignment vertical="center"/>
    </x:xf>
    <x:xf numFmtId="0" fontId="10" fillId="12" borderId="1" xfId="49" applyFont="1" applyFill="1" applyBorder="1" applyAlignment="1">
      <x:alignment vertical="top" wrapText="1"/>
    </x:xf>
    <x:xf numFmtId="0" fontId="5" fillId="5" borderId="0" xfId="0" applyFont="1" applyFill="1" applyAlignment="1"/>
    <x:xf numFmtId="0" fontId="3" fillId="6" borderId="1" xfId="0" applyFont="1" applyFill="1" applyBorder="1" applyAlignment="1">
      <x:alignment horizontal="center"/>
    </x:xf>
    <x:xf numFmtId="0" fontId="11" fillId="4" borderId="1" xfId="0" applyFont="1" applyFill="1" applyBorder="1" applyAlignment="1"/>
    <x:xf numFmtId="178" fontId="4" fillId="3" borderId="1" xfId="0" applyNumberFormat="1" applyFont="1" applyFill="1" applyBorder="1" applyAlignment="1">
      <x:alignment horizontal="right" vertical="center"/>
    </x:xf>
    <x:xf numFmtId="0" fontId="12" fillId="5" borderId="1" xfId="0" applyFont="1" applyFill="1" applyBorder="1" applyAlignment="1">
      <x:alignment horizontal="center"/>
    </x:xf>
    <x:xf numFmtId="178" fontId="4" fillId="13" borderId="1" xfId="0" applyNumberFormat="1" applyFont="1" applyFill="1" applyBorder="1" applyAlignment="1">
      <x:alignment horizontal="right" vertical="center"/>
    </x:xf>
    <x:xf numFmtId="180" fontId="4" fillId="13" borderId="1" xfId="0" applyNumberFormat="1" applyFont="1" applyFill="1" applyBorder="1" applyAlignment="1">
      <x:alignment horizontal="right" vertical="center"/>
    </x:xf>
    <x:xf numFmtId="0" fontId="5" fillId="5" borderId="10" xfId="0" applyFont="1" applyFill="1" applyBorder="1" applyAlignment="1"/>
    <x:xf numFmtId="0" fontId="9" fillId="6" borderId="1" xfId="0" applyFont="1" applyFill="1" applyBorder="1" applyAlignment="1">
      <x:alignment horizontal="center"/>
    </x:xf>
    <x:xf numFmtId="0" fontId="18" fillId="0" borderId="1" xfId="0" applyFont="1" applyBorder="1" applyAlignment="1">
      <x:alignment vertical="center" wrapText="1"/>
    </x:xf>
    <x:xf numFmtId="200" fontId="10" fillId="0" borderId="1" xfId="0" applyNumberFormat="1" applyFont="1" applyFill="1" applyBorder="1" applyAlignment="1">
      <x:alignment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3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666666"/>
      </x:font>
      <x:fill>
        <x:patternFill>
          <x:bgColor rgb="FFF2F2F2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0fb862faf4aa7" /><Relationship Type="http://schemas.openxmlformats.org/officeDocument/2006/relationships/theme" Target="/xl/theme/theme1.xml" Id="Ra6a149b837d645ed" /><Relationship Type="http://schemas.openxmlformats.org/officeDocument/2006/relationships/sharedStrings" Target="/xl/sharedStrings.xml" Id="Re01906c83e8848e3" /><Relationship Type="http://schemas.openxmlformats.org/officeDocument/2006/relationships/worksheet" Target="/xl/worksheets/sheet1.xml" Id="R6bf03acb45964680" /><Relationship Type="http://schemas.openxmlformats.org/officeDocument/2006/relationships/worksheet" Target="/xl/worksheets/sheet2.xml" Id="R0d784c606d134bcb" /><Relationship Type="http://schemas.openxmlformats.org/officeDocument/2006/relationships/worksheet" Target="/xl/worksheets/sheet3.xml" Id="R8c3fbb259d9f4ecc" /><Relationship Type="http://schemas.openxmlformats.org/officeDocument/2006/relationships/worksheet" Target="/xl/worksheets/sheet4.xml" Id="R2ad77ffb74524995" /><Relationship Type="http://schemas.openxmlformats.org/officeDocument/2006/relationships/worksheet" Target="/xl/worksheets/sheet5.xml" Id="R1d45eaf0ccac4bdd" /><Relationship Type="http://schemas.openxmlformats.org/officeDocument/2006/relationships/worksheet" Target="/xl/worksheets/sheet6.xml" Id="R6ca7079bde714ea7" /><Relationship Type="http://schemas.openxmlformats.org/officeDocument/2006/relationships/worksheet" Target="/xl/worksheets/sheet7.xml" Id="R2746c69582024084" /><Relationship Type="http://schemas.openxmlformats.org/officeDocument/2006/relationships/worksheet" Target="/xl/worksheets/sheet8.xml" Id="Rfc49b31d517f4197" /><Relationship Type="http://schemas.openxmlformats.org/officeDocument/2006/relationships/worksheet" Target="/xl/worksheets/sheet9.xml" Id="Rd1d5f9a23fb2434e" /><Relationship Type="http://schemas.openxmlformats.org/officeDocument/2006/relationships/worksheet" Target="/xl/worksheets/sheet10.xml" Id="Rff16964adc2c4006" /><Relationship Type="http://schemas.openxmlformats.org/officeDocument/2006/relationships/worksheet" Target="/xl/worksheets/sheet11.xml" Id="R5619e123440a41ec" /><Relationship Type="http://schemas.openxmlformats.org/officeDocument/2006/relationships/worksheet" Target="/xl/worksheets/sheet12.xml" Id="R4c3dca79bb2646ed" /><Relationship Type="http://schemas.openxmlformats.org/officeDocument/2006/relationships/worksheet" Target="/xl/worksheets/sheet13.xml" Id="R4e2a3d2403f74c89" /><Relationship Type="http://schemas.openxmlformats.org/officeDocument/2006/relationships/worksheet" Target="/xl/worksheets/sheet14.xml" Id="Rda403c1098d64ea0" /><Relationship Type="http://schemas.openxmlformats.org/officeDocument/2006/relationships/worksheet" Target="/xl/worksheets/sheet15.xml" Id="Rb4fff98dacf14bcf" /><Relationship Type="http://schemas.openxmlformats.org/officeDocument/2006/relationships/worksheet" Target="/xl/worksheets/sheet16.xml" Id="Rb9600a6a07964533" /><Relationship Type="http://schemas.openxmlformats.org/officeDocument/2006/relationships/worksheet" Target="/xl/worksheets/sheet17.xml" Id="Rf6eb1c206fce427a" /><Relationship Type="http://schemas.openxmlformats.org/officeDocument/2006/relationships/worksheet" Target="/xl/worksheets/sheet18.xml" Id="R8b0cf4703e064502" /><Relationship Type="http://schemas.openxmlformats.org/officeDocument/2006/relationships/worksheet" Target="/xl/worksheets/sheet19.xml" Id="R709bb1887cba4cfb" /><Relationship Type="http://schemas.openxmlformats.org/officeDocument/2006/relationships/worksheet" Target="/xl/worksheets/sheet20.xml" Id="R784d7d4ea7c4462d" /><Relationship Type="http://schemas.openxmlformats.org/officeDocument/2006/relationships/worksheet" Target="/xl/worksheets/sheet21.xml" Id="R7b91f563a86c4dc2" /><Relationship Type="http://schemas.openxmlformats.org/officeDocument/2006/relationships/worksheet" Target="/xl/worksheets/sheet22.xml" Id="R5439a0ba11274b42" /><Relationship Type="http://schemas.openxmlformats.org/officeDocument/2006/relationships/worksheet" Target="/xl/worksheets/sheet23.xml" Id="R3af6670192d841de" /><Relationship Type="http://schemas.openxmlformats.org/officeDocument/2006/relationships/worksheet" Target="/xl/worksheets/sheet24.xml" Id="Refe8ff6d2f3747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11e607286e4531" /><Relationship Type="http://schemas.openxmlformats.org/officeDocument/2006/relationships/chart" Target="/xl/drawings/charts/chart2.xml" Id="R413351582e0943b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272c580449247ae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任务状态分布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doughnutChart>
        <c:ser>
          <c:idx val="0"/>
          <c:order val="0"/>
          <c:tx>
            <c:strRef>
              <c:f>"任务数"</c:f>
              <c:strCache>
                <c:ptCount val="1"/>
                <c:pt idx="0">
                  <c:v>任务数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explosion val="0"/>
          <c:dPt>
            <c:idx val="0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1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2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3"/>
            <c:spPr>
              <a:ln xmlns:a="http://schemas.openxmlformats.org/drawingml/2006/main">
                <a:noFill/>
                <a:prstDash val="solid"/>
              </a:ln>
            </c:spPr>
          </c:dPt>
          <c:dLbls>
            <c:delete val="1"/>
          </c:dLbls>
          <c:cat>
            <c:strRef>
              <c:f>项目驾驶舱!$A$10:$A$13</c:f>
              <c:strCache>
                <c:ptCount val="4"/>
                <c:pt idx="0">
                  <c:v>已完成</c:v>
                </c:pt>
                <c:pt idx="1">
                  <c:v>进行中</c:v>
                </c:pt>
                <c:pt idx="2">
                  <c:v>未开始</c:v>
                </c:pt>
                <c:pt idx="3">
                  <c:v>暂停</c:v>
                </c:pt>
              </c:strCache>
            </c:strRef>
          </c:cat>
          <c:val>
            <c:numRef>
              <c:f>项目驾驶舱!$B$10:$B$13</c:f>
              <c:numCache>
                <c:formatCode>General</c:formatCode>
                <c:ptCount val="4"/>
                <c:pt idx="0">
                  <c:v>73</c:v>
                </c:pt>
                <c:pt idx="1">
                  <c:v>23</c:v>
                </c:pt>
                <c:pt idx="2">
                  <c:v>43</c:v>
                </c:pt>
                <c:pt idx="3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"/>
      </c:doughnutChart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各批次任务数与已完成数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"任务数"</c:f>
              <c:strCache>
                <c:ptCount val="1"/>
                <c:pt idx="0">
                  <c:v>任务数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dLbls>
            <c:delete val="1"/>
          </c:dLbls>
          <c:cat>
            <c:strRef>
              <c:f>项目驾驶舱!$D$10:$D$12</c:f>
              <c:strCache>
                <c:ptCount val="3"/>
                <c:pt idx="0">
                  <c:v>第一批次</c:v>
                </c:pt>
                <c:pt idx="1">
                  <c:v>第二批次</c:v>
                </c:pt>
                <c:pt idx="2">
                  <c:v>其他</c:v>
                </c:pt>
              </c:strCache>
            </c:strRef>
          </c:cat>
          <c:val>
            <c:numRef>
              <c:f>项目驾驶舱!$E$10:$E$12</c:f>
              <c:numCache>
                <c:formatCode>General</c:formatCode>
                <c:ptCount val="3"/>
                <c:pt idx="0">
                  <c:v>61</c:v>
                </c:pt>
                <c:pt idx="1">
                  <c:v>78</c:v>
                </c:pt>
                <c:pt idx="2">
                  <c:v>6</c:v>
                </c:pt>
              </c:numCache>
            </c:numRef>
          </c:val>
        </c:ser>
        <c:ser>
          <c:idx val="1"/>
          <c:order val="1"/>
          <c:tx>
            <c:strRef>
              <c:f>"已完成"</c:f>
              <c:strCache>
                <c:ptCount val="1"/>
                <c:pt idx="0">
                  <c:v>已完成</c:v>
                </c:pt>
              </c:strCache>
            </c:strRef>
          </c:tx>
          <c: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c:spPr>
          <c:dLbls>
            <c:delete val="1"/>
          </c:dLbls>
          <c:cat>
            <c:strRef>
              <c:f>项目驾驶舱!$D$10:$D$12</c:f>
              <c:strCache>
                <c:ptCount val="3"/>
                <c:pt idx="0">
                  <c:v>第一批次</c:v>
                </c:pt>
                <c:pt idx="1">
                  <c:v>第二批次</c:v>
                </c:pt>
                <c:pt idx="2">
                  <c:v>其他</c:v>
                </c:pt>
              </c:strCache>
            </c:strRef>
          </c:cat>
          <c:val>
            <c:numRef>
              <c:f>项目驾驶舱!$F$10:$F$12</c:f>
              <c:numCache>
                <c:formatCode>General</c:formatCode>
                <c:ptCount val="3"/>
                <c:pt idx="0">
                  <c:v>57</c:v>
                </c:pt>
                <c:pt idx="1">
                  <c:v>16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健康状态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AI项目诊断!$I$14</c:f>
              <c:strCache>
                <c:ptCount val="1"/>
                <c:pt idx="0">
                  <c:v>数量</c:v>
                </c:pt>
              </c:strCache>
            </c:strRef>
          </c:tx>
          <c:spPr>
            <a:ln xmlns:a="http://schemas.openxmlformats.org/drawingml/2006/main" w="12700">
              <a:solidFill>
                <a:schemeClr val="lt1"/>
              </a:solidFill>
              <a:prstDash val="solid"/>
            </a:ln>
          </c:spPr>
          <c:dLbls>
            <c:delete val="1"/>
          </c:dLbls>
          <c:cat>
            <c:strRef>
              <c:f>AI项目诊断!$H$15:$H$18</c:f>
              <c:strCache>
                <c:ptCount val="4"/>
                <c:pt idx="0">
                  <c:v>绿</c:v>
                </c:pt>
                <c:pt idx="1">
                  <c:v>黄</c:v>
                </c:pt>
                <c:pt idx="2">
                  <c:v>红</c:v>
                </c:pt>
                <c:pt idx="3">
                  <c:v>灰</c:v>
                </c:pt>
              </c:strCache>
            </c:strRef>
          </c:cat>
          <c:val>
            <c:numRef>
              <c:f>AI项目诊断!$I$15:$I$18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维度数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11e607286e453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3351582e0943b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7</xdr:col>
      <xdr:colOff>0</xdr:colOff>
      <xdr:row>19</xdr:row>
      <xdr:rowOff>0</xdr:rowOff>
    </xdr:from>
    <xdr:ext cx="3600000" cy="26299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72c580449247ae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ResourceSummaryTable" displayName="ResourceSummaryTable" ref="A4:L10">
  <x:autoFilter ref="A4:L10"/>
  <x:tableColumns count="12">
    <x:tableColumn id="1" name="人员"/>
    <x:tableColumn id="2" name="角色"/>
    <x:tableColumn id="3" name="任务数"/>
    <x:tableColumn id="4" name="未完成任务"/>
    <x:tableColumn id="5" name="最早开始"/>
    <x:tableColumn id="6" name="最晚结束"/>
    <x:tableColumn id="7" name="周可用工时"/>
    <x:tableColumn id="8" name="计划投入工时"/>
    <x:tableColumn id="9" name="负荷率"/>
    <x:tableColumn id="10" name="负荷判断"/>
    <x:tableColumn id="11" name="资源建议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8bb61bc70d4f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33b3824a19f43a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.xml" Id="R585953b3708545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4" style="1" customWidth="1"/>
    <x:col min="2" max="3" width="12" style="1" customWidth="1"/>
    <x:col min="4" max="4" width="14" style="1" customWidth="1"/>
    <x:col min="5" max="9" width="12" style="1" customWidth="1"/>
    <x:col min="10" max="10" width="18" style="1" customWidth="1"/>
    <x:col min="11" max="11" width="14" style="1" customWidth="1"/>
    <x:col min="12" max="12" width="8.970588684082031" style="1" customWidth="1"/>
    <x:col min="13" max="13" width="18" style="1" customWidth="1"/>
    <x:col min="14" max="14" width="16" style="1" customWidth="1"/>
  </x:cols>
  <x:sheetData>
    <x:row r="1" ht="34" customHeight="1">
      <x:c r="A1" s="32" t="str">
        <x:v>某大型能源集团合同全生命周期管理系统｜项目管理驾驶舱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>
      <x:c r="A3" s="76" t="s">
        <x:v>0</x:v>
      </x:c>
      <x:c r="B3" s="77">
        <x:v>46276</x:v>
      </x:c>
    </x:row>
    <x:row r="5" ht="30" customHeight="1">
      <x:c r="A5" s="37" t="s">
        <x:v>1</x:v>
      </x:c>
      <x:c r="B5" s="37" t="s">
        <x:v>2</x:v>
      </x:c>
      <x:c r="C5" s="37" t="s">
        <x:v>3</x:v>
      </x:c>
      <x:c r="D5" s="37" t="s">
        <x:v>4</x:v>
      </x:c>
      <x:c r="E5" s="37" t="s">
        <x:v>5</x:v>
      </x:c>
      <x:c r="F5" s="37" t="s">
        <x:v>6</x:v>
      </x:c>
      <x:c r="G5" s="37" t="s">
        <x:v>7</x:v>
      </x:c>
      <x:c r="H5" s="37" t="s">
        <x:v>8</x:v>
      </x:c>
      <x:c r="I5" s="37" t="s">
        <x:v>9</x:v>
      </x:c>
      <x:c r="J5" s="37" t="s">
        <x:v>10</x:v>
      </x:c>
      <x:c r="K5" s="37" t="s">
        <x:v>11</x:v>
      </x:c>
      <x:c r="L5" s="37" t="s">
        <x:v>12</x:v>
      </x:c>
      <x:c r="M5" s="37" t="s">
        <x:v>13</x:v>
      </x:c>
      <x:c r="N5" s="37" t="s">
        <x:v>14</x:v>
      </x:c>
    </x:row>
    <x:row r="6" ht="42" customHeight="1">
      <x:c r="A6" s="78" t="e">
        <x:f>COUNTA(项目总控台账!$A$4:$A$203)</x:f>
        <x:v>#NAME?</x:v>
      </x:c>
      <x:c r="B6" s="78" t="e">
        <x:f>COUNTIF(项目总控台账!$G$4:$G$203,"已完成")</x:f>
        <x:v>#NAME?</x:v>
      </x:c>
      <x:c r="C6" s="78" t="e">
        <x:f>COUNTIF(项目总控台账!$G$4:$G$203,"进行中")</x:f>
        <x:v>#NAME?</x:v>
      </x:c>
      <x:c r="D6" s="78" t="e">
        <x:f>COUNTIF(项目总控台账!$G$4:$G$203,"未开始")</x:f>
        <x:v>#NAME?</x:v>
      </x:c>
      <x:c r="E6" s="78" t="e">
        <x:f>COUNTIF(项目总控台账!$G$4:$G$203,"暂停")</x:f>
        <x:v>#NAME?</x:v>
      </x:c>
      <x:c r="F6" s="79" t="e">
        <x:f>AVERAGE(项目总控台账!$AB$4:$AB$203)</x:f>
        <x:v>#NAME?</x:v>
      </x:c>
      <x:c r="G6" s="78" t="e">
        <x:f>COUNTIF(项目总控台账!$AC$4:$AC$203,"已延期")</x:f>
        <x:v>#NAME?</x:v>
      </x:c>
      <x:c r="H6" s="78" t="e">
        <x:f>COUNTIF(项目总控台账!$AC$4:$AC$203,"临近到期")</x:f>
        <x:v>#NAME?</x:v>
      </x:c>
      <x:c r="I6" s="78" t="e">
        <x:f>COUNTIFS(风险问题台账!$D$4:$D$103,"高",风险问题台账!$K$4:$K$103,"&lt;&gt;已关闭")</x:f>
        <x:v>#NAME?</x:v>
      </x:c>
      <x:c r="J6" s="78" t="e">
        <x:f>COUNTIF(风险问题台账!$K$4:$K$103,"处理中")+COUNTIF(风险问题台账!$K$4:$K$103,"待处理")</x:f>
        <x:v>#NAME?</x:v>
      </x:c>
      <x:c r="K6" s="78" t="e">
        <x:f>COUNTIF(变更台账!$G$4:$G$53,"评估中")+COUNTIF(变更台账!$G$4:$G$53,"待审批")</x:f>
        <x:v>#NAME?</x:v>
      </x:c>
      <x:c r="L6" s="79" t="e">
        <x:f>IFERROR(COUNTIF(里程碑计划!$G$4:$G$23,"已完成")/COUNTA(里程碑计划!$A$4:$A$23),0)</x:f>
        <x:v>#NAME?</x:v>
      </x:c>
      <x:c r="M6" s="79" t="e">
        <x:f>IFERROR(COUNTIF(集成管理!$G$4:$G$53,"已完成")/COUNTA(集成管理!$A$4:$A$53),0)</x:f>
        <x:v>#NAME?</x:v>
      </x:c>
      <x:c r="N6" s="79" t="e">
        <x:f>IFERROR(COUNTIF(交付物台账!$G$4:$G$53,"已完成")/COUNTA(交付物台账!$A$4:$A$53),0)</x:f>
        <x:v>#NAME?</x:v>
      </x:c>
    </x:row>
    <x:row r="7" ht="24" customHeight="1">
      <x:c r="A7" s="68" t="s">
        <x:v>15</x:v>
      </x:c>
      <x:c r="B7" s="3"/>
      <x:c r="C7" s="4"/>
      <x:c r="D7" s="68" t="s">
        <x:v>16</x:v>
      </x:c>
      <x:c r="E7" s="3"/>
      <x:c r="F7" s="4"/>
      <x:c r="G7" s="68" t="s">
        <x:v>17</x:v>
      </x:c>
      <x:c r="H7" s="3"/>
      <x:c r="I7" s="4"/>
      <x:c r="J7" s="68" t="s">
        <x:v>18</x:v>
      </x:c>
      <x:c r="K7" s="3"/>
      <x:c r="L7" s="4"/>
      <x:c r="M7" s="68" t="s">
        <x:v>19</x:v>
      </x:c>
      <x:c r="N7" s="4"/>
    </x:row>
    <x:row r="8" ht="30" customHeight="1">
      <x:c r="A8" s="80" t="e">
        <x:f>AVERAGE(项目总控台账!$AB$4:$AB$148)</x:f>
        <x:v>#NAME?</x:v>
      </x:c>
      <x:c r="B8" s="3"/>
      <x:c r="C8" s="4"/>
      <x:c r="D8" s="80" t="e">
        <x:f>COUNTIF(项目总控台账!$G$4:$G$148,"已完成")/COUNTIF(项目总控台账!$A$4:$A$148,"&lt;&gt;")</x:f>
        <x:v>#NAME?</x:v>
      </x:c>
      <x:c r="E8" s="3"/>
      <x:c r="F8" s="4"/>
      <x:c r="G8" s="81" t="e">
        <x:f>SUM(资源计划!$H$5:$H$10)/8</x:f>
        <x:v>#NAME?</x:v>
      </x:c>
      <x:c r="H8" s="3"/>
      <x:c r="I8" s="4"/>
      <x:c r="J8" s="82" t="e">
        <x:f>G8*M8</x:f>
        <x:v>#NAME?</x:v>
      </x:c>
      <x:c r="K8" s="3"/>
      <x:c r="L8" s="4"/>
      <x:c r="M8" s="83">
        <x:v>1200</x:v>
      </x:c>
      <x:c r="N8" s="4"/>
    </x:row>
    <x:row r="9" ht="30" customHeight="1">
      <x:c r="A9" s="37" t="s">
        <x:v>20</x:v>
      </x:c>
      <x:c r="B9" s="37" t="s">
        <x:v>21</x:v>
      </x:c>
      <x:c r="D9" s="37" t="s">
        <x:v>22</x:v>
      </x:c>
      <x:c r="E9" s="37" t="s">
        <x:v>21</x:v>
      </x:c>
      <x:c r="F9" s="37" t="s">
        <x:v>2</x:v>
      </x:c>
      <x:c r="G9" s="37" t="s">
        <x:v>23</x:v>
      </x:c>
    </x:row>
    <x:row r="10">
      <x:c r="A10" s="84" t="s">
        <x:v>2</x:v>
      </x:c>
      <x:c r="B10" s="84" t="e">
        <x:f>B6</x:f>
        <x:v>#NAME?</x:v>
      </x:c>
      <x:c r="D10" s="84" t="s">
        <x:v>24</x:v>
      </x:c>
      <x:c r="E10" s="84" t="e">
        <x:f>COUNTIF(项目总控台账!$F$4:$F$203,D10)</x:f>
        <x:v>#NAME?</x:v>
      </x:c>
      <x:c r="F10" s="84" t="e">
        <x:f>COUNTIFS(项目总控台账!$F$4:$F$203,D10,项目总控台账!$G$4:$G$203,"已完成")</x:f>
        <x:v>#NAME?</x:v>
      </x:c>
      <x:c r="G10" s="85" t="n">
        <x:f>IFERROR(F10/E10,0)</x:f>
        <x:v>0</x:v>
      </x:c>
    </x:row>
    <x:row r="11">
      <x:c r="A11" s="84" t="s">
        <x:v>3</x:v>
      </x:c>
      <x:c r="B11" s="84" t="e">
        <x:f>C6</x:f>
        <x:v>#NAME?</x:v>
      </x:c>
      <x:c r="D11" s="84" t="s">
        <x:v>25</x:v>
      </x:c>
      <x:c r="E11" s="84" t="e">
        <x:f>COUNTIF(项目总控台账!$F$4:$F$203,D11)</x:f>
        <x:v>#NAME?</x:v>
      </x:c>
      <x:c r="F11" s="84" t="e">
        <x:f>COUNTIFS(项目总控台账!$F$4:$F$203,D11,项目总控台账!$G$4:$G$203,"已完成")</x:f>
        <x:v>#NAME?</x:v>
      </x:c>
      <x:c r="G11" s="85" t="n">
        <x:f>IFERROR(F11/E11,0)</x:f>
        <x:v>0</x:v>
      </x:c>
    </x:row>
    <x:row r="12">
      <x:c r="A12" s="84" t="s">
        <x:v>4</x:v>
      </x:c>
      <x:c r="B12" s="84" t="e">
        <x:f>D6</x:f>
        <x:v>#NAME?</x:v>
      </x:c>
      <x:c r="D12" s="84" t="s">
        <x:v>26</x:v>
      </x:c>
      <x:c r="E12" s="84" t="e">
        <x:f>$A$6-E10-E11</x:f>
        <x:v>#NAME?</x:v>
      </x:c>
      <x:c r="F12" s="84" t="e">
        <x:f>$B$6-F10-F11</x:f>
        <x:v>#NAME?</x:v>
      </x:c>
      <x:c r="G12" s="85" t="n">
        <x:f>IFERROR(F12/E12,0)</x:f>
        <x:v>0</x:v>
      </x:c>
    </x:row>
    <x:row r="13">
      <x:c r="A13" s="84" t="s">
        <x:v>5</x:v>
      </x:c>
      <x:c r="B13" s="84" t="e">
        <x:f>E6</x:f>
        <x:v>#NAME?</x:v>
      </x:c>
    </x:row>
    <x:row r="16">
      <x:c r="A16" s="76" t="s">
        <x:v>27</x:v>
      </x:c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4"/>
    </x:row>
    <x:row r="17">
      <x:c r="A17" s="86" t="str">
        <x:v>合同系统V3基线已建立：当前优先完成需求基线、合同审批闭环、电子签章接口和历史数据治理。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7"/>
    </x:row>
    <x:row r="18">
      <x:c r="A18" s="18"/>
      <x:c r="N18" s="19"/>
    </x:row>
    <x:row r="19">
      <x:c r="A19" s="18"/>
      <x:c r="N19" s="19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2"/>
    </x:row>
    <x:row r="22" ht="17.600000381469727" customHeight="1">
      <x:c r="A22" s="87" t="s">
        <x:v>28</x:v>
      </x:c>
    </x:row>
    <x:row r="23">
      <x:c r="A23" s="88" t="s">
        <x:v>29</x:v>
      </x:c>
      <x:c r="B23" s="3"/>
      <x:c r="C23" s="4"/>
      <x:c r="D23" s="88" t="s">
        <x:v>30</x:v>
      </x:c>
      <x:c r="E23" s="3"/>
      <x:c r="F23" s="4"/>
      <x:c r="G23" s="88" t="s">
        <x:v>31</x:v>
      </x:c>
      <x:c r="H23" s="3"/>
      <x:c r="I23" s="4"/>
      <x:c r="J23" s="88" t="s">
        <x:v>32</x:v>
      </x:c>
      <x:c r="K23" s="3"/>
      <x:c r="L23" s="4"/>
      <x:c r="M23" s="89"/>
      <x:c r="N23" s="90"/>
    </x:row>
    <x:row r="24" ht="22" customHeight="1">
      <x:c r="A24" s="91" t="e">
        <x:f>COUNTIFS(相关方管理!$B$9:$B$108,"&lt;&gt;",相关方管理!$N$9:$N$108,"重点管理")</x:f>
        <x:v>#NAME?</x:v>
      </x:c>
      <x:c r="B24" s="3"/>
      <x:c r="C24" s="4"/>
      <x:c r="D24" s="91" t="e">
        <x:f>COUNTIFS(相关方管理!$B$9:$B$108,"&lt;&gt;",相关方管理!$J$9:$J$108,"抵触")+COUNTIFS(相关方管理!$B$9:$B$108,"&lt;&gt;",相关方管理!$J$9:$J$108,"不支持")</x:f>
        <x:v>#NAME?</x:v>
      </x:c>
      <x:c r="E24" s="3"/>
      <x:c r="F24" s="4"/>
      <x:c r="G24" s="91" t="e">
        <x:f>COUNTIFS(相关方管理!$B$9:$B$108,"&lt;&gt;",相关方管理!$T$9:$T$108,"&lt;"&amp;$B$3,相关方管理!$T$9:$T$108,"&lt;&gt;")</x:f>
        <x:v>#NAME?</x:v>
      </x:c>
      <x:c r="H24" s="3"/>
      <x:c r="I24" s="4"/>
      <x:c r="J24" s="91" t="e">
        <x:f>COUNTIFS(相关方管理!$B$9:$B$108,"&lt;&gt;",相关方管理!$Z$9:$Z$108,"是")</x:f>
        <x:v>#NAME?</x:v>
      </x:c>
      <x:c r="K24" s="3"/>
      <x:c r="L24" s="4"/>
      <x:c r="M24" s="89"/>
      <x:c r="N24" s="92"/>
    </x:row>
    <x:row r="25">
      <x:c r="J25" s="89"/>
      <x:c r="K25" s="93"/>
      <x:c r="M25" s="89"/>
      <x:c r="N25" s="92"/>
    </x:row>
    <x:row r="26">
      <x:c r="A26" s="94" t="s">
        <x:v>33</x:v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2"/>
    </x:row>
    <x:row r="27">
      <x:c r="A27" s="95" t="s">
        <x:v>34</x:v>
      </x:c>
      <x:c r="B27" s="6"/>
      <x:c r="C27" s="6"/>
      <x:c r="D27" s="95" t="s">
        <x:v>35</x:v>
      </x:c>
      <x:c r="E27" s="6"/>
      <x:c r="F27" s="6"/>
      <x:c r="G27" s="95" t="s">
        <x:v>36</x:v>
      </x:c>
      <x:c r="H27" s="6"/>
      <x:c r="I27" s="6"/>
      <x:c r="J27" s="95" t="s">
        <x:v>37</x:v>
      </x:c>
      <x:c r="K27" s="6"/>
      <x:c r="L27" s="6"/>
      <x:c r="M27" s="89"/>
      <x:c r="N27" s="92"/>
    </x:row>
    <x:row r="28" ht="22">
      <x:c r="A28" s="91" t="e">
        <x:f>COUNTIFS(风险登记册!$B$9:$B$108,"&lt;&gt;",风险登记册!$AH$9:$AH$108,"重大")</x:f>
        <x:v>#NAME?</x:v>
      </x:c>
      <x:c r="B28" s="6"/>
      <x:c r="C28" s="6"/>
      <x:c r="D28" s="91" t="e">
        <x:f>COUNTIFS(风险登记册!$B$9:$B$108,"&lt;&gt;",风险登记册!$AH$9:$AH$108,"高")</x:f>
        <x:v>#NAME?</x:v>
      </x:c>
      <x:c r="E28" s="6"/>
      <x:c r="F28" s="6"/>
      <x:c r="G28" s="91" t="e">
        <x:f>COUNTIFS(风险应对计划!$B$5:$B$104,"&lt;&gt;",风险应对计划!$Q$5:$Q$104,"是")</x:f>
        <x:v>#NAME?</x:v>
      </x:c>
      <x:c r="H28" s="6"/>
      <x:c r="I28" s="6"/>
      <x:c r="J28" s="91" t="e">
        <x:f>COUNTIFS(风险登记册!$B$9:$B$108,"&lt;&gt;",风险登记册!$AI$9:$AI$108,"上升")</x:f>
        <x:v>#NAME?</x:v>
      </x:c>
      <x:c r="K28" s="6"/>
      <x:c r="L28" s="6"/>
    </x:row>
    <x:row r="29" ht="30" customHeight="1">
      <x:c r="J29" s="96"/>
    </x:row>
  </x:sheetData>
  <x:mergeCells>
    <x:mergeCell ref="A1:N1"/>
    <x:mergeCell ref="A7:C7"/>
    <x:mergeCell ref="D7:F7"/>
    <x:mergeCell ref="G7:I7"/>
    <x:mergeCell ref="J7:L7"/>
    <x:mergeCell ref="M7:N7"/>
    <x:mergeCell ref="A8:C8"/>
    <x:mergeCell ref="D8:F8"/>
    <x:mergeCell ref="G8:I8"/>
    <x:mergeCell ref="J8:L8"/>
    <x:mergeCell ref="M8:N8"/>
    <x:mergeCell ref="A16:N16"/>
    <x:mergeCell ref="A22:N22"/>
    <x:mergeCell ref="A23:C23"/>
    <x:mergeCell ref="D23:F23"/>
    <x:mergeCell ref="G23:I23"/>
    <x:mergeCell ref="J23:L23"/>
    <x:mergeCell ref="A24:C24"/>
    <x:mergeCell ref="D24:F24"/>
    <x:mergeCell ref="G24:I24"/>
    <x:mergeCell ref="J24:L24"/>
    <x:mergeCell ref="A26:N26"/>
    <x:mergeCell ref="A27:C27"/>
    <x:mergeCell ref="D27:F27"/>
    <x:mergeCell ref="G27:I27"/>
    <x:mergeCell ref="J27:L27"/>
    <x:mergeCell ref="A28:C28"/>
    <x:mergeCell ref="D28:F28"/>
    <x:mergeCell ref="G28:I28"/>
    <x:mergeCell ref="J28:L28"/>
    <x:mergeCell ref="A17:N20"/>
  </x:mergeCells>
  <x:pageMargins left="0.7" right="0.7" top="0.75" bottom="0.75" header="0.3" footer="0.3"/>
  <x:drawing xmlns:r="http://schemas.openxmlformats.org/officeDocument/2006/relationships" r:id="Rce8bb61bc70d4f6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3" topLeftCell="F4" activePane="bottomRight" state="frozen"/>
    </x:sheetView>
  </x:sheetViews>
  <x:sheetFormatPr defaultColWidth="9" defaultRowHeight="16.799999237060547"/>
  <x:cols>
    <x:col min="1" max="1" width="11" style="1" customWidth="1"/>
    <x:col min="2" max="2" width="16" style="1" customWidth="1"/>
    <x:col min="3" max="3" width="22" style="1" customWidth="1"/>
    <x:col min="4" max="4" width="28" style="1" customWidth="1"/>
    <x:col min="5" max="5" width="18.97058868408203" style="1" customWidth="1"/>
    <x:col min="6" max="7" width="11" style="1" customWidth="1"/>
    <x:col min="8" max="8" width="14" style="1" customWidth="1"/>
    <x:col min="9" max="11" width="12" style="1" customWidth="1"/>
    <x:col min="12" max="12" width="14" style="1" customWidth="1"/>
    <x:col min="13" max="13" width="11" style="1" customWidth="1"/>
    <x:col min="14" max="15" width="12" style="1" customWidth="1"/>
    <x:col min="16" max="16" width="17" style="1" customWidth="1"/>
    <x:col min="17" max="17" width="11" style="1" customWidth="1"/>
    <x:col min="18" max="19" width="12" style="1" customWidth="1"/>
    <x:col min="20" max="20" width="14" style="1" customWidth="1"/>
    <x:col min="21" max="21" width="11" style="1" customWidth="1"/>
    <x:col min="22" max="23" width="12" style="1" customWidth="1"/>
    <x:col min="24" max="24" width="14" style="1" customWidth="1"/>
    <x:col min="25" max="25" width="11" style="1" customWidth="1"/>
    <x:col min="26" max="27" width="12" style="1" customWidth="1"/>
    <x:col min="28" max="28" width="11" style="1" customWidth="1"/>
    <x:col min="29" max="29" width="12" style="1" customWidth="1"/>
    <x:col min="30" max="31" width="24" style="1" customWidth="1"/>
  </x:cols>
  <x:sheetData>
    <x:row r="1" ht="34" customHeight="1">
      <x:c r="A1" s="32" t="str">
        <x:v>某大型能源集团合同全生命周期管理系统｜项目总控台账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4"/>
    </x:row>
    <x:row r="2">
      <x:c r="A2" s="74" t="s">
        <x:v>38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4"/>
    </x:row>
    <x:row r="3" ht="30" customHeight="1">
      <x:c r="A3" s="37" t="s">
        <x:v>39</x:v>
      </x:c>
      <x:c r="B3" s="37" t="s">
        <x:v>40</x:v>
      </x:c>
      <x:c r="C3" s="37" t="s">
        <x:v>41</x:v>
      </x:c>
      <x:c r="D3" s="37" t="s">
        <x:v>42</x:v>
      </x:c>
      <x:c r="E3" s="37" t="s">
        <x:v>43</x:v>
      </x:c>
      <x:c r="F3" s="37" t="s">
        <x:v>22</x:v>
      </x:c>
      <x:c r="G3" s="37" t="s">
        <x:v>44</x:v>
      </x:c>
      <x:c r="H3" s="37" t="s">
        <x:v>45</x:v>
      </x:c>
      <x:c r="I3" s="37" t="s">
        <x:v>46</x:v>
      </x:c>
      <x:c r="J3" s="37" t="s">
        <x:v>47</x:v>
      </x:c>
      <x:c r="K3" s="37" t="s">
        <x:v>48</x:v>
      </x:c>
      <x:c r="L3" s="37" t="s">
        <x:v>49</x:v>
      </x:c>
      <x:c r="M3" s="37" t="s">
        <x:v>50</x:v>
      </x:c>
      <x:c r="N3" s="37" t="s">
        <x:v>51</x:v>
      </x:c>
      <x:c r="O3" s="37" t="s">
        <x:v>52</x:v>
      </x:c>
      <x:c r="P3" s="37" t="s">
        <x:v>53</x:v>
      </x:c>
      <x:c r="Q3" s="37" t="s">
        <x:v>54</x:v>
      </x:c>
      <x:c r="R3" s="37" t="s">
        <x:v>55</x:v>
      </x:c>
      <x:c r="S3" s="37" t="s">
        <x:v>56</x:v>
      </x:c>
      <x:c r="T3" s="37" t="s">
        <x:v>57</x:v>
      </x:c>
      <x:c r="U3" s="37" t="s">
        <x:v>58</x:v>
      </x:c>
      <x:c r="V3" s="37" t="s">
        <x:v>59</x:v>
      </x:c>
      <x:c r="W3" s="37" t="s">
        <x:v>60</x:v>
      </x:c>
      <x:c r="X3" s="37" t="s">
        <x:v>61</x:v>
      </x:c>
      <x:c r="Y3" s="37" t="s">
        <x:v>62</x:v>
      </x:c>
      <x:c r="Z3" s="37" t="s">
        <x:v>63</x:v>
      </x:c>
      <x:c r="AA3" s="37" t="s">
        <x:v>64</x:v>
      </x:c>
      <x:c r="AB3" s="37" t="s">
        <x:v>15</x:v>
      </x:c>
      <x:c r="AC3" s="37" t="s">
        <x:v>65</x:v>
      </x:c>
      <x:c r="AD3" s="37" t="s">
        <x:v>66</x:v>
      </x:c>
      <x:c r="AE3" s="37" t="s">
        <x:v>67</x:v>
      </x:c>
    </x:row>
    <x:row r="4" ht="17" customHeight="1">
      <x:c r="A4" s="34" t="str">
        <x:v>T001</x:v>
      </x:c>
      <x:c r="B4" s="34" t="str">
        <x:v>项目治理</x:v>
      </x:c>
      <x:c r="C4" s="34" t="str">
        <x:v>项目启动</x:v>
      </x:c>
      <x:c r="D4" s="34" t="str">
        <x:v>项目章程与治理机制</x:v>
      </x:c>
      <x:c r="E4" s="34" t="str">
        <x:v>/</x:v>
      </x:c>
      <x:c r="F4" s="34" t="str">
        <x:v>第一批次</x:v>
      </x:c>
      <x:c r="G4" s="34" t="str">
        <x:f t="shared" ref="G4:G15" si="0">IF(OR(M4="挂起",M4="暂停",Q4="挂起",Q4="暂停",U4="挂起",U4="暂停",Y4="挂起",Y4="暂停"),"暂停",IF(AND(M4="已完成",Q4="已完成",U4="已完成",Y4="已完成"),"已完成",IF(OR(M4="进行中",Q4="进行中",U4="进行中",Y4="进行中",M4="已完成",Q4="已完成",U4="已完成",Y4="已完成"),"进行中","未开始")))</x:f>
        <x:v>已完成</x:v>
      </x:c>
      <x:c r="H4" s="34" t="str">
        <x:f t="shared" ref="H4:H67" si="1">IF(L4&lt;&gt;"",L4,IF(P4&lt;&gt;"",P4,IF(T4&lt;&gt;"",T4,X4)))</x:f>
        <x:v>张伟</x:v>
      </x:c>
      <x:c r="I4" s="97" t="n">
        <x:f t="shared" ref="I4:I67" si="2">IF(COUNT(N4,R4,V4,Z4)=0,"",MIN(N4,R4,V4,Z4))</x:f>
        <x:v>46258</x:v>
      </x:c>
      <x:c r="J4" s="97" t="n">
        <x:f t="shared" ref="J4:J67" si="3">IF(ISNUMBER(K4),K4,IF(COUNT(O4,S4,W4,AA4)=0,"",MAX(O4,S4,W4,AA4)))</x:f>
        <x:v>46272</x:v>
      </x:c>
      <x:c r="K4" s="97" t="n">
        <x:v>46272</x:v>
      </x:c>
      <x:c r="L4" s="34" t="str">
        <x:v>张伟</x:v>
      </x:c>
      <x:c r="M4" s="34" t="str">
        <x:v>已完成</x:v>
      </x:c>
      <x:c r="N4" s="97" t="n">
        <x:v>46258</x:v>
      </x:c>
      <x:c r="O4" s="97" t="n">
        <x:v>46261</x:v>
      </x:c>
      <x:c r="P4" s="34" t="str">
        <x:v>张伟</x:v>
      </x:c>
      <x:c r="Q4" s="34" t="str">
        <x:v>已完成</x:v>
      </x:c>
      <x:c r="R4" s="97" t="n">
        <x:v>46262</x:v>
      </x:c>
      <x:c r="S4" s="97" t="n">
        <x:v>46267</x:v>
      </x:c>
      <x:c r="T4" s="34" t="str">
        <x:v>张伟</x:v>
      </x:c>
      <x:c r="U4" s="34" t="str">
        <x:v>已完成</x:v>
      </x:c>
      <x:c r="V4" s="97" t="n">
        <x:v>46262</x:v>
      </x:c>
      <x:c r="W4" s="97" t="n">
        <x:v>46267</x:v>
      </x:c>
      <x:c r="X4" s="34" t="str">
        <x:v>陈晨</x:v>
      </x:c>
      <x:c r="Y4" s="34" t="str">
        <x:v>已完成</x:v>
      </x:c>
      <x:c r="Z4" s="97" t="n">
        <x:v>46268</x:v>
      </x:c>
      <x:c r="AA4" s="97" t="n">
        <x:v>46272</x:v>
      </x:c>
      <x:c r="AB4" s="98" t="n">
        <x:f t="shared" ref="AB4:AB67" si="4">(IF(M4="已完成",1,IF(M4="进行中",0.5,0))*15%+IF(Q4="已完成",1,IF(Q4="进行中",0.5,0))*35%+IF(U4="已完成",1,IF(U4="进行中",0.5,0))*30%+IF(Y4="已完成",1,IF(Y4="进行中",0.5,0))*20%)</x:f>
        <x:v>1</x:v>
      </x:c>
      <x:c r="AC4" s="34" t="e">
        <x:f>IF(G4="已完成","正常",IF(OR(G4="暂停",G4="挂起"),"暂停",IF(J4="","日期缺失",IF(J4&lt;项目驾驶舱!$B$3,"已延期",IF(J4&lt;=项目驾驶舱!$B$3+7,"临近到期","正常")))))</x:f>
        <x:v>#NAME?</x:v>
      </x:c>
      <x:c r="AD4" s="34" t="str"/>
      <x:c r="AE4" s="34" t="str">
        <x:v>项目章程获批</x:v>
      </x:c>
    </x:row>
    <x:row r="5" ht="17" customHeight="1">
      <x:c r="A5" s="34" t="str">
        <x:v>T002</x:v>
      </x:c>
      <x:c r="B5" s="34" t="str">
        <x:v>业务调研</x:v>
      </x:c>
      <x:c r="C5" s="34" t="str">
        <x:v>现状调研</x:v>
      </x:c>
      <x:c r="D5" s="34" t="str">
        <x:v>集团合同管理现状调研</x:v>
      </x:c>
      <x:c r="E5" s="34" t="str">
        <x:v>/</x:v>
      </x:c>
      <x:c r="F5" s="34" t="str">
        <x:v>第一批次</x:v>
      </x:c>
      <x:c r="G5" s="34" t="str">
        <x:f t="shared" si="0">IF(OR(M5="挂起",M5="暂停",Q5="挂起",Q5="暂停",U5="挂起",U5="暂停",Y5="挂起",Y5="暂停"),"暂停",IF(AND(M5="已完成",Q5="已完成",U5="已完成",Y5="已完成"),"已完成",IF(OR(M5="进行中",Q5="进行中",U5="进行中",Y5="进行中",M5="已完成",Q5="已完成",U5="已完成",Y5="已完成"),"进行中","未开始")))</x:f>
        <x:v>已完成</x:v>
      </x:c>
      <x:c r="H5" s="34" t="str">
        <x:f t="shared" si="1">IF(L5&lt;&gt;"",L5,IF(P5&lt;&gt;"",P5,IF(T5&lt;&gt;"",T5,X5)))</x:f>
        <x:v>李明</x:v>
      </x:c>
      <x:c r="I5" s="97" t="n">
        <x:f t="shared" si="2">IF(COUNT(N5,R5,V5,Z5)=0,"",MIN(N5,R5,V5,Z5))</x:f>
        <x:v>46263</x:v>
      </x:c>
      <x:c r="J5" s="97" t="n">
        <x:f t="shared" si="3">IF(ISNUMBER(K5),K5,IF(COUNT(O5,S5,W5,AA5)=0,"",MAX(O5,S5,W5,AA5)))</x:f>
        <x:v>46284</x:v>
      </x:c>
      <x:c r="K5" s="97" t="n">
        <x:v>46284</x:v>
      </x:c>
      <x:c r="L5" s="34" t="str">
        <x:v>李明</x:v>
      </x:c>
      <x:c r="M5" s="34" t="str">
        <x:v>已完成</x:v>
      </x:c>
      <x:c r="N5" s="97" t="n">
        <x:v>46263</x:v>
      </x:c>
      <x:c r="O5" s="97" t="n">
        <x:v>46266</x:v>
      </x:c>
      <x:c r="P5" s="34" t="str">
        <x:v>李明</x:v>
      </x:c>
      <x:c r="Q5" s="34" t="str">
        <x:v>已完成</x:v>
      </x:c>
      <x:c r="R5" s="97" t="n">
        <x:v>46267</x:v>
      </x:c>
      <x:c r="S5" s="97" t="n">
        <x:v>46279</x:v>
      </x:c>
      <x:c r="T5" s="34" t="str">
        <x:v>李明</x:v>
      </x:c>
      <x:c r="U5" s="34" t="str">
        <x:v>已完成</x:v>
      </x:c>
      <x:c r="V5" s="97" t="n">
        <x:v>46267</x:v>
      </x:c>
      <x:c r="W5" s="97" t="n">
        <x:v>46279</x:v>
      </x:c>
      <x:c r="X5" s="34" t="str">
        <x:v>陈晨</x:v>
      </x:c>
      <x:c r="Y5" s="34" t="str">
        <x:v>已完成</x:v>
      </x:c>
      <x:c r="Z5" s="97" t="n">
        <x:v>46280</x:v>
      </x:c>
      <x:c r="AA5" s="97" t="n">
        <x:v>46284</x:v>
      </x:c>
      <x:c r="AB5" s="98" t="n">
        <x:f t="shared" si="4">(IF(M5="已完成",1,IF(M5="进行中",0.5,0))*15%+IF(Q5="已完成",1,IF(Q5="进行中",0.5,0))*35%+IF(U5="已完成",1,IF(U5="进行中",0.5,0))*30%+IF(Y5="已完成",1,IF(Y5="进行中",0.5,0))*20%)</x:f>
        <x:v>1</x:v>
      </x:c>
      <x:c r="AC5" s="34" t="e">
        <x:f>IF(G5="已完成","正常",IF(OR(G5="暂停",G5="挂起"),"暂停",IF(J5="","日期缺失",IF(J5&lt;项目驾驶舱!$B$3,"已延期",IF(J5&lt;=项目驾驶舱!$B$3+7,"临近到期","正常")))))</x:f>
        <x:v>#NAME?</x:v>
      </x:c>
      <x:c r="AD5" s="34" t="str"/>
      <x:c r="AE5" s="34" t="str">
        <x:v>调研报告确认</x:v>
      </x:c>
    </x:row>
    <x:row r="6" ht="17" customHeight="1">
      <x:c r="A6" s="34" t="str">
        <x:v>T003</x:v>
      </x:c>
      <x:c r="B6" s="34" t="str">
        <x:v>需求管理</x:v>
      </x:c>
      <x:c r="C6" s="34" t="str">
        <x:v>需求基线</x:v>
      </x:c>
      <x:c r="D6" s="34" t="str">
        <x:v>合同全生命周期需求基线</x:v>
      </x:c>
      <x:c r="E6" s="34" t="str">
        <x:v>/</x:v>
      </x:c>
      <x:c r="F6" s="34" t="str">
        <x:v>第一批次</x:v>
      </x:c>
      <x:c r="G6" s="34" t="str">
        <x:f t="shared" si="0">IF(OR(M6="挂起",M6="暂停",Q6="挂起",Q6="暂停",U6="挂起",U6="暂停",Y6="挂起",Y6="暂停"),"暂停",IF(AND(M6="已完成",Q6="已完成",U6="已完成",Y6="已完成"),"已完成",IF(OR(M6="进行中",Q6="进行中",U6="进行中",Y6="进行中",M6="已完成",Q6="已完成",U6="已完成",Y6="已完成"),"进行中","未开始")))</x:f>
        <x:v>已完成</x:v>
      </x:c>
      <x:c r="H6" s="34" t="str">
        <x:f t="shared" si="1">IF(L6&lt;&gt;"",L6,IF(P6&lt;&gt;"",P6,IF(T6&lt;&gt;"",T6,X6)))</x:f>
        <x:v>王芳</x:v>
      </x:c>
      <x:c r="I6" s="97" t="n">
        <x:f t="shared" si="2">IF(COUNT(N6,R6,V6,Z6)=0,"",MIN(N6,R6,V6,Z6))</x:f>
        <x:v>46268</x:v>
      </x:c>
      <x:c r="J6" s="97" t="n">
        <x:f t="shared" si="3">IF(ISNUMBER(K6),K6,IF(COUNT(O6,S6,W6,AA6)=0,"",MAX(O6,S6,W6,AA6)))</x:f>
        <x:v>46296</x:v>
      </x:c>
      <x:c r="K6" s="97" t="n">
        <x:v>46296</x:v>
      </x:c>
      <x:c r="L6" s="34" t="str">
        <x:v>王芳</x:v>
      </x:c>
      <x:c r="M6" s="34" t="str">
        <x:v>已完成</x:v>
      </x:c>
      <x:c r="N6" s="97" t="n">
        <x:v>46268</x:v>
      </x:c>
      <x:c r="O6" s="97" t="n">
        <x:v>46271</x:v>
      </x:c>
      <x:c r="P6" s="34" t="str">
        <x:v>王芳</x:v>
      </x:c>
      <x:c r="Q6" s="34" t="str">
        <x:v>已完成</x:v>
      </x:c>
      <x:c r="R6" s="97" t="n">
        <x:v>46272</x:v>
      </x:c>
      <x:c r="S6" s="97" t="n">
        <x:v>46291</x:v>
      </x:c>
      <x:c r="T6" s="34" t="str">
        <x:v>王芳</x:v>
      </x:c>
      <x:c r="U6" s="34" t="str">
        <x:v>已完成</x:v>
      </x:c>
      <x:c r="V6" s="97" t="n">
        <x:v>46272</x:v>
      </x:c>
      <x:c r="W6" s="97" t="n">
        <x:v>46291</x:v>
      </x:c>
      <x:c r="X6" s="34" t="str">
        <x:v>陈晨</x:v>
      </x:c>
      <x:c r="Y6" s="34" t="str">
        <x:v>已完成</x:v>
      </x:c>
      <x:c r="Z6" s="97" t="n">
        <x:v>46292</x:v>
      </x:c>
      <x:c r="AA6" s="97" t="n">
        <x:v>46296</x:v>
      </x:c>
      <x:c r="AB6" s="98" t="n">
        <x:f t="shared" si="4">(IF(M6="已完成",1,IF(M6="进行中",0.5,0))*15%+IF(Q6="已完成",1,IF(Q6="进行中",0.5,0))*35%+IF(U6="已完成",1,IF(U6="进行中",0.5,0))*30%+IF(Y6="已完成",1,IF(Y6="进行中",0.5,0))*20%)</x:f>
        <x:v>1</x:v>
      </x:c>
      <x:c r="AC6" s="34" t="e">
        <x:f>IF(G6="已完成","正常",IF(OR(G6="暂停",G6="挂起"),"暂停",IF(J6="","日期缺失",IF(J6&lt;项目驾驶舱!$B$3,"已延期",IF(J6&lt;=项目驾驶舱!$B$3+7,"临近到期","正常")))))</x:f>
        <x:v>#NAME?</x:v>
      </x:c>
      <x:c r="AD6" s="34" t="str"/>
      <x:c r="AE6" s="34" t="str">
        <x:v>需求基线批准</x:v>
      </x:c>
    </x:row>
    <x:row r="7" ht="17" customHeight="1">
      <x:c r="A7" s="34" t="str">
        <x:v>T004</x:v>
      </x:c>
      <x:c r="B7" s="34" t="str">
        <x:v>合同起草</x:v>
      </x:c>
      <x:c r="C7" s="34" t="str">
        <x:v>模板管理</x:v>
      </x:c>
      <x:c r="D7" s="34" t="str">
        <x:v>标准合同模板管理</x:v>
      </x:c>
      <x:c r="E7" s="34" t="str">
        <x:v>模板版本与适用范围</x:v>
      </x:c>
      <x:c r="F7" s="34" t="str">
        <x:v>第一批次</x:v>
      </x:c>
      <x:c r="G7" s="34" t="str">
        <x:f t="shared" si="0">IF(OR(M7="挂起",M7="暂停",Q7="挂起",Q7="暂停",U7="挂起",U7="暂停",Y7="挂起",Y7="暂停"),"暂停",IF(AND(M7="已完成",Q7="已完成",U7="已完成",Y7="已完成"),"已完成",IF(OR(M7="进行中",Q7="进行中",U7="进行中",Y7="进行中",M7="已完成",Q7="已完成",U7="已完成",Y7="已完成"),"进行中","未开始")))</x:f>
        <x:v>进行中</x:v>
      </x:c>
      <x:c r="H7" s="34" t="str">
        <x:f t="shared" si="1">IF(L7&lt;&gt;"",L7,IF(P7&lt;&gt;"",P7,IF(T7&lt;&gt;"",T7,X7)))</x:f>
        <x:v>王芳</x:v>
      </x:c>
      <x:c r="I7" s="97" t="n">
        <x:f t="shared" si="2">IF(COUNT(N7,R7,V7,Z7)=0,"",MIN(N7,R7,V7,Z7))</x:f>
        <x:v>46273</x:v>
      </x:c>
      <x:c r="J7" s="97" t="n">
        <x:f t="shared" si="3">IF(ISNUMBER(K7),K7,IF(COUNT(O7,S7,W7,AA7)=0,"",MAX(O7,S7,W7,AA7)))</x:f>
        <x:v>46287</x:v>
      </x:c>
      <x:c r="K7" s="97" t="n">
        <x:v>46287</x:v>
      </x:c>
      <x:c r="L7" s="34" t="str">
        <x:v>王芳</x:v>
      </x:c>
      <x:c r="M7" s="34" t="str">
        <x:v>已完成</x:v>
      </x:c>
      <x:c r="N7" s="97" t="n">
        <x:v>46273</x:v>
      </x:c>
      <x:c r="O7" s="97" t="n">
        <x:v>46276</x:v>
      </x:c>
      <x:c r="P7" s="34" t="str">
        <x:v>王芳</x:v>
      </x:c>
      <x:c r="Q7" s="34" t="str">
        <x:v>进行中</x:v>
      </x:c>
      <x:c r="R7" s="97" t="n">
        <x:v>46277</x:v>
      </x:c>
      <x:c r="S7" s="97" t="n">
        <x:v>46282</x:v>
      </x:c>
      <x:c r="T7" s="34" t="str">
        <x:v>王芳</x:v>
      </x:c>
      <x:c r="U7" s="34" t="str">
        <x:v>进行中</x:v>
      </x:c>
      <x:c r="V7" s="97" t="n">
        <x:v>46277</x:v>
      </x:c>
      <x:c r="W7" s="97" t="n">
        <x:v>46282</x:v>
      </x:c>
      <x:c r="X7" s="34" t="str">
        <x:v>陈晨</x:v>
      </x:c>
      <x:c r="Y7" s="34" t="str">
        <x:v>未开始</x:v>
      </x:c>
      <x:c r="Z7" s="97" t="n">
        <x:v>46283</x:v>
      </x:c>
      <x:c r="AA7" s="97" t="n">
        <x:v>46287</x:v>
      </x:c>
      <x:c r="AB7" s="98" t="n">
        <x:f t="shared" si="4">(IF(M7="已完成",1,IF(M7="进行中",0.5,0))*15%+IF(Q7="已完成",1,IF(Q7="进行中",0.5,0))*35%+IF(U7="已完成",1,IF(U7="进行中",0.5,0))*30%+IF(Y7="已完成",1,IF(Y7="进行中",0.5,0))*20%)</x:f>
        <x:v>0.475</x:v>
      </x:c>
      <x:c r="AC7" s="34" t="e">
        <x:f>IF(G7="已完成","正常",IF(OR(G7="暂停",G7="挂起"),"暂停",IF(J7="","日期缺失",IF(J7&lt;项目驾驶舱!$B$3,"已延期",IF(J7&lt;=项目驾驶舱!$B$3+7,"临近到期","正常")))))</x:f>
        <x:v>#NAME?</x:v>
      </x:c>
      <x:c r="AD7" s="34" t="str"/>
      <x:c r="AE7" s="34" t="str">
        <x:v>模板可配置</x:v>
      </x:c>
    </x:row>
    <x:row r="8" ht="17" customHeight="1">
      <x:c r="A8" s="34" t="str">
        <x:v>T005</x:v>
      </x:c>
      <x:c r="B8" s="34" t="str">
        <x:v>合同起草</x:v>
      </x:c>
      <x:c r="C8" s="34" t="str">
        <x:v>文本编辑</x:v>
      </x:c>
      <x:c r="D8" s="34" t="str">
        <x:v>合同在线起草</x:v>
      </x:c>
      <x:c r="E8" s="34" t="str">
        <x:v>条款库与版本对比</x:v>
      </x:c>
      <x:c r="F8" s="34" t="str">
        <x:v>第一批次</x:v>
      </x:c>
      <x:c r="G8" s="34" t="str">
        <x:f t="shared" si="0">IF(OR(M8="挂起",M8="暂停",Q8="挂起",Q8="暂停",U8="挂起",U8="暂停",Y8="挂起",Y8="暂停"),"暂停",IF(AND(M8="已完成",Q8="已完成",U8="已完成",Y8="已完成"),"已完成",IF(OR(M8="进行中",Q8="进行中",U8="进行中",Y8="进行中",M8="已完成",Q8="已完成",U8="已完成",Y8="已完成"),"进行中","未开始")))</x:f>
        <x:v>进行中</x:v>
      </x:c>
      <x:c r="H8" s="34" t="str">
        <x:f t="shared" si="1">IF(L8&lt;&gt;"",L8,IF(P8&lt;&gt;"",P8,IF(T8&lt;&gt;"",T8,X8)))</x:f>
        <x:v>赵强</x:v>
      </x:c>
      <x:c r="I8" s="97" t="n">
        <x:f t="shared" si="2">IF(COUNT(N8,R8,V8,Z8)=0,"",MIN(N8,R8,V8,Z8))</x:f>
        <x:v>46278</x:v>
      </x:c>
      <x:c r="J8" s="97" t="n">
        <x:f t="shared" si="3">IF(ISNUMBER(K8),K8,IF(COUNT(O8,S8,W8,AA8)=0,"",MAX(O8,S8,W8,AA8)))</x:f>
        <x:v>46299</x:v>
      </x:c>
      <x:c r="K8" s="97" t="n">
        <x:v>46299</x:v>
      </x:c>
      <x:c r="L8" s="34" t="str">
        <x:v>赵强</x:v>
      </x:c>
      <x:c r="M8" s="34" t="str">
        <x:v>已完成</x:v>
      </x:c>
      <x:c r="N8" s="97" t="n">
        <x:v>46278</x:v>
      </x:c>
      <x:c r="O8" s="97" t="n">
        <x:v>46281</x:v>
      </x:c>
      <x:c r="P8" s="34" t="str">
        <x:v>赵强</x:v>
      </x:c>
      <x:c r="Q8" s="34" t="str">
        <x:v>进行中</x:v>
      </x:c>
      <x:c r="R8" s="97" t="n">
        <x:v>46282</x:v>
      </x:c>
      <x:c r="S8" s="97" t="n">
        <x:v>46294</x:v>
      </x:c>
      <x:c r="T8" s="34" t="str">
        <x:v>赵强</x:v>
      </x:c>
      <x:c r="U8" s="34" t="str">
        <x:v>进行中</x:v>
      </x:c>
      <x:c r="V8" s="97" t="n">
        <x:v>46282</x:v>
      </x:c>
      <x:c r="W8" s="97" t="n">
        <x:v>46294</x:v>
      </x:c>
      <x:c r="X8" s="34" t="str">
        <x:v>陈晨</x:v>
      </x:c>
      <x:c r="Y8" s="34" t="str">
        <x:v>未开始</x:v>
      </x:c>
      <x:c r="Z8" s="97" t="n">
        <x:v>46295</x:v>
      </x:c>
      <x:c r="AA8" s="97" t="n">
        <x:v>46299</x:v>
      </x:c>
      <x:c r="AB8" s="98" t="n">
        <x:f t="shared" si="4">(IF(M8="已完成",1,IF(M8="进行中",0.5,0))*15%+IF(Q8="已完成",1,IF(Q8="进行中",0.5,0))*35%+IF(U8="已完成",1,IF(U8="进行中",0.5,0))*30%+IF(Y8="已完成",1,IF(Y8="进行中",0.5,0))*20%)</x:f>
        <x:v>0.475</x:v>
      </x:c>
      <x:c r="AC8" s="34" t="e">
        <x:f>IF(G8="已完成","正常",IF(OR(G8="暂停",G8="挂起"),"暂停",IF(J8="","日期缺失",IF(J8&lt;项目驾驶舱!$B$3,"已延期",IF(J8&lt;=项目驾驶舱!$B$3+7,"临近到期","正常")))))</x:f>
        <x:v>#NAME?</x:v>
      </x:c>
      <x:c r="AD8" s="34" t="str"/>
      <x:c r="AE8" s="34" t="str">
        <x:v>完成P0用例</x:v>
      </x:c>
    </x:row>
    <x:row r="9" ht="17" customHeight="1">
      <x:c r="A9" s="34" t="str">
        <x:v>T006</x:v>
      </x:c>
      <x:c r="B9" s="34" t="str">
        <x:v>合同审批</x:v>
      </x:c>
      <x:c r="C9" s="34" t="str">
        <x:v>流程引擎</x:v>
      </x:c>
      <x:c r="D9" s="34" t="str">
        <x:v>差异化审批流程</x:v>
      </x:c>
      <x:c r="E9" s="34" t="str">
        <x:v>按组织金额类型路由</x:v>
      </x:c>
      <x:c r="F9" s="34" t="str">
        <x:v>第一批次</x:v>
      </x:c>
      <x:c r="G9" s="34" t="str">
        <x:f t="shared" si="0">IF(OR(M9="挂起",M9="暂停",Q9="挂起",Q9="暂停",U9="挂起",U9="暂停",Y9="挂起",Y9="暂停"),"暂停",IF(AND(M9="已完成",Q9="已完成",U9="已完成",Y9="已完成"),"已完成",IF(OR(M9="进行中",Q9="进行中",U9="进行中",Y9="进行中",M9="已完成",Q9="已完成",U9="已完成",Y9="已完成"),"进行中","未开始")))</x:f>
        <x:v>进行中</x:v>
      </x:c>
      <x:c r="H9" s="34" t="str">
        <x:f t="shared" si="1">IF(L9&lt;&gt;"",L9,IF(P9&lt;&gt;"",P9,IF(T9&lt;&gt;"",T9,X9)))</x:f>
        <x:v>赵强</x:v>
      </x:c>
      <x:c r="I9" s="97" t="n">
        <x:f t="shared" si="2">IF(COUNT(N9,R9,V9,Z9)=0,"",MIN(N9,R9,V9,Z9))</x:f>
        <x:v>46283</x:v>
      </x:c>
      <x:c r="J9" s="97" t="n">
        <x:f t="shared" si="3">IF(ISNUMBER(K9),K9,IF(COUNT(O9,S9,W9,AA9)=0,"",MAX(O9,S9,W9,AA9)))</x:f>
        <x:v>46311</x:v>
      </x:c>
      <x:c r="K9" s="97" t="n">
        <x:v>46311</x:v>
      </x:c>
      <x:c r="L9" s="34" t="str">
        <x:v>赵强</x:v>
      </x:c>
      <x:c r="M9" s="34" t="str">
        <x:v>已完成</x:v>
      </x:c>
      <x:c r="N9" s="97" t="n">
        <x:v>46283</x:v>
      </x:c>
      <x:c r="O9" s="97" t="n">
        <x:v>46286</x:v>
      </x:c>
      <x:c r="P9" s="34" t="str">
        <x:v>赵强</x:v>
      </x:c>
      <x:c r="Q9" s="34" t="str">
        <x:v>进行中</x:v>
      </x:c>
      <x:c r="R9" s="97" t="n">
        <x:v>46287</x:v>
      </x:c>
      <x:c r="S9" s="97" t="n">
        <x:v>46306</x:v>
      </x:c>
      <x:c r="T9" s="34" t="str">
        <x:v>赵强</x:v>
      </x:c>
      <x:c r="U9" s="34" t="str">
        <x:v>进行中</x:v>
      </x:c>
      <x:c r="V9" s="97" t="n">
        <x:v>46287</x:v>
      </x:c>
      <x:c r="W9" s="97" t="n">
        <x:v>46306</x:v>
      </x:c>
      <x:c r="X9" s="34" t="str">
        <x:v>陈晨</x:v>
      </x:c>
      <x:c r="Y9" s="34" t="str">
        <x:v>未开始</x:v>
      </x:c>
      <x:c r="Z9" s="97" t="n">
        <x:v>46307</x:v>
      </x:c>
      <x:c r="AA9" s="97" t="n">
        <x:v>46311</x:v>
      </x:c>
      <x:c r="AB9" s="98" t="n">
        <x:f t="shared" si="4">(IF(M9="已完成",1,IF(M9="进行中",0.5,0))*15%+IF(Q9="已完成",1,IF(Q9="进行中",0.5,0))*35%+IF(U9="已完成",1,IF(U9="进行中",0.5,0))*30%+IF(Y9="已完成",1,IF(Y9="进行中",0.5,0))*20%)</x:f>
        <x:v>0.475</x:v>
      </x:c>
      <x:c r="AC9" s="34" t="e">
        <x:f>IF(G9="已完成","正常",IF(OR(G9="暂停",G9="挂起"),"暂停",IF(J9="","日期缺失",IF(J9&lt;项目驾驶舱!$B$3,"已延期",IF(J9&lt;=项目驾驶舱!$B$3+7,"临近到期","正常")))))</x:f>
        <x:v>#NAME?</x:v>
      </x:c>
      <x:c r="AD9" s="34" t="str"/>
      <x:c r="AE9" s="34" t="str">
        <x:v>审批规则验证通过</x:v>
      </x:c>
    </x:row>
    <x:row r="10" ht="17" customHeight="1">
      <x:c r="A10" s="34" t="str">
        <x:v>T007</x:v>
      </x:c>
      <x:c r="B10" s="34" t="str">
        <x:v>合同审批</x:v>
      </x:c>
      <x:c r="C10" s="34" t="str">
        <x:v>移动审批</x:v>
      </x:c>
      <x:c r="D10" s="34" t="str">
        <x:v>移动端审批与催办</x:v>
      </x:c>
      <x:c r="E10" s="34" t="str">
        <x:v>/</x:v>
      </x:c>
      <x:c r="F10" s="34" t="str">
        <x:v>第二批次</x:v>
      </x:c>
      <x:c r="G10" s="34" t="str">
        <x:f t="shared" si="0">IF(OR(M10="挂起",M10="暂停",Q10="挂起",Q10="暂停",U10="挂起",U10="暂停",Y10="挂起",Y10="暂停"),"暂停",IF(AND(M10="已完成",Q10="已完成",U10="已完成",Y10="已完成"),"已完成",IF(OR(M10="进行中",Q10="进行中",U10="进行中",Y10="进行中",M10="已完成",Q10="已完成",U10="已完成",Y10="已完成"),"进行中","未开始")))</x:f>
        <x:v>进行中</x:v>
      </x:c>
      <x:c r="H10" s="34" t="str">
        <x:f t="shared" si="1">IF(L10&lt;&gt;"",L10,IF(P10&lt;&gt;"",P10,IF(T10&lt;&gt;"",T10,X10)))</x:f>
        <x:v>赵强</x:v>
      </x:c>
      <x:c r="I10" s="97" t="n">
        <x:f t="shared" si="2">IF(COUNT(N10,R10,V10,Z10)=0,"",MIN(N10,R10,V10,Z10))</x:f>
        <x:v>46288</x:v>
      </x:c>
      <x:c r="J10" s="97" t="n">
        <x:f t="shared" si="3">IF(ISNUMBER(K10),K10,IF(COUNT(O10,S10,W10,AA10)=0,"",MAX(O10,S10,W10,AA10)))</x:f>
        <x:v>46302</x:v>
      </x:c>
      <x:c r="K10" s="97" t="n">
        <x:v>46302</x:v>
      </x:c>
      <x:c r="L10" s="34" t="str">
        <x:v>赵强</x:v>
      </x:c>
      <x:c r="M10" s="34" t="str">
        <x:v>已完成</x:v>
      </x:c>
      <x:c r="N10" s="97" t="n">
        <x:v>46288</x:v>
      </x:c>
      <x:c r="O10" s="97" t="n">
        <x:v>46291</x:v>
      </x:c>
      <x:c r="P10" s="34" t="str">
        <x:v>赵强</x:v>
      </x:c>
      <x:c r="Q10" s="34" t="str">
        <x:v>进行中</x:v>
      </x:c>
      <x:c r="R10" s="97" t="n">
        <x:v>46292</x:v>
      </x:c>
      <x:c r="S10" s="97" t="n">
        <x:v>46297</x:v>
      </x:c>
      <x:c r="T10" s="34" t="str">
        <x:v>赵强</x:v>
      </x:c>
      <x:c r="U10" s="34" t="str">
        <x:v>进行中</x:v>
      </x:c>
      <x:c r="V10" s="97" t="n">
        <x:v>46292</x:v>
      </x:c>
      <x:c r="W10" s="97" t="n">
        <x:v>46297</x:v>
      </x:c>
      <x:c r="X10" s="34" t="str">
        <x:v>陈晨</x:v>
      </x:c>
      <x:c r="Y10" s="34" t="str">
        <x:v>未开始</x:v>
      </x:c>
      <x:c r="Z10" s="97" t="n">
        <x:v>46298</x:v>
      </x:c>
      <x:c r="AA10" s="97" t="n">
        <x:v>46302</x:v>
      </x:c>
      <x:c r="AB10" s="98" t="n">
        <x:f t="shared" si="4">(IF(M10="已完成",1,IF(M10="进行中",0.5,0))*15%+IF(Q10="已完成",1,IF(Q10="进行中",0.5,0))*35%+IF(U10="已完成",1,IF(U10="进行中",0.5,0))*30%+IF(Y10="已完成",1,IF(Y10="进行中",0.5,0))*20%)</x:f>
        <x:v>0.475</x:v>
      </x:c>
      <x:c r="AC10" s="34" t="e">
        <x:f>IF(G10="已完成","正常",IF(OR(G10="暂停",G10="挂起"),"暂停",IF(J10="","日期缺失",IF(J10&lt;项目驾驶舱!$B$3,"已延期",IF(J10&lt;=项目驾驶舱!$B$3+7,"临近到期","正常")))))</x:f>
        <x:v>#NAME?</x:v>
      </x:c>
      <x:c r="AD10" s="34" t="str"/>
      <x:c r="AE10" s="34" t="str">
        <x:v>移动端验收</x:v>
      </x:c>
    </x:row>
    <x:row r="11" ht="17" customHeight="1">
      <x:c r="A11" s="34" t="str">
        <x:v>T008</x:v>
      </x:c>
      <x:c r="B11" s="34" t="str">
        <x:v>电子签章</x:v>
      </x:c>
      <x:c r="C11" s="34" t="str">
        <x:v>签章集成</x:v>
      </x:c>
      <x:c r="D11" s="34" t="str">
        <x:v>电子签章接口</x:v>
      </x:c>
      <x:c r="E11" s="34" t="str">
        <x:v>证书与签署状态</x:v>
      </x:c>
      <x:c r="F11" s="34" t="str">
        <x:v>第一批次</x:v>
      </x:c>
      <x:c r="G11" s="34" t="str">
        <x:f t="shared" si="0">IF(OR(M11="挂起",M11="暂停",Q11="挂起",Q11="暂停",U11="挂起",U11="暂停",Y11="挂起",Y11="暂停"),"暂停",IF(AND(M11="已完成",Q11="已完成",U11="已完成",Y11="已完成"),"已完成",IF(OR(M11="进行中",Q11="进行中",U11="进行中",Y11="进行中",M11="已完成",Q11="已完成",U11="已完成",Y11="已完成"),"进行中","未开始")))</x:f>
        <x:v>暂停</x:v>
      </x:c>
      <x:c r="H11" s="34" t="str">
        <x:f t="shared" si="1">IF(L11&lt;&gt;"",L11,IF(P11&lt;&gt;"",P11,IF(T11&lt;&gt;"",T11,X11)))</x:f>
        <x:v>孙杰</x:v>
      </x:c>
      <x:c r="I11" s="97" t="n">
        <x:f t="shared" si="2">IF(COUNT(N11,R11,V11,Z11)=0,"",MIN(N11,R11,V11,Z11))</x:f>
        <x:v>46293</x:v>
      </x:c>
      <x:c r="J11" s="97" t="n">
        <x:f t="shared" si="3">IF(ISNUMBER(K11),K11,IF(COUNT(O11,S11,W11,AA11)=0,"",MAX(O11,S11,W11,AA11)))</x:f>
        <x:v>46314</x:v>
      </x:c>
      <x:c r="K11" s="97" t="n">
        <x:v>46314</x:v>
      </x:c>
      <x:c r="L11" s="34" t="str">
        <x:v>孙杰</x:v>
      </x:c>
      <x:c r="M11" s="34" t="str">
        <x:v>已完成</x:v>
      </x:c>
      <x:c r="N11" s="97" t="n">
        <x:v>46293</x:v>
      </x:c>
      <x:c r="O11" s="97" t="n">
        <x:v>46296</x:v>
      </x:c>
      <x:c r="P11" s="34" t="str">
        <x:v>孙杰</x:v>
      </x:c>
      <x:c r="Q11" s="34" t="str">
        <x:v>暂停</x:v>
      </x:c>
      <x:c r="R11" s="97" t="n">
        <x:v>46297</x:v>
      </x:c>
      <x:c r="S11" s="97" t="n">
        <x:v>46309</x:v>
      </x:c>
      <x:c r="T11" s="34" t="str">
        <x:v>孙杰</x:v>
      </x:c>
      <x:c r="U11" s="34" t="str">
        <x:v>暂停</x:v>
      </x:c>
      <x:c r="V11" s="97" t="n">
        <x:v>46297</x:v>
      </x:c>
      <x:c r="W11" s="97" t="n">
        <x:v>46309</x:v>
      </x:c>
      <x:c r="X11" s="34" t="str">
        <x:v>陈晨</x:v>
      </x:c>
      <x:c r="Y11" s="34" t="str">
        <x:v>未开始</x:v>
      </x:c>
      <x:c r="Z11" s="97" t="n">
        <x:v>46310</x:v>
      </x:c>
      <x:c r="AA11" s="97" t="n">
        <x:v>46314</x:v>
      </x:c>
      <x:c r="AB11" s="98" t="n">
        <x:f t="shared" si="4">(IF(M11="已完成",1,IF(M11="进行中",0.5,0))*15%+IF(Q11="已完成",1,IF(Q11="进行中",0.5,0))*35%+IF(U11="已完成",1,IF(U11="进行中",0.5,0))*30%+IF(Y11="已完成",1,IF(Y11="进行中",0.5,0))*20%)</x:f>
        <x:v>0.15</x:v>
      </x:c>
      <x:c r="AC11" s="34" t="e">
        <x:f>IF(G11="已完成","正常",IF(OR(G11="暂停",G11="挂起"),"暂停",IF(J11="","日期缺失",IF(J11&lt;项目驾驶舱!$B$3,"已延期",IF(J11&lt;=项目驾驶舱!$B$3+7,"临近到期","正常")))))</x:f>
        <x:v>#NAME?</x:v>
      </x:c>
      <x:c r="AD11" s="34" t="str">
        <x:v>电子签章测试环境延期</x:v>
      </x:c>
      <x:c r="AE11" s="34" t="str">
        <x:v>联调通过</x:v>
      </x:c>
    </x:row>
    <x:row r="12" ht="17" customHeight="1">
      <x:c r="A12" s="34" t="str">
        <x:v>T009</x:v>
      </x:c>
      <x:c r="B12" s="34" t="str">
        <x:v>履约管理</x:v>
      </x:c>
      <x:c r="C12" s="34" t="str">
        <x:v>履约计划</x:v>
      </x:c>
      <x:c r="D12" s="34" t="str">
        <x:v>合同履约节点管理</x:v>
      </x:c>
      <x:c r="E12" s="34" t="str">
        <x:v>/</x:v>
      </x:c>
      <x:c r="F12" s="34" t="str">
        <x:v>第一批次</x:v>
      </x:c>
      <x:c r="G12" s="34" t="str">
        <x:f t="shared" si="0">IF(OR(M12="挂起",M12="暂停",Q12="挂起",Q12="暂停",U12="挂起",U12="暂停",Y12="挂起",Y12="暂停"),"暂停",IF(AND(M12="已完成",Q12="已完成",U12="已完成",Y12="已完成"),"已完成",IF(OR(M12="进行中",Q12="进行中",U12="进行中",Y12="进行中",M12="已完成",Q12="已完成",U12="已完成",Y12="已完成"),"进行中","未开始")))</x:f>
        <x:v>进行中</x:v>
      </x:c>
      <x:c r="H12" s="34" t="str">
        <x:f t="shared" si="1">IF(L12&lt;&gt;"",L12,IF(P12&lt;&gt;"",P12,IF(T12&lt;&gt;"",T12,X12)))</x:f>
        <x:v>赵强</x:v>
      </x:c>
      <x:c r="I12" s="97" t="n">
        <x:f t="shared" si="2">IF(COUNT(N12,R12,V12,Z12)=0,"",MIN(N12,R12,V12,Z12))</x:f>
        <x:v>46298</x:v>
      </x:c>
      <x:c r="J12" s="97" t="n">
        <x:f t="shared" si="3">IF(ISNUMBER(K12),K12,IF(COUNT(O12,S12,W12,AA12)=0,"",MAX(O12,S12,W12,AA12)))</x:f>
        <x:v>46326</x:v>
      </x:c>
      <x:c r="K12" s="97" t="n">
        <x:v>46326</x:v>
      </x:c>
      <x:c r="L12" s="34" t="str">
        <x:v>赵强</x:v>
      </x:c>
      <x:c r="M12" s="34" t="str">
        <x:v>已完成</x:v>
      </x:c>
      <x:c r="N12" s="97" t="n">
        <x:v>46298</x:v>
      </x:c>
      <x:c r="O12" s="97" t="n">
        <x:v>46301</x:v>
      </x:c>
      <x:c r="P12" s="34" t="str">
        <x:v>赵强</x:v>
      </x:c>
      <x:c r="Q12" s="34" t="str">
        <x:v>进行中</x:v>
      </x:c>
      <x:c r="R12" s="97" t="n">
        <x:v>46302</x:v>
      </x:c>
      <x:c r="S12" s="97" t="n">
        <x:v>46321</x:v>
      </x:c>
      <x:c r="T12" s="34" t="str">
        <x:v>赵强</x:v>
      </x:c>
      <x:c r="U12" s="34" t="str">
        <x:v>进行中</x:v>
      </x:c>
      <x:c r="V12" s="97" t="n">
        <x:v>46302</x:v>
      </x:c>
      <x:c r="W12" s="97" t="n">
        <x:v>46321</x:v>
      </x:c>
      <x:c r="X12" s="34" t="str">
        <x:v>陈晨</x:v>
      </x:c>
      <x:c r="Y12" s="34" t="str">
        <x:v>未开始</x:v>
      </x:c>
      <x:c r="Z12" s="97" t="n">
        <x:v>46322</x:v>
      </x:c>
      <x:c r="AA12" s="97" t="n">
        <x:v>46326</x:v>
      </x:c>
      <x:c r="AB12" s="98" t="n">
        <x:f t="shared" si="4">(IF(M12="已完成",1,IF(M12="进行中",0.5,0))*15%+IF(Q12="已完成",1,IF(Q12="进行中",0.5,0))*35%+IF(U12="已完成",1,IF(U12="进行中",0.5,0))*30%+IF(Y12="已完成",1,IF(Y12="进行中",0.5,0))*20%)</x:f>
        <x:v>0.475</x:v>
      </x:c>
      <x:c r="AC12" s="34" t="e">
        <x:f>IF(G12="已完成","正常",IF(OR(G12="暂停",G12="挂起"),"暂停",IF(J12="","日期缺失",IF(J12&lt;项目驾驶舱!$B$3,"已延期",IF(J12&lt;=项目驾驶舱!$B$3+7,"临近到期","正常")))))</x:f>
        <x:v>#NAME?</x:v>
      </x:c>
      <x:c r="AD12" s="34" t="str"/>
      <x:c r="AE12" s="34" t="str">
        <x:v>履约节点可跟踪</x:v>
      </x:c>
    </x:row>
    <x:row r="13" ht="17" customHeight="1">
      <x:c r="A13" s="34" t="str">
        <x:v>T010</x:v>
      </x:c>
      <x:c r="B13" s="34" t="str">
        <x:v>履约管理</x:v>
      </x:c>
      <x:c r="C13" s="34" t="str">
        <x:v>风险预警</x:v>
      </x:c>
      <x:c r="D13" s="34" t="str">
        <x:v>到期与违约预警</x:v>
      </x:c>
      <x:c r="E13" s="34" t="str">
        <x:v>/</x:v>
      </x:c>
      <x:c r="F13" s="34" t="str">
        <x:v>第一批次</x:v>
      </x:c>
      <x:c r="G13" s="34" t="str">
        <x:f t="shared" si="0">IF(OR(M13="挂起",M13="暂停",Q13="挂起",Q13="暂停",U13="挂起",U13="暂停",Y13="挂起",Y13="暂停"),"暂停",IF(AND(M13="已完成",Q13="已完成",U13="已完成",Y13="已完成"),"已完成",IF(OR(M13="进行中",Q13="进行中",U13="进行中",Y13="进行中",M13="已完成",Q13="已完成",U13="已完成",Y13="已完成"),"进行中","未开始")))</x:f>
        <x:v>进行中</x:v>
      </x:c>
      <x:c r="H13" s="34" t="str">
        <x:f t="shared" si="1">IF(L13&lt;&gt;"",L13,IF(P13&lt;&gt;"",P13,IF(T13&lt;&gt;"",T13,X13)))</x:f>
        <x:v>赵强</x:v>
      </x:c>
      <x:c r="I13" s="97" t="n">
        <x:f t="shared" si="2">IF(COUNT(N13,R13,V13,Z13)=0,"",MIN(N13,R13,V13,Z13))</x:f>
        <x:v>46303</x:v>
      </x:c>
      <x:c r="J13" s="97" t="n">
        <x:f t="shared" si="3">IF(ISNUMBER(K13),K13,IF(COUNT(O13,S13,W13,AA13)=0,"",MAX(O13,S13,W13,AA13)))</x:f>
        <x:v>46317</x:v>
      </x:c>
      <x:c r="K13" s="97" t="n">
        <x:v>46317</x:v>
      </x:c>
      <x:c r="L13" s="34" t="str">
        <x:v>赵强</x:v>
      </x:c>
      <x:c r="M13" s="34" t="str">
        <x:v>已完成</x:v>
      </x:c>
      <x:c r="N13" s="97" t="n">
        <x:v>46303</x:v>
      </x:c>
      <x:c r="O13" s="97" t="n">
        <x:v>46306</x:v>
      </x:c>
      <x:c r="P13" s="34" t="str">
        <x:v>赵强</x:v>
      </x:c>
      <x:c r="Q13" s="34" t="str">
        <x:v>进行中</x:v>
      </x:c>
      <x:c r="R13" s="97" t="n">
        <x:v>46307</x:v>
      </x:c>
      <x:c r="S13" s="97" t="n">
        <x:v>46312</x:v>
      </x:c>
      <x:c r="T13" s="34" t="str">
        <x:v>赵强</x:v>
      </x:c>
      <x:c r="U13" s="34" t="str">
        <x:v>进行中</x:v>
      </x:c>
      <x:c r="V13" s="97" t="n">
        <x:v>46307</x:v>
      </x:c>
      <x:c r="W13" s="97" t="n">
        <x:v>46312</x:v>
      </x:c>
      <x:c r="X13" s="34" t="str">
        <x:v>陈晨</x:v>
      </x:c>
      <x:c r="Y13" s="34" t="str">
        <x:v>未开始</x:v>
      </x:c>
      <x:c r="Z13" s="97" t="n">
        <x:v>46313</x:v>
      </x:c>
      <x:c r="AA13" s="97" t="n">
        <x:v>46317</x:v>
      </x:c>
      <x:c r="AB13" s="98" t="n">
        <x:f t="shared" si="4">(IF(M13="已完成",1,IF(M13="进行中",0.5,0))*15%+IF(Q13="已完成",1,IF(Q13="进行中",0.5,0))*35%+IF(U13="已完成",1,IF(U13="进行中",0.5,0))*30%+IF(Y13="已完成",1,IF(Y13="进行中",0.5,0))*20%)</x:f>
        <x:v>0.475</x:v>
      </x:c>
      <x:c r="AC13" s="34" t="e">
        <x:f>IF(G13="已完成","正常",IF(OR(G13="暂停",G13="挂起"),"暂停",IF(J13="","日期缺失",IF(J13&lt;项目驾驶舱!$B$3,"已延期",IF(J13&lt;=项目驾驶舱!$B$3+7,"临近到期","正常")))))</x:f>
        <x:v>#NAME?</x:v>
      </x:c>
      <x:c r="AD13" s="34" t="str"/>
      <x:c r="AE13" s="34" t="str">
        <x:v>预警规则生效</x:v>
      </x:c>
    </x:row>
    <x:row r="14" ht="34" customHeight="1">
      <x:c r="A14" s="34" t="str">
        <x:v>T011</x:v>
      </x:c>
      <x:c r="B14" s="34" t="str">
        <x:v>收付款</x:v>
      </x:c>
      <x:c r="C14" s="34" t="str">
        <x:v>付款计划</x:v>
      </x:c>
      <x:c r="D14" s="34" t="str">
        <x:v>合同付款计划管理</x:v>
      </x:c>
      <x:c r="E14" s="34" t="str">
        <x:v>/</x:v>
      </x:c>
      <x:c r="F14" s="34" t="str">
        <x:v>第一批次</x:v>
      </x:c>
      <x:c r="G14" s="34" t="str">
        <x:f t="shared" si="0">IF(OR(M14="挂起",M14="暂停",Q14="挂起",Q14="暂停",U14="挂起",U14="暂停",Y14="挂起",Y14="暂停"),"暂停",IF(AND(M14="已完成",Q14="已完成",U14="已完成",Y14="已完成"),"已完成",IF(OR(M14="进行中",Q14="进行中",U14="进行中",Y14="进行中",M14="已完成",Q14="已完成",U14="已完成",Y14="已完成"),"进行中","未开始")))</x:f>
        <x:v>未开始</x:v>
      </x:c>
      <x:c r="H14" s="34" t="str">
        <x:f t="shared" si="1">IF(L14&lt;&gt;"",L14,IF(P14&lt;&gt;"",P14,IF(T14&lt;&gt;"",T14,X14)))</x:f>
        <x:v>赵强</x:v>
      </x:c>
      <x:c r="I14" s="97" t="n">
        <x:f t="shared" si="2">IF(COUNT(N14,R14,V14,Z14)=0,"",MIN(N14,R14,V14,Z14))</x:f>
        <x:v>46308</x:v>
      </x:c>
      <x:c r="J14" s="97" t="n">
        <x:f t="shared" si="3">IF(ISNUMBER(K14),K14,IF(COUNT(O14,S14,W14,AA14)=0,"",MAX(O14,S14,W14,AA14)))</x:f>
        <x:v>46329</x:v>
      </x:c>
      <x:c r="K14" s="97" t="n">
        <x:v>46329</x:v>
      </x:c>
      <x:c r="L14" s="34" t="str">
        <x:v>赵强</x:v>
      </x:c>
      <x:c r="M14" s="34" t="str">
        <x:v>未开始</x:v>
      </x:c>
      <x:c r="N14" s="97" t="n">
        <x:v>46308</x:v>
      </x:c>
      <x:c r="O14" s="97" t="n">
        <x:v>46311</x:v>
      </x:c>
      <x:c r="P14" s="34" t="str">
        <x:v>赵强</x:v>
      </x:c>
      <x:c r="Q14" s="34" t="str">
        <x:v>未开始</x:v>
      </x:c>
      <x:c r="R14" s="97" t="n">
        <x:v>46312</x:v>
      </x:c>
      <x:c r="S14" s="97" t="n">
        <x:v>46324</x:v>
      </x:c>
      <x:c r="T14" s="34" t="str">
        <x:v>赵强</x:v>
      </x:c>
      <x:c r="U14" s="34" t="str">
        <x:v>未开始</x:v>
      </x:c>
      <x:c r="V14" s="97" t="n">
        <x:v>46312</x:v>
      </x:c>
      <x:c r="W14" s="97" t="n">
        <x:v>46324</x:v>
      </x:c>
      <x:c r="X14" s="34" t="str">
        <x:v>陈晨</x:v>
      </x:c>
      <x:c r="Y14" s="34" t="str">
        <x:v>未开始</x:v>
      </x:c>
      <x:c r="Z14" s="97" t="n">
        <x:v>46325</x:v>
      </x:c>
      <x:c r="AA14" s="97" t="n">
        <x:v>46329</x:v>
      </x:c>
      <x:c r="AB14" s="98" t="n">
        <x:f t="shared" si="4">(IF(M14="已完成",1,IF(M14="进行中",0.5,0))*15%+IF(Q14="已完成",1,IF(Q14="进行中",0.5,0))*35%+IF(U14="已完成",1,IF(U14="进行中",0.5,0))*30%+IF(Y14="已完成",1,IF(Y14="进行中",0.5,0))*20%)</x:f>
        <x:v>0</x:v>
      </x:c>
      <x:c r="AC14" s="34" t="e">
        <x:f>IF(G14="已完成","正常",IF(OR(G14="暂停",G14="挂起"),"暂停",IF(J14="","日期缺失",IF(J14&lt;项目驾驶舱!$B$3,"已延期",IF(J14&lt;=项目驾驶舱!$B$3+7,"临近到期","正常")))))</x:f>
        <x:v>#NAME?</x:v>
      </x:c>
      <x:c r="AD14" s="34" t="str"/>
      <x:c r="AE14" s="34" t="str">
        <x:v>与财务数据一致</x:v>
      </x:c>
    </x:row>
    <x:row r="15" ht="34" customHeight="1">
      <x:c r="A15" s="34" t="str">
        <x:v>T012</x:v>
      </x:c>
      <x:c r="B15" s="34" t="str">
        <x:v>合同变更</x:v>
      </x:c>
      <x:c r="C15" s="34" t="str">
        <x:v>变更管理</x:v>
      </x:c>
      <x:c r="D15" s="34" t="str">
        <x:v>合同变更与补充协议</x:v>
      </x:c>
      <x:c r="E15" s="34" t="str">
        <x:v>/</x:v>
      </x:c>
      <x:c r="F15" s="34" t="str">
        <x:v>第二批次</x:v>
      </x:c>
      <x:c r="G15" s="34" t="str">
        <x:f t="shared" si="0">IF(OR(M15="挂起",M15="暂停",Q15="挂起",Q15="暂停",U15="挂起",U15="暂停",Y15="挂起",Y15="暂停"),"暂停",IF(AND(M15="已完成",Q15="已完成",U15="已完成",Y15="已完成"),"已完成",IF(OR(M15="进行中",Q15="进行中",U15="进行中",Y15="进行中",M15="已完成",Q15="已完成",U15="已完成",Y15="已完成"),"进行中","未开始")))</x:f>
        <x:v>未开始</x:v>
      </x:c>
      <x:c r="H15" s="34" t="str">
        <x:f t="shared" si="1">IF(L15&lt;&gt;"",L15,IF(P15&lt;&gt;"",P15,IF(T15&lt;&gt;"",T15,X15)))</x:f>
        <x:v>王芳</x:v>
      </x:c>
      <x:c r="I15" s="97" t="n">
        <x:f t="shared" si="2">IF(COUNT(N15,R15,V15,Z15)=0,"",MIN(N15,R15,V15,Z15))</x:f>
        <x:v>46313</x:v>
      </x:c>
      <x:c r="J15" s="97" t="n">
        <x:f t="shared" si="3">IF(ISNUMBER(K15),K15,IF(COUNT(O15,S15,W15,AA15)=0,"",MAX(O15,S15,W15,AA15)))</x:f>
        <x:v>46341</x:v>
      </x:c>
      <x:c r="K15" s="97" t="n">
        <x:v>46341</x:v>
      </x:c>
      <x:c r="L15" s="34" t="str">
        <x:v>王芳</x:v>
      </x:c>
      <x:c r="M15" s="34" t="str">
        <x:v>未开始</x:v>
      </x:c>
      <x:c r="N15" s="97" t="n">
        <x:v>46313</x:v>
      </x:c>
      <x:c r="O15" s="97" t="n">
        <x:v>46316</x:v>
      </x:c>
      <x:c r="P15" s="34" t="str">
        <x:v>王芳</x:v>
      </x:c>
      <x:c r="Q15" s="34" t="str">
        <x:v>未开始</x:v>
      </x:c>
      <x:c r="R15" s="97" t="n">
        <x:v>46317</x:v>
      </x:c>
      <x:c r="S15" s="97" t="n">
        <x:v>46336</x:v>
      </x:c>
      <x:c r="T15" s="34" t="str">
        <x:v>王芳</x:v>
      </x:c>
      <x:c r="U15" s="34" t="str">
        <x:v>未开始</x:v>
      </x:c>
      <x:c r="V15" s="97" t="n">
        <x:v>46317</x:v>
      </x:c>
      <x:c r="W15" s="97" t="n">
        <x:v>46336</x:v>
      </x:c>
      <x:c r="X15" s="34" t="str">
        <x:v>陈晨</x:v>
      </x:c>
      <x:c r="Y15" s="34" t="str">
        <x:v>未开始</x:v>
      </x:c>
      <x:c r="Z15" s="97" t="n">
        <x:v>46337</x:v>
      </x:c>
      <x:c r="AA15" s="97" t="n">
        <x:v>46341</x:v>
      </x:c>
      <x:c r="AB15" s="98" t="n">
        <x:f t="shared" si="4">(IF(M15="已完成",1,IF(M15="进行中",0.5,0))*15%+IF(Q15="已完成",1,IF(Q15="进行中",0.5,0))*35%+IF(U15="已完成",1,IF(U15="进行中",0.5,0))*30%+IF(Y15="已完成",1,IF(Y15="进行中",0.5,0))*20%)</x:f>
        <x:v>0</x:v>
      </x:c>
      <x:c r="AC15" s="34" t="e">
        <x:f>IF(G15="已完成","正常",IF(OR(G15="暂停",G15="挂起"),"暂停",IF(J15="","日期缺失",IF(J15&lt;项目驾驶舱!$B$3,"已延期",IF(J15&lt;=项目驾驶舱!$B$3+7,"临近到期","正常")))))</x:f>
        <x:v>#NAME?</x:v>
      </x:c>
      <x:c r="AD15" s="34" t="str"/>
      <x:c r="AE15" s="34" t="str">
        <x:v>变更链路可追溯</x:v>
      </x:c>
    </x:row>
    <x:row r="16" ht="17" customHeight="1">
      <x:c r="A16" s="34" t="str">
        <x:v>T013</x:v>
      </x:c>
      <x:c r="B16" s="34" t="str">
        <x:v>合同终止</x:v>
      </x:c>
      <x:c r="C16" s="34" t="str">
        <x:v>终止管理</x:v>
      </x:c>
      <x:c r="D16" s="34" t="str">
        <x:v>合同解除与终止</x:v>
      </x:c>
      <x:c r="E16" s="34" t="str">
        <x:v>/</x:v>
      </x:c>
      <x:c r="F16" s="34" t="str">
        <x:v>第二批次</x:v>
      </x:c>
      <x:c r="G16" s="34" t="str">
        <x:f>IF(OR(M16="挂起",M16="暂停",Q16="挂起",Q16="暂停",U16="挂起",U16="暂停",Y16="挂起",Y16="暂停"),"暂停",IF(AND(M16="已完成",Q16="已完成",U16="已完成",Y16="已完成"),"已完成",IF(OR(M16="进行中",Q16="进行中",U16="进行中",Y16="进行中",M16="已完成",Q16="已完成",U16="已完成",Y16="已完成"),"进行中","未开始")))</x:f>
        <x:v>未开始</x:v>
      </x:c>
      <x:c r="H16" s="34" t="str">
        <x:f t="shared" si="1">IF(L16&lt;&gt;"",L16,IF(P16&lt;&gt;"",P16,IF(T16&lt;&gt;"",T16,X16)))</x:f>
        <x:v>王芳</x:v>
      </x:c>
      <x:c r="I16" s="97" t="n">
        <x:f t="shared" si="2">IF(COUNT(N16,R16,V16,Z16)=0,"",MIN(N16,R16,V16,Z16))</x:f>
        <x:v>46318</x:v>
      </x:c>
      <x:c r="J16" s="97" t="n">
        <x:f t="shared" si="3">IF(ISNUMBER(K16),K16,IF(COUNT(O16,S16,W16,AA16)=0,"",MAX(O16,S16,W16,AA16)))</x:f>
        <x:v>46332</x:v>
      </x:c>
      <x:c r="K16" s="97" t="n">
        <x:v>46332</x:v>
      </x:c>
      <x:c r="L16" s="34" t="str">
        <x:v>王芳</x:v>
      </x:c>
      <x:c r="M16" s="34" t="str">
        <x:v>未开始</x:v>
      </x:c>
      <x:c r="N16" s="97" t="n">
        <x:v>46318</x:v>
      </x:c>
      <x:c r="O16" s="97" t="n">
        <x:v>46321</x:v>
      </x:c>
      <x:c r="P16" s="34" t="str">
        <x:v>王芳</x:v>
      </x:c>
      <x:c r="Q16" s="34" t="str">
        <x:v>未开始</x:v>
      </x:c>
      <x:c r="R16" s="97" t="n">
        <x:v>46322</x:v>
      </x:c>
      <x:c r="S16" s="97" t="n">
        <x:v>46327</x:v>
      </x:c>
      <x:c r="T16" s="34" t="str">
        <x:v>王芳</x:v>
      </x:c>
      <x:c r="U16" s="34" t="str">
        <x:v>未开始</x:v>
      </x:c>
      <x:c r="V16" s="97" t="n">
        <x:v>46322</x:v>
      </x:c>
      <x:c r="W16" s="97" t="n">
        <x:v>46327</x:v>
      </x:c>
      <x:c r="X16" s="34" t="str">
        <x:v>陈晨</x:v>
      </x:c>
      <x:c r="Y16" s="34" t="str">
        <x:v>未开始</x:v>
      </x:c>
      <x:c r="Z16" s="97" t="n">
        <x:v>46328</x:v>
      </x:c>
      <x:c r="AA16" s="97" t="n">
        <x:v>46332</x:v>
      </x:c>
      <x:c r="AB16" s="98" t="n">
        <x:f t="shared" si="4">(IF(M16="已完成",1,IF(M16="进行中",0.5,0))*15%+IF(Q16="已完成",1,IF(Q16="进行中",0.5,0))*35%+IF(U16="已完成",1,IF(U16="进行中",0.5,0))*30%+IF(Y16="已完成",1,IF(Y16="进行中",0.5,0))*20%)</x:f>
        <x:v>0</x:v>
      </x:c>
      <x:c r="AC16" s="34" t="e">
        <x:f>IF(G16="已完成","正常",IF(OR(G16="暂停",G16="挂起"),"暂停",IF(J16="","日期缺失",IF(J16&lt;项目驾驶舱!$B$3,"已延期",IF(J16&lt;=项目驾驶舱!$B$3+7,"临近到期","正常")))))</x:f>
        <x:v>#NAME?</x:v>
      </x:c>
      <x:c r="AD16" s="34" t="str"/>
      <x:c r="AE16" s="34" t="str">
        <x:v>终止审批闭环</x:v>
      </x:c>
    </x:row>
    <x:row r="17" ht="17" customHeight="1">
      <x:c r="A17" s="34" t="str">
        <x:v>T014</x:v>
      </x:c>
      <x:c r="B17" s="34" t="str">
        <x:v>档案管理</x:v>
      </x:c>
      <x:c r="C17" s="34" t="str">
        <x:v>电子档案</x:v>
      </x:c>
      <x:c r="D17" s="34" t="str">
        <x:v>合同归档与检索</x:v>
      </x:c>
      <x:c r="E17" s="34" t="str">
        <x:v>/</x:v>
      </x:c>
      <x:c r="F17" s="34" t="str">
        <x:v>第一批次</x:v>
      </x:c>
      <x:c r="G17" s="34" t="str">
        <x:f>IF(OR(M17="挂起",M17="暂停",Q17="挂起",Q17="暂停",U17="挂起",U17="暂停",Y17="挂起",Y17="暂停"),"暂停",IF(AND(M17="已完成",Q17="已完成",U17="已完成",Y17="已完成"),"已完成",IF(OR(M17="进行中",Q17="进行中",U17="进行中",Y17="进行中",M17="已完成",Q17="已完成",U17="已完成",Y17="已完成"),"进行中","未开始")))</x:f>
        <x:v>未开始</x:v>
      </x:c>
      <x:c r="H17" s="34" t="str">
        <x:f t="shared" si="1">IF(L17&lt;&gt;"",L17,IF(P17&lt;&gt;"",P17,IF(T17&lt;&gt;"",T17,X17)))</x:f>
        <x:v>赵强</x:v>
      </x:c>
      <x:c r="I17" s="97" t="n">
        <x:f t="shared" si="2">IF(COUNT(N17,R17,V17,Z17)=0,"",MIN(N17,R17,V17,Z17))</x:f>
        <x:v>46323</x:v>
      </x:c>
      <x:c r="J17" s="97" t="n">
        <x:f t="shared" si="3">IF(ISNUMBER(K17),K17,IF(COUNT(O17,S17,W17,AA17)=0,"",MAX(O17,S17,W17,AA17)))</x:f>
        <x:v>46344</x:v>
      </x:c>
      <x:c r="K17" s="97" t="n">
        <x:v>46344</x:v>
      </x:c>
      <x:c r="L17" s="34" t="str">
        <x:v>赵强</x:v>
      </x:c>
      <x:c r="M17" s="34" t="str">
        <x:v>未开始</x:v>
      </x:c>
      <x:c r="N17" s="97" t="n">
        <x:v>46323</x:v>
      </x:c>
      <x:c r="O17" s="97" t="n">
        <x:v>46326</x:v>
      </x:c>
      <x:c r="P17" s="34" t="str">
        <x:v>赵强</x:v>
      </x:c>
      <x:c r="Q17" s="34" t="str">
        <x:v>未开始</x:v>
      </x:c>
      <x:c r="R17" s="97" t="n">
        <x:v>46327</x:v>
      </x:c>
      <x:c r="S17" s="97" t="n">
        <x:v>46339</x:v>
      </x:c>
      <x:c r="T17" s="34" t="str">
        <x:v>赵强</x:v>
      </x:c>
      <x:c r="U17" s="34" t="str">
        <x:v>未开始</x:v>
      </x:c>
      <x:c r="V17" s="97" t="n">
        <x:v>46327</x:v>
      </x:c>
      <x:c r="W17" s="97" t="n">
        <x:v>46339</x:v>
      </x:c>
      <x:c r="X17" s="34" t="str">
        <x:v>陈晨</x:v>
      </x:c>
      <x:c r="Y17" s="34" t="str">
        <x:v>未开始</x:v>
      </x:c>
      <x:c r="Z17" s="97" t="n">
        <x:v>46340</x:v>
      </x:c>
      <x:c r="AA17" s="97" t="n">
        <x:v>46344</x:v>
      </x:c>
      <x:c r="AB17" s="98" t="n">
        <x:f t="shared" si="4">(IF(M17="已完成",1,IF(M17="进行中",0.5,0))*15%+IF(Q17="已完成",1,IF(Q17="进行中",0.5,0))*35%+IF(U17="已完成",1,IF(U17="进行中",0.5,0))*30%+IF(Y17="已完成",1,IF(Y17="进行中",0.5,0))*20%)</x:f>
        <x:v>0</x:v>
      </x:c>
      <x:c r="AC17" s="34" t="e">
        <x:f>IF(G17="已完成","正常",IF(OR(G17="暂停",G17="挂起"),"暂停",IF(J17="","日期缺失",IF(J17&lt;项目驾驶舱!$B$3,"已延期",IF(J17&lt;=项目驾驶舱!$B$3+7,"临近到期","正常")))))</x:f>
        <x:v>#NAME?</x:v>
      </x:c>
      <x:c r="AD17" s="34" t="str"/>
      <x:c r="AE17" s="34" t="str">
        <x:v>归档完整可检索</x:v>
      </x:c>
    </x:row>
    <x:row r="18" ht="17" customHeight="1">
      <x:c r="A18" s="34" t="str">
        <x:v>T015</x:v>
      </x:c>
      <x:c r="B18" s="34" t="str">
        <x:v>经营分析</x:v>
      </x:c>
      <x:c r="C18" s="34" t="str">
        <x:v>管理驾驶舱</x:v>
      </x:c>
      <x:c r="D18" s="34" t="str">
        <x:v>合同统计分析</x:v>
      </x:c>
      <x:c r="E18" s="34" t="str">
        <x:v>/</x:v>
      </x:c>
      <x:c r="F18" s="34" t="str">
        <x:v>第二批次</x:v>
      </x:c>
      <x:c r="G18" s="34" t="str">
        <x:f>IF(OR(M18="挂起",M18="暂停",Q18="挂起",Q18="暂停",U18="挂起",U18="暂停",Y18="挂起",Y18="暂停"),"暂停",IF(AND(M18="已完成",Q18="已完成",U18="已完成",Y18="已完成"),"已完成",IF(OR(M18="进行中",Q18="进行中",U18="进行中",Y18="进行中",M18="已完成",Q18="已完成",U18="已完成",Y18="已完成"),"进行中","未开始")))</x:f>
        <x:v>未开始</x:v>
      </x:c>
      <x:c r="H18" s="34" t="str">
        <x:f t="shared" si="1">IF(L18&lt;&gt;"",L18,IF(P18&lt;&gt;"",P18,IF(T18&lt;&gt;"",T18,X18)))</x:f>
        <x:v>周敏</x:v>
      </x:c>
      <x:c r="I18" s="97" t="n">
        <x:f t="shared" si="2">IF(COUNT(N18,R18,V18,Z18)=0,"",MIN(N18,R18,V18,Z18))</x:f>
        <x:v>46328</x:v>
      </x:c>
      <x:c r="J18" s="97" t="n">
        <x:f t="shared" si="3">IF(ISNUMBER(K18),K18,IF(COUNT(O18,S18,W18,AA18)=0,"",MAX(O18,S18,W18,AA18)))</x:f>
        <x:v>46356</x:v>
      </x:c>
      <x:c r="K18" s="97" t="n">
        <x:v>46356</x:v>
      </x:c>
      <x:c r="L18" s="34" t="str">
        <x:v>周敏</x:v>
      </x:c>
      <x:c r="M18" s="34" t="str">
        <x:v>未开始</x:v>
      </x:c>
      <x:c r="N18" s="97" t="n">
        <x:v>46328</x:v>
      </x:c>
      <x:c r="O18" s="97" t="n">
        <x:v>46331</x:v>
      </x:c>
      <x:c r="P18" s="34" t="str">
        <x:v>周敏</x:v>
      </x:c>
      <x:c r="Q18" s="34" t="str">
        <x:v>未开始</x:v>
      </x:c>
      <x:c r="R18" s="97" t="n">
        <x:v>46332</x:v>
      </x:c>
      <x:c r="S18" s="97" t="n">
        <x:v>46351</x:v>
      </x:c>
      <x:c r="T18" s="34" t="str">
        <x:v>周敏</x:v>
      </x:c>
      <x:c r="U18" s="34" t="str">
        <x:v>未开始</x:v>
      </x:c>
      <x:c r="V18" s="97" t="n">
        <x:v>46332</x:v>
      </x:c>
      <x:c r="W18" s="97" t="n">
        <x:v>46351</x:v>
      </x:c>
      <x:c r="X18" s="34" t="str">
        <x:v>陈晨</x:v>
      </x:c>
      <x:c r="Y18" s="34" t="str">
        <x:v>未开始</x:v>
      </x:c>
      <x:c r="Z18" s="97" t="n">
        <x:v>46352</x:v>
      </x:c>
      <x:c r="AA18" s="97" t="n">
        <x:v>46356</x:v>
      </x:c>
      <x:c r="AB18" s="98" t="n">
        <x:f t="shared" si="4">(IF(M18="已完成",1,IF(M18="进行中",0.5,0))*15%+IF(Q18="已完成",1,IF(Q18="进行中",0.5,0))*35%+IF(U18="已完成",1,IF(U18="进行中",0.5,0))*30%+IF(Y18="已完成",1,IF(Y18="进行中",0.5,0))*20%)</x:f>
        <x:v>0</x:v>
      </x:c>
      <x:c r="AC18" s="34" t="e">
        <x:f>IF(G18="已完成","正常",IF(OR(G18="暂停",G18="挂起"),"暂停",IF(J18="","日期缺失",IF(J18&lt;项目驾驶舱!$B$3,"已延期",IF(J18&lt;=项目驾驶舱!$B$3+7,"临近到期","正常")))))</x:f>
        <x:v>#NAME?</x:v>
      </x:c>
      <x:c r="AD18" s="34" t="str"/>
      <x:c r="AE18" s="34" t="str">
        <x:v>指标口径确认</x:v>
      </x:c>
    </x:row>
    <x:row r="19" ht="17" customHeight="1">
      <x:c r="A19" s="34" t="str">
        <x:v>T016</x:v>
      </x:c>
      <x:c r="B19" s="34" t="str">
        <x:v>智能审查</x:v>
      </x:c>
      <x:c r="C19" s="34" t="str">
        <x:v>AI审查</x:v>
      </x:c>
      <x:c r="D19" s="34" t="str">
        <x:v>条款风险识别</x:v>
      </x:c>
      <x:c r="E19" s="34" t="str">
        <x:v>/</x:v>
      </x:c>
      <x:c r="F19" s="34" t="str">
        <x:v>第二批次</x:v>
      </x:c>
      <x:c r="G19" s="34" t="str">
        <x:f>IF(OR(M19="挂起",M19="暂停",Q19="挂起",Q19="暂停",U19="挂起",U19="暂停",Y19="挂起",Y19="暂停"),"暂停",IF(AND(M19="已完成",Q19="已完成",U19="已完成",Y19="已完成"),"已完成",IF(OR(M19="进行中",Q19="进行中",U19="进行中",Y19="进行中",M19="已完成",Q19="已完成",U19="已完成",Y19="已完成"),"进行中","未开始")))</x:f>
        <x:v>未开始</x:v>
      </x:c>
      <x:c r="H19" s="34" t="str">
        <x:f t="shared" si="1">IF(L19&lt;&gt;"",L19,IF(P19&lt;&gt;"",P19,IF(T19&lt;&gt;"",T19,X19)))</x:f>
        <x:v>王芳</x:v>
      </x:c>
      <x:c r="I19" s="97" t="n">
        <x:f t="shared" si="2">IF(COUNT(N19,R19,V19,Z19)=0,"",MIN(N19,R19,V19,Z19))</x:f>
        <x:v>46333</x:v>
      </x:c>
      <x:c r="J19" s="97" t="n">
        <x:f t="shared" si="3">IF(ISNUMBER(K19),K19,IF(COUNT(O19,S19,W19,AA19)=0,"",MAX(O19,S19,W19,AA19)))</x:f>
        <x:v>46347</x:v>
      </x:c>
      <x:c r="K19" s="97" t="n">
        <x:v>46347</x:v>
      </x:c>
      <x:c r="L19" s="34" t="str">
        <x:v>王芳</x:v>
      </x:c>
      <x:c r="M19" s="34" t="str">
        <x:v>未开始</x:v>
      </x:c>
      <x:c r="N19" s="97" t="n">
        <x:v>46333</x:v>
      </x:c>
      <x:c r="O19" s="97" t="n">
        <x:v>46336</x:v>
      </x:c>
      <x:c r="P19" s="34" t="str">
        <x:v>王芳</x:v>
      </x:c>
      <x:c r="Q19" s="34" t="str">
        <x:v>未开始</x:v>
      </x:c>
      <x:c r="R19" s="97" t="n">
        <x:v>46337</x:v>
      </x:c>
      <x:c r="S19" s="97" t="n">
        <x:v>46342</x:v>
      </x:c>
      <x:c r="T19" s="34" t="str">
        <x:v>王芳</x:v>
      </x:c>
      <x:c r="U19" s="34" t="str">
        <x:v>未开始</x:v>
      </x:c>
      <x:c r="V19" s="97" t="n">
        <x:v>46337</x:v>
      </x:c>
      <x:c r="W19" s="97" t="n">
        <x:v>46342</x:v>
      </x:c>
      <x:c r="X19" s="34" t="str">
        <x:v>陈晨</x:v>
      </x:c>
      <x:c r="Y19" s="34" t="str">
        <x:v>未开始</x:v>
      </x:c>
      <x:c r="Z19" s="97" t="n">
        <x:v>46343</x:v>
      </x:c>
      <x:c r="AA19" s="97" t="n">
        <x:v>46347</x:v>
      </x:c>
      <x:c r="AB19" s="98" t="n">
        <x:f t="shared" si="4">(IF(M19="已完成",1,IF(M19="进行中",0.5,0))*15%+IF(Q19="已完成",1,IF(Q19="进行中",0.5,0))*35%+IF(U19="已完成",1,IF(U19="进行中",0.5,0))*30%+IF(Y19="已完成",1,IF(Y19="进行中",0.5,0))*20%)</x:f>
        <x:v>0</x:v>
      </x:c>
      <x:c r="AC19" s="34" t="e">
        <x:f>IF(G19="已完成","正常",IF(OR(G19="暂停",G19="挂起"),"暂停",IF(J19="","日期缺失",IF(J19&lt;项目驾驶舱!$B$3,"已延期",IF(J19&lt;=项目驾驶舱!$B$3+7,"临近到期","正常")))))</x:f>
        <x:v>#NAME?</x:v>
      </x:c>
      <x:c r="AD19" s="34" t="str"/>
      <x:c r="AE19" s="34" t="str">
        <x:v>试点准确率达标</x:v>
      </x:c>
    </x:row>
    <x:row r="20" ht="17" customHeight="1">
      <x:c r="A20" s="34" t="str">
        <x:v>T017</x:v>
      </x:c>
      <x:c r="B20" s="34" t="str">
        <x:v>数据治理</x:v>
      </x:c>
      <x:c r="C20" s="34" t="str">
        <x:v>历史数据</x:v>
      </x:c>
      <x:c r="D20" s="34" t="str">
        <x:v>历史合同数据清洗</x:v>
      </x:c>
      <x:c r="E20" s="34" t="str">
        <x:v>/</x:v>
      </x:c>
      <x:c r="F20" s="34" t="str">
        <x:v>第一批次</x:v>
      </x:c>
      <x:c r="G20" s="34" t="str">
        <x:f>IF(OR(M20="挂起",M20="暂停",Q20="挂起",Q20="暂停",U20="挂起",U20="暂停",Y20="挂起",Y20="暂停"),"暂停",IF(AND(M20="已完成",Q20="已完成",U20="已完成",Y20="已完成"),"已完成",IF(OR(M20="进行中",Q20="进行中",U20="进行中",Y20="进行中",M20="已完成",Q20="已完成",U20="已完成",Y20="已完成"),"进行中","未开始")))</x:f>
        <x:v>未开始</x:v>
      </x:c>
      <x:c r="H20" s="34" t="str">
        <x:f t="shared" si="1">IF(L20&lt;&gt;"",L20,IF(P20&lt;&gt;"",P20,IF(T20&lt;&gt;"",T20,X20)))</x:f>
        <x:v>周敏</x:v>
      </x:c>
      <x:c r="I20" s="97" t="n">
        <x:f t="shared" si="2">IF(COUNT(N20,R20,V20,Z20)=0,"",MIN(N20,R20,V20,Z20))</x:f>
        <x:v>46338</x:v>
      </x:c>
      <x:c r="J20" s="97" t="n">
        <x:f t="shared" si="3">IF(ISNUMBER(K20),K20,IF(COUNT(O20,S20,W20,AA20)=0,"",MAX(O20,S20,W20,AA20)))</x:f>
        <x:v>46359</x:v>
      </x:c>
      <x:c r="K20" s="97" t="n">
        <x:v>46359</x:v>
      </x:c>
      <x:c r="L20" s="34" t="str">
        <x:v>周敏</x:v>
      </x:c>
      <x:c r="M20" s="34" t="str">
        <x:v>未开始</x:v>
      </x:c>
      <x:c r="N20" s="97" t="n">
        <x:v>46338</x:v>
      </x:c>
      <x:c r="O20" s="97" t="n">
        <x:v>46341</x:v>
      </x:c>
      <x:c r="P20" s="34" t="str">
        <x:v>周敏</x:v>
      </x:c>
      <x:c r="Q20" s="34" t="str">
        <x:v>未开始</x:v>
      </x:c>
      <x:c r="R20" s="97" t="n">
        <x:v>46342</x:v>
      </x:c>
      <x:c r="S20" s="97" t="n">
        <x:v>46354</x:v>
      </x:c>
      <x:c r="T20" s="34" t="str">
        <x:v>周敏</x:v>
      </x:c>
      <x:c r="U20" s="34" t="str">
        <x:v>未开始</x:v>
      </x:c>
      <x:c r="V20" s="97" t="n">
        <x:v>46342</x:v>
      </x:c>
      <x:c r="W20" s="97" t="n">
        <x:v>46354</x:v>
      </x:c>
      <x:c r="X20" s="34" t="str">
        <x:v>陈晨</x:v>
      </x:c>
      <x:c r="Y20" s="34" t="str">
        <x:v>未开始</x:v>
      </x:c>
      <x:c r="Z20" s="97" t="n">
        <x:v>46355</x:v>
      </x:c>
      <x:c r="AA20" s="97" t="n">
        <x:v>46359</x:v>
      </x:c>
      <x:c r="AB20" s="98" t="n">
        <x:f t="shared" si="4">(IF(M20="已完成",1,IF(M20="进行中",0.5,0))*15%+IF(Q20="已完成",1,IF(Q20="进行中",0.5,0))*35%+IF(U20="已完成",1,IF(U20="进行中",0.5,0))*30%+IF(Y20="已完成",1,IF(Y20="进行中",0.5,0))*20%)</x:f>
        <x:v>0</x:v>
      </x:c>
      <x:c r="AC20" s="34" t="e">
        <x:f>IF(G20="已完成","正常",IF(OR(G20="暂停",G20="挂起"),"暂停",IF(J20="","日期缺失",IF(J20&lt;项目驾驶舱!$B$3,"已延期",IF(J20&lt;=项目驾驶舱!$B$3+7,"临近到期","正常")))))</x:f>
        <x:v>#NAME?</x:v>
      </x:c>
      <x:c r="AD20" s="34" t="str"/>
      <x:c r="AE20" s="34" t="str">
        <x:v>抽检准确率≥99%</x:v>
      </x:c>
    </x:row>
    <x:row r="21" ht="17" customHeight="1">
      <x:c r="A21" s="34" t="str">
        <x:v>T018</x:v>
      </x:c>
      <x:c r="B21" s="34" t="str">
        <x:v>数据迁移</x:v>
      </x:c>
      <x:c r="C21" s="34" t="str">
        <x:v>迁移实施</x:v>
      </x:c>
      <x:c r="D21" s="34" t="str">
        <x:v>历史合同迁移演练</x:v>
      </x:c>
      <x:c r="E21" s="34" t="str">
        <x:v>/</x:v>
      </x:c>
      <x:c r="F21" s="34" t="str">
        <x:v>第一批次</x:v>
      </x:c>
      <x:c r="G21" s="34" t="str">
        <x:f>IF(OR(M21="挂起",M21="暂停",Q21="挂起",Q21="暂停",U21="挂起",U21="暂停",Y21="挂起",Y21="暂停"),"暂停",IF(AND(M21="已完成",Q21="已完成",U21="已完成",Y21="已完成"),"已完成",IF(OR(M21="进行中",Q21="进行中",U21="进行中",Y21="进行中",M21="已完成",Q21="已完成",U21="已完成",Y21="已完成"),"进行中","未开始")))</x:f>
        <x:v>未开始</x:v>
      </x:c>
      <x:c r="H21" s="34" t="str">
        <x:f t="shared" si="1">IF(L21&lt;&gt;"",L21,IF(P21&lt;&gt;"",P21,IF(T21&lt;&gt;"",T21,X21)))</x:f>
        <x:v>周敏</x:v>
      </x:c>
      <x:c r="I21" s="97" t="n">
        <x:f t="shared" si="2">IF(COUNT(N21,R21,V21,Z21)=0,"",MIN(N21,R21,V21,Z21))</x:f>
        <x:v>46343</x:v>
      </x:c>
      <x:c r="J21" s="97" t="n">
        <x:f t="shared" si="3">IF(ISNUMBER(K21),K21,IF(COUNT(O21,S21,W21,AA21)=0,"",MAX(O21,S21,W21,AA21)))</x:f>
        <x:v>46371</x:v>
      </x:c>
      <x:c r="K21" s="97" t="n">
        <x:v>46371</x:v>
      </x:c>
      <x:c r="L21" s="34" t="str">
        <x:v>周敏</x:v>
      </x:c>
      <x:c r="M21" s="34" t="str">
        <x:v>未开始</x:v>
      </x:c>
      <x:c r="N21" s="97" t="n">
        <x:v>46343</x:v>
      </x:c>
      <x:c r="O21" s="97" t="n">
        <x:v>46346</x:v>
      </x:c>
      <x:c r="P21" s="34" t="str">
        <x:v>周敏</x:v>
      </x:c>
      <x:c r="Q21" s="34" t="str">
        <x:v>未开始</x:v>
      </x:c>
      <x:c r="R21" s="97" t="n">
        <x:v>46347</x:v>
      </x:c>
      <x:c r="S21" s="97" t="n">
        <x:v>46366</x:v>
      </x:c>
      <x:c r="T21" s="34" t="str">
        <x:v>周敏</x:v>
      </x:c>
      <x:c r="U21" s="34" t="str">
        <x:v>未开始</x:v>
      </x:c>
      <x:c r="V21" s="97" t="n">
        <x:v>46347</x:v>
      </x:c>
      <x:c r="W21" s="97" t="n">
        <x:v>46366</x:v>
      </x:c>
      <x:c r="X21" s="34" t="str">
        <x:v>陈晨</x:v>
      </x:c>
      <x:c r="Y21" s="34" t="str">
        <x:v>未开始</x:v>
      </x:c>
      <x:c r="Z21" s="97" t="n">
        <x:v>46367</x:v>
      </x:c>
      <x:c r="AA21" s="97" t="n">
        <x:v>46371</x:v>
      </x:c>
      <x:c r="AB21" s="98" t="n">
        <x:f t="shared" si="4">(IF(M21="已完成",1,IF(M21="进行中",0.5,0))*15%+IF(Q21="已完成",1,IF(Q21="进行中",0.5,0))*35%+IF(U21="已完成",1,IF(U21="进行中",0.5,0))*30%+IF(Y21="已完成",1,IF(Y21="进行中",0.5,0))*20%)</x:f>
        <x:v>0</x:v>
      </x:c>
      <x:c r="AC21" s="34" t="e">
        <x:f>IF(G21="已完成","正常",IF(OR(G21="暂停",G21="挂起"),"暂停",IF(J21="","日期缺失",IF(J21&lt;项目驾驶舱!$B$3,"已延期",IF(J21&lt;=项目驾驶舱!$B$3+7,"临近到期","正常")))))</x:f>
        <x:v>#NAME?</x:v>
      </x:c>
      <x:c r="AD21" s="34" t="str"/>
      <x:c r="AE21" s="34" t="str">
        <x:v>迁移对账通过</x:v>
      </x:c>
    </x:row>
    <x:row r="22" ht="17" customHeight="1">
      <x:c r="A22" s="34" t="str">
        <x:v>T019</x:v>
      </x:c>
      <x:c r="B22" s="34" t="str">
        <x:v>集成管理</x:v>
      </x:c>
      <x:c r="C22" s="34" t="str">
        <x:v>ERP集成</x:v>
      </x:c>
      <x:c r="D22" s="34" t="str">
        <x:v>ERP合同与供应商接口</x:v>
      </x:c>
      <x:c r="E22" s="34" t="str">
        <x:v>/</x:v>
      </x:c>
      <x:c r="F22" s="34" t="str">
        <x:v>第一批次</x:v>
      </x:c>
      <x:c r="G22" s="34" t="str">
        <x:f>IF(OR(M22="挂起",M22="暂停",Q22="挂起",Q22="暂停",U22="挂起",U22="暂停",Y22="挂起",Y22="暂停"),"暂停",IF(AND(M22="已完成",Q22="已完成",U22="已完成",Y22="已完成"),"已完成",IF(OR(M22="进行中",Q22="进行中",U22="进行中",Y22="进行中",M22="已完成",Q22="已完成",U22="已完成",Y22="已完成"),"进行中","未开始")))</x:f>
        <x:v>未开始</x:v>
      </x:c>
      <x:c r="H22" s="34" t="str">
        <x:f t="shared" si="1">IF(L22&lt;&gt;"",L22,IF(P22&lt;&gt;"",P22,IF(T22&lt;&gt;"",T22,X22)))</x:f>
        <x:v>孙杰</x:v>
      </x:c>
      <x:c r="I22" s="97" t="n">
        <x:f t="shared" si="2">IF(COUNT(N22,R22,V22,Z22)=0,"",MIN(N22,R22,V22,Z22))</x:f>
        <x:v>46348</x:v>
      </x:c>
      <x:c r="J22" s="97" t="n">
        <x:f t="shared" si="3">IF(ISNUMBER(K22),K22,IF(COUNT(O22,S22,W22,AA22)=0,"",MAX(O22,S22,W22,AA22)))</x:f>
        <x:v>46362</x:v>
      </x:c>
      <x:c r="K22" s="97" t="n">
        <x:v>46362</x:v>
      </x:c>
      <x:c r="L22" s="34" t="str">
        <x:v>孙杰</x:v>
      </x:c>
      <x:c r="M22" s="34" t="str">
        <x:v>未开始</x:v>
      </x:c>
      <x:c r="N22" s="97" t="n">
        <x:v>46348</x:v>
      </x:c>
      <x:c r="O22" s="97" t="n">
        <x:v>46351</x:v>
      </x:c>
      <x:c r="P22" s="34" t="str">
        <x:v>孙杰</x:v>
      </x:c>
      <x:c r="Q22" s="34" t="str">
        <x:v>未开始</x:v>
      </x:c>
      <x:c r="R22" s="97" t="n">
        <x:v>46352</x:v>
      </x:c>
      <x:c r="S22" s="97" t="n">
        <x:v>46357</x:v>
      </x:c>
      <x:c r="T22" s="34" t="str">
        <x:v>孙杰</x:v>
      </x:c>
      <x:c r="U22" s="34" t="str">
        <x:v>未开始</x:v>
      </x:c>
      <x:c r="V22" s="97" t="n">
        <x:v>46352</x:v>
      </x:c>
      <x:c r="W22" s="97" t="n">
        <x:v>46357</x:v>
      </x:c>
      <x:c r="X22" s="34" t="str">
        <x:v>陈晨</x:v>
      </x:c>
      <x:c r="Y22" s="34" t="str">
        <x:v>未开始</x:v>
      </x:c>
      <x:c r="Z22" s="97" t="n">
        <x:v>46358</x:v>
      </x:c>
      <x:c r="AA22" s="97" t="n">
        <x:v>46362</x:v>
      </x:c>
      <x:c r="AB22" s="98" t="n">
        <x:f t="shared" si="4">(IF(M22="已完成",1,IF(M22="进行中",0.5,0))*15%+IF(Q22="已完成",1,IF(Q22="进行中",0.5,0))*35%+IF(U22="已完成",1,IF(U22="进行中",0.5,0))*30%+IF(Y22="已完成",1,IF(Y22="进行中",0.5,0))*20%)</x:f>
        <x:v>0</x:v>
      </x:c>
      <x:c r="AC22" s="34" t="e">
        <x:f>IF(G22="已完成","正常",IF(OR(G22="暂停",G22="挂起"),"暂停",IF(J22="","日期缺失",IF(J22&lt;项目驾驶舱!$B$3,"已延期",IF(J22&lt;=项目驾驶舱!$B$3+7,"临近到期","正常")))))</x:f>
        <x:v>#NAME?</x:v>
      </x:c>
      <x:c r="AD22" s="34" t="str"/>
      <x:c r="AE22" s="34" t="str">
        <x:v>双向联调通过</x:v>
      </x:c>
    </x:row>
    <x:row r="23" ht="17" customHeight="1">
      <x:c r="A23" s="34" t="str">
        <x:v>T020</x:v>
      </x:c>
      <x:c r="B23" s="34" t="str">
        <x:v>集成管理</x:v>
      </x:c>
      <x:c r="C23" s="34" t="str">
        <x:v>财务集成</x:v>
      </x:c>
      <x:c r="D23" s="34" t="str">
        <x:v>付款与核算接口</x:v>
      </x:c>
      <x:c r="E23" s="34" t="str">
        <x:v>/</x:v>
      </x:c>
      <x:c r="F23" s="34" t="str">
        <x:v>第一批次</x:v>
      </x:c>
      <x:c r="G23" s="34" t="str">
        <x:f>IF(OR(M23="挂起",M23="暂停",Q23="挂起",Q23="暂停",U23="挂起",U23="暂停",Y23="挂起",Y23="暂停"),"暂停",IF(AND(M23="已完成",Q23="已完成",U23="已完成",Y23="已完成"),"已完成",IF(OR(M23="进行中",Q23="进行中",U23="进行中",Y23="进行中",M23="已完成",Q23="已完成",U23="已完成",Y23="已完成"),"进行中","未开始")))</x:f>
        <x:v>未开始</x:v>
      </x:c>
      <x:c r="H23" s="34" t="str">
        <x:f t="shared" si="1">IF(L23&lt;&gt;"",L23,IF(P23&lt;&gt;"",P23,IF(T23&lt;&gt;"",T23,X23)))</x:f>
        <x:v>孙杰</x:v>
      </x:c>
      <x:c r="I23" s="97" t="n">
        <x:f t="shared" si="2">IF(COUNT(N23,R23,V23,Z23)=0,"",MIN(N23,R23,V23,Z23))</x:f>
        <x:v>46353</x:v>
      </x:c>
      <x:c r="J23" s="97" t="n">
        <x:f t="shared" si="3">IF(ISNUMBER(K23),K23,IF(COUNT(O23,S23,W23,AA23)=0,"",MAX(O23,S23,W23,AA23)))</x:f>
        <x:v>46374</x:v>
      </x:c>
      <x:c r="K23" s="97" t="n">
        <x:v>46374</x:v>
      </x:c>
      <x:c r="L23" s="34" t="str">
        <x:v>孙杰</x:v>
      </x:c>
      <x:c r="M23" s="34" t="str">
        <x:v>未开始</x:v>
      </x:c>
      <x:c r="N23" s="97" t="n">
        <x:v>46353</x:v>
      </x:c>
      <x:c r="O23" s="97" t="n">
        <x:v>46356</x:v>
      </x:c>
      <x:c r="P23" s="34" t="str">
        <x:v>孙杰</x:v>
      </x:c>
      <x:c r="Q23" s="34" t="str">
        <x:v>未开始</x:v>
      </x:c>
      <x:c r="R23" s="97" t="n">
        <x:v>46357</x:v>
      </x:c>
      <x:c r="S23" s="97" t="n">
        <x:v>46369</x:v>
      </x:c>
      <x:c r="T23" s="34" t="str">
        <x:v>孙杰</x:v>
      </x:c>
      <x:c r="U23" s="34" t="str">
        <x:v>未开始</x:v>
      </x:c>
      <x:c r="V23" s="97" t="n">
        <x:v>46357</x:v>
      </x:c>
      <x:c r="W23" s="97" t="n">
        <x:v>46369</x:v>
      </x:c>
      <x:c r="X23" s="34" t="str">
        <x:v>陈晨</x:v>
      </x:c>
      <x:c r="Y23" s="34" t="str">
        <x:v>未开始</x:v>
      </x:c>
      <x:c r="Z23" s="97" t="n">
        <x:v>46370</x:v>
      </x:c>
      <x:c r="AA23" s="97" t="n">
        <x:v>46374</x:v>
      </x:c>
      <x:c r="AB23" s="98" t="n">
        <x:f t="shared" si="4">(IF(M23="已完成",1,IF(M23="进行中",0.5,0))*15%+IF(Q23="已完成",1,IF(Q23="进行中",0.5,0))*35%+IF(U23="已完成",1,IF(U23="进行中",0.5,0))*30%+IF(Y23="已完成",1,IF(Y23="进行中",0.5,0))*20%)</x:f>
        <x:v>0</x:v>
      </x:c>
      <x:c r="AC23" s="34" t="e">
        <x:f>IF(G23="已完成","正常",IF(OR(G23="暂停",G23="挂起"),"暂停",IF(J23="","日期缺失",IF(J23&lt;项目驾驶舱!$B$3,"已延期",IF(J23&lt;=项目驾驶舱!$B$3+7,"临近到期","正常")))))</x:f>
        <x:v>#NAME?</x:v>
      </x:c>
      <x:c r="AD23" s="34" t="str"/>
      <x:c r="AE23" s="34" t="str">
        <x:v>金额与状态一致</x:v>
      </x:c>
    </x:row>
    <x:row r="24" ht="17" customHeight="1">
      <x:c r="A24" s="34" t="str">
        <x:v>T021</x:v>
      </x:c>
      <x:c r="B24" s="34" t="str">
        <x:v>安全权限</x:v>
      </x:c>
      <x:c r="C24" s="34" t="str">
        <x:v>权限管理</x:v>
      </x:c>
      <x:c r="D24" s="34" t="str">
        <x:v>角色与数据权限</x:v>
      </x:c>
      <x:c r="E24" s="34" t="str">
        <x:v>/</x:v>
      </x:c>
      <x:c r="F24" s="34" t="str">
        <x:v>第一批次</x:v>
      </x:c>
      <x:c r="G24" s="34" t="str">
        <x:f>IF(OR(M24="挂起",M24="暂停",Q24="挂起",Q24="暂停",U24="挂起",U24="暂停",Y24="挂起",Y24="暂停"),"暂停",IF(AND(M24="已完成",Q24="已完成",U24="已完成",Y24="已完成"),"已完成",IF(OR(M24="进行中",Q24="进行中",U24="进行中",Y24="进行中",M24="已完成",Q24="已完成",U24="已完成",Y24="已完成"),"进行中","未开始")))</x:f>
        <x:v>未开始</x:v>
      </x:c>
      <x:c r="H24" s="34" t="str">
        <x:f t="shared" si="1">IF(L24&lt;&gt;"",L24,IF(P24&lt;&gt;"",P24,IF(T24&lt;&gt;"",T24,X24)))</x:f>
        <x:v>赵强</x:v>
      </x:c>
      <x:c r="I24" s="97" t="n">
        <x:f t="shared" si="2">IF(COUNT(N24,R24,V24,Z24)=0,"",MIN(N24,R24,V24,Z24))</x:f>
        <x:v>46358</x:v>
      </x:c>
      <x:c r="J24" s="97" t="n">
        <x:f t="shared" si="3">IF(ISNUMBER(K24),K24,IF(COUNT(O24,S24,W24,AA24)=0,"",MAX(O24,S24,W24,AA24)))</x:f>
        <x:v>46386</x:v>
      </x:c>
      <x:c r="K24" s="97" t="n">
        <x:v>46386</x:v>
      </x:c>
      <x:c r="L24" s="34" t="str">
        <x:v>赵强</x:v>
      </x:c>
      <x:c r="M24" s="34" t="str">
        <x:v>未开始</x:v>
      </x:c>
      <x:c r="N24" s="97" t="n">
        <x:v>46358</x:v>
      </x:c>
      <x:c r="O24" s="97" t="n">
        <x:v>46361</x:v>
      </x:c>
      <x:c r="P24" s="34" t="str">
        <x:v>赵强</x:v>
      </x:c>
      <x:c r="Q24" s="34" t="str">
        <x:v>未开始</x:v>
      </x:c>
      <x:c r="R24" s="97" t="n">
        <x:v>46362</x:v>
      </x:c>
      <x:c r="S24" s="97" t="n">
        <x:v>46381</x:v>
      </x:c>
      <x:c r="T24" s="34" t="str">
        <x:v>赵强</x:v>
      </x:c>
      <x:c r="U24" s="34" t="str">
        <x:v>未开始</x:v>
      </x:c>
      <x:c r="V24" s="97" t="n">
        <x:v>46362</x:v>
      </x:c>
      <x:c r="W24" s="97" t="n">
        <x:v>46381</x:v>
      </x:c>
      <x:c r="X24" s="34" t="str">
        <x:v>陈晨</x:v>
      </x:c>
      <x:c r="Y24" s="34" t="str">
        <x:v>未开始</x:v>
      </x:c>
      <x:c r="Z24" s="97" t="n">
        <x:v>46382</x:v>
      </x:c>
      <x:c r="AA24" s="97" t="n">
        <x:v>46386</x:v>
      </x:c>
      <x:c r="AB24" s="98" t="n">
        <x:f t="shared" si="4">(IF(M24="已完成",1,IF(M24="进行中",0.5,0))*15%+IF(Q24="已完成",1,IF(Q24="进行中",0.5,0))*35%+IF(U24="已完成",1,IF(U24="进行中",0.5,0))*30%+IF(Y24="已完成",1,IF(Y24="进行中",0.5,0))*20%)</x:f>
        <x:v>0</x:v>
      </x:c>
      <x:c r="AC24" s="34" t="e">
        <x:f>IF(G24="已完成","正常",IF(OR(G24="暂停",G24="挂起"),"暂停",IF(J24="","日期缺失",IF(J24&lt;项目驾驶舱!$B$3,"已延期",IF(J24&lt;=项目驾驶舱!$B$3+7,"临近到期","正常")))))</x:f>
        <x:v>#NAME?</x:v>
      </x:c>
      <x:c r="AD24" s="34" t="str"/>
      <x:c r="AE24" s="34" t="str">
        <x:v>越权测试通过</x:v>
      </x:c>
    </x:row>
    <x:row r="25" ht="34" customHeight="1">
      <x:c r="A25" s="34" t="str">
        <x:v>T022</x:v>
      </x:c>
      <x:c r="B25" s="34" t="str">
        <x:v>测试验收</x:v>
      </x:c>
      <x:c r="C25" s="34" t="str">
        <x:v>集成测试</x:v>
      </x:c>
      <x:c r="D25" s="34" t="str">
        <x:v>集成测试与缺陷修复</x:v>
      </x:c>
      <x:c r="E25" s="34" t="str">
        <x:v>/</x:v>
      </x:c>
      <x:c r="F25" s="34" t="str">
        <x:v>第一批次</x:v>
      </x:c>
      <x:c r="G25" s="34" t="str">
        <x:f>IF(OR(M25="挂起",M25="暂停",Q25="挂起",Q25="暂停",U25="挂起",U25="暂停",Y25="挂起",Y25="暂停"),"暂停",IF(AND(M25="已完成",Q25="已完成",U25="已完成",Y25="已完成"),"已完成",IF(OR(M25="进行中",Q25="进行中",U25="进行中",Y25="进行中",M25="已完成",Q25="已完成",U25="已完成",Y25="已完成"),"进行中","未开始")))</x:f>
        <x:v>未开始</x:v>
      </x:c>
      <x:c r="H25" s="34" t="str">
        <x:f t="shared" si="1">IF(L25&lt;&gt;"",L25,IF(P25&lt;&gt;"",P25,IF(T25&lt;&gt;"",T25,X25)))</x:f>
        <x:v>陈晨</x:v>
      </x:c>
      <x:c r="I25" s="97" t="n">
        <x:f t="shared" si="2">IF(COUNT(N25,R25,V25,Z25)=0,"",MIN(N25,R25,V25,Z25))</x:f>
        <x:v>46363</x:v>
      </x:c>
      <x:c r="J25" s="97" t="n">
        <x:f t="shared" si="3">IF(ISNUMBER(K25),K25,IF(COUNT(O25,S25,W25,AA25)=0,"",MAX(O25,S25,W25,AA25)))</x:f>
        <x:v>46377</x:v>
      </x:c>
      <x:c r="K25" s="97" t="n">
        <x:v>46377</x:v>
      </x:c>
      <x:c r="L25" s="34" t="str">
        <x:v>陈晨</x:v>
      </x:c>
      <x:c r="M25" s="34" t="str">
        <x:v>未开始</x:v>
      </x:c>
      <x:c r="N25" s="97" t="n">
        <x:v>46363</x:v>
      </x:c>
      <x:c r="O25" s="97" t="n">
        <x:v>46366</x:v>
      </x:c>
      <x:c r="P25" s="34" t="str">
        <x:v>陈晨</x:v>
      </x:c>
      <x:c r="Q25" s="34" t="str">
        <x:v>未开始</x:v>
      </x:c>
      <x:c r="R25" s="97" t="n">
        <x:v>46367</x:v>
      </x:c>
      <x:c r="S25" s="97" t="n">
        <x:v>46372</x:v>
      </x:c>
      <x:c r="T25" s="34" t="str">
        <x:v>陈晨</x:v>
      </x:c>
      <x:c r="U25" s="34" t="str">
        <x:v>未开始</x:v>
      </x:c>
      <x:c r="V25" s="97" t="n">
        <x:v>46367</x:v>
      </x:c>
      <x:c r="W25" s="97" t="n">
        <x:v>46372</x:v>
      </x:c>
      <x:c r="X25" s="34" t="str">
        <x:v>陈晨</x:v>
      </x:c>
      <x:c r="Y25" s="34" t="str">
        <x:v>未开始</x:v>
      </x:c>
      <x:c r="Z25" s="97" t="n">
        <x:v>46373</x:v>
      </x:c>
      <x:c r="AA25" s="97" t="n">
        <x:v>46377</x:v>
      </x:c>
      <x:c r="AB25" s="98" t="n">
        <x:f t="shared" si="4">(IF(M25="已完成",1,IF(M25="进行中",0.5,0))*15%+IF(Q25="已完成",1,IF(Q25="进行中",0.5,0))*35%+IF(U25="已完成",1,IF(U25="进行中",0.5,0))*30%+IF(Y25="已完成",1,IF(Y25="进行中",0.5,0))*20%)</x:f>
        <x:v>0</x:v>
      </x:c>
      <x:c r="AC25" s="34" t="e">
        <x:f>IF(G25="已完成","正常",IF(OR(G25="暂停",G25="挂起"),"暂停",IF(J25="","日期缺失",IF(J25&lt;项目驾驶舱!$B$3,"已延期",IF(J25&lt;=项目驾驶舱!$B$3+7,"临近到期","正常")))))</x:f>
        <x:v>#NAME?</x:v>
      </x:c>
      <x:c r="AD25" s="34" t="str"/>
      <x:c r="AE25" s="34" t="str">
        <x:v>P0/P1缺陷关闭</x:v>
      </x:c>
    </x:row>
    <x:row r="26" ht="34" customHeight="1">
      <x:c r="A26" s="34" t="str">
        <x:v>T023</x:v>
      </x:c>
      <x:c r="B26" s="34" t="str">
        <x:v>上线准备</x:v>
      </x:c>
      <x:c r="C26" s="34" t="str">
        <x:v>培训推广</x:v>
      </x:c>
      <x:c r="D26" s="34" t="str">
        <x:v>关键用户培训与采纳</x:v>
      </x:c>
      <x:c r="E26" s="34" t="str">
        <x:v>/</x:v>
      </x:c>
      <x:c r="F26" s="34" t="str">
        <x:v>第一批次</x:v>
      </x:c>
      <x:c r="G26" s="34" t="str">
        <x:f>IF(OR(M26="挂起",M26="暂停",Q26="挂起",Q26="暂停",U26="挂起",U26="暂停",Y26="挂起",Y26="暂停"),"暂停",IF(AND(M26="已完成",Q26="已完成",U26="已完成",Y26="已完成"),"已完成",IF(OR(M26="进行中",Q26="进行中",U26="进行中",Y26="进行中",M26="已完成",Q26="已完成",U26="已完成",Y26="已完成"),"进行中","未开始")))</x:f>
        <x:v>未开始</x:v>
      </x:c>
      <x:c r="H26" s="34" t="str">
        <x:f t="shared" si="1">IF(L26&lt;&gt;"",L26,IF(P26&lt;&gt;"",P26,IF(T26&lt;&gt;"",T26,X26)))</x:f>
        <x:v>刘洋</x:v>
      </x:c>
      <x:c r="I26" s="97" t="n">
        <x:f t="shared" si="2">IF(COUNT(N26,R26,V26,Z26)=0,"",MIN(N26,R26,V26,Z26))</x:f>
        <x:v>46368</x:v>
      </x:c>
      <x:c r="J26" s="97" t="n">
        <x:f t="shared" si="3">IF(ISNUMBER(K26),K26,IF(COUNT(O26,S26,W26,AA26)=0,"",MAX(O26,S26,W26,AA26)))</x:f>
        <x:v>46389</x:v>
      </x:c>
      <x:c r="K26" s="97" t="n">
        <x:v>46389</x:v>
      </x:c>
      <x:c r="L26" s="34" t="str">
        <x:v>刘洋</x:v>
      </x:c>
      <x:c r="M26" s="34" t="str">
        <x:v>未开始</x:v>
      </x:c>
      <x:c r="N26" s="97" t="n">
        <x:v>46368</x:v>
      </x:c>
      <x:c r="O26" s="97" t="n">
        <x:v>46371</x:v>
      </x:c>
      <x:c r="P26" s="34" t="str">
        <x:v>刘洋</x:v>
      </x:c>
      <x:c r="Q26" s="34" t="str">
        <x:v>未开始</x:v>
      </x:c>
      <x:c r="R26" s="97" t="n">
        <x:v>46372</x:v>
      </x:c>
      <x:c r="S26" s="97" t="n">
        <x:v>46384</x:v>
      </x:c>
      <x:c r="T26" s="34" t="str">
        <x:v>刘洋</x:v>
      </x:c>
      <x:c r="U26" s="34" t="str">
        <x:v>未开始</x:v>
      </x:c>
      <x:c r="V26" s="97" t="n">
        <x:v>46372</x:v>
      </x:c>
      <x:c r="W26" s="97" t="n">
        <x:v>46384</x:v>
      </x:c>
      <x:c r="X26" s="34" t="str">
        <x:v>陈晨</x:v>
      </x:c>
      <x:c r="Y26" s="34" t="str">
        <x:v>未开始</x:v>
      </x:c>
      <x:c r="Z26" s="97" t="n">
        <x:v>46385</x:v>
      </x:c>
      <x:c r="AA26" s="97" t="n">
        <x:v>46389</x:v>
      </x:c>
      <x:c r="AB26" s="98" t="n">
        <x:f t="shared" si="4">(IF(M26="已完成",1,IF(M26="进行中",0.5,0))*15%+IF(Q26="已完成",1,IF(Q26="进行中",0.5,0))*35%+IF(U26="已完成",1,IF(U26="进行中",0.5,0))*30%+IF(Y26="已完成",1,IF(Y26="进行中",0.5,0))*20%)</x:f>
        <x:v>0</x:v>
      </x:c>
      <x:c r="AC26" s="34" t="e">
        <x:f>IF(G26="已完成","正常",IF(OR(G26="暂停",G26="挂起"),"暂停",IF(J26="","日期缺失",IF(J26&lt;项目驾驶舱!$B$3,"已延期",IF(J26&lt;=项目驾驶舱!$B$3+7,"临近到期","正常")))))</x:f>
        <x:v>#NAME?</x:v>
      </x:c>
      <x:c r="AD26" s="34" t="str"/>
      <x:c r="AE26" s="34" t="str">
        <x:v>关键用户完成培训</x:v>
      </x:c>
    </x:row>
    <x:row r="27" ht="17" customHeight="1">
      <x:c r="A27" s="34" t="str">
        <x:v>T024</x:v>
      </x:c>
      <x:c r="B27" s="34" t="str">
        <x:v>上线移交</x:v>
      </x:c>
      <x:c r="C27" s="34" t="str">
        <x:v>生产上线</x:v>
      </x:c>
      <x:c r="D27" s="34" t="str">
        <x:v>上线切换与运维移交</x:v>
      </x:c>
      <x:c r="E27" s="34" t="str">
        <x:v>/</x:v>
      </x:c>
      <x:c r="F27" s="34" t="str">
        <x:v>第一批次</x:v>
      </x:c>
      <x:c r="G27" s="34" t="str">
        <x:f>IF(OR(M27="挂起",M27="暂停",Q27="挂起",Q27="暂停",U27="挂起",U27="暂停",Y27="挂起",Y27="暂停"),"暂停",IF(AND(M27="已完成",Q27="已完成",U27="已完成",Y27="已完成"),"已完成",IF(OR(M27="进行中",Q27="进行中",U27="进行中",Y27="进行中",M27="已完成",Q27="已完成",U27="已完成",Y27="已完成"),"进行中","未开始")))</x:f>
        <x:v>未开始</x:v>
      </x:c>
      <x:c r="H27" s="34" t="str">
        <x:f t="shared" si="1">IF(L27&lt;&gt;"",L27,IF(P27&lt;&gt;"",P27,IF(T27&lt;&gt;"",T27,X27)))</x:f>
        <x:v>张伟</x:v>
      </x:c>
      <x:c r="I27" s="97" t="n">
        <x:f t="shared" si="2">IF(COUNT(N27,R27,V27,Z27)=0,"",MIN(N27,R27,V27,Z27))</x:f>
        <x:v>46373</x:v>
      </x:c>
      <x:c r="J27" s="97" t="n">
        <x:f t="shared" si="3">IF(ISNUMBER(K27),K27,IF(COUNT(O27,S27,W27,AA27)=0,"",MAX(O27,S27,W27,AA27)))</x:f>
        <x:v>46401</x:v>
      </x:c>
      <x:c r="K27" s="97" t="n">
        <x:v>46401</x:v>
      </x:c>
      <x:c r="L27" s="34" t="str">
        <x:v>张伟</x:v>
      </x:c>
      <x:c r="M27" s="34" t="str">
        <x:v>未开始</x:v>
      </x:c>
      <x:c r="N27" s="97" t="n">
        <x:v>46373</x:v>
      </x:c>
      <x:c r="O27" s="97" t="n">
        <x:v>46376</x:v>
      </x:c>
      <x:c r="P27" s="34" t="str">
        <x:v>张伟</x:v>
      </x:c>
      <x:c r="Q27" s="34" t="str">
        <x:v>未开始</x:v>
      </x:c>
      <x:c r="R27" s="97" t="n">
        <x:v>46377</x:v>
      </x:c>
      <x:c r="S27" s="97" t="n">
        <x:v>46396</x:v>
      </x:c>
      <x:c r="T27" s="34" t="str">
        <x:v>张伟</x:v>
      </x:c>
      <x:c r="U27" s="34" t="str">
        <x:v>未开始</x:v>
      </x:c>
      <x:c r="V27" s="97" t="n">
        <x:v>46377</x:v>
      </x:c>
      <x:c r="W27" s="97" t="n">
        <x:v>46396</x:v>
      </x:c>
      <x:c r="X27" s="34" t="str">
        <x:v>陈晨</x:v>
      </x:c>
      <x:c r="Y27" s="34" t="str">
        <x:v>未开始</x:v>
      </x:c>
      <x:c r="Z27" s="97" t="n">
        <x:v>46397</x:v>
      </x:c>
      <x:c r="AA27" s="97" t="n">
        <x:v>46401</x:v>
      </x:c>
      <x:c r="AB27" s="98" t="n">
        <x:f t="shared" si="4">(IF(M27="已完成",1,IF(M27="进行中",0.5,0))*15%+IF(Q27="已完成",1,IF(Q27="进行中",0.5,0))*35%+IF(U27="已完成",1,IF(U27="进行中",0.5,0))*30%+IF(Y27="已完成",1,IF(Y27="进行中",0.5,0))*20%)</x:f>
        <x:v>0</x:v>
      </x:c>
      <x:c r="AC27" s="34" t="e">
        <x:f>IF(G27="已完成","正常",IF(OR(G27="暂停",G27="挂起"),"暂停",IF(J27="","日期缺失",IF(J27&lt;项目驾驶舱!$B$3,"已延期",IF(J27&lt;=项目驾驶舱!$B$3+7,"临近到期","正常")))))</x:f>
        <x:v>#NAME?</x:v>
      </x:c>
      <x:c r="AD27" s="34" t="str"/>
      <x:c r="AE27" s="34" t="str">
        <x:v>上线门禁通过</x:v>
      </x:c>
    </x:row>
    <x:row r="28" ht="17" customHeight="1">
      <x:c r="A28" s="34"/>
      <x:c r="B28" s="34"/>
      <x:c r="C28" s="34"/>
      <x:c r="D28" s="34"/>
      <x:c r="E28" s="34"/>
      <x:c r="F28" s="34"/>
      <x:c r="G28" s="34"/>
      <x:c r="H28" s="34">
        <x:f t="shared" si="1"/>
      </x:c>
      <x:c r="I28" s="38">
        <x:f t="shared" si="2"/>
      </x:c>
      <x:c r="J28" s="38">
        <x:f t="shared" si="3"/>
      </x:c>
      <x:c r="K28" s="38"/>
      <x:c r="L28" s="34"/>
      <x:c r="M28" s="34"/>
      <x:c r="N28" s="38"/>
      <x:c r="O28" s="38"/>
      <x:c r="P28" s="34"/>
      <x:c r="Q28" s="34"/>
      <x:c r="R28" s="38"/>
      <x:c r="S28" s="38"/>
      <x:c r="T28" s="34"/>
      <x:c r="U28" s="34"/>
      <x:c r="V28" s="38"/>
      <x:c r="W28" s="38"/>
      <x:c r="X28" s="34"/>
      <x:c r="Y28" s="34"/>
      <x:c r="Z28" s="38"/>
      <x:c r="AA28" s="38"/>
      <x:c r="AB28" s="75">
        <x:f t="shared" si="4"/>
      </x:c>
      <x:c r="AC28" s="34"/>
      <x:c r="AD28" s="34"/>
      <x:c r="AE28" s="34"/>
    </x:row>
    <x:row r="29" ht="17" customHeight="1">
      <x:c r="A29" s="34"/>
      <x:c r="B29" s="34"/>
      <x:c r="C29" s="34"/>
      <x:c r="D29" s="34"/>
      <x:c r="E29" s="34"/>
      <x:c r="F29" s="34"/>
      <x:c r="G29" s="34"/>
      <x:c r="H29" s="34">
        <x:f t="shared" si="1"/>
      </x:c>
      <x:c r="I29" s="38">
        <x:f t="shared" si="2"/>
      </x:c>
      <x:c r="J29" s="38">
        <x:f t="shared" si="3"/>
      </x:c>
      <x:c r="K29" s="38"/>
      <x:c r="L29" s="34"/>
      <x:c r="M29" s="34"/>
      <x:c r="N29" s="38"/>
      <x:c r="O29" s="38"/>
      <x:c r="P29" s="34"/>
      <x:c r="Q29" s="34"/>
      <x:c r="R29" s="38"/>
      <x:c r="S29" s="38"/>
      <x:c r="T29" s="34"/>
      <x:c r="U29" s="34"/>
      <x:c r="V29" s="38"/>
      <x:c r="W29" s="38"/>
      <x:c r="X29" s="34"/>
      <x:c r="Y29" s="34"/>
      <x:c r="Z29" s="38"/>
      <x:c r="AA29" s="38"/>
      <x:c r="AB29" s="75">
        <x:f t="shared" si="4"/>
      </x:c>
      <x:c r="AC29" s="34"/>
      <x:c r="AD29" s="34"/>
      <x:c r="AE29" s="34"/>
    </x:row>
    <x:row r="30" ht="17" customHeight="1">
      <x:c r="A30" s="34"/>
      <x:c r="B30" s="34"/>
      <x:c r="C30" s="34"/>
      <x:c r="D30" s="34"/>
      <x:c r="E30" s="34"/>
      <x:c r="F30" s="34"/>
      <x:c r="G30" s="34"/>
      <x:c r="H30" s="34">
        <x:f t="shared" si="1"/>
      </x:c>
      <x:c r="I30" s="38">
        <x:f t="shared" si="2"/>
      </x:c>
      <x:c r="J30" s="38">
        <x:f t="shared" si="3"/>
      </x:c>
      <x:c r="K30" s="38"/>
      <x:c r="L30" s="34"/>
      <x:c r="M30" s="34"/>
      <x:c r="N30" s="38"/>
      <x:c r="O30" s="38"/>
      <x:c r="P30" s="34"/>
      <x:c r="Q30" s="34"/>
      <x:c r="R30" s="38"/>
      <x:c r="S30" s="38"/>
      <x:c r="T30" s="34"/>
      <x:c r="U30" s="34"/>
      <x:c r="V30" s="38"/>
      <x:c r="W30" s="38"/>
      <x:c r="X30" s="34"/>
      <x:c r="Y30" s="34"/>
      <x:c r="Z30" s="38"/>
      <x:c r="AA30" s="38"/>
      <x:c r="AB30" s="75">
        <x:f t="shared" si="4"/>
      </x:c>
      <x:c r="AC30" s="34"/>
      <x:c r="AD30" s="34"/>
      <x:c r="AE30" s="34"/>
    </x:row>
    <x:row r="31" ht="17" customHeight="1">
      <x:c r="A31" s="34"/>
      <x:c r="B31" s="34"/>
      <x:c r="C31" s="34"/>
      <x:c r="D31" s="34"/>
      <x:c r="E31" s="34"/>
      <x:c r="F31" s="34"/>
      <x:c r="G31" s="34"/>
      <x:c r="H31" s="34">
        <x:f t="shared" si="1"/>
      </x:c>
      <x:c r="I31" s="38">
        <x:f t="shared" si="2"/>
      </x:c>
      <x:c r="J31" s="38">
        <x:f t="shared" si="3"/>
      </x:c>
      <x:c r="K31" s="38"/>
      <x:c r="L31" s="34"/>
      <x:c r="M31" s="34"/>
      <x:c r="N31" s="38"/>
      <x:c r="O31" s="38"/>
      <x:c r="P31" s="34"/>
      <x:c r="Q31" s="34"/>
      <x:c r="R31" s="38"/>
      <x:c r="S31" s="38"/>
      <x:c r="T31" s="34"/>
      <x:c r="U31" s="34"/>
      <x:c r="V31" s="38"/>
      <x:c r="W31" s="38"/>
      <x:c r="X31" s="34"/>
      <x:c r="Y31" s="34"/>
      <x:c r="Z31" s="38"/>
      <x:c r="AA31" s="38"/>
      <x:c r="AB31" s="75">
        <x:f t="shared" si="4"/>
      </x:c>
      <x:c r="AC31" s="34"/>
      <x:c r="AD31" s="34"/>
      <x:c r="AE31" s="34"/>
    </x:row>
    <x:row r="32" ht="17" customHeight="1">
      <x:c r="A32" s="34"/>
      <x:c r="B32" s="34"/>
      <x:c r="C32" s="34"/>
      <x:c r="D32" s="34"/>
      <x:c r="E32" s="34"/>
      <x:c r="F32" s="34"/>
      <x:c r="G32" s="34"/>
      <x:c r="H32" s="34">
        <x:f t="shared" si="1"/>
      </x:c>
      <x:c r="I32" s="38">
        <x:f t="shared" si="2"/>
      </x:c>
      <x:c r="J32" s="38">
        <x:f t="shared" si="3"/>
      </x:c>
      <x:c r="K32" s="38"/>
      <x:c r="L32" s="34"/>
      <x:c r="M32" s="34"/>
      <x:c r="N32" s="38"/>
      <x:c r="O32" s="38"/>
      <x:c r="P32" s="34"/>
      <x:c r="Q32" s="34"/>
      <x:c r="R32" s="38"/>
      <x:c r="S32" s="38"/>
      <x:c r="T32" s="34"/>
      <x:c r="U32" s="34"/>
      <x:c r="V32" s="38"/>
      <x:c r="W32" s="38"/>
      <x:c r="X32" s="34"/>
      <x:c r="Y32" s="34"/>
      <x:c r="Z32" s="38"/>
      <x:c r="AA32" s="38"/>
      <x:c r="AB32" s="75">
        <x:f t="shared" si="4"/>
      </x:c>
      <x:c r="AC32" s="34"/>
      <x:c r="AD32" s="34"/>
      <x:c r="AE32" s="34"/>
    </x:row>
    <x:row r="33" ht="17" customHeight="1">
      <x:c r="A33" s="34"/>
      <x:c r="B33" s="34"/>
      <x:c r="C33" s="34"/>
      <x:c r="D33" s="34"/>
      <x:c r="E33" s="34"/>
      <x:c r="F33" s="34"/>
      <x:c r="G33" s="34"/>
      <x:c r="H33" s="34">
        <x:f t="shared" si="1"/>
      </x:c>
      <x:c r="I33" s="38">
        <x:f t="shared" si="2"/>
      </x:c>
      <x:c r="J33" s="38">
        <x:f t="shared" si="3"/>
      </x:c>
      <x:c r="K33" s="38"/>
      <x:c r="L33" s="34"/>
      <x:c r="M33" s="34"/>
      <x:c r="N33" s="38"/>
      <x:c r="O33" s="38"/>
      <x:c r="P33" s="34"/>
      <x:c r="Q33" s="34"/>
      <x:c r="R33" s="38"/>
      <x:c r="S33" s="38"/>
      <x:c r="T33" s="34"/>
      <x:c r="U33" s="34"/>
      <x:c r="V33" s="38"/>
      <x:c r="W33" s="38"/>
      <x:c r="X33" s="34"/>
      <x:c r="Y33" s="34"/>
      <x:c r="Z33" s="38"/>
      <x:c r="AA33" s="38"/>
      <x:c r="AB33" s="75">
        <x:f t="shared" si="4"/>
      </x:c>
      <x:c r="AC33" s="34"/>
      <x:c r="AD33" s="34"/>
      <x:c r="AE33" s="34"/>
    </x:row>
    <x:row r="34" ht="17" customHeight="1">
      <x:c r="A34" s="34"/>
      <x:c r="B34" s="34"/>
      <x:c r="C34" s="34"/>
      <x:c r="D34" s="34"/>
      <x:c r="E34" s="34"/>
      <x:c r="F34" s="34"/>
      <x:c r="G34" s="34"/>
      <x:c r="H34" s="34">
        <x:f t="shared" si="1"/>
      </x:c>
      <x:c r="I34" s="38">
        <x:f t="shared" si="2"/>
      </x:c>
      <x:c r="J34" s="38">
        <x:f t="shared" si="3"/>
      </x:c>
      <x:c r="K34" s="38"/>
      <x:c r="L34" s="34"/>
      <x:c r="M34" s="34"/>
      <x:c r="N34" s="38"/>
      <x:c r="O34" s="38"/>
      <x:c r="P34" s="34"/>
      <x:c r="Q34" s="34"/>
      <x:c r="R34" s="38"/>
      <x:c r="S34" s="38"/>
      <x:c r="T34" s="34"/>
      <x:c r="U34" s="34"/>
      <x:c r="V34" s="38"/>
      <x:c r="W34" s="38"/>
      <x:c r="X34" s="34"/>
      <x:c r="Y34" s="34"/>
      <x:c r="Z34" s="38"/>
      <x:c r="AA34" s="38"/>
      <x:c r="AB34" s="75">
        <x:f t="shared" si="4"/>
      </x:c>
      <x:c r="AC34" s="34"/>
      <x:c r="AD34" s="34"/>
      <x:c r="AE34" s="34"/>
    </x:row>
    <x:row r="35" ht="17" customHeight="1">
      <x:c r="A35" s="34"/>
      <x:c r="B35" s="34"/>
      <x:c r="C35" s="34"/>
      <x:c r="D35" s="34"/>
      <x:c r="E35" s="34"/>
      <x:c r="F35" s="34"/>
      <x:c r="G35" s="34"/>
      <x:c r="H35" s="34">
        <x:f t="shared" si="1"/>
      </x:c>
      <x:c r="I35" s="38">
        <x:f t="shared" si="2"/>
      </x:c>
      <x:c r="J35" s="38">
        <x:f t="shared" si="3"/>
      </x:c>
      <x:c r="K35" s="38"/>
      <x:c r="L35" s="34"/>
      <x:c r="M35" s="34"/>
      <x:c r="N35" s="38"/>
      <x:c r="O35" s="38"/>
      <x:c r="P35" s="34"/>
      <x:c r="Q35" s="34"/>
      <x:c r="R35" s="38"/>
      <x:c r="S35" s="38"/>
      <x:c r="T35" s="34"/>
      <x:c r="U35" s="34"/>
      <x:c r="V35" s="38"/>
      <x:c r="W35" s="38"/>
      <x:c r="X35" s="34"/>
      <x:c r="Y35" s="34"/>
      <x:c r="Z35" s="38"/>
      <x:c r="AA35" s="38"/>
      <x:c r="AB35" s="75">
        <x:f t="shared" si="4"/>
      </x:c>
      <x:c r="AC35" s="34"/>
      <x:c r="AD35" s="34"/>
      <x:c r="AE35" s="34"/>
    </x:row>
    <x:row r="36" ht="17" customHeight="1">
      <x:c r="A36" s="34"/>
      <x:c r="B36" s="34"/>
      <x:c r="C36" s="34"/>
      <x:c r="D36" s="34"/>
      <x:c r="E36" s="34"/>
      <x:c r="F36" s="34"/>
      <x:c r="G36" s="34"/>
      <x:c r="H36" s="34">
        <x:f t="shared" si="1"/>
      </x:c>
      <x:c r="I36" s="38">
        <x:f t="shared" si="2"/>
      </x:c>
      <x:c r="J36" s="38">
        <x:f t="shared" si="3"/>
      </x:c>
      <x:c r="K36" s="38"/>
      <x:c r="L36" s="34"/>
      <x:c r="M36" s="34"/>
      <x:c r="N36" s="38"/>
      <x:c r="O36" s="38"/>
      <x:c r="P36" s="34"/>
      <x:c r="Q36" s="34"/>
      <x:c r="R36" s="38"/>
      <x:c r="S36" s="38"/>
      <x:c r="T36" s="34"/>
      <x:c r="U36" s="34"/>
      <x:c r="V36" s="38"/>
      <x:c r="W36" s="38"/>
      <x:c r="X36" s="34"/>
      <x:c r="Y36" s="34"/>
      <x:c r="Z36" s="38"/>
      <x:c r="AA36" s="38"/>
      <x:c r="AB36" s="75">
        <x:f t="shared" si="4"/>
      </x:c>
      <x:c r="AC36" s="34"/>
      <x:c r="AD36" s="34"/>
      <x:c r="AE36" s="34"/>
    </x:row>
    <x:row r="37" ht="17" customHeight="1">
      <x:c r="A37" s="34"/>
      <x:c r="B37" s="34"/>
      <x:c r="C37" s="34"/>
      <x:c r="D37" s="34"/>
      <x:c r="E37" s="34"/>
      <x:c r="F37" s="34"/>
      <x:c r="G37" s="34"/>
      <x:c r="H37" s="34">
        <x:f t="shared" si="1"/>
      </x:c>
      <x:c r="I37" s="38">
        <x:f t="shared" si="2"/>
      </x:c>
      <x:c r="J37" s="38">
        <x:f t="shared" si="3"/>
      </x:c>
      <x:c r="K37" s="38"/>
      <x:c r="L37" s="34"/>
      <x:c r="M37" s="34"/>
      <x:c r="N37" s="38"/>
      <x:c r="O37" s="38"/>
      <x:c r="P37" s="34"/>
      <x:c r="Q37" s="34"/>
      <x:c r="R37" s="38"/>
      <x:c r="S37" s="38"/>
      <x:c r="T37" s="34"/>
      <x:c r="U37" s="34"/>
      <x:c r="V37" s="38"/>
      <x:c r="W37" s="38"/>
      <x:c r="X37" s="34"/>
      <x:c r="Y37" s="34"/>
      <x:c r="Z37" s="38"/>
      <x:c r="AA37" s="38"/>
      <x:c r="AB37" s="75">
        <x:f t="shared" si="4"/>
      </x:c>
      <x:c r="AC37" s="34"/>
      <x:c r="AD37" s="34"/>
      <x:c r="AE37" s="34"/>
    </x:row>
    <x:row r="38" ht="17" customHeight="1">
      <x:c r="A38" s="34"/>
      <x:c r="B38" s="34"/>
      <x:c r="C38" s="34"/>
      <x:c r="D38" s="34"/>
      <x:c r="E38" s="34"/>
      <x:c r="F38" s="34"/>
      <x:c r="G38" s="34"/>
      <x:c r="H38" s="34">
        <x:f t="shared" si="1"/>
      </x:c>
      <x:c r="I38" s="38">
        <x:f t="shared" si="2"/>
      </x:c>
      <x:c r="J38" s="38">
        <x:f t="shared" si="3"/>
      </x:c>
      <x:c r="K38" s="38"/>
      <x:c r="L38" s="34"/>
      <x:c r="M38" s="34"/>
      <x:c r="N38" s="38"/>
      <x:c r="O38" s="38"/>
      <x:c r="P38" s="34"/>
      <x:c r="Q38" s="34"/>
      <x:c r="R38" s="38"/>
      <x:c r="S38" s="38"/>
      <x:c r="T38" s="34"/>
      <x:c r="U38" s="34"/>
      <x:c r="V38" s="38"/>
      <x:c r="W38" s="38"/>
      <x:c r="X38" s="34"/>
      <x:c r="Y38" s="34"/>
      <x:c r="Z38" s="38"/>
      <x:c r="AA38" s="38"/>
      <x:c r="AB38" s="75">
        <x:f t="shared" si="4"/>
      </x:c>
      <x:c r="AC38" s="34"/>
      <x:c r="AD38" s="34"/>
      <x:c r="AE38" s="34"/>
    </x:row>
    <x:row r="39" ht="17" customHeight="1">
      <x:c r="A39" s="34"/>
      <x:c r="B39" s="34"/>
      <x:c r="C39" s="34"/>
      <x:c r="D39" s="34"/>
      <x:c r="E39" s="34"/>
      <x:c r="F39" s="34"/>
      <x:c r="G39" s="34"/>
      <x:c r="H39" s="34">
        <x:f t="shared" si="1"/>
      </x:c>
      <x:c r="I39" s="38">
        <x:f t="shared" si="2"/>
      </x:c>
      <x:c r="J39" s="38">
        <x:f t="shared" si="3"/>
      </x:c>
      <x:c r="K39" s="38"/>
      <x:c r="L39" s="34"/>
      <x:c r="M39" s="34"/>
      <x:c r="N39" s="38"/>
      <x:c r="O39" s="38"/>
      <x:c r="P39" s="34"/>
      <x:c r="Q39" s="34"/>
      <x:c r="R39" s="38"/>
      <x:c r="S39" s="38"/>
      <x:c r="T39" s="34"/>
      <x:c r="U39" s="34"/>
      <x:c r="V39" s="38"/>
      <x:c r="W39" s="38"/>
      <x:c r="X39" s="34"/>
      <x:c r="Y39" s="34"/>
      <x:c r="Z39" s="38"/>
      <x:c r="AA39" s="38"/>
      <x:c r="AB39" s="75">
        <x:f t="shared" si="4"/>
      </x:c>
      <x:c r="AC39" s="34"/>
      <x:c r="AD39" s="34"/>
      <x:c r="AE39" s="34"/>
    </x:row>
    <x:row r="40" ht="17" customHeight="1">
      <x:c r="A40" s="34"/>
      <x:c r="B40" s="34"/>
      <x:c r="C40" s="34"/>
      <x:c r="D40" s="34"/>
      <x:c r="E40" s="34"/>
      <x:c r="F40" s="34"/>
      <x:c r="G40" s="34">
        <x:f t="shared" ref="G40:G49" si="5">IF(OR(M40="挂起",M40="暂停",Q40="挂起",Q40="暂停",U40="挂起",U40="暂停",Y40="挂起",Y40="暂停"),"暂停","已完成")</x:f>
      </x:c>
      <x:c r="H40" s="34">
        <x:f t="shared" si="1"/>
      </x:c>
      <x:c r="I40" s="38">
        <x:f t="shared" si="2"/>
      </x:c>
      <x:c r="J40" s="38">
        <x:f t="shared" si="3"/>
      </x:c>
      <x:c r="K40" s="38"/>
      <x:c r="L40" s="34"/>
      <x:c r="M40" s="34"/>
      <x:c r="N40" s="38"/>
      <x:c r="O40" s="38"/>
      <x:c r="P40" s="34"/>
      <x:c r="Q40" s="34"/>
      <x:c r="R40" s="38"/>
      <x:c r="S40" s="38"/>
      <x:c r="T40" s="34"/>
      <x:c r="U40" s="34"/>
      <x:c r="V40" s="38"/>
      <x:c r="W40" s="38"/>
      <x:c r="X40" s="34"/>
      <x:c r="Y40" s="34"/>
      <x:c r="Z40" s="38"/>
      <x:c r="AA40" s="38"/>
      <x:c r="AB40" s="75">
        <x:f t="shared" si="4"/>
      </x:c>
      <x:c r="AC40" s="34"/>
      <x:c r="AD40" s="34"/>
      <x:c r="AE40" s="34"/>
    </x:row>
    <x:row r="41" ht="17" customHeight="1">
      <x:c r="A41" s="34"/>
      <x:c r="B41" s="34"/>
      <x:c r="C41" s="34"/>
      <x:c r="D41" s="34"/>
      <x:c r="E41" s="34"/>
      <x:c r="F41" s="34"/>
      <x:c r="G41" s="34">
        <x:f t="shared" si="5"/>
      </x:c>
      <x:c r="H41" s="34">
        <x:f t="shared" si="1"/>
      </x:c>
      <x:c r="I41" s="38">
        <x:f t="shared" si="2"/>
      </x:c>
      <x:c r="J41" s="38">
        <x:f t="shared" si="3"/>
      </x:c>
      <x:c r="K41" s="38"/>
      <x:c r="L41" s="34"/>
      <x:c r="M41" s="34"/>
      <x:c r="N41" s="38"/>
      <x:c r="O41" s="38"/>
      <x:c r="P41" s="34"/>
      <x:c r="Q41" s="34"/>
      <x:c r="R41" s="38"/>
      <x:c r="S41" s="38"/>
      <x:c r="T41" s="34"/>
      <x:c r="U41" s="34"/>
      <x:c r="V41" s="38"/>
      <x:c r="W41" s="38"/>
      <x:c r="X41" s="34"/>
      <x:c r="Y41" s="34"/>
      <x:c r="Z41" s="38"/>
      <x:c r="AA41" s="38"/>
      <x:c r="AB41" s="75">
        <x:f t="shared" si="4"/>
      </x:c>
      <x:c r="AC41" s="34"/>
      <x:c r="AD41" s="34"/>
      <x:c r="AE41" s="34"/>
    </x:row>
    <x:row r="42" ht="34" customHeight="1">
      <x:c r="A42" s="34"/>
      <x:c r="B42" s="34"/>
      <x:c r="C42" s="34"/>
      <x:c r="D42" s="34"/>
      <x:c r="E42" s="34"/>
      <x:c r="F42" s="34"/>
      <x:c r="G42" s="34">
        <x:f t="shared" si="5"/>
      </x:c>
      <x:c r="H42" s="34">
        <x:f t="shared" si="1"/>
      </x:c>
      <x:c r="I42" s="38">
        <x:f t="shared" si="2"/>
      </x:c>
      <x:c r="J42" s="38">
        <x:f t="shared" si="3"/>
      </x:c>
      <x:c r="K42" s="38"/>
      <x:c r="L42" s="34"/>
      <x:c r="M42" s="34"/>
      <x:c r="N42" s="38"/>
      <x:c r="O42" s="38"/>
      <x:c r="P42" s="34"/>
      <x:c r="Q42" s="34"/>
      <x:c r="R42" s="38"/>
      <x:c r="S42" s="38"/>
      <x:c r="T42" s="34"/>
      <x:c r="U42" s="34"/>
      <x:c r="V42" s="38"/>
      <x:c r="W42" s="38"/>
      <x:c r="X42" s="34"/>
      <x:c r="Y42" s="34"/>
      <x:c r="Z42" s="38"/>
      <x:c r="AA42" s="38"/>
      <x:c r="AB42" s="75">
        <x:f t="shared" si="4"/>
      </x:c>
      <x:c r="AC42" s="34"/>
      <x:c r="AD42" s="34"/>
      <x:c r="AE42" s="34"/>
    </x:row>
    <x:row r="43" ht="17" customHeight="1">
      <x:c r="A43" s="34"/>
      <x:c r="B43" s="34"/>
      <x:c r="C43" s="34"/>
      <x:c r="D43" s="34"/>
      <x:c r="E43" s="34"/>
      <x:c r="F43" s="34"/>
      <x:c r="G43" s="34">
        <x:f t="shared" si="5"/>
      </x:c>
      <x:c r="H43" s="34">
        <x:f t="shared" si="1"/>
      </x:c>
      <x:c r="I43" s="38">
        <x:f t="shared" si="2"/>
      </x:c>
      <x:c r="J43" s="38">
        <x:f t="shared" si="3"/>
      </x:c>
      <x:c r="K43" s="38"/>
      <x:c r="L43" s="34"/>
      <x:c r="M43" s="34"/>
      <x:c r="N43" s="38"/>
      <x:c r="O43" s="38"/>
      <x:c r="P43" s="34"/>
      <x:c r="Q43" s="34"/>
      <x:c r="R43" s="38"/>
      <x:c r="S43" s="38"/>
      <x:c r="T43" s="34"/>
      <x:c r="U43" s="34"/>
      <x:c r="V43" s="38"/>
      <x:c r="W43" s="38"/>
      <x:c r="X43" s="34"/>
      <x:c r="Y43" s="34"/>
      <x:c r="Z43" s="38"/>
      <x:c r="AA43" s="38"/>
      <x:c r="AB43" s="75">
        <x:f t="shared" si="4"/>
      </x:c>
      <x:c r="AC43" s="34"/>
      <x:c r="AD43" s="34"/>
      <x:c r="AE43" s="34"/>
    </x:row>
    <x:row r="44" ht="17" customHeight="1">
      <x:c r="A44" s="34"/>
      <x:c r="B44" s="34"/>
      <x:c r="C44" s="34"/>
      <x:c r="D44" s="34"/>
      <x:c r="E44" s="34"/>
      <x:c r="F44" s="34"/>
      <x:c r="G44" s="34">
        <x:f t="shared" si="5"/>
      </x:c>
      <x:c r="H44" s="34">
        <x:f t="shared" si="1"/>
      </x:c>
      <x:c r="I44" s="38">
        <x:f t="shared" si="2"/>
      </x:c>
      <x:c r="J44" s="38">
        <x:f t="shared" si="3"/>
      </x:c>
      <x:c r="K44" s="38"/>
      <x:c r="L44" s="34"/>
      <x:c r="M44" s="34"/>
      <x:c r="N44" s="38"/>
      <x:c r="O44" s="38"/>
      <x:c r="P44" s="34"/>
      <x:c r="Q44" s="34"/>
      <x:c r="R44" s="38"/>
      <x:c r="S44" s="38"/>
      <x:c r="T44" s="34"/>
      <x:c r="U44" s="34"/>
      <x:c r="V44" s="38"/>
      <x:c r="W44" s="38"/>
      <x:c r="X44" s="34"/>
      <x:c r="Y44" s="34"/>
      <x:c r="Z44" s="38"/>
      <x:c r="AA44" s="38"/>
      <x:c r="AB44" s="75">
        <x:f t="shared" si="4"/>
      </x:c>
      <x:c r="AC44" s="34"/>
      <x:c r="AD44" s="34"/>
      <x:c r="AE44" s="34"/>
    </x:row>
    <x:row r="45" ht="17" customHeight="1">
      <x:c r="A45" s="34"/>
      <x:c r="B45" s="34"/>
      <x:c r="C45" s="34"/>
      <x:c r="D45" s="34"/>
      <x:c r="E45" s="34"/>
      <x:c r="F45" s="34"/>
      <x:c r="G45" s="34">
        <x:f t="shared" si="5"/>
      </x:c>
      <x:c r="H45" s="34">
        <x:f t="shared" si="1"/>
      </x:c>
      <x:c r="I45" s="38">
        <x:f t="shared" si="2"/>
      </x:c>
      <x:c r="J45" s="38">
        <x:f t="shared" si="3"/>
      </x:c>
      <x:c r="K45" s="38"/>
      <x:c r="L45" s="34"/>
      <x:c r="M45" s="34"/>
      <x:c r="N45" s="38"/>
      <x:c r="O45" s="38"/>
      <x:c r="P45" s="34"/>
      <x:c r="Q45" s="34"/>
      <x:c r="R45" s="38"/>
      <x:c r="S45" s="38"/>
      <x:c r="T45" s="34"/>
      <x:c r="U45" s="34"/>
      <x:c r="V45" s="38"/>
      <x:c r="W45" s="38"/>
      <x:c r="X45" s="34"/>
      <x:c r="Y45" s="34"/>
      <x:c r="Z45" s="38"/>
      <x:c r="AA45" s="38"/>
      <x:c r="AB45" s="75">
        <x:f t="shared" si="4"/>
      </x:c>
      <x:c r="AC45" s="34"/>
      <x:c r="AD45" s="34"/>
      <x:c r="AE45" s="34"/>
    </x:row>
    <x:row r="46" ht="17" customHeight="1">
      <x:c r="A46" s="34"/>
      <x:c r="B46" s="34"/>
      <x:c r="C46" s="34"/>
      <x:c r="D46" s="34"/>
      <x:c r="E46" s="34"/>
      <x:c r="F46" s="34"/>
      <x:c r="G46" s="34">
        <x:f t="shared" si="5"/>
      </x:c>
      <x:c r="H46" s="34">
        <x:f t="shared" si="1"/>
      </x:c>
      <x:c r="I46" s="38">
        <x:f t="shared" si="2"/>
      </x:c>
      <x:c r="J46" s="38">
        <x:f t="shared" si="3"/>
      </x:c>
      <x:c r="K46" s="38"/>
      <x:c r="L46" s="34"/>
      <x:c r="M46" s="34"/>
      <x:c r="N46" s="38"/>
      <x:c r="O46" s="38"/>
      <x:c r="P46" s="34"/>
      <x:c r="Q46" s="34"/>
      <x:c r="R46" s="38"/>
      <x:c r="S46" s="38"/>
      <x:c r="T46" s="34"/>
      <x:c r="U46" s="34"/>
      <x:c r="V46" s="38"/>
      <x:c r="W46" s="38"/>
      <x:c r="X46" s="34"/>
      <x:c r="Y46" s="34"/>
      <x:c r="Z46" s="38"/>
      <x:c r="AA46" s="38"/>
      <x:c r="AB46" s="75">
        <x:f t="shared" si="4"/>
      </x:c>
      <x:c r="AC46" s="34"/>
      <x:c r="AD46" s="34"/>
      <x:c r="AE46" s="34"/>
    </x:row>
    <x:row r="47" ht="17" customHeight="1">
      <x:c r="A47" s="34"/>
      <x:c r="B47" s="34"/>
      <x:c r="C47" s="34"/>
      <x:c r="D47" s="34"/>
      <x:c r="E47" s="34"/>
      <x:c r="F47" s="34"/>
      <x:c r="G47" s="34">
        <x:f t="shared" si="5"/>
      </x:c>
      <x:c r="H47" s="34">
        <x:f t="shared" si="1"/>
      </x:c>
      <x:c r="I47" s="38">
        <x:f t="shared" si="2"/>
      </x:c>
      <x:c r="J47" s="38">
        <x:f t="shared" si="3"/>
      </x:c>
      <x:c r="K47" s="38"/>
      <x:c r="L47" s="34"/>
      <x:c r="M47" s="34"/>
      <x:c r="N47" s="38"/>
      <x:c r="O47" s="38"/>
      <x:c r="P47" s="34"/>
      <x:c r="Q47" s="34"/>
      <x:c r="R47" s="38"/>
      <x:c r="S47" s="38"/>
      <x:c r="T47" s="34"/>
      <x:c r="U47" s="34"/>
      <x:c r="V47" s="38"/>
      <x:c r="W47" s="38"/>
      <x:c r="X47" s="34"/>
      <x:c r="Y47" s="34"/>
      <x:c r="Z47" s="38"/>
      <x:c r="AA47" s="38"/>
      <x:c r="AB47" s="75">
        <x:f t="shared" si="4"/>
      </x:c>
      <x:c r="AC47" s="34"/>
      <x:c r="AD47" s="34"/>
      <x:c r="AE47" s="34"/>
    </x:row>
    <x:row r="48" ht="17" customHeight="1">
      <x:c r="A48" s="34"/>
      <x:c r="B48" s="34"/>
      <x:c r="C48" s="34"/>
      <x:c r="D48" s="34"/>
      <x:c r="E48" s="34"/>
      <x:c r="F48" s="34"/>
      <x:c r="G48" s="34">
        <x:f t="shared" si="5"/>
      </x:c>
      <x:c r="H48" s="34">
        <x:f t="shared" si="1"/>
      </x:c>
      <x:c r="I48" s="38">
        <x:f t="shared" si="2"/>
      </x:c>
      <x:c r="J48" s="38">
        <x:f t="shared" si="3"/>
      </x:c>
      <x:c r="K48" s="38"/>
      <x:c r="L48" s="34"/>
      <x:c r="M48" s="34"/>
      <x:c r="N48" s="38"/>
      <x:c r="O48" s="38"/>
      <x:c r="P48" s="34"/>
      <x:c r="Q48" s="34"/>
      <x:c r="R48" s="38"/>
      <x:c r="S48" s="38"/>
      <x:c r="T48" s="34"/>
      <x:c r="U48" s="34"/>
      <x:c r="V48" s="38"/>
      <x:c r="W48" s="38"/>
      <x:c r="X48" s="34"/>
      <x:c r="Y48" s="34"/>
      <x:c r="Z48" s="38"/>
      <x:c r="AA48" s="38"/>
      <x:c r="AB48" s="75">
        <x:f t="shared" si="4"/>
      </x:c>
      <x:c r="AC48" s="34"/>
      <x:c r="AD48" s="34"/>
      <x:c r="AE48" s="34"/>
    </x:row>
    <x:row r="49" ht="17" customHeight="1">
      <x:c r="A49" s="34"/>
      <x:c r="B49" s="34"/>
      <x:c r="C49" s="34"/>
      <x:c r="D49" s="34"/>
      <x:c r="E49" s="34"/>
      <x:c r="F49" s="34"/>
      <x:c r="G49" s="34">
        <x:f t="shared" si="5"/>
      </x:c>
      <x:c r="H49" s="34">
        <x:f t="shared" si="1"/>
      </x:c>
      <x:c r="I49" s="38">
        <x:f t="shared" si="2"/>
      </x:c>
      <x:c r="J49" s="38">
        <x:f t="shared" si="3"/>
      </x:c>
      <x:c r="K49" s="38"/>
      <x:c r="L49" s="34"/>
      <x:c r="M49" s="34"/>
      <x:c r="N49" s="38"/>
      <x:c r="O49" s="38"/>
      <x:c r="P49" s="34"/>
      <x:c r="Q49" s="34"/>
      <x:c r="R49" s="38"/>
      <x:c r="S49" s="38"/>
      <x:c r="T49" s="34"/>
      <x:c r="U49" s="34"/>
      <x:c r="V49" s="38"/>
      <x:c r="W49" s="38"/>
      <x:c r="X49" s="34"/>
      <x:c r="Y49" s="34"/>
      <x:c r="Z49" s="38"/>
      <x:c r="AA49" s="38"/>
      <x:c r="AB49" s="75">
        <x:f t="shared" si="4"/>
      </x:c>
      <x:c r="AC49" s="34"/>
      <x:c r="AD49" s="34"/>
      <x:c r="AE49" s="34"/>
    </x:row>
    <x:row r="50" ht="17" customHeight="1">
      <x:c r="A50" s="34"/>
      <x:c r="B50" s="34"/>
      <x:c r="C50" s="34"/>
      <x:c r="D50" s="34"/>
      <x:c r="E50" s="34"/>
      <x:c r="F50" s="34"/>
      <x:c r="G50" s="34"/>
      <x:c r="H50" s="34">
        <x:f t="shared" si="1"/>
      </x:c>
      <x:c r="I50" s="38">
        <x:f t="shared" si="2"/>
      </x:c>
      <x:c r="J50" s="38">
        <x:f t="shared" si="3"/>
      </x:c>
      <x:c r="K50" s="38"/>
      <x:c r="L50" s="34"/>
      <x:c r="M50" s="34"/>
      <x:c r="N50" s="38"/>
      <x:c r="O50" s="38"/>
      <x:c r="P50" s="34"/>
      <x:c r="Q50" s="34"/>
      <x:c r="R50" s="38"/>
      <x:c r="S50" s="38"/>
      <x:c r="T50" s="34"/>
      <x:c r="U50" s="34"/>
      <x:c r="V50" s="38"/>
      <x:c r="W50" s="38"/>
      <x:c r="X50" s="34"/>
      <x:c r="Y50" s="34"/>
      <x:c r="Z50" s="38"/>
      <x:c r="AA50" s="38"/>
      <x:c r="AB50" s="75">
        <x:f t="shared" si="4"/>
      </x:c>
      <x:c r="AC50" s="34"/>
      <x:c r="AD50" s="34"/>
      <x:c r="AE50" s="34"/>
    </x:row>
    <x:row r="51" ht="17" customHeight="1">
      <x:c r="A51" s="34"/>
      <x:c r="B51" s="34"/>
      <x:c r="C51" s="34"/>
      <x:c r="D51" s="34"/>
      <x:c r="E51" s="34"/>
      <x:c r="F51" s="34"/>
      <x:c r="G51" s="34"/>
      <x:c r="H51" s="34">
        <x:f t="shared" si="1"/>
      </x:c>
      <x:c r="I51" s="38">
        <x:f t="shared" si="2"/>
      </x:c>
      <x:c r="J51" s="38">
        <x:f t="shared" si="3"/>
      </x:c>
      <x:c r="K51" s="38"/>
      <x:c r="L51" s="34"/>
      <x:c r="M51" s="34"/>
      <x:c r="N51" s="38"/>
      <x:c r="O51" s="38"/>
      <x:c r="P51" s="34"/>
      <x:c r="Q51" s="34"/>
      <x:c r="R51" s="38"/>
      <x:c r="S51" s="38"/>
      <x:c r="T51" s="34"/>
      <x:c r="U51" s="34"/>
      <x:c r="V51" s="38"/>
      <x:c r="W51" s="38"/>
      <x:c r="X51" s="34"/>
      <x:c r="Y51" s="34"/>
      <x:c r="Z51" s="38"/>
      <x:c r="AA51" s="38"/>
      <x:c r="AB51" s="75">
        <x:f t="shared" si="4"/>
      </x:c>
      <x:c r="AC51" s="34"/>
      <x:c r="AD51" s="34"/>
      <x:c r="AE51" s="34"/>
    </x:row>
    <x:row r="52" ht="17" customHeight="1">
      <x:c r="A52" s="34"/>
      <x:c r="B52" s="34"/>
      <x:c r="C52" s="34"/>
      <x:c r="D52" s="34"/>
      <x:c r="E52" s="34"/>
      <x:c r="F52" s="34"/>
      <x:c r="G52" s="34"/>
      <x:c r="H52" s="34">
        <x:f t="shared" si="1"/>
      </x:c>
      <x:c r="I52" s="38">
        <x:f t="shared" si="2"/>
      </x:c>
      <x:c r="J52" s="38">
        <x:f t="shared" si="3"/>
      </x:c>
      <x:c r="K52" s="38"/>
      <x:c r="L52" s="34"/>
      <x:c r="M52" s="34"/>
      <x:c r="N52" s="38"/>
      <x:c r="O52" s="38"/>
      <x:c r="P52" s="34"/>
      <x:c r="Q52" s="34"/>
      <x:c r="R52" s="38"/>
      <x:c r="S52" s="38"/>
      <x:c r="T52" s="34"/>
      <x:c r="U52" s="34"/>
      <x:c r="V52" s="38"/>
      <x:c r="W52" s="38"/>
      <x:c r="X52" s="34"/>
      <x:c r="Y52" s="34"/>
      <x:c r="Z52" s="38"/>
      <x:c r="AA52" s="38"/>
      <x:c r="AB52" s="75">
        <x:f t="shared" si="4"/>
      </x:c>
      <x:c r="AC52" s="34"/>
      <x:c r="AD52" s="34"/>
      <x:c r="AE52" s="34"/>
    </x:row>
    <x:row r="53" ht="17" customHeight="1">
      <x:c r="A53" s="34"/>
      <x:c r="B53" s="34"/>
      <x:c r="C53" s="34"/>
      <x:c r="D53" s="34"/>
      <x:c r="E53" s="34"/>
      <x:c r="F53" s="34"/>
      <x:c r="G53" s="34"/>
      <x:c r="H53" s="34">
        <x:f t="shared" si="1"/>
      </x:c>
      <x:c r="I53" s="38">
        <x:f t="shared" si="2"/>
      </x:c>
      <x:c r="J53" s="38">
        <x:f t="shared" si="3"/>
      </x:c>
      <x:c r="K53" s="38"/>
      <x:c r="L53" s="34"/>
      <x:c r="M53" s="34"/>
      <x:c r="N53" s="38"/>
      <x:c r="O53" s="38"/>
      <x:c r="P53" s="34"/>
      <x:c r="Q53" s="34"/>
      <x:c r="R53" s="38"/>
      <x:c r="S53" s="38"/>
      <x:c r="T53" s="34"/>
      <x:c r="U53" s="34"/>
      <x:c r="V53" s="38"/>
      <x:c r="W53" s="38"/>
      <x:c r="X53" s="34"/>
      <x:c r="Y53" s="34"/>
      <x:c r="Z53" s="38"/>
      <x:c r="AA53" s="38"/>
      <x:c r="AB53" s="75">
        <x:f t="shared" si="4"/>
      </x:c>
      <x:c r="AC53" s="34"/>
      <x:c r="AD53" s="34"/>
      <x:c r="AE53" s="34"/>
    </x:row>
    <x:row r="54" ht="17" customHeight="1">
      <x:c r="A54" s="34"/>
      <x:c r="B54" s="34"/>
      <x:c r="C54" s="34"/>
      <x:c r="D54" s="34"/>
      <x:c r="E54" s="34"/>
      <x:c r="F54" s="34"/>
      <x:c r="G54" s="34"/>
      <x:c r="H54" s="34">
        <x:f t="shared" si="1"/>
      </x:c>
      <x:c r="I54" s="38">
        <x:f t="shared" si="2"/>
      </x:c>
      <x:c r="J54" s="38">
        <x:f t="shared" si="3"/>
      </x:c>
      <x:c r="K54" s="38"/>
      <x:c r="L54" s="34"/>
      <x:c r="M54" s="34"/>
      <x:c r="N54" s="38"/>
      <x:c r="O54" s="38"/>
      <x:c r="P54" s="34"/>
      <x:c r="Q54" s="34"/>
      <x:c r="R54" s="38"/>
      <x:c r="S54" s="38"/>
      <x:c r="T54" s="34"/>
      <x:c r="U54" s="34"/>
      <x:c r="V54" s="38"/>
      <x:c r="W54" s="38"/>
      <x:c r="X54" s="34"/>
      <x:c r="Y54" s="34"/>
      <x:c r="Z54" s="38"/>
      <x:c r="AA54" s="38"/>
      <x:c r="AB54" s="75">
        <x:f t="shared" si="4"/>
      </x:c>
      <x:c r="AC54" s="34"/>
      <x:c r="AD54" s="34"/>
      <x:c r="AE54" s="34"/>
    </x:row>
    <x:row r="55" ht="17" customHeight="1">
      <x:c r="A55" s="34"/>
      <x:c r="B55" s="34"/>
      <x:c r="C55" s="34"/>
      <x:c r="D55" s="34"/>
      <x:c r="E55" s="34"/>
      <x:c r="F55" s="34"/>
      <x:c r="G55" s="34"/>
      <x:c r="H55" s="34">
        <x:f t="shared" si="1"/>
      </x:c>
      <x:c r="I55" s="38">
        <x:f t="shared" si="2"/>
      </x:c>
      <x:c r="J55" s="38">
        <x:f t="shared" si="3"/>
      </x:c>
      <x:c r="K55" s="38"/>
      <x:c r="L55" s="34"/>
      <x:c r="M55" s="34"/>
      <x:c r="N55" s="38"/>
      <x:c r="O55" s="38"/>
      <x:c r="P55" s="34"/>
      <x:c r="Q55" s="34"/>
      <x:c r="R55" s="38"/>
      <x:c r="S55" s="38"/>
      <x:c r="T55" s="34"/>
      <x:c r="U55" s="34"/>
      <x:c r="V55" s="38"/>
      <x:c r="W55" s="38"/>
      <x:c r="X55" s="34"/>
      <x:c r="Y55" s="34"/>
      <x:c r="Z55" s="38"/>
      <x:c r="AA55" s="38"/>
      <x:c r="AB55" s="75">
        <x:f t="shared" si="4"/>
      </x:c>
      <x:c r="AC55" s="34"/>
      <x:c r="AD55" s="34"/>
      <x:c r="AE55" s="34"/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>
        <x:f t="shared" si="1"/>
      </x:c>
      <x:c r="I56" s="38">
        <x:f t="shared" si="2"/>
      </x:c>
      <x:c r="J56" s="38">
        <x:f t="shared" si="3"/>
      </x:c>
      <x:c r="K56" s="38"/>
      <x:c r="L56" s="34"/>
      <x:c r="M56" s="34"/>
      <x:c r="N56" s="38"/>
      <x:c r="O56" s="38"/>
      <x:c r="P56" s="34"/>
      <x:c r="Q56" s="34"/>
      <x:c r="R56" s="38"/>
      <x:c r="S56" s="38"/>
      <x:c r="T56" s="34"/>
      <x:c r="U56" s="34"/>
      <x:c r="V56" s="38"/>
      <x:c r="W56" s="38"/>
      <x:c r="X56" s="34"/>
      <x:c r="Y56" s="34"/>
      <x:c r="Z56" s="38"/>
      <x:c r="AA56" s="38"/>
      <x:c r="AB56" s="75">
        <x:f t="shared" si="4"/>
      </x:c>
      <x:c r="AC56" s="34"/>
      <x:c r="AD56" s="34"/>
      <x:c r="AE56" s="34"/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>
        <x:f t="shared" si="1"/>
      </x:c>
      <x:c r="I57" s="38">
        <x:f t="shared" si="2"/>
      </x:c>
      <x:c r="J57" s="38">
        <x:f t="shared" si="3"/>
      </x:c>
      <x:c r="K57" s="38"/>
      <x:c r="L57" s="34"/>
      <x:c r="M57" s="34"/>
      <x:c r="N57" s="38"/>
      <x:c r="O57" s="38"/>
      <x:c r="P57" s="34"/>
      <x:c r="Q57" s="34"/>
      <x:c r="R57" s="38"/>
      <x:c r="S57" s="38"/>
      <x:c r="T57" s="34"/>
      <x:c r="U57" s="34"/>
      <x:c r="V57" s="38"/>
      <x:c r="W57" s="38"/>
      <x:c r="X57" s="34"/>
      <x:c r="Y57" s="34"/>
      <x:c r="Z57" s="38"/>
      <x:c r="AA57" s="38"/>
      <x:c r="AB57" s="75">
        <x:f t="shared" si="4"/>
      </x:c>
      <x:c r="AC57" s="34"/>
      <x:c r="AD57" s="34"/>
      <x:c r="AE57" s="34"/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>
        <x:f t="shared" si="1"/>
      </x:c>
      <x:c r="I58" s="38">
        <x:f t="shared" si="2"/>
      </x:c>
      <x:c r="J58" s="38">
        <x:f t="shared" si="3"/>
      </x:c>
      <x:c r="K58" s="38"/>
      <x:c r="L58" s="34"/>
      <x:c r="M58" s="34"/>
      <x:c r="N58" s="38"/>
      <x:c r="O58" s="38"/>
      <x:c r="P58" s="34"/>
      <x:c r="Q58" s="34"/>
      <x:c r="R58" s="38"/>
      <x:c r="S58" s="38"/>
      <x:c r="T58" s="34"/>
      <x:c r="U58" s="34"/>
      <x:c r="V58" s="38"/>
      <x:c r="W58" s="38"/>
      <x:c r="X58" s="34"/>
      <x:c r="Y58" s="34"/>
      <x:c r="Z58" s="38"/>
      <x:c r="AA58" s="38"/>
      <x:c r="AB58" s="75">
        <x:f t="shared" si="4"/>
      </x:c>
      <x:c r="AC58" s="34"/>
      <x:c r="AD58" s="34"/>
      <x:c r="AE58" s="34"/>
    </x:row>
    <x:row r="59" ht="17" customHeight="1">
      <x:c r="A59" s="34"/>
      <x:c r="B59" s="34"/>
      <x:c r="C59" s="34"/>
      <x:c r="D59" s="34"/>
      <x:c r="E59" s="34"/>
      <x:c r="F59" s="34"/>
      <x:c r="G59" s="34"/>
      <x:c r="H59" s="34">
        <x:f t="shared" si="1"/>
      </x:c>
      <x:c r="I59" s="38">
        <x:f t="shared" si="2"/>
      </x:c>
      <x:c r="J59" s="38">
        <x:f t="shared" si="3"/>
      </x:c>
      <x:c r="K59" s="38"/>
      <x:c r="L59" s="34"/>
      <x:c r="M59" s="34"/>
      <x:c r="N59" s="38"/>
      <x:c r="O59" s="38"/>
      <x:c r="P59" s="34"/>
      <x:c r="Q59" s="34"/>
      <x:c r="R59" s="38"/>
      <x:c r="S59" s="38"/>
      <x:c r="T59" s="34"/>
      <x:c r="U59" s="34"/>
      <x:c r="V59" s="38"/>
      <x:c r="W59" s="38"/>
      <x:c r="X59" s="34"/>
      <x:c r="Y59" s="34"/>
      <x:c r="Z59" s="38"/>
      <x:c r="AA59" s="38"/>
      <x:c r="AB59" s="75">
        <x:f t="shared" si="4"/>
      </x:c>
      <x:c r="AC59" s="34"/>
      <x:c r="AD59" s="34"/>
      <x:c r="AE59" s="34"/>
    </x:row>
    <x:row r="60" ht="17" customHeight="1">
      <x:c r="A60" s="34"/>
      <x:c r="B60" s="34"/>
      <x:c r="C60" s="34"/>
      <x:c r="D60" s="34"/>
      <x:c r="E60" s="34"/>
      <x:c r="F60" s="34"/>
      <x:c r="G60" s="34"/>
      <x:c r="H60" s="34">
        <x:f t="shared" si="1"/>
      </x:c>
      <x:c r="I60" s="38">
        <x:f t="shared" si="2"/>
      </x:c>
      <x:c r="J60" s="38">
        <x:f t="shared" si="3"/>
      </x:c>
      <x:c r="K60" s="38"/>
      <x:c r="L60" s="34"/>
      <x:c r="M60" s="34"/>
      <x:c r="N60" s="38"/>
      <x:c r="O60" s="38"/>
      <x:c r="P60" s="34"/>
      <x:c r="Q60" s="34"/>
      <x:c r="R60" s="38"/>
      <x:c r="S60" s="38"/>
      <x:c r="T60" s="34"/>
      <x:c r="U60" s="34"/>
      <x:c r="V60" s="38"/>
      <x:c r="W60" s="38"/>
      <x:c r="X60" s="34"/>
      <x:c r="Y60" s="34"/>
      <x:c r="Z60" s="38"/>
      <x:c r="AA60" s="38"/>
      <x:c r="AB60" s="75">
        <x:f t="shared" si="4"/>
      </x:c>
      <x:c r="AC60" s="34"/>
      <x:c r="AD60" s="34"/>
      <x:c r="AE60" s="34"/>
    </x:row>
    <x:row r="61" ht="17" customHeight="1">
      <x:c r="A61" s="34"/>
      <x:c r="B61" s="34"/>
      <x:c r="C61" s="34"/>
      <x:c r="D61" s="34"/>
      <x:c r="E61" s="34"/>
      <x:c r="F61" s="34"/>
      <x:c r="G61" s="34">
        <x:f t="shared" ref="G61:G80" si="6">IF(OR(M61="挂起",M61="暂停",Q61="挂起",Q61="暂停",U61="挂起",U61="暂停",Y61="挂起",Y61="暂停"),"暂停","已完成")</x:f>
      </x:c>
      <x:c r="H61" s="34">
        <x:f t="shared" si="1"/>
      </x:c>
      <x:c r="I61" s="38">
        <x:f t="shared" si="2"/>
      </x:c>
      <x:c r="J61" s="38">
        <x:f t="shared" si="3"/>
      </x:c>
      <x:c r="K61" s="38"/>
      <x:c r="L61" s="34"/>
      <x:c r="M61" s="34"/>
      <x:c r="N61" s="38"/>
      <x:c r="O61" s="38"/>
      <x:c r="P61" s="34"/>
      <x:c r="Q61" s="34"/>
      <x:c r="R61" s="38"/>
      <x:c r="S61" s="38"/>
      <x:c r="T61" s="34"/>
      <x:c r="U61" s="34"/>
      <x:c r="V61" s="38"/>
      <x:c r="W61" s="38"/>
      <x:c r="X61" s="34"/>
      <x:c r="Y61" s="34"/>
      <x:c r="Z61" s="38"/>
      <x:c r="AA61" s="38"/>
      <x:c r="AB61" s="75">
        <x:f t="shared" si="4"/>
      </x:c>
      <x:c r="AC61" s="34"/>
      <x:c r="AD61" s="34"/>
      <x:c r="AE61" s="34"/>
    </x:row>
    <x:row r="62" ht="17" customHeight="1">
      <x:c r="A62" s="34"/>
      <x:c r="B62" s="34"/>
      <x:c r="C62" s="34"/>
      <x:c r="D62" s="34"/>
      <x:c r="E62" s="34"/>
      <x:c r="F62" s="34"/>
      <x:c r="G62" s="34">
        <x:f t="shared" si="6"/>
      </x:c>
      <x:c r="H62" s="34">
        <x:f t="shared" si="1"/>
      </x:c>
      <x:c r="I62" s="38">
        <x:f t="shared" si="2"/>
      </x:c>
      <x:c r="J62" s="38">
        <x:f t="shared" si="3"/>
      </x:c>
      <x:c r="K62" s="38"/>
      <x:c r="L62" s="34"/>
      <x:c r="M62" s="34"/>
      <x:c r="N62" s="38"/>
      <x:c r="O62" s="38"/>
      <x:c r="P62" s="34"/>
      <x:c r="Q62" s="34"/>
      <x:c r="R62" s="38"/>
      <x:c r="S62" s="38"/>
      <x:c r="T62" s="34"/>
      <x:c r="U62" s="34"/>
      <x:c r="V62" s="38"/>
      <x:c r="W62" s="38"/>
      <x:c r="X62" s="34"/>
      <x:c r="Y62" s="34"/>
      <x:c r="Z62" s="38"/>
      <x:c r="AA62" s="38"/>
      <x:c r="AB62" s="75">
        <x:f t="shared" si="4"/>
      </x:c>
      <x:c r="AC62" s="34"/>
      <x:c r="AD62" s="34"/>
      <x:c r="AE62" s="34"/>
    </x:row>
    <x:row r="63" ht="17" customHeight="1">
      <x:c r="A63" s="34"/>
      <x:c r="B63" s="34"/>
      <x:c r="C63" s="34"/>
      <x:c r="D63" s="34"/>
      <x:c r="E63" s="34"/>
      <x:c r="F63" s="34"/>
      <x:c r="G63" s="34">
        <x:f t="shared" si="6"/>
      </x:c>
      <x:c r="H63" s="34">
        <x:f t="shared" si="1"/>
      </x:c>
      <x:c r="I63" s="38">
        <x:f t="shared" si="2"/>
      </x:c>
      <x:c r="J63" s="38">
        <x:f t="shared" si="3"/>
      </x:c>
      <x:c r="K63" s="38"/>
      <x:c r="L63" s="34"/>
      <x:c r="M63" s="34"/>
      <x:c r="N63" s="38"/>
      <x:c r="O63" s="38"/>
      <x:c r="P63" s="34"/>
      <x:c r="Q63" s="34"/>
      <x:c r="R63" s="38"/>
      <x:c r="S63" s="38"/>
      <x:c r="T63" s="34"/>
      <x:c r="U63" s="34"/>
      <x:c r="V63" s="38"/>
      <x:c r="W63" s="38"/>
      <x:c r="X63" s="34"/>
      <x:c r="Y63" s="34"/>
      <x:c r="Z63" s="38"/>
      <x:c r="AA63" s="38"/>
      <x:c r="AB63" s="75">
        <x:f t="shared" si="4"/>
      </x:c>
      <x:c r="AC63" s="34"/>
      <x:c r="AD63" s="34"/>
      <x:c r="AE63" s="34"/>
    </x:row>
    <x:row r="64" ht="17" customHeight="1">
      <x:c r="A64" s="34"/>
      <x:c r="B64" s="34"/>
      <x:c r="C64" s="34"/>
      <x:c r="D64" s="34"/>
      <x:c r="E64" s="34"/>
      <x:c r="F64" s="34"/>
      <x:c r="G64" s="34">
        <x:f t="shared" si="6"/>
      </x:c>
      <x:c r="H64" s="34">
        <x:f t="shared" si="1"/>
      </x:c>
      <x:c r="I64" s="38">
        <x:f t="shared" si="2"/>
      </x:c>
      <x:c r="J64" s="38">
        <x:f t="shared" si="3"/>
      </x:c>
      <x:c r="K64" s="38"/>
      <x:c r="L64" s="34"/>
      <x:c r="M64" s="34"/>
      <x:c r="N64" s="38"/>
      <x:c r="O64" s="38"/>
      <x:c r="P64" s="34"/>
      <x:c r="Q64" s="34"/>
      <x:c r="R64" s="38"/>
      <x:c r="S64" s="38"/>
      <x:c r="T64" s="34"/>
      <x:c r="U64" s="34"/>
      <x:c r="V64" s="38"/>
      <x:c r="W64" s="38"/>
      <x:c r="X64" s="34"/>
      <x:c r="Y64" s="34"/>
      <x:c r="Z64" s="38"/>
      <x:c r="AA64" s="38"/>
      <x:c r="AB64" s="75">
        <x:f t="shared" si="4"/>
      </x:c>
      <x:c r="AC64" s="34"/>
      <x:c r="AD64" s="34"/>
      <x:c r="AE64" s="34"/>
    </x:row>
    <x:row r="65" ht="17" customHeight="1">
      <x:c r="A65" s="34"/>
      <x:c r="B65" s="34"/>
      <x:c r="C65" s="34"/>
      <x:c r="D65" s="34"/>
      <x:c r="E65" s="34"/>
      <x:c r="F65" s="34"/>
      <x:c r="G65" s="34">
        <x:f t="shared" si="6"/>
      </x:c>
      <x:c r="H65" s="34">
        <x:f t="shared" si="1"/>
      </x:c>
      <x:c r="I65" s="38">
        <x:f t="shared" si="2"/>
      </x:c>
      <x:c r="J65" s="38">
        <x:f t="shared" si="3"/>
      </x:c>
      <x:c r="K65" s="38"/>
      <x:c r="L65" s="34"/>
      <x:c r="M65" s="34"/>
      <x:c r="N65" s="38"/>
      <x:c r="O65" s="38"/>
      <x:c r="P65" s="34"/>
      <x:c r="Q65" s="34"/>
      <x:c r="R65" s="38"/>
      <x:c r="S65" s="38"/>
      <x:c r="T65" s="34"/>
      <x:c r="U65" s="34"/>
      <x:c r="V65" s="38"/>
      <x:c r="W65" s="38"/>
      <x:c r="X65" s="34"/>
      <x:c r="Y65" s="34"/>
      <x:c r="Z65" s="38"/>
      <x:c r="AA65" s="38"/>
      <x:c r="AB65" s="75">
        <x:f t="shared" si="4"/>
      </x:c>
      <x:c r="AC65" s="34"/>
      <x:c r="AD65" s="34"/>
      <x:c r="AE65" s="34"/>
    </x:row>
    <x:row r="66" ht="17" customHeight="1">
      <x:c r="A66" s="34"/>
      <x:c r="B66" s="34"/>
      <x:c r="C66" s="34"/>
      <x:c r="D66" s="34"/>
      <x:c r="E66" s="34"/>
      <x:c r="F66" s="34"/>
      <x:c r="G66" s="34">
        <x:f t="shared" si="6"/>
      </x:c>
      <x:c r="H66" s="34">
        <x:f t="shared" si="1"/>
      </x:c>
      <x:c r="I66" s="38">
        <x:f t="shared" si="2"/>
      </x:c>
      <x:c r="J66" s="38">
        <x:f t="shared" si="3"/>
      </x:c>
      <x:c r="K66" s="38"/>
      <x:c r="L66" s="34"/>
      <x:c r="M66" s="34"/>
      <x:c r="N66" s="38"/>
      <x:c r="O66" s="38"/>
      <x:c r="P66" s="34"/>
      <x:c r="Q66" s="34"/>
      <x:c r="R66" s="38"/>
      <x:c r="S66" s="38"/>
      <x:c r="T66" s="34"/>
      <x:c r="U66" s="34"/>
      <x:c r="V66" s="38"/>
      <x:c r="W66" s="38"/>
      <x:c r="X66" s="34"/>
      <x:c r="Y66" s="34"/>
      <x:c r="Z66" s="38"/>
      <x:c r="AA66" s="38"/>
      <x:c r="AB66" s="75">
        <x:f t="shared" si="4"/>
      </x:c>
      <x:c r="AC66" s="34"/>
      <x:c r="AD66" s="34"/>
      <x:c r="AE66" s="34"/>
    </x:row>
    <x:row r="67" ht="17" customHeight="1">
      <x:c r="A67" s="34"/>
      <x:c r="B67" s="34"/>
      <x:c r="C67" s="34"/>
      <x:c r="D67" s="34"/>
      <x:c r="E67" s="34"/>
      <x:c r="F67" s="34"/>
      <x:c r="G67" s="34">
        <x:f t="shared" si="6"/>
      </x:c>
      <x:c r="H67" s="34">
        <x:f t="shared" si="1"/>
      </x:c>
      <x:c r="I67" s="38">
        <x:f t="shared" si="2"/>
      </x:c>
      <x:c r="J67" s="38">
        <x:f t="shared" si="3"/>
      </x:c>
      <x:c r="K67" s="38"/>
      <x:c r="L67" s="34"/>
      <x:c r="M67" s="34"/>
      <x:c r="N67" s="38"/>
      <x:c r="O67" s="38"/>
      <x:c r="P67" s="34"/>
      <x:c r="Q67" s="34"/>
      <x:c r="R67" s="38"/>
      <x:c r="S67" s="38"/>
      <x:c r="T67" s="34"/>
      <x:c r="U67" s="34"/>
      <x:c r="V67" s="38"/>
      <x:c r="W67" s="38"/>
      <x:c r="X67" s="34"/>
      <x:c r="Y67" s="34"/>
      <x:c r="Z67" s="38"/>
      <x:c r="AA67" s="38"/>
      <x:c r="AB67" s="75">
        <x:f t="shared" si="4"/>
      </x:c>
      <x:c r="AC67" s="34"/>
      <x:c r="AD67" s="34"/>
      <x:c r="AE67" s="34"/>
    </x:row>
    <x:row r="68" ht="17" customHeight="1">
      <x:c r="A68" s="34"/>
      <x:c r="B68" s="34"/>
      <x:c r="C68" s="34"/>
      <x:c r="D68" s="34"/>
      <x:c r="E68" s="34"/>
      <x:c r="F68" s="34"/>
      <x:c r="G68" s="34">
        <x:f t="shared" si="6"/>
      </x:c>
      <x:c r="H68" s="34">
        <x:f t="shared" ref="H68:H131" si="7">IF(L68&lt;&gt;"",L68,IF(P68&lt;&gt;"",P68,IF(T68&lt;&gt;"",T68,X68)))</x:f>
      </x:c>
      <x:c r="I68" s="38">
        <x:f t="shared" ref="I68:I131" si="8">IF(COUNT(N68,R68,V68,Z68)=0,"",MIN(N68,R68,V68,Z68))</x:f>
      </x:c>
      <x:c r="J68" s="38">
        <x:f t="shared" ref="J68:J131" si="9">IF(ISNUMBER(K68),K68,IF(COUNT(O68,S68,W68,AA68)=0,"",MAX(O68,S68,W68,AA68)))</x:f>
      </x:c>
      <x:c r="K68" s="38"/>
      <x:c r="L68" s="34"/>
      <x:c r="M68" s="34"/>
      <x:c r="N68" s="38"/>
      <x:c r="O68" s="38"/>
      <x:c r="P68" s="34"/>
      <x:c r="Q68" s="34"/>
      <x:c r="R68" s="38"/>
      <x:c r="S68" s="38"/>
      <x:c r="T68" s="34"/>
      <x:c r="U68" s="34"/>
      <x:c r="V68" s="38"/>
      <x:c r="W68" s="38"/>
      <x:c r="X68" s="34"/>
      <x:c r="Y68" s="34"/>
      <x:c r="Z68" s="38"/>
      <x:c r="AA68" s="38"/>
      <x:c r="AB68" s="75">
        <x:f t="shared" ref="AB68:AB131" si="10">(IF(M68="已完成",1,IF(M68="进行中",0.5,0))*15%+IF(Q68="已完成",1,IF(Q68="进行中",0.5,0))*35%+IF(U68="已完成",1,IF(U68="进行中",0.5,0))*30%+IF(Y68="已完成",1,IF(Y68="进行中",0.5,0))*20%)</x:f>
      </x:c>
      <x:c r="AC68" s="34"/>
      <x:c r="AD68" s="34"/>
      <x:c r="AE68" s="34"/>
    </x:row>
    <x:row r="69" ht="17" customHeight="1">
      <x:c r="A69" s="34"/>
      <x:c r="B69" s="34"/>
      <x:c r="C69" s="34"/>
      <x:c r="D69" s="34"/>
      <x:c r="E69" s="34"/>
      <x:c r="F69" s="34"/>
      <x:c r="G69" s="34">
        <x:f t="shared" si="6"/>
      </x:c>
      <x:c r="H69" s="34">
        <x:f t="shared" si="7"/>
      </x:c>
      <x:c r="I69" s="38">
        <x:f t="shared" si="8"/>
      </x:c>
      <x:c r="J69" s="38">
        <x:f t="shared" si="9"/>
      </x:c>
      <x:c r="K69" s="38"/>
      <x:c r="L69" s="34"/>
      <x:c r="M69" s="34"/>
      <x:c r="N69" s="38"/>
      <x:c r="O69" s="38"/>
      <x:c r="P69" s="34"/>
      <x:c r="Q69" s="34"/>
      <x:c r="R69" s="38"/>
      <x:c r="S69" s="38"/>
      <x:c r="T69" s="34"/>
      <x:c r="U69" s="34"/>
      <x:c r="V69" s="38"/>
      <x:c r="W69" s="38"/>
      <x:c r="X69" s="34"/>
      <x:c r="Y69" s="34"/>
      <x:c r="Z69" s="38"/>
      <x:c r="AA69" s="38"/>
      <x:c r="AB69" s="75">
        <x:f t="shared" si="10"/>
      </x:c>
      <x:c r="AC69" s="34"/>
      <x:c r="AD69" s="34"/>
      <x:c r="AE69" s="34"/>
    </x:row>
    <x:row r="70" ht="17" customHeight="1">
      <x:c r="A70" s="34"/>
      <x:c r="B70" s="34"/>
      <x:c r="C70" s="34"/>
      <x:c r="D70" s="34"/>
      <x:c r="E70" s="34"/>
      <x:c r="F70" s="34"/>
      <x:c r="G70" s="34">
        <x:f t="shared" si="6"/>
      </x:c>
      <x:c r="H70" s="34">
        <x:f t="shared" si="7"/>
      </x:c>
      <x:c r="I70" s="38">
        <x:f t="shared" si="8"/>
      </x:c>
      <x:c r="J70" s="38">
        <x:f t="shared" si="9"/>
      </x:c>
      <x:c r="K70" s="38"/>
      <x:c r="L70" s="34"/>
      <x:c r="M70" s="34"/>
      <x:c r="N70" s="38"/>
      <x:c r="O70" s="38"/>
      <x:c r="P70" s="34"/>
      <x:c r="Q70" s="34"/>
      <x:c r="R70" s="38"/>
      <x:c r="S70" s="38"/>
      <x:c r="T70" s="34"/>
      <x:c r="U70" s="34"/>
      <x:c r="V70" s="38"/>
      <x:c r="W70" s="38"/>
      <x:c r="X70" s="34"/>
      <x:c r="Y70" s="34"/>
      <x:c r="Z70" s="38"/>
      <x:c r="AA70" s="38"/>
      <x:c r="AB70" s="75">
        <x:f t="shared" si="10"/>
      </x:c>
      <x:c r="AC70" s="34"/>
      <x:c r="AD70" s="34"/>
      <x:c r="AE70" s="34"/>
    </x:row>
    <x:row r="71" ht="17" customHeight="1">
      <x:c r="A71" s="34"/>
      <x:c r="B71" s="34"/>
      <x:c r="C71" s="34"/>
      <x:c r="D71" s="34"/>
      <x:c r="E71" s="34"/>
      <x:c r="F71" s="34"/>
      <x:c r="G71" s="34">
        <x:f t="shared" si="6"/>
      </x:c>
      <x:c r="H71" s="34">
        <x:f t="shared" si="7"/>
      </x:c>
      <x:c r="I71" s="38">
        <x:f t="shared" si="8"/>
      </x:c>
      <x:c r="J71" s="38">
        <x:f t="shared" si="9"/>
      </x:c>
      <x:c r="K71" s="38"/>
      <x:c r="L71" s="34"/>
      <x:c r="M71" s="34"/>
      <x:c r="N71" s="38"/>
      <x:c r="O71" s="38"/>
      <x:c r="P71" s="34"/>
      <x:c r="Q71" s="34"/>
      <x:c r="R71" s="38"/>
      <x:c r="S71" s="38"/>
      <x:c r="T71" s="34"/>
      <x:c r="U71" s="34"/>
      <x:c r="V71" s="38"/>
      <x:c r="W71" s="38"/>
      <x:c r="X71" s="34"/>
      <x:c r="Y71" s="34"/>
      <x:c r="Z71" s="38"/>
      <x:c r="AA71" s="38"/>
      <x:c r="AB71" s="75">
        <x:f t="shared" si="10"/>
      </x:c>
      <x:c r="AC71" s="34"/>
      <x:c r="AD71" s="34"/>
      <x:c r="AE71" s="34"/>
    </x:row>
    <x:row r="72" ht="17" customHeight="1">
      <x:c r="A72" s="34"/>
      <x:c r="B72" s="34"/>
      <x:c r="C72" s="34"/>
      <x:c r="D72" s="34"/>
      <x:c r="E72" s="34"/>
      <x:c r="F72" s="34"/>
      <x:c r="G72" s="34">
        <x:f t="shared" si="6"/>
      </x:c>
      <x:c r="H72" s="34">
        <x:f t="shared" si="7"/>
      </x:c>
      <x:c r="I72" s="38">
        <x:f t="shared" si="8"/>
      </x:c>
      <x:c r="J72" s="38">
        <x:f t="shared" si="9"/>
      </x:c>
      <x:c r="K72" s="38"/>
      <x:c r="L72" s="34"/>
      <x:c r="M72" s="34"/>
      <x:c r="N72" s="38"/>
      <x:c r="O72" s="38"/>
      <x:c r="P72" s="34"/>
      <x:c r="Q72" s="34"/>
      <x:c r="R72" s="38"/>
      <x:c r="S72" s="38"/>
      <x:c r="T72" s="34"/>
      <x:c r="U72" s="34"/>
      <x:c r="V72" s="38"/>
      <x:c r="W72" s="38"/>
      <x:c r="X72" s="34"/>
      <x:c r="Y72" s="34"/>
      <x:c r="Z72" s="38"/>
      <x:c r="AA72" s="38"/>
      <x:c r="AB72" s="75">
        <x:f t="shared" si="10"/>
      </x:c>
      <x:c r="AC72" s="34"/>
      <x:c r="AD72" s="34"/>
      <x:c r="AE72" s="34"/>
    </x:row>
    <x:row r="73" ht="17" customHeight="1">
      <x:c r="A73" s="34"/>
      <x:c r="B73" s="34"/>
      <x:c r="C73" s="34"/>
      <x:c r="D73" s="34"/>
      <x:c r="E73" s="34"/>
      <x:c r="F73" s="34"/>
      <x:c r="G73" s="34">
        <x:f t="shared" si="6"/>
      </x:c>
      <x:c r="H73" s="34">
        <x:f t="shared" si="7"/>
      </x:c>
      <x:c r="I73" s="38">
        <x:f t="shared" si="8"/>
      </x:c>
      <x:c r="J73" s="38">
        <x:f t="shared" si="9"/>
      </x:c>
      <x:c r="K73" s="38"/>
      <x:c r="L73" s="34"/>
      <x:c r="M73" s="34"/>
      <x:c r="N73" s="38"/>
      <x:c r="O73" s="38"/>
      <x:c r="P73" s="34"/>
      <x:c r="Q73" s="34"/>
      <x:c r="R73" s="38"/>
      <x:c r="S73" s="38"/>
      <x:c r="T73" s="34"/>
      <x:c r="U73" s="34"/>
      <x:c r="V73" s="38"/>
      <x:c r="W73" s="38"/>
      <x:c r="X73" s="34"/>
      <x:c r="Y73" s="34"/>
      <x:c r="Z73" s="38"/>
      <x:c r="AA73" s="38"/>
      <x:c r="AB73" s="75">
        <x:f t="shared" si="10"/>
      </x:c>
      <x:c r="AC73" s="34"/>
      <x:c r="AD73" s="34"/>
      <x:c r="AE73" s="34"/>
    </x:row>
    <x:row r="74" ht="17" customHeight="1">
      <x:c r="A74" s="34"/>
      <x:c r="B74" s="34"/>
      <x:c r="C74" s="34"/>
      <x:c r="D74" s="34"/>
      <x:c r="E74" s="34"/>
      <x:c r="F74" s="34"/>
      <x:c r="G74" s="34">
        <x:f t="shared" si="6"/>
      </x:c>
      <x:c r="H74" s="34">
        <x:f t="shared" si="7"/>
      </x:c>
      <x:c r="I74" s="38">
        <x:f t="shared" si="8"/>
      </x:c>
      <x:c r="J74" s="38">
        <x:f t="shared" si="9"/>
      </x:c>
      <x:c r="K74" s="38"/>
      <x:c r="L74" s="34"/>
      <x:c r="M74" s="34"/>
      <x:c r="N74" s="38"/>
      <x:c r="O74" s="38"/>
      <x:c r="P74" s="34"/>
      <x:c r="Q74" s="34"/>
      <x:c r="R74" s="38"/>
      <x:c r="S74" s="38"/>
      <x:c r="T74" s="34"/>
      <x:c r="U74" s="34"/>
      <x:c r="V74" s="38"/>
      <x:c r="W74" s="38"/>
      <x:c r="X74" s="34"/>
      <x:c r="Y74" s="34"/>
      <x:c r="Z74" s="38"/>
      <x:c r="AA74" s="38"/>
      <x:c r="AB74" s="75">
        <x:f t="shared" si="10"/>
      </x:c>
      <x:c r="AC74" s="34"/>
      <x:c r="AD74" s="34"/>
      <x:c r="AE74" s="34"/>
    </x:row>
    <x:row r="75" ht="17" customHeight="1">
      <x:c r="A75" s="34"/>
      <x:c r="B75" s="34"/>
      <x:c r="C75" s="34"/>
      <x:c r="D75" s="34"/>
      <x:c r="E75" s="34"/>
      <x:c r="F75" s="34"/>
      <x:c r="G75" s="34">
        <x:f t="shared" si="6"/>
      </x:c>
      <x:c r="H75" s="34">
        <x:f t="shared" si="7"/>
      </x:c>
      <x:c r="I75" s="38">
        <x:f t="shared" si="8"/>
      </x:c>
      <x:c r="J75" s="38">
        <x:f t="shared" si="9"/>
      </x:c>
      <x:c r="K75" s="38"/>
      <x:c r="L75" s="34"/>
      <x:c r="M75" s="34"/>
      <x:c r="N75" s="38"/>
      <x:c r="O75" s="38"/>
      <x:c r="P75" s="34"/>
      <x:c r="Q75" s="34"/>
      <x:c r="R75" s="38"/>
      <x:c r="S75" s="38"/>
      <x:c r="T75" s="34"/>
      <x:c r="U75" s="34"/>
      <x:c r="V75" s="38"/>
      <x:c r="W75" s="38"/>
      <x:c r="X75" s="34"/>
      <x:c r="Y75" s="34"/>
      <x:c r="Z75" s="38"/>
      <x:c r="AA75" s="38"/>
      <x:c r="AB75" s="75">
        <x:f t="shared" si="10"/>
      </x:c>
      <x:c r="AC75" s="34"/>
      <x:c r="AD75" s="34"/>
      <x:c r="AE75" s="34"/>
    </x:row>
    <x:row r="76" ht="17" customHeight="1">
      <x:c r="A76" s="34"/>
      <x:c r="B76" s="34"/>
      <x:c r="C76" s="34"/>
      <x:c r="D76" s="34"/>
      <x:c r="E76" s="34"/>
      <x:c r="F76" s="34"/>
      <x:c r="G76" s="34">
        <x:f t="shared" si="6"/>
      </x:c>
      <x:c r="H76" s="34">
        <x:f t="shared" si="7"/>
      </x:c>
      <x:c r="I76" s="38">
        <x:f t="shared" si="8"/>
      </x:c>
      <x:c r="J76" s="38">
        <x:f t="shared" si="9"/>
      </x:c>
      <x:c r="K76" s="38"/>
      <x:c r="L76" s="34"/>
      <x:c r="M76" s="34"/>
      <x:c r="N76" s="38"/>
      <x:c r="O76" s="38"/>
      <x:c r="P76" s="34"/>
      <x:c r="Q76" s="34"/>
      <x:c r="R76" s="38"/>
      <x:c r="S76" s="38"/>
      <x:c r="T76" s="34"/>
      <x:c r="U76" s="34"/>
      <x:c r="V76" s="38"/>
      <x:c r="W76" s="38"/>
      <x:c r="X76" s="34"/>
      <x:c r="Y76" s="34"/>
      <x:c r="Z76" s="38"/>
      <x:c r="AA76" s="38"/>
      <x:c r="AB76" s="75">
        <x:f t="shared" si="10"/>
      </x:c>
      <x:c r="AC76" s="34"/>
      <x:c r="AD76" s="34"/>
      <x:c r="AE76" s="34"/>
    </x:row>
    <x:row r="77" ht="17" customHeight="1">
      <x:c r="A77" s="34"/>
      <x:c r="B77" s="34"/>
      <x:c r="C77" s="34"/>
      <x:c r="D77" s="34"/>
      <x:c r="E77" s="34"/>
      <x:c r="F77" s="34"/>
      <x:c r="G77" s="34">
        <x:f t="shared" si="6"/>
      </x:c>
      <x:c r="H77" s="34">
        <x:f t="shared" si="7"/>
      </x:c>
      <x:c r="I77" s="38">
        <x:f t="shared" si="8"/>
      </x:c>
      <x:c r="J77" s="38">
        <x:f t="shared" si="9"/>
      </x:c>
      <x:c r="K77" s="38"/>
      <x:c r="L77" s="34"/>
      <x:c r="M77" s="34"/>
      <x:c r="N77" s="38"/>
      <x:c r="O77" s="38"/>
      <x:c r="P77" s="34"/>
      <x:c r="Q77" s="34"/>
      <x:c r="R77" s="38"/>
      <x:c r="S77" s="38"/>
      <x:c r="T77" s="34"/>
      <x:c r="U77" s="34"/>
      <x:c r="V77" s="38"/>
      <x:c r="W77" s="38"/>
      <x:c r="X77" s="34"/>
      <x:c r="Y77" s="34"/>
      <x:c r="Z77" s="38"/>
      <x:c r="AA77" s="38"/>
      <x:c r="AB77" s="75">
        <x:f t="shared" si="10"/>
      </x:c>
      <x:c r="AC77" s="34"/>
      <x:c r="AD77" s="34"/>
      <x:c r="AE77" s="34"/>
    </x:row>
    <x:row r="78" ht="17" customHeight="1">
      <x:c r="A78" s="34"/>
      <x:c r="B78" s="34"/>
      <x:c r="C78" s="34"/>
      <x:c r="D78" s="34"/>
      <x:c r="E78" s="34"/>
      <x:c r="F78" s="34"/>
      <x:c r="G78" s="34">
        <x:f t="shared" si="6"/>
      </x:c>
      <x:c r="H78" s="34">
        <x:f t="shared" si="7"/>
      </x:c>
      <x:c r="I78" s="38">
        <x:f t="shared" si="8"/>
      </x:c>
      <x:c r="J78" s="38">
        <x:f t="shared" si="9"/>
      </x:c>
      <x:c r="K78" s="38"/>
      <x:c r="L78" s="34"/>
      <x:c r="M78" s="34"/>
      <x:c r="N78" s="38"/>
      <x:c r="O78" s="38"/>
      <x:c r="P78" s="34"/>
      <x:c r="Q78" s="34"/>
      <x:c r="R78" s="38"/>
      <x:c r="S78" s="38"/>
      <x:c r="T78" s="34"/>
      <x:c r="U78" s="34"/>
      <x:c r="V78" s="38"/>
      <x:c r="W78" s="38"/>
      <x:c r="X78" s="34"/>
      <x:c r="Y78" s="34"/>
      <x:c r="Z78" s="38"/>
      <x:c r="AA78" s="38"/>
      <x:c r="AB78" s="75">
        <x:f t="shared" si="10"/>
      </x:c>
      <x:c r="AC78" s="34"/>
      <x:c r="AD78" s="34"/>
      <x:c r="AE78" s="34"/>
    </x:row>
    <x:row r="79" ht="17" customHeight="1">
      <x:c r="A79" s="34"/>
      <x:c r="B79" s="34"/>
      <x:c r="C79" s="34"/>
      <x:c r="D79" s="34"/>
      <x:c r="E79" s="34"/>
      <x:c r="F79" s="34"/>
      <x:c r="G79" s="34">
        <x:f t="shared" si="6"/>
      </x:c>
      <x:c r="H79" s="34">
        <x:f t="shared" si="7"/>
      </x:c>
      <x:c r="I79" s="38">
        <x:f t="shared" si="8"/>
      </x:c>
      <x:c r="J79" s="38">
        <x:f t="shared" si="9"/>
      </x:c>
      <x:c r="K79" s="38"/>
      <x:c r="L79" s="34"/>
      <x:c r="M79" s="34"/>
      <x:c r="N79" s="38"/>
      <x:c r="O79" s="38"/>
      <x:c r="P79" s="34"/>
      <x:c r="Q79" s="34"/>
      <x:c r="R79" s="38"/>
      <x:c r="S79" s="38"/>
      <x:c r="T79" s="34"/>
      <x:c r="U79" s="34"/>
      <x:c r="V79" s="38"/>
      <x:c r="W79" s="38"/>
      <x:c r="X79" s="34"/>
      <x:c r="Y79" s="34"/>
      <x:c r="Z79" s="38"/>
      <x:c r="AA79" s="38"/>
      <x:c r="AB79" s="75">
        <x:f t="shared" si="10"/>
      </x:c>
      <x:c r="AC79" s="34"/>
      <x:c r="AD79" s="34"/>
      <x:c r="AE79" s="34"/>
    </x:row>
    <x:row r="80" ht="17" customHeight="1">
      <x:c r="A80" s="34"/>
      <x:c r="B80" s="34"/>
      <x:c r="C80" s="34"/>
      <x:c r="D80" s="34"/>
      <x:c r="E80" s="34"/>
      <x:c r="F80" s="34"/>
      <x:c r="G80" s="34">
        <x:f t="shared" si="6"/>
      </x:c>
      <x:c r="H80" s="34">
        <x:f t="shared" si="7"/>
      </x:c>
      <x:c r="I80" s="38">
        <x:f t="shared" si="8"/>
      </x:c>
      <x:c r="J80" s="38">
        <x:f t="shared" si="9"/>
      </x:c>
      <x:c r="K80" s="38"/>
      <x:c r="L80" s="34"/>
      <x:c r="M80" s="34"/>
      <x:c r="N80" s="38"/>
      <x:c r="O80" s="38"/>
      <x:c r="P80" s="34"/>
      <x:c r="Q80" s="34"/>
      <x:c r="R80" s="38"/>
      <x:c r="S80" s="38"/>
      <x:c r="T80" s="34"/>
      <x:c r="U80" s="34"/>
      <x:c r="V80" s="38"/>
      <x:c r="W80" s="38"/>
      <x:c r="X80" s="34"/>
      <x:c r="Y80" s="34"/>
      <x:c r="Z80" s="38"/>
      <x:c r="AA80" s="38"/>
      <x:c r="AB80" s="75">
        <x:f t="shared" si="10"/>
      </x:c>
      <x:c r="AC80" s="34"/>
      <x:c r="AD80" s="34"/>
      <x:c r="AE80" s="34"/>
    </x:row>
    <x:row r="81" ht="17" customHeight="1">
      <x:c r="A81" s="34"/>
      <x:c r="B81" s="34"/>
      <x:c r="C81" s="34"/>
      <x:c r="D81" s="34"/>
      <x:c r="E81" s="34"/>
      <x:c r="F81" s="34"/>
      <x:c r="G81" s="34"/>
      <x:c r="H81" s="34">
        <x:f t="shared" si="7"/>
      </x:c>
      <x:c r="I81" s="38">
        <x:f t="shared" si="8"/>
      </x:c>
      <x:c r="J81" s="38">
        <x:f t="shared" si="9"/>
      </x:c>
      <x:c r="K81" s="38"/>
      <x:c r="L81" s="34"/>
      <x:c r="M81" s="34"/>
      <x:c r="N81" s="38"/>
      <x:c r="O81" s="38"/>
      <x:c r="P81" s="34"/>
      <x:c r="Q81" s="34"/>
      <x:c r="R81" s="38"/>
      <x:c r="S81" s="38"/>
      <x:c r="T81" s="34"/>
      <x:c r="U81" s="34"/>
      <x:c r="V81" s="38"/>
      <x:c r="W81" s="38"/>
      <x:c r="X81" s="34"/>
      <x:c r="Y81" s="34"/>
      <x:c r="Z81" s="38"/>
      <x:c r="AA81" s="38"/>
      <x:c r="AB81" s="75">
        <x:f t="shared" si="10"/>
      </x:c>
      <x:c r="AC81" s="34"/>
      <x:c r="AD81" s="34"/>
      <x:c r="AE81" s="34"/>
    </x:row>
    <x:row r="82" ht="17" customHeight="1">
      <x:c r="A82" s="34"/>
      <x:c r="B82" s="34"/>
      <x:c r="C82" s="34"/>
      <x:c r="D82" s="34"/>
      <x:c r="E82" s="34"/>
      <x:c r="F82" s="34"/>
      <x:c r="G82" s="34"/>
      <x:c r="H82" s="34">
        <x:f t="shared" si="7"/>
      </x:c>
      <x:c r="I82" s="38">
        <x:f t="shared" si="8"/>
      </x:c>
      <x:c r="J82" s="38">
        <x:f t="shared" si="9"/>
      </x:c>
      <x:c r="K82" s="38"/>
      <x:c r="L82" s="34"/>
      <x:c r="M82" s="34"/>
      <x:c r="N82" s="38"/>
      <x:c r="O82" s="38"/>
      <x:c r="P82" s="34"/>
      <x:c r="Q82" s="34"/>
      <x:c r="R82" s="38"/>
      <x:c r="S82" s="38"/>
      <x:c r="T82" s="34"/>
      <x:c r="U82" s="34"/>
      <x:c r="V82" s="38"/>
      <x:c r="W82" s="38"/>
      <x:c r="X82" s="34"/>
      <x:c r="Y82" s="34"/>
      <x:c r="Z82" s="38"/>
      <x:c r="AA82" s="38"/>
      <x:c r="AB82" s="75">
        <x:f t="shared" si="10"/>
      </x:c>
      <x:c r="AC82" s="34"/>
      <x:c r="AD82" s="34"/>
      <x:c r="AE82" s="34"/>
    </x:row>
    <x:row r="83" ht="17" customHeight="1">
      <x:c r="A83" s="34"/>
      <x:c r="B83" s="34"/>
      <x:c r="C83" s="34"/>
      <x:c r="D83" s="34"/>
      <x:c r="E83" s="34"/>
      <x:c r="F83" s="34"/>
      <x:c r="G83" s="34"/>
      <x:c r="H83" s="34">
        <x:f t="shared" si="7"/>
      </x:c>
      <x:c r="I83" s="38">
        <x:f t="shared" si="8"/>
      </x:c>
      <x:c r="J83" s="38">
        <x:f t="shared" si="9"/>
      </x:c>
      <x:c r="K83" s="38"/>
      <x:c r="L83" s="34"/>
      <x:c r="M83" s="34"/>
      <x:c r="N83" s="38"/>
      <x:c r="O83" s="38"/>
      <x:c r="P83" s="34"/>
      <x:c r="Q83" s="34"/>
      <x:c r="R83" s="38"/>
      <x:c r="S83" s="38"/>
      <x:c r="T83" s="34"/>
      <x:c r="U83" s="34"/>
      <x:c r="V83" s="38"/>
      <x:c r="W83" s="38"/>
      <x:c r="X83" s="34"/>
      <x:c r="Y83" s="34"/>
      <x:c r="Z83" s="38"/>
      <x:c r="AA83" s="38"/>
      <x:c r="AB83" s="75">
        <x:f t="shared" si="10"/>
      </x:c>
      <x:c r="AC83" s="34"/>
      <x:c r="AD83" s="34"/>
      <x:c r="AE83" s="34"/>
    </x:row>
    <x:row r="84" ht="17" customHeight="1">
      <x:c r="A84" s="34"/>
      <x:c r="B84" s="34"/>
      <x:c r="C84" s="34"/>
      <x:c r="D84" s="34"/>
      <x:c r="E84" s="34"/>
      <x:c r="F84" s="34"/>
      <x:c r="G84" s="34">
        <x:f t="shared" ref="G84:G97" si="11">IF(OR(M84="挂起",M84="暂停",Q84="挂起",Q84="暂停",U84="挂起",U84="暂停",Y84="挂起",Y84="暂停"),"暂停","未开始")</x:f>
      </x:c>
      <x:c r="H84" s="34">
        <x:f t="shared" si="7"/>
      </x:c>
      <x:c r="I84" s="38">
        <x:f t="shared" si="8"/>
      </x:c>
      <x:c r="J84" s="38">
        <x:f t="shared" si="9"/>
      </x:c>
      <x:c r="K84" s="38"/>
      <x:c r="L84" s="34"/>
      <x:c r="M84" s="34"/>
      <x:c r="N84" s="38"/>
      <x:c r="O84" s="38"/>
      <x:c r="P84" s="34"/>
      <x:c r="Q84" s="34"/>
      <x:c r="R84" s="38"/>
      <x:c r="S84" s="38"/>
      <x:c r="T84" s="34"/>
      <x:c r="U84" s="34"/>
      <x:c r="V84" s="38"/>
      <x:c r="W84" s="38"/>
      <x:c r="X84" s="34"/>
      <x:c r="Y84" s="34"/>
      <x:c r="Z84" s="38"/>
      <x:c r="AA84" s="38"/>
      <x:c r="AB84" s="75">
        <x:f t="shared" si="10"/>
      </x:c>
      <x:c r="AC84" s="34"/>
      <x:c r="AD84" s="34"/>
      <x:c r="AE84" s="34"/>
    </x:row>
    <x:row r="85" ht="17" customHeight="1">
      <x:c r="A85" s="34"/>
      <x:c r="B85" s="34"/>
      <x:c r="C85" s="34"/>
      <x:c r="D85" s="34"/>
      <x:c r="E85" s="34"/>
      <x:c r="F85" s="34"/>
      <x:c r="G85" s="34">
        <x:f t="shared" si="11"/>
      </x:c>
      <x:c r="H85" s="34">
        <x:f t="shared" si="7"/>
      </x:c>
      <x:c r="I85" s="38">
        <x:f t="shared" si="8"/>
      </x:c>
      <x:c r="J85" s="38">
        <x:f t="shared" si="9"/>
      </x:c>
      <x:c r="K85" s="38"/>
      <x:c r="L85" s="34"/>
      <x:c r="M85" s="34"/>
      <x:c r="N85" s="38"/>
      <x:c r="O85" s="38"/>
      <x:c r="P85" s="34"/>
      <x:c r="Q85" s="34"/>
      <x:c r="R85" s="38"/>
      <x:c r="S85" s="38"/>
      <x:c r="T85" s="34"/>
      <x:c r="U85" s="34"/>
      <x:c r="V85" s="38"/>
      <x:c r="W85" s="38"/>
      <x:c r="X85" s="34"/>
      <x:c r="Y85" s="34"/>
      <x:c r="Z85" s="38"/>
      <x:c r="AA85" s="38"/>
      <x:c r="AB85" s="75">
        <x:f t="shared" si="10"/>
      </x:c>
      <x:c r="AC85" s="34"/>
      <x:c r="AD85" s="34"/>
      <x:c r="AE85" s="34"/>
    </x:row>
    <x:row r="86" ht="17" customHeight="1">
      <x:c r="A86" s="34"/>
      <x:c r="B86" s="34"/>
      <x:c r="C86" s="34"/>
      <x:c r="D86" s="34"/>
      <x:c r="E86" s="34"/>
      <x:c r="F86" s="34"/>
      <x:c r="G86" s="34">
        <x:f t="shared" si="11"/>
      </x:c>
      <x:c r="H86" s="34">
        <x:f t="shared" si="7"/>
      </x:c>
      <x:c r="I86" s="38">
        <x:f t="shared" si="8"/>
      </x:c>
      <x:c r="J86" s="38">
        <x:f t="shared" si="9"/>
      </x:c>
      <x:c r="K86" s="38"/>
      <x:c r="L86" s="34"/>
      <x:c r="M86" s="34"/>
      <x:c r="N86" s="38"/>
      <x:c r="O86" s="38"/>
      <x:c r="P86" s="34"/>
      <x:c r="Q86" s="34"/>
      <x:c r="R86" s="38"/>
      <x:c r="S86" s="38"/>
      <x:c r="T86" s="34"/>
      <x:c r="U86" s="34"/>
      <x:c r="V86" s="38"/>
      <x:c r="W86" s="38"/>
      <x:c r="X86" s="34"/>
      <x:c r="Y86" s="34"/>
      <x:c r="Z86" s="38"/>
      <x:c r="AA86" s="38"/>
      <x:c r="AB86" s="75">
        <x:f t="shared" si="10"/>
      </x:c>
      <x:c r="AC86" s="34"/>
      <x:c r="AD86" s="34"/>
      <x:c r="AE86" s="34"/>
    </x:row>
    <x:row r="87" ht="17" customHeight="1">
      <x:c r="A87" s="34"/>
      <x:c r="B87" s="34"/>
      <x:c r="C87" s="34"/>
      <x:c r="D87" s="34"/>
      <x:c r="E87" s="34"/>
      <x:c r="F87" s="34"/>
      <x:c r="G87" s="34">
        <x:f t="shared" si="11"/>
      </x:c>
      <x:c r="H87" s="34">
        <x:f t="shared" si="7"/>
      </x:c>
      <x:c r="I87" s="38">
        <x:f t="shared" si="8"/>
      </x:c>
      <x:c r="J87" s="38">
        <x:f t="shared" si="9"/>
      </x:c>
      <x:c r="K87" s="38"/>
      <x:c r="L87" s="34"/>
      <x:c r="M87" s="34"/>
      <x:c r="N87" s="38"/>
      <x:c r="O87" s="38"/>
      <x:c r="P87" s="34"/>
      <x:c r="Q87" s="34"/>
      <x:c r="R87" s="38"/>
      <x:c r="S87" s="38"/>
      <x:c r="T87" s="34"/>
      <x:c r="U87" s="34"/>
      <x:c r="V87" s="38"/>
      <x:c r="W87" s="38"/>
      <x:c r="X87" s="34"/>
      <x:c r="Y87" s="34"/>
      <x:c r="Z87" s="38"/>
      <x:c r="AA87" s="38"/>
      <x:c r="AB87" s="75">
        <x:f t="shared" si="10"/>
      </x:c>
      <x:c r="AC87" s="34"/>
      <x:c r="AD87" s="34"/>
      <x:c r="AE87" s="34"/>
    </x:row>
    <x:row r="88" ht="17" customHeight="1">
      <x:c r="A88" s="34"/>
      <x:c r="B88" s="34"/>
      <x:c r="C88" s="34"/>
      <x:c r="D88" s="34"/>
      <x:c r="E88" s="34"/>
      <x:c r="F88" s="34"/>
      <x:c r="G88" s="34">
        <x:f t="shared" si="11"/>
      </x:c>
      <x:c r="H88" s="34">
        <x:f t="shared" si="7"/>
      </x:c>
      <x:c r="I88" s="38">
        <x:f t="shared" si="8"/>
      </x:c>
      <x:c r="J88" s="38">
        <x:f t="shared" si="9"/>
      </x:c>
      <x:c r="K88" s="38"/>
      <x:c r="L88" s="34"/>
      <x:c r="M88" s="34"/>
      <x:c r="N88" s="38"/>
      <x:c r="O88" s="38"/>
      <x:c r="P88" s="34"/>
      <x:c r="Q88" s="34"/>
      <x:c r="R88" s="38"/>
      <x:c r="S88" s="38"/>
      <x:c r="T88" s="34"/>
      <x:c r="U88" s="34"/>
      <x:c r="V88" s="38"/>
      <x:c r="W88" s="38"/>
      <x:c r="X88" s="34"/>
      <x:c r="Y88" s="34"/>
      <x:c r="Z88" s="38"/>
      <x:c r="AA88" s="38"/>
      <x:c r="AB88" s="75">
        <x:f t="shared" si="10"/>
      </x:c>
      <x:c r="AC88" s="34"/>
      <x:c r="AD88" s="34"/>
      <x:c r="AE88" s="34"/>
    </x:row>
    <x:row r="89" ht="17" customHeight="1">
      <x:c r="A89" s="34"/>
      <x:c r="B89" s="34"/>
      <x:c r="C89" s="34"/>
      <x:c r="D89" s="34"/>
      <x:c r="E89" s="34"/>
      <x:c r="F89" s="34"/>
      <x:c r="G89" s="34">
        <x:f t="shared" si="11"/>
      </x:c>
      <x:c r="H89" s="34">
        <x:f t="shared" si="7"/>
      </x:c>
      <x:c r="I89" s="38">
        <x:f t="shared" si="8"/>
      </x:c>
      <x:c r="J89" s="38">
        <x:f t="shared" si="9"/>
      </x:c>
      <x:c r="K89" s="38"/>
      <x:c r="L89" s="34"/>
      <x:c r="M89" s="34"/>
      <x:c r="N89" s="38"/>
      <x:c r="O89" s="38"/>
      <x:c r="P89" s="34"/>
      <x:c r="Q89" s="34"/>
      <x:c r="R89" s="38"/>
      <x:c r="S89" s="38"/>
      <x:c r="T89" s="34"/>
      <x:c r="U89" s="34"/>
      <x:c r="V89" s="38"/>
      <x:c r="W89" s="38"/>
      <x:c r="X89" s="34"/>
      <x:c r="Y89" s="34"/>
      <x:c r="Z89" s="38"/>
      <x:c r="AA89" s="38"/>
      <x:c r="AB89" s="75">
        <x:f t="shared" si="10"/>
      </x:c>
      <x:c r="AC89" s="34"/>
      <x:c r="AD89" s="34"/>
      <x:c r="AE89" s="34"/>
    </x:row>
    <x:row r="90" ht="17" customHeight="1">
      <x:c r="A90" s="34"/>
      <x:c r="B90" s="34"/>
      <x:c r="C90" s="34"/>
      <x:c r="D90" s="34"/>
      <x:c r="E90" s="34"/>
      <x:c r="F90" s="34"/>
      <x:c r="G90" s="34">
        <x:f t="shared" si="11"/>
      </x:c>
      <x:c r="H90" s="34">
        <x:f t="shared" si="7"/>
      </x:c>
      <x:c r="I90" s="38">
        <x:f t="shared" si="8"/>
      </x:c>
      <x:c r="J90" s="38">
        <x:f t="shared" si="9"/>
      </x:c>
      <x:c r="K90" s="38"/>
      <x:c r="L90" s="34"/>
      <x:c r="M90" s="34"/>
      <x:c r="N90" s="38"/>
      <x:c r="O90" s="38"/>
      <x:c r="P90" s="34"/>
      <x:c r="Q90" s="34"/>
      <x:c r="R90" s="38"/>
      <x:c r="S90" s="38"/>
      <x:c r="T90" s="34"/>
      <x:c r="U90" s="34"/>
      <x:c r="V90" s="38"/>
      <x:c r="W90" s="38"/>
      <x:c r="X90" s="34"/>
      <x:c r="Y90" s="34"/>
      <x:c r="Z90" s="38"/>
      <x:c r="AA90" s="38"/>
      <x:c r="AB90" s="75">
        <x:f t="shared" si="10"/>
      </x:c>
      <x:c r="AC90" s="34"/>
      <x:c r="AD90" s="34"/>
      <x:c r="AE90" s="34"/>
    </x:row>
    <x:row r="91" ht="17" customHeight="1">
      <x:c r="A91" s="34"/>
      <x:c r="B91" s="34"/>
      <x:c r="C91" s="34"/>
      <x:c r="D91" s="34"/>
      <x:c r="E91" s="34"/>
      <x:c r="F91" s="34"/>
      <x:c r="G91" s="34">
        <x:f t="shared" si="11"/>
      </x:c>
      <x:c r="H91" s="34">
        <x:f t="shared" si="7"/>
      </x:c>
      <x:c r="I91" s="38">
        <x:f t="shared" si="8"/>
      </x:c>
      <x:c r="J91" s="38">
        <x:f t="shared" si="9"/>
      </x:c>
      <x:c r="K91" s="38"/>
      <x:c r="L91" s="34"/>
      <x:c r="M91" s="34"/>
      <x:c r="N91" s="38"/>
      <x:c r="O91" s="38"/>
      <x:c r="P91" s="34"/>
      <x:c r="Q91" s="34"/>
      <x:c r="R91" s="38"/>
      <x:c r="S91" s="38"/>
      <x:c r="T91" s="34"/>
      <x:c r="U91" s="34"/>
      <x:c r="V91" s="38"/>
      <x:c r="W91" s="38"/>
      <x:c r="X91" s="34"/>
      <x:c r="Y91" s="34"/>
      <x:c r="Z91" s="38"/>
      <x:c r="AA91" s="38"/>
      <x:c r="AB91" s="75">
        <x:f t="shared" si="10"/>
      </x:c>
      <x:c r="AC91" s="34"/>
      <x:c r="AD91" s="34"/>
      <x:c r="AE91" s="34"/>
    </x:row>
    <x:row r="92" ht="17" customHeight="1">
      <x:c r="A92" s="34"/>
      <x:c r="B92" s="34"/>
      <x:c r="C92" s="34"/>
      <x:c r="D92" s="34"/>
      <x:c r="E92" s="34"/>
      <x:c r="F92" s="34"/>
      <x:c r="G92" s="34">
        <x:f t="shared" si="11"/>
      </x:c>
      <x:c r="H92" s="34">
        <x:f t="shared" si="7"/>
      </x:c>
      <x:c r="I92" s="38">
        <x:f t="shared" si="8"/>
      </x:c>
      <x:c r="J92" s="38">
        <x:f t="shared" si="9"/>
      </x:c>
      <x:c r="K92" s="38"/>
      <x:c r="L92" s="34"/>
      <x:c r="M92" s="34"/>
      <x:c r="N92" s="38"/>
      <x:c r="O92" s="38"/>
      <x:c r="P92" s="34"/>
      <x:c r="Q92" s="34"/>
      <x:c r="R92" s="38"/>
      <x:c r="S92" s="38"/>
      <x:c r="T92" s="34"/>
      <x:c r="U92" s="34"/>
      <x:c r="V92" s="38"/>
      <x:c r="W92" s="38"/>
      <x:c r="X92" s="34"/>
      <x:c r="Y92" s="34"/>
      <x:c r="Z92" s="38"/>
      <x:c r="AA92" s="38"/>
      <x:c r="AB92" s="75">
        <x:f t="shared" si="10"/>
      </x:c>
      <x:c r="AC92" s="34"/>
      <x:c r="AD92" s="34"/>
      <x:c r="AE92" s="34"/>
    </x:row>
    <x:row r="93" ht="17" customHeight="1">
      <x:c r="A93" s="34"/>
      <x:c r="B93" s="34"/>
      <x:c r="C93" s="34"/>
      <x:c r="D93" s="34"/>
      <x:c r="E93" s="34"/>
      <x:c r="F93" s="34"/>
      <x:c r="G93" s="34">
        <x:f t="shared" si="11"/>
      </x:c>
      <x:c r="H93" s="34">
        <x:f t="shared" si="7"/>
      </x:c>
      <x:c r="I93" s="38">
        <x:f t="shared" si="8"/>
      </x:c>
      <x:c r="J93" s="38">
        <x:f t="shared" si="9"/>
      </x:c>
      <x:c r="K93" s="38"/>
      <x:c r="L93" s="34"/>
      <x:c r="M93" s="34"/>
      <x:c r="N93" s="38"/>
      <x:c r="O93" s="38"/>
      <x:c r="P93" s="34"/>
      <x:c r="Q93" s="34"/>
      <x:c r="R93" s="38"/>
      <x:c r="S93" s="38"/>
      <x:c r="T93" s="34"/>
      <x:c r="U93" s="34"/>
      <x:c r="V93" s="38"/>
      <x:c r="W93" s="38"/>
      <x:c r="X93" s="34"/>
      <x:c r="Y93" s="34"/>
      <x:c r="Z93" s="38"/>
      <x:c r="AA93" s="38"/>
      <x:c r="AB93" s="75">
        <x:f t="shared" si="10"/>
      </x:c>
      <x:c r="AC93" s="34"/>
      <x:c r="AD93" s="34"/>
      <x:c r="AE93" s="34"/>
    </x:row>
    <x:row r="94" ht="34" customHeight="1">
      <x:c r="A94" s="34"/>
      <x:c r="B94" s="34"/>
      <x:c r="C94" s="34"/>
      <x:c r="D94" s="34"/>
      <x:c r="E94" s="34"/>
      <x:c r="F94" s="34"/>
      <x:c r="G94" s="34">
        <x:f t="shared" si="11"/>
      </x:c>
      <x:c r="H94" s="34">
        <x:f t="shared" si="7"/>
      </x:c>
      <x:c r="I94" s="38">
        <x:f t="shared" si="8"/>
      </x:c>
      <x:c r="J94" s="38">
        <x:f t="shared" si="9"/>
      </x:c>
      <x:c r="K94" s="38"/>
      <x:c r="L94" s="34"/>
      <x:c r="M94" s="34"/>
      <x:c r="N94" s="38"/>
      <x:c r="O94" s="38"/>
      <x:c r="P94" s="34"/>
      <x:c r="Q94" s="34"/>
      <x:c r="R94" s="38"/>
      <x:c r="S94" s="38"/>
      <x:c r="T94" s="34"/>
      <x:c r="U94" s="34"/>
      <x:c r="V94" s="38"/>
      <x:c r="W94" s="38"/>
      <x:c r="X94" s="34"/>
      <x:c r="Y94" s="34"/>
      <x:c r="Z94" s="38"/>
      <x:c r="AA94" s="38"/>
      <x:c r="AB94" s="75">
        <x:f t="shared" si="10"/>
      </x:c>
      <x:c r="AC94" s="34"/>
      <x:c r="AD94" s="34"/>
      <x:c r="AE94" s="34"/>
    </x:row>
    <x:row r="95" ht="34" customHeight="1">
      <x:c r="A95" s="34"/>
      <x:c r="B95" s="34"/>
      <x:c r="C95" s="34"/>
      <x:c r="D95" s="34"/>
      <x:c r="E95" s="34"/>
      <x:c r="F95" s="34"/>
      <x:c r="G95" s="34">
        <x:f t="shared" si="11"/>
      </x:c>
      <x:c r="H95" s="34">
        <x:f t="shared" si="7"/>
      </x:c>
      <x:c r="I95" s="38">
        <x:f t="shared" si="8"/>
      </x:c>
      <x:c r="J95" s="38">
        <x:f t="shared" si="9"/>
      </x:c>
      <x:c r="K95" s="38"/>
      <x:c r="L95" s="34"/>
      <x:c r="M95" s="34"/>
      <x:c r="N95" s="38"/>
      <x:c r="O95" s="38"/>
      <x:c r="P95" s="34"/>
      <x:c r="Q95" s="34"/>
      <x:c r="R95" s="38"/>
      <x:c r="S95" s="38"/>
      <x:c r="T95" s="34"/>
      <x:c r="U95" s="34"/>
      <x:c r="V95" s="38"/>
      <x:c r="W95" s="38"/>
      <x:c r="X95" s="34"/>
      <x:c r="Y95" s="34"/>
      <x:c r="Z95" s="38"/>
      <x:c r="AA95" s="38"/>
      <x:c r="AB95" s="75">
        <x:f t="shared" si="10"/>
      </x:c>
      <x:c r="AC95" s="34"/>
      <x:c r="AD95" s="34"/>
      <x:c r="AE95" s="34"/>
    </x:row>
    <x:row r="96" ht="34" customHeight="1">
      <x:c r="A96" s="34"/>
      <x:c r="B96" s="34"/>
      <x:c r="C96" s="34"/>
      <x:c r="D96" s="34"/>
      <x:c r="E96" s="34"/>
      <x:c r="F96" s="34"/>
      <x:c r="G96" s="34">
        <x:f t="shared" si="11"/>
      </x:c>
      <x:c r="H96" s="34">
        <x:f t="shared" si="7"/>
      </x:c>
      <x:c r="I96" s="38">
        <x:f t="shared" si="8"/>
      </x:c>
      <x:c r="J96" s="38">
        <x:f t="shared" si="9"/>
      </x:c>
      <x:c r="K96" s="38"/>
      <x:c r="L96" s="34"/>
      <x:c r="M96" s="34"/>
      <x:c r="N96" s="38"/>
      <x:c r="O96" s="38"/>
      <x:c r="P96" s="34"/>
      <x:c r="Q96" s="34"/>
      <x:c r="R96" s="38"/>
      <x:c r="S96" s="38"/>
      <x:c r="T96" s="34"/>
      <x:c r="U96" s="34"/>
      <x:c r="V96" s="38"/>
      <x:c r="W96" s="38"/>
      <x:c r="X96" s="34"/>
      <x:c r="Y96" s="34"/>
      <x:c r="Z96" s="38"/>
      <x:c r="AA96" s="38"/>
      <x:c r="AB96" s="75">
        <x:f t="shared" si="10"/>
      </x:c>
      <x:c r="AC96" s="34"/>
      <x:c r="AD96" s="34"/>
      <x:c r="AE96" s="34"/>
    </x:row>
    <x:row r="97" ht="34" customHeight="1">
      <x:c r="A97" s="34"/>
      <x:c r="B97" s="34"/>
      <x:c r="C97" s="34"/>
      <x:c r="D97" s="34"/>
      <x:c r="E97" s="34"/>
      <x:c r="F97" s="34"/>
      <x:c r="G97" s="34">
        <x:f t="shared" si="11"/>
      </x:c>
      <x:c r="H97" s="34">
        <x:f t="shared" si="7"/>
      </x:c>
      <x:c r="I97" s="38">
        <x:f t="shared" si="8"/>
      </x:c>
      <x:c r="J97" s="38">
        <x:f t="shared" si="9"/>
      </x:c>
      <x:c r="K97" s="38"/>
      <x:c r="L97" s="34"/>
      <x:c r="M97" s="34"/>
      <x:c r="N97" s="38"/>
      <x:c r="O97" s="38"/>
      <x:c r="P97" s="34"/>
      <x:c r="Q97" s="34"/>
      <x:c r="R97" s="38"/>
      <x:c r="S97" s="38"/>
      <x:c r="T97" s="34"/>
      <x:c r="U97" s="34"/>
      <x:c r="V97" s="38"/>
      <x:c r="W97" s="38"/>
      <x:c r="X97" s="34"/>
      <x:c r="Y97" s="34"/>
      <x:c r="Z97" s="38"/>
      <x:c r="AA97" s="38"/>
      <x:c r="AB97" s="75">
        <x:f t="shared" si="10"/>
      </x:c>
      <x:c r="AC97" s="34"/>
      <x:c r="AD97" s="34"/>
      <x:c r="AE97" s="34"/>
    </x:row>
    <x:row r="98" ht="17" customHeight="1">
      <x:c r="A98" s="34"/>
      <x:c r="B98" s="34"/>
      <x:c r="C98" s="34"/>
      <x:c r="D98" s="34"/>
      <x:c r="E98" s="34"/>
      <x:c r="F98" s="34"/>
      <x:c r="G98" s="34"/>
      <x:c r="H98" s="34">
        <x:f t="shared" si="7"/>
      </x:c>
      <x:c r="I98" s="38">
        <x:f t="shared" si="8"/>
      </x:c>
      <x:c r="J98" s="38">
        <x:f t="shared" si="9"/>
      </x:c>
      <x:c r="K98" s="38"/>
      <x:c r="L98" s="34"/>
      <x:c r="M98" s="34"/>
      <x:c r="N98" s="38"/>
      <x:c r="O98" s="38"/>
      <x:c r="P98" s="34"/>
      <x:c r="Q98" s="34"/>
      <x:c r="R98" s="38"/>
      <x:c r="S98" s="38"/>
      <x:c r="T98" s="34"/>
      <x:c r="U98" s="34"/>
      <x:c r="V98" s="38"/>
      <x:c r="W98" s="38"/>
      <x:c r="X98" s="34"/>
      <x:c r="Y98" s="34"/>
      <x:c r="Z98" s="38"/>
      <x:c r="AA98" s="38"/>
      <x:c r="AB98" s="75">
        <x:f t="shared" si="10"/>
      </x:c>
      <x:c r="AC98" s="34"/>
      <x:c r="AD98" s="34"/>
      <x:c r="AE98" s="34"/>
    </x:row>
    <x:row r="99" ht="17" customHeight="1">
      <x:c r="A99" s="34"/>
      <x:c r="B99" s="34"/>
      <x:c r="C99" s="34"/>
      <x:c r="D99" s="34"/>
      <x:c r="E99" s="34"/>
      <x:c r="F99" s="34"/>
      <x:c r="G99" s="34">
        <x:f t="shared" ref="G99:G113" si="12">IF(OR(M99="挂起",M99="暂停",Q99="挂起",Q99="暂停",U99="挂起",U99="暂停",Y99="挂起",Y99="暂停"),"暂停","已完成")</x:f>
      </x:c>
      <x:c r="H99" s="34">
        <x:f t="shared" si="7"/>
      </x:c>
      <x:c r="I99" s="38">
        <x:f t="shared" si="8"/>
      </x:c>
      <x:c r="J99" s="38">
        <x:f t="shared" si="9"/>
      </x:c>
      <x:c r="K99" s="38"/>
      <x:c r="L99" s="34"/>
      <x:c r="M99" s="34"/>
      <x:c r="N99" s="38"/>
      <x:c r="O99" s="38"/>
      <x:c r="P99" s="34"/>
      <x:c r="Q99" s="34"/>
      <x:c r="R99" s="38"/>
      <x:c r="S99" s="38"/>
      <x:c r="T99" s="34"/>
      <x:c r="U99" s="34"/>
      <x:c r="V99" s="38"/>
      <x:c r="W99" s="38"/>
      <x:c r="X99" s="34"/>
      <x:c r="Y99" s="34"/>
      <x:c r="Z99" s="38"/>
      <x:c r="AA99" s="38"/>
      <x:c r="AB99" s="75">
        <x:f t="shared" si="10"/>
      </x:c>
      <x:c r="AC99" s="34"/>
      <x:c r="AD99" s="34"/>
      <x:c r="AE99" s="34"/>
    </x:row>
    <x:row r="100" ht="17" customHeight="1">
      <x:c r="A100" s="34"/>
      <x:c r="B100" s="34"/>
      <x:c r="C100" s="34"/>
      <x:c r="D100" s="34"/>
      <x:c r="E100" s="34"/>
      <x:c r="F100" s="34"/>
      <x:c r="G100" s="34">
        <x:f t="shared" si="12"/>
      </x:c>
      <x:c r="H100" s="34">
        <x:f t="shared" si="7"/>
      </x:c>
      <x:c r="I100" s="38">
        <x:f t="shared" si="8"/>
      </x:c>
      <x:c r="J100" s="38">
        <x:f t="shared" si="9"/>
      </x:c>
      <x:c r="K100" s="38"/>
      <x:c r="L100" s="34"/>
      <x:c r="M100" s="34"/>
      <x:c r="N100" s="38"/>
      <x:c r="O100" s="38"/>
      <x:c r="P100" s="34"/>
      <x:c r="Q100" s="34"/>
      <x:c r="R100" s="38"/>
      <x:c r="S100" s="38"/>
      <x:c r="T100" s="34"/>
      <x:c r="U100" s="34"/>
      <x:c r="V100" s="38"/>
      <x:c r="W100" s="38"/>
      <x:c r="X100" s="34"/>
      <x:c r="Y100" s="34"/>
      <x:c r="Z100" s="38"/>
      <x:c r="AA100" s="38"/>
      <x:c r="AB100" s="75">
        <x:f t="shared" si="10"/>
      </x:c>
      <x:c r="AC100" s="34"/>
      <x:c r="AD100" s="34"/>
      <x:c r="AE100" s="34"/>
    </x:row>
    <x:row r="101" ht="17" customHeight="1">
      <x:c r="A101" s="34"/>
      <x:c r="B101" s="34"/>
      <x:c r="C101" s="34"/>
      <x:c r="D101" s="34"/>
      <x:c r="E101" s="34"/>
      <x:c r="F101" s="34"/>
      <x:c r="G101" s="34">
        <x:f t="shared" si="12"/>
      </x:c>
      <x:c r="H101" s="34">
        <x:f t="shared" si="7"/>
      </x:c>
      <x:c r="I101" s="38">
        <x:f t="shared" si="8"/>
      </x:c>
      <x:c r="J101" s="38">
        <x:f t="shared" si="9"/>
      </x:c>
      <x:c r="K101" s="38"/>
      <x:c r="L101" s="34"/>
      <x:c r="M101" s="34"/>
      <x:c r="N101" s="38"/>
      <x:c r="O101" s="38"/>
      <x:c r="P101" s="34"/>
      <x:c r="Q101" s="34"/>
      <x:c r="R101" s="38"/>
      <x:c r="S101" s="38"/>
      <x:c r="T101" s="34"/>
      <x:c r="U101" s="34"/>
      <x:c r="V101" s="38"/>
      <x:c r="W101" s="38"/>
      <x:c r="X101" s="34"/>
      <x:c r="Y101" s="34"/>
      <x:c r="Z101" s="38"/>
      <x:c r="AA101" s="38"/>
      <x:c r="AB101" s="75">
        <x:f t="shared" si="10"/>
      </x:c>
      <x:c r="AC101" s="34"/>
      <x:c r="AD101" s="34"/>
      <x:c r="AE101" s="34"/>
    </x:row>
    <x:row r="102" ht="17" customHeight="1">
      <x:c r="A102" s="34"/>
      <x:c r="B102" s="34"/>
      <x:c r="C102" s="34"/>
      <x:c r="D102" s="34"/>
      <x:c r="E102" s="34"/>
      <x:c r="F102" s="34"/>
      <x:c r="G102" s="34">
        <x:f t="shared" si="12"/>
      </x:c>
      <x:c r="H102" s="34">
        <x:f t="shared" si="7"/>
      </x:c>
      <x:c r="I102" s="38">
        <x:f t="shared" si="8"/>
      </x:c>
      <x:c r="J102" s="38">
        <x:f t="shared" si="9"/>
      </x:c>
      <x:c r="K102" s="38"/>
      <x:c r="L102" s="34"/>
      <x:c r="M102" s="34"/>
      <x:c r="N102" s="38"/>
      <x:c r="O102" s="38"/>
      <x:c r="P102" s="34"/>
      <x:c r="Q102" s="34"/>
      <x:c r="R102" s="38"/>
      <x:c r="S102" s="38"/>
      <x:c r="T102" s="34"/>
      <x:c r="U102" s="34"/>
      <x:c r="V102" s="38"/>
      <x:c r="W102" s="38"/>
      <x:c r="X102" s="34"/>
      <x:c r="Y102" s="34"/>
      <x:c r="Z102" s="38"/>
      <x:c r="AA102" s="38"/>
      <x:c r="AB102" s="75">
        <x:f t="shared" si="10"/>
      </x:c>
      <x:c r="AC102" s="34"/>
      <x:c r="AD102" s="34"/>
      <x:c r="AE102" s="34"/>
    </x:row>
    <x:row r="103" ht="34" customHeight="1">
      <x:c r="A103" s="34"/>
      <x:c r="B103" s="34"/>
      <x:c r="C103" s="34"/>
      <x:c r="D103" s="34"/>
      <x:c r="E103" s="34"/>
      <x:c r="F103" s="34"/>
      <x:c r="G103" s="34">
        <x:f t="shared" si="12"/>
      </x:c>
      <x:c r="H103" s="34">
        <x:f t="shared" si="7"/>
      </x:c>
      <x:c r="I103" s="38">
        <x:f t="shared" si="8"/>
      </x:c>
      <x:c r="J103" s="38">
        <x:f t="shared" si="9"/>
      </x:c>
      <x:c r="K103" s="38"/>
      <x:c r="L103" s="34"/>
      <x:c r="M103" s="34"/>
      <x:c r="N103" s="38"/>
      <x:c r="O103" s="38"/>
      <x:c r="P103" s="34"/>
      <x:c r="Q103" s="34"/>
      <x:c r="R103" s="38"/>
      <x:c r="S103" s="38"/>
      <x:c r="T103" s="34"/>
      <x:c r="U103" s="34"/>
      <x:c r="V103" s="38"/>
      <x:c r="W103" s="38"/>
      <x:c r="X103" s="34"/>
      <x:c r="Y103" s="34"/>
      <x:c r="Z103" s="38"/>
      <x:c r="AA103" s="38"/>
      <x:c r="AB103" s="75">
        <x:f t="shared" si="10"/>
      </x:c>
      <x:c r="AC103" s="34"/>
      <x:c r="AD103" s="34"/>
      <x:c r="AE103" s="34"/>
    </x:row>
    <x:row r="104" ht="17" customHeight="1">
      <x:c r="A104" s="34"/>
      <x:c r="B104" s="34"/>
      <x:c r="C104" s="34"/>
      <x:c r="D104" s="34"/>
      <x:c r="E104" s="34"/>
      <x:c r="F104" s="34"/>
      <x:c r="G104" s="34">
        <x:f t="shared" si="12"/>
      </x:c>
      <x:c r="H104" s="34">
        <x:f t="shared" si="7"/>
      </x:c>
      <x:c r="I104" s="38">
        <x:f t="shared" si="8"/>
      </x:c>
      <x:c r="J104" s="38">
        <x:f t="shared" si="9"/>
      </x:c>
      <x:c r="K104" s="38"/>
      <x:c r="L104" s="34"/>
      <x:c r="M104" s="34"/>
      <x:c r="N104" s="38"/>
      <x:c r="O104" s="38"/>
      <x:c r="P104" s="34"/>
      <x:c r="Q104" s="34"/>
      <x:c r="R104" s="38"/>
      <x:c r="S104" s="38"/>
      <x:c r="T104" s="34"/>
      <x:c r="U104" s="34"/>
      <x:c r="V104" s="38"/>
      <x:c r="W104" s="38"/>
      <x:c r="X104" s="34"/>
      <x:c r="Y104" s="34"/>
      <x:c r="Z104" s="38"/>
      <x:c r="AA104" s="38"/>
      <x:c r="AB104" s="75">
        <x:f t="shared" si="10"/>
      </x:c>
      <x:c r="AC104" s="34"/>
      <x:c r="AD104" s="34"/>
      <x:c r="AE104" s="34"/>
    </x:row>
    <x:row r="105" ht="17" customHeight="1">
      <x:c r="A105" s="34"/>
      <x:c r="B105" s="34"/>
      <x:c r="C105" s="34"/>
      <x:c r="D105" s="34"/>
      <x:c r="E105" s="34"/>
      <x:c r="F105" s="34"/>
      <x:c r="G105" s="34">
        <x:f t="shared" si="12"/>
      </x:c>
      <x:c r="H105" s="34">
        <x:f t="shared" si="7"/>
      </x:c>
      <x:c r="I105" s="38">
        <x:f t="shared" si="8"/>
      </x:c>
      <x:c r="J105" s="38">
        <x:f t="shared" si="9"/>
      </x:c>
      <x:c r="K105" s="38"/>
      <x:c r="L105" s="34"/>
      <x:c r="M105" s="34"/>
      <x:c r="N105" s="38"/>
      <x:c r="O105" s="38"/>
      <x:c r="P105" s="34"/>
      <x:c r="Q105" s="34"/>
      <x:c r="R105" s="38"/>
      <x:c r="S105" s="38"/>
      <x:c r="T105" s="34"/>
      <x:c r="U105" s="34"/>
      <x:c r="V105" s="38"/>
      <x:c r="W105" s="38"/>
      <x:c r="X105" s="34"/>
      <x:c r="Y105" s="34"/>
      <x:c r="Z105" s="38"/>
      <x:c r="AA105" s="38"/>
      <x:c r="AB105" s="75">
        <x:f t="shared" si="10"/>
      </x:c>
      <x:c r="AC105" s="34"/>
      <x:c r="AD105" s="34"/>
      <x:c r="AE105" s="34"/>
    </x:row>
    <x:row r="106" ht="17" customHeight="1">
      <x:c r="A106" s="34"/>
      <x:c r="B106" s="34"/>
      <x:c r="C106" s="34"/>
      <x:c r="D106" s="34"/>
      <x:c r="E106" s="34"/>
      <x:c r="F106" s="34"/>
      <x:c r="G106" s="34">
        <x:f t="shared" si="12"/>
      </x:c>
      <x:c r="H106" s="34">
        <x:f t="shared" si="7"/>
      </x:c>
      <x:c r="I106" s="38">
        <x:f t="shared" si="8"/>
      </x:c>
      <x:c r="J106" s="38">
        <x:f t="shared" si="9"/>
      </x:c>
      <x:c r="K106" s="38"/>
      <x:c r="L106" s="34"/>
      <x:c r="M106" s="34"/>
      <x:c r="N106" s="38"/>
      <x:c r="O106" s="38"/>
      <x:c r="P106" s="34"/>
      <x:c r="Q106" s="34"/>
      <x:c r="R106" s="38"/>
      <x:c r="S106" s="38"/>
      <x:c r="T106" s="34"/>
      <x:c r="U106" s="34"/>
      <x:c r="V106" s="38"/>
      <x:c r="W106" s="38"/>
      <x:c r="X106" s="34"/>
      <x:c r="Y106" s="34"/>
      <x:c r="Z106" s="38"/>
      <x:c r="AA106" s="38"/>
      <x:c r="AB106" s="75">
        <x:f t="shared" si="10"/>
      </x:c>
      <x:c r="AC106" s="34"/>
      <x:c r="AD106" s="34"/>
      <x:c r="AE106" s="34"/>
    </x:row>
    <x:row r="107" ht="17" customHeight="1">
      <x:c r="A107" s="34"/>
      <x:c r="B107" s="34"/>
      <x:c r="C107" s="34"/>
      <x:c r="D107" s="34"/>
      <x:c r="E107" s="34"/>
      <x:c r="F107" s="34"/>
      <x:c r="G107" s="34">
        <x:f t="shared" si="12"/>
      </x:c>
      <x:c r="H107" s="34">
        <x:f t="shared" si="7"/>
      </x:c>
      <x:c r="I107" s="38">
        <x:f t="shared" si="8"/>
      </x:c>
      <x:c r="J107" s="38">
        <x:f t="shared" si="9"/>
      </x:c>
      <x:c r="K107" s="38"/>
      <x:c r="L107" s="34"/>
      <x:c r="M107" s="34"/>
      <x:c r="N107" s="38"/>
      <x:c r="O107" s="38"/>
      <x:c r="P107" s="34"/>
      <x:c r="Q107" s="34"/>
      <x:c r="R107" s="38"/>
      <x:c r="S107" s="38"/>
      <x:c r="T107" s="34"/>
      <x:c r="U107" s="34"/>
      <x:c r="V107" s="38"/>
      <x:c r="W107" s="38"/>
      <x:c r="X107" s="34"/>
      <x:c r="Y107" s="34"/>
      <x:c r="Z107" s="38"/>
      <x:c r="AA107" s="38"/>
      <x:c r="AB107" s="75">
        <x:f t="shared" si="10"/>
      </x:c>
      <x:c r="AC107" s="34"/>
      <x:c r="AD107" s="34"/>
      <x:c r="AE107" s="34"/>
    </x:row>
    <x:row r="108" ht="17" customHeight="1">
      <x:c r="A108" s="34"/>
      <x:c r="B108" s="34"/>
      <x:c r="C108" s="34"/>
      <x:c r="D108" s="34"/>
      <x:c r="E108" s="34"/>
      <x:c r="F108" s="34"/>
      <x:c r="G108" s="34">
        <x:f t="shared" si="12"/>
      </x:c>
      <x:c r="H108" s="34">
        <x:f t="shared" si="7"/>
      </x:c>
      <x:c r="I108" s="38">
        <x:f t="shared" si="8"/>
      </x:c>
      <x:c r="J108" s="38">
        <x:f t="shared" si="9"/>
      </x:c>
      <x:c r="K108" s="38"/>
      <x:c r="L108" s="34"/>
      <x:c r="M108" s="34"/>
      <x:c r="N108" s="38"/>
      <x:c r="O108" s="38"/>
      <x:c r="P108" s="34"/>
      <x:c r="Q108" s="34"/>
      <x:c r="R108" s="38"/>
      <x:c r="S108" s="38"/>
      <x:c r="T108" s="34"/>
      <x:c r="U108" s="34"/>
      <x:c r="V108" s="38"/>
      <x:c r="W108" s="38"/>
      <x:c r="X108" s="34"/>
      <x:c r="Y108" s="34"/>
      <x:c r="Z108" s="38"/>
      <x:c r="AA108" s="38"/>
      <x:c r="AB108" s="75">
        <x:f t="shared" si="10"/>
      </x:c>
      <x:c r="AC108" s="34"/>
      <x:c r="AD108" s="34"/>
      <x:c r="AE108" s="34"/>
    </x:row>
    <x:row r="109" ht="17" customHeight="1">
      <x:c r="A109" s="34"/>
      <x:c r="B109" s="34"/>
      <x:c r="C109" s="34"/>
      <x:c r="D109" s="34"/>
      <x:c r="E109" s="34"/>
      <x:c r="F109" s="34"/>
      <x:c r="G109" s="34">
        <x:f t="shared" si="12"/>
      </x:c>
      <x:c r="H109" s="34">
        <x:f t="shared" si="7"/>
      </x:c>
      <x:c r="I109" s="38">
        <x:f t="shared" si="8"/>
      </x:c>
      <x:c r="J109" s="38">
        <x:f t="shared" si="9"/>
      </x:c>
      <x:c r="K109" s="38"/>
      <x:c r="L109" s="34"/>
      <x:c r="M109" s="34"/>
      <x:c r="N109" s="38"/>
      <x:c r="O109" s="38"/>
      <x:c r="P109" s="34"/>
      <x:c r="Q109" s="34"/>
      <x:c r="R109" s="38"/>
      <x:c r="S109" s="38"/>
      <x:c r="T109" s="34"/>
      <x:c r="U109" s="34"/>
      <x:c r="V109" s="38"/>
      <x:c r="W109" s="38"/>
      <x:c r="X109" s="34"/>
      <x:c r="Y109" s="34"/>
      <x:c r="Z109" s="38"/>
      <x:c r="AA109" s="38"/>
      <x:c r="AB109" s="75">
        <x:f t="shared" si="10"/>
      </x:c>
      <x:c r="AC109" s="34"/>
      <x:c r="AD109" s="34"/>
      <x:c r="AE109" s="34"/>
    </x:row>
    <x:row r="110" ht="17" customHeight="1">
      <x:c r="A110" s="34"/>
      <x:c r="B110" s="34"/>
      <x:c r="C110" s="34"/>
      <x:c r="D110" s="34"/>
      <x:c r="E110" s="34"/>
      <x:c r="F110" s="34"/>
      <x:c r="G110" s="34">
        <x:f t="shared" si="12"/>
      </x:c>
      <x:c r="H110" s="34">
        <x:f t="shared" si="7"/>
      </x:c>
      <x:c r="I110" s="38">
        <x:f t="shared" si="8"/>
      </x:c>
      <x:c r="J110" s="38">
        <x:f t="shared" si="9"/>
      </x:c>
      <x:c r="K110" s="38"/>
      <x:c r="L110" s="34"/>
      <x:c r="M110" s="34"/>
      <x:c r="N110" s="38"/>
      <x:c r="O110" s="38"/>
      <x:c r="P110" s="34"/>
      <x:c r="Q110" s="34"/>
      <x:c r="R110" s="38"/>
      <x:c r="S110" s="38"/>
      <x:c r="T110" s="34"/>
      <x:c r="U110" s="34"/>
      <x:c r="V110" s="38"/>
      <x:c r="W110" s="38"/>
      <x:c r="X110" s="34"/>
      <x:c r="Y110" s="34"/>
      <x:c r="Z110" s="38"/>
      <x:c r="AA110" s="38"/>
      <x:c r="AB110" s="75">
        <x:f t="shared" si="10"/>
      </x:c>
      <x:c r="AC110" s="34"/>
      <x:c r="AD110" s="34"/>
      <x:c r="AE110" s="34"/>
    </x:row>
    <x:row r="111" ht="17" customHeight="1">
      <x:c r="A111" s="34"/>
      <x:c r="B111" s="34"/>
      <x:c r="C111" s="34"/>
      <x:c r="D111" s="34"/>
      <x:c r="E111" s="34"/>
      <x:c r="F111" s="34"/>
      <x:c r="G111" s="34">
        <x:f t="shared" si="12"/>
      </x:c>
      <x:c r="H111" s="34">
        <x:f t="shared" si="7"/>
      </x:c>
      <x:c r="I111" s="38">
        <x:f t="shared" si="8"/>
      </x:c>
      <x:c r="J111" s="38">
        <x:f t="shared" si="9"/>
      </x:c>
      <x:c r="K111" s="38"/>
      <x:c r="L111" s="34"/>
      <x:c r="M111" s="34"/>
      <x:c r="N111" s="38"/>
      <x:c r="O111" s="38"/>
      <x:c r="P111" s="34"/>
      <x:c r="Q111" s="34"/>
      <x:c r="R111" s="38"/>
      <x:c r="S111" s="38"/>
      <x:c r="T111" s="34"/>
      <x:c r="U111" s="34"/>
      <x:c r="V111" s="38"/>
      <x:c r="W111" s="38"/>
      <x:c r="X111" s="34"/>
      <x:c r="Y111" s="34"/>
      <x:c r="Z111" s="38"/>
      <x:c r="AA111" s="38"/>
      <x:c r="AB111" s="75">
        <x:f t="shared" si="10"/>
      </x:c>
      <x:c r="AC111" s="34"/>
      <x:c r="AD111" s="34"/>
      <x:c r="AE111" s="34"/>
    </x:row>
    <x:row r="112" ht="17" customHeight="1">
      <x:c r="A112" s="34"/>
      <x:c r="B112" s="34"/>
      <x:c r="C112" s="34"/>
      <x:c r="D112" s="34"/>
      <x:c r="E112" s="34"/>
      <x:c r="F112" s="34"/>
      <x:c r="G112" s="34">
        <x:f t="shared" si="12"/>
      </x:c>
      <x:c r="H112" s="34">
        <x:f t="shared" si="7"/>
      </x:c>
      <x:c r="I112" s="38">
        <x:f t="shared" si="8"/>
      </x:c>
      <x:c r="J112" s="38">
        <x:f t="shared" si="9"/>
      </x:c>
      <x:c r="K112" s="38"/>
      <x:c r="L112" s="34"/>
      <x:c r="M112" s="34"/>
      <x:c r="N112" s="38"/>
      <x:c r="O112" s="38"/>
      <x:c r="P112" s="34"/>
      <x:c r="Q112" s="34"/>
      <x:c r="R112" s="38"/>
      <x:c r="S112" s="38"/>
      <x:c r="T112" s="34"/>
      <x:c r="U112" s="34"/>
      <x:c r="V112" s="38"/>
      <x:c r="W112" s="38"/>
      <x:c r="X112" s="34"/>
      <x:c r="Y112" s="34"/>
      <x:c r="Z112" s="38"/>
      <x:c r="AA112" s="38"/>
      <x:c r="AB112" s="75">
        <x:f t="shared" si="10"/>
      </x:c>
      <x:c r="AC112" s="34"/>
      <x:c r="AD112" s="34"/>
      <x:c r="AE112" s="34"/>
    </x:row>
    <x:row r="113" ht="17" customHeight="1">
      <x:c r="A113" s="34"/>
      <x:c r="B113" s="34"/>
      <x:c r="C113" s="34"/>
      <x:c r="D113" s="34"/>
      <x:c r="E113" s="34"/>
      <x:c r="F113" s="34"/>
      <x:c r="G113" s="34">
        <x:f t="shared" si="12"/>
      </x:c>
      <x:c r="H113" s="34">
        <x:f t="shared" si="7"/>
      </x:c>
      <x:c r="I113" s="38">
        <x:f t="shared" si="8"/>
      </x:c>
      <x:c r="J113" s="38">
        <x:f t="shared" si="9"/>
      </x:c>
      <x:c r="K113" s="38"/>
      <x:c r="L113" s="34"/>
      <x:c r="M113" s="34"/>
      <x:c r="N113" s="38"/>
      <x:c r="O113" s="38"/>
      <x:c r="P113" s="34"/>
      <x:c r="Q113" s="34"/>
      <x:c r="R113" s="38"/>
      <x:c r="S113" s="38"/>
      <x:c r="T113" s="34"/>
      <x:c r="U113" s="34"/>
      <x:c r="V113" s="38"/>
      <x:c r="W113" s="38"/>
      <x:c r="X113" s="34"/>
      <x:c r="Y113" s="34"/>
      <x:c r="Z113" s="38"/>
      <x:c r="AA113" s="38"/>
      <x:c r="AB113" s="75">
        <x:f t="shared" si="10"/>
      </x:c>
      <x:c r="AC113" s="34"/>
      <x:c r="AD113" s="34"/>
      <x:c r="AE113" s="34"/>
    </x:row>
    <x:row r="114" ht="17" customHeight="1">
      <x:c r="A114" s="34"/>
      <x:c r="B114" s="34"/>
      <x:c r="C114" s="34"/>
      <x:c r="D114" s="34"/>
      <x:c r="E114" s="34"/>
      <x:c r="F114" s="34"/>
      <x:c r="G114" s="34">
        <x:f t="shared" ref="G114:G119" si="13">IF(OR(M114="挂起",M114="暂停",Q114="挂起",Q114="暂停",U114="挂起",U114="暂停",Y114="挂起",Y114="暂停"),"暂停","暂停")</x:f>
      </x:c>
      <x:c r="H114" s="34">
        <x:f t="shared" si="7"/>
      </x:c>
      <x:c r="I114" s="38">
        <x:f t="shared" si="8"/>
      </x:c>
      <x:c r="J114" s="38">
        <x:f t="shared" si="9"/>
      </x:c>
      <x:c r="K114" s="38"/>
      <x:c r="L114" s="34"/>
      <x:c r="M114" s="34"/>
      <x:c r="N114" s="38"/>
      <x:c r="O114" s="38"/>
      <x:c r="P114" s="34"/>
      <x:c r="Q114" s="34"/>
      <x:c r="R114" s="38"/>
      <x:c r="S114" s="38"/>
      <x:c r="T114" s="34"/>
      <x:c r="U114" s="34"/>
      <x:c r="V114" s="38"/>
      <x:c r="W114" s="38"/>
      <x:c r="X114" s="34"/>
      <x:c r="Y114" s="34"/>
      <x:c r="Z114" s="38"/>
      <x:c r="AA114" s="38"/>
      <x:c r="AB114" s="75">
        <x:f t="shared" si="10"/>
      </x:c>
      <x:c r="AC114" s="34"/>
      <x:c r="AD114" s="34"/>
      <x:c r="AE114" s="34"/>
    </x:row>
    <x:row r="115" ht="17" customHeight="1">
      <x:c r="A115" s="34"/>
      <x:c r="B115" s="34"/>
      <x:c r="C115" s="34"/>
      <x:c r="D115" s="34"/>
      <x:c r="E115" s="34"/>
      <x:c r="F115" s="34"/>
      <x:c r="G115" s="34">
        <x:f t="shared" si="13"/>
      </x:c>
      <x:c r="H115" s="34">
        <x:f t="shared" si="7"/>
      </x:c>
      <x:c r="I115" s="38">
        <x:f t="shared" si="8"/>
      </x:c>
      <x:c r="J115" s="38">
        <x:f t="shared" si="9"/>
      </x:c>
      <x:c r="K115" s="38"/>
      <x:c r="L115" s="34"/>
      <x:c r="M115" s="34"/>
      <x:c r="N115" s="38"/>
      <x:c r="O115" s="38"/>
      <x:c r="P115" s="34"/>
      <x:c r="Q115" s="34"/>
      <x:c r="R115" s="38"/>
      <x:c r="S115" s="38"/>
      <x:c r="T115" s="34"/>
      <x:c r="U115" s="34"/>
      <x:c r="V115" s="38"/>
      <x:c r="W115" s="38"/>
      <x:c r="X115" s="34"/>
      <x:c r="Y115" s="34"/>
      <x:c r="Z115" s="38"/>
      <x:c r="AA115" s="38"/>
      <x:c r="AB115" s="75">
        <x:f t="shared" si="10"/>
      </x:c>
      <x:c r="AC115" s="34"/>
      <x:c r="AD115" s="34"/>
      <x:c r="AE115" s="34"/>
    </x:row>
    <x:row r="116" ht="17" customHeight="1">
      <x:c r="A116" s="34"/>
      <x:c r="B116" s="34"/>
      <x:c r="C116" s="34"/>
      <x:c r="D116" s="34"/>
      <x:c r="E116" s="34"/>
      <x:c r="F116" s="34"/>
      <x:c r="G116" s="34">
        <x:f t="shared" si="13"/>
      </x:c>
      <x:c r="H116" s="34">
        <x:f t="shared" si="7"/>
      </x:c>
      <x:c r="I116" s="38">
        <x:f t="shared" si="8"/>
      </x:c>
      <x:c r="J116" s="38">
        <x:f t="shared" si="9"/>
      </x:c>
      <x:c r="K116" s="38"/>
      <x:c r="L116" s="34"/>
      <x:c r="M116" s="34"/>
      <x:c r="N116" s="38"/>
      <x:c r="O116" s="38"/>
      <x:c r="P116" s="34"/>
      <x:c r="Q116" s="34"/>
      <x:c r="R116" s="38"/>
      <x:c r="S116" s="38"/>
      <x:c r="T116" s="34"/>
      <x:c r="U116" s="34"/>
      <x:c r="V116" s="38"/>
      <x:c r="W116" s="38"/>
      <x:c r="X116" s="34"/>
      <x:c r="Y116" s="34"/>
      <x:c r="Z116" s="38"/>
      <x:c r="AA116" s="38"/>
      <x:c r="AB116" s="75">
        <x:f t="shared" si="10"/>
      </x:c>
      <x:c r="AC116" s="34"/>
      <x:c r="AD116" s="34"/>
      <x:c r="AE116" s="34"/>
    </x:row>
    <x:row r="117" ht="17" customHeight="1">
      <x:c r="A117" s="34"/>
      <x:c r="B117" s="34"/>
      <x:c r="C117" s="34"/>
      <x:c r="D117" s="34"/>
      <x:c r="E117" s="34"/>
      <x:c r="F117" s="34"/>
      <x:c r="G117" s="34">
        <x:f t="shared" si="13"/>
      </x:c>
      <x:c r="H117" s="34">
        <x:f t="shared" si="7"/>
      </x:c>
      <x:c r="I117" s="38">
        <x:f t="shared" si="8"/>
      </x:c>
      <x:c r="J117" s="38">
        <x:f t="shared" si="9"/>
      </x:c>
      <x:c r="K117" s="38"/>
      <x:c r="L117" s="34"/>
      <x:c r="M117" s="34"/>
      <x:c r="N117" s="38"/>
      <x:c r="O117" s="38"/>
      <x:c r="P117" s="34"/>
      <x:c r="Q117" s="34"/>
      <x:c r="R117" s="38"/>
      <x:c r="S117" s="38"/>
      <x:c r="T117" s="34"/>
      <x:c r="U117" s="34"/>
      <x:c r="V117" s="38"/>
      <x:c r="W117" s="38"/>
      <x:c r="X117" s="34"/>
      <x:c r="Y117" s="34"/>
      <x:c r="Z117" s="38"/>
      <x:c r="AA117" s="38"/>
      <x:c r="AB117" s="75">
        <x:f t="shared" si="10"/>
      </x:c>
      <x:c r="AC117" s="34"/>
      <x:c r="AD117" s="34"/>
      <x:c r="AE117" s="34"/>
    </x:row>
    <x:row r="118" ht="17" customHeight="1">
      <x:c r="A118" s="34"/>
      <x:c r="B118" s="34"/>
      <x:c r="C118" s="34"/>
      <x:c r="D118" s="34"/>
      <x:c r="E118" s="34"/>
      <x:c r="F118" s="34"/>
      <x:c r="G118" s="34">
        <x:f t="shared" si="13"/>
      </x:c>
      <x:c r="H118" s="34">
        <x:f t="shared" si="7"/>
      </x:c>
      <x:c r="I118" s="38">
        <x:f t="shared" si="8"/>
      </x:c>
      <x:c r="J118" s="38">
        <x:f t="shared" si="9"/>
      </x:c>
      <x:c r="K118" s="38"/>
      <x:c r="L118" s="34"/>
      <x:c r="M118" s="34"/>
      <x:c r="N118" s="38"/>
      <x:c r="O118" s="38"/>
      <x:c r="P118" s="34"/>
      <x:c r="Q118" s="34"/>
      <x:c r="R118" s="38"/>
      <x:c r="S118" s="38"/>
      <x:c r="T118" s="34"/>
      <x:c r="U118" s="34"/>
      <x:c r="V118" s="38"/>
      <x:c r="W118" s="38"/>
      <x:c r="X118" s="34"/>
      <x:c r="Y118" s="34"/>
      <x:c r="Z118" s="38"/>
      <x:c r="AA118" s="38"/>
      <x:c r="AB118" s="75">
        <x:f t="shared" si="10"/>
      </x:c>
      <x:c r="AC118" s="34"/>
      <x:c r="AD118" s="34"/>
      <x:c r="AE118" s="34"/>
    </x:row>
    <x:row r="119" ht="17" customHeight="1">
      <x:c r="A119" s="34"/>
      <x:c r="B119" s="34"/>
      <x:c r="C119" s="34"/>
      <x:c r="D119" s="34"/>
      <x:c r="E119" s="34"/>
      <x:c r="F119" s="34"/>
      <x:c r="G119" s="34">
        <x:f t="shared" si="13"/>
      </x:c>
      <x:c r="H119" s="34">
        <x:f t="shared" si="7"/>
      </x:c>
      <x:c r="I119" s="38">
        <x:f t="shared" si="8"/>
      </x:c>
      <x:c r="J119" s="38">
        <x:f t="shared" si="9"/>
      </x:c>
      <x:c r="K119" s="38"/>
      <x:c r="L119" s="34"/>
      <x:c r="M119" s="34"/>
      <x:c r="N119" s="38"/>
      <x:c r="O119" s="38"/>
      <x:c r="P119" s="34"/>
      <x:c r="Q119" s="34"/>
      <x:c r="R119" s="38"/>
      <x:c r="S119" s="38"/>
      <x:c r="T119" s="34"/>
      <x:c r="U119" s="34"/>
      <x:c r="V119" s="38"/>
      <x:c r="W119" s="38"/>
      <x:c r="X119" s="34"/>
      <x:c r="Y119" s="34"/>
      <x:c r="Z119" s="38"/>
      <x:c r="AA119" s="38"/>
      <x:c r="AB119" s="75">
        <x:f t="shared" si="10"/>
      </x:c>
      <x:c r="AC119" s="34"/>
      <x:c r="AD119" s="34"/>
      <x:c r="AE119" s="34"/>
    </x:row>
    <x:row r="120" ht="17" customHeight="1">
      <x:c r="A120" s="34"/>
      <x:c r="B120" s="34"/>
      <x:c r="C120" s="34"/>
      <x:c r="D120" s="34"/>
      <x:c r="E120" s="34"/>
      <x:c r="F120" s="34"/>
      <x:c r="G120" s="34">
        <x:f t="shared" ref="G120:G128" si="14">IF(OR(M120="挂起",M120="暂停",Q120="挂起",Q120="暂停",U120="挂起",U120="暂停",Y120="挂起",Y120="暂停"),"暂停","已完成")</x:f>
      </x:c>
      <x:c r="H120" s="34">
        <x:f t="shared" si="7"/>
      </x:c>
      <x:c r="I120" s="38">
        <x:f t="shared" si="8"/>
      </x:c>
      <x:c r="J120" s="38">
        <x:f t="shared" si="9"/>
      </x:c>
      <x:c r="K120" s="38"/>
      <x:c r="L120" s="34"/>
      <x:c r="M120" s="34"/>
      <x:c r="N120" s="38"/>
      <x:c r="O120" s="38"/>
      <x:c r="P120" s="34"/>
      <x:c r="Q120" s="34"/>
      <x:c r="R120" s="38"/>
      <x:c r="S120" s="38"/>
      <x:c r="T120" s="34"/>
      <x:c r="U120" s="34"/>
      <x:c r="V120" s="38"/>
      <x:c r="W120" s="38"/>
      <x:c r="X120" s="34"/>
      <x:c r="Y120" s="34"/>
      <x:c r="Z120" s="38"/>
      <x:c r="AA120" s="38"/>
      <x:c r="AB120" s="75">
        <x:f t="shared" si="10"/>
      </x:c>
      <x:c r="AC120" s="34"/>
      <x:c r="AD120" s="34"/>
      <x:c r="AE120" s="34"/>
    </x:row>
    <x:row r="121" ht="17" customHeight="1">
      <x:c r="A121" s="34"/>
      <x:c r="B121" s="34"/>
      <x:c r="C121" s="34"/>
      <x:c r="D121" s="34"/>
      <x:c r="E121" s="34"/>
      <x:c r="F121" s="34"/>
      <x:c r="G121" s="34">
        <x:f t="shared" si="14"/>
      </x:c>
      <x:c r="H121" s="34">
        <x:f t="shared" si="7"/>
      </x:c>
      <x:c r="I121" s="38">
        <x:f t="shared" si="8"/>
      </x:c>
      <x:c r="J121" s="38">
        <x:f t="shared" si="9"/>
      </x:c>
      <x:c r="K121" s="38"/>
      <x:c r="L121" s="34"/>
      <x:c r="M121" s="34"/>
      <x:c r="N121" s="38"/>
      <x:c r="O121" s="38"/>
      <x:c r="P121" s="34"/>
      <x:c r="Q121" s="34"/>
      <x:c r="R121" s="38"/>
      <x:c r="S121" s="38"/>
      <x:c r="T121" s="34"/>
      <x:c r="U121" s="34"/>
      <x:c r="V121" s="38"/>
      <x:c r="W121" s="38"/>
      <x:c r="X121" s="34"/>
      <x:c r="Y121" s="34"/>
      <x:c r="Z121" s="38"/>
      <x:c r="AA121" s="38"/>
      <x:c r="AB121" s="75">
        <x:f t="shared" si="10"/>
      </x:c>
      <x:c r="AC121" s="34"/>
      <x:c r="AD121" s="34"/>
      <x:c r="AE121" s="34"/>
    </x:row>
    <x:row r="122" ht="17" customHeight="1">
      <x:c r="A122" s="34"/>
      <x:c r="B122" s="34"/>
      <x:c r="C122" s="34"/>
      <x:c r="D122" s="34"/>
      <x:c r="E122" s="34"/>
      <x:c r="F122" s="34"/>
      <x:c r="G122" s="34">
        <x:f t="shared" si="14"/>
      </x:c>
      <x:c r="H122" s="34">
        <x:f t="shared" si="7"/>
      </x:c>
      <x:c r="I122" s="38">
        <x:f t="shared" si="8"/>
      </x:c>
      <x:c r="J122" s="38">
        <x:f t="shared" si="9"/>
      </x:c>
      <x:c r="K122" s="38"/>
      <x:c r="L122" s="34"/>
      <x:c r="M122" s="34"/>
      <x:c r="N122" s="38"/>
      <x:c r="O122" s="38"/>
      <x:c r="P122" s="34"/>
      <x:c r="Q122" s="34"/>
      <x:c r="R122" s="38"/>
      <x:c r="S122" s="38"/>
      <x:c r="T122" s="34"/>
      <x:c r="U122" s="34"/>
      <x:c r="V122" s="38"/>
      <x:c r="W122" s="38"/>
      <x:c r="X122" s="34"/>
      <x:c r="Y122" s="34"/>
      <x:c r="Z122" s="38"/>
      <x:c r="AA122" s="38"/>
      <x:c r="AB122" s="75">
        <x:f t="shared" si="10"/>
      </x:c>
      <x:c r="AC122" s="34"/>
      <x:c r="AD122" s="34"/>
      <x:c r="AE122" s="34"/>
    </x:row>
    <x:row r="123" ht="17" customHeight="1">
      <x:c r="A123" s="34"/>
      <x:c r="B123" s="34"/>
      <x:c r="C123" s="34"/>
      <x:c r="D123" s="34"/>
      <x:c r="E123" s="34"/>
      <x:c r="F123" s="34"/>
      <x:c r="G123" s="34">
        <x:f t="shared" si="14"/>
      </x:c>
      <x:c r="H123" s="34">
        <x:f t="shared" si="7"/>
      </x:c>
      <x:c r="I123" s="38">
        <x:f t="shared" si="8"/>
      </x:c>
      <x:c r="J123" s="38">
        <x:f t="shared" si="9"/>
      </x:c>
      <x:c r="K123" s="38"/>
      <x:c r="L123" s="34"/>
      <x:c r="M123" s="34"/>
      <x:c r="N123" s="38"/>
      <x:c r="O123" s="38"/>
      <x:c r="P123" s="34"/>
      <x:c r="Q123" s="34"/>
      <x:c r="R123" s="38"/>
      <x:c r="S123" s="38"/>
      <x:c r="T123" s="34"/>
      <x:c r="U123" s="34"/>
      <x:c r="V123" s="38"/>
      <x:c r="W123" s="38"/>
      <x:c r="X123" s="34"/>
      <x:c r="Y123" s="34"/>
      <x:c r="Z123" s="38"/>
      <x:c r="AA123" s="38"/>
      <x:c r="AB123" s="75">
        <x:f t="shared" si="10"/>
      </x:c>
      <x:c r="AC123" s="34"/>
      <x:c r="AD123" s="34"/>
      <x:c r="AE123" s="34"/>
    </x:row>
    <x:row r="124" ht="17" customHeight="1">
      <x:c r="A124" s="34"/>
      <x:c r="B124" s="34"/>
      <x:c r="C124" s="34"/>
      <x:c r="D124" s="34"/>
      <x:c r="E124" s="34"/>
      <x:c r="F124" s="34"/>
      <x:c r="G124" s="34">
        <x:f t="shared" si="14"/>
      </x:c>
      <x:c r="H124" s="34">
        <x:f t="shared" si="7"/>
      </x:c>
      <x:c r="I124" s="38">
        <x:f t="shared" si="8"/>
      </x:c>
      <x:c r="J124" s="38">
        <x:f t="shared" si="9"/>
      </x:c>
      <x:c r="K124" s="38"/>
      <x:c r="L124" s="34"/>
      <x:c r="M124" s="34"/>
      <x:c r="N124" s="38"/>
      <x:c r="O124" s="38"/>
      <x:c r="P124" s="34"/>
      <x:c r="Q124" s="34"/>
      <x:c r="R124" s="38"/>
      <x:c r="S124" s="38"/>
      <x:c r="T124" s="34"/>
      <x:c r="U124" s="34"/>
      <x:c r="V124" s="38"/>
      <x:c r="W124" s="38"/>
      <x:c r="X124" s="34"/>
      <x:c r="Y124" s="34"/>
      <x:c r="Z124" s="38"/>
      <x:c r="AA124" s="38"/>
      <x:c r="AB124" s="75">
        <x:f t="shared" si="10"/>
      </x:c>
      <x:c r="AC124" s="34"/>
      <x:c r="AD124" s="34"/>
      <x:c r="AE124" s="34"/>
    </x:row>
    <x:row r="125" ht="17" customHeight="1">
      <x:c r="A125" s="34"/>
      <x:c r="B125" s="34"/>
      <x:c r="C125" s="34"/>
      <x:c r="D125" s="34"/>
      <x:c r="E125" s="34"/>
      <x:c r="F125" s="34"/>
      <x:c r="G125" s="34">
        <x:f t="shared" si="14"/>
      </x:c>
      <x:c r="H125" s="34">
        <x:f t="shared" si="7"/>
      </x:c>
      <x:c r="I125" s="38">
        <x:f t="shared" si="8"/>
      </x:c>
      <x:c r="J125" s="38">
        <x:f t="shared" si="9"/>
      </x:c>
      <x:c r="K125" s="38"/>
      <x:c r="L125" s="34"/>
      <x:c r="M125" s="34"/>
      <x:c r="N125" s="38"/>
      <x:c r="O125" s="38"/>
      <x:c r="P125" s="34"/>
      <x:c r="Q125" s="34"/>
      <x:c r="R125" s="38"/>
      <x:c r="S125" s="38"/>
      <x:c r="T125" s="34"/>
      <x:c r="U125" s="34"/>
      <x:c r="V125" s="38"/>
      <x:c r="W125" s="38"/>
      <x:c r="X125" s="34"/>
      <x:c r="Y125" s="34"/>
      <x:c r="Z125" s="38"/>
      <x:c r="AA125" s="38"/>
      <x:c r="AB125" s="75">
        <x:f t="shared" si="10"/>
      </x:c>
      <x:c r="AC125" s="34"/>
      <x:c r="AD125" s="34"/>
      <x:c r="AE125" s="34"/>
    </x:row>
    <x:row r="126" ht="17" customHeight="1">
      <x:c r="A126" s="34"/>
      <x:c r="B126" s="34"/>
      <x:c r="C126" s="34"/>
      <x:c r="D126" s="34"/>
      <x:c r="E126" s="34"/>
      <x:c r="F126" s="34"/>
      <x:c r="G126" s="34">
        <x:f t="shared" si="14"/>
      </x:c>
      <x:c r="H126" s="34">
        <x:f t="shared" si="7"/>
      </x:c>
      <x:c r="I126" s="38">
        <x:f t="shared" si="8"/>
      </x:c>
      <x:c r="J126" s="38">
        <x:f t="shared" si="9"/>
      </x:c>
      <x:c r="K126" s="38"/>
      <x:c r="L126" s="34"/>
      <x:c r="M126" s="34"/>
      <x:c r="N126" s="38"/>
      <x:c r="O126" s="38"/>
      <x:c r="P126" s="34"/>
      <x:c r="Q126" s="34"/>
      <x:c r="R126" s="38"/>
      <x:c r="S126" s="38"/>
      <x:c r="T126" s="34"/>
      <x:c r="U126" s="34"/>
      <x:c r="V126" s="38"/>
      <x:c r="W126" s="38"/>
      <x:c r="X126" s="34"/>
      <x:c r="Y126" s="34"/>
      <x:c r="Z126" s="38"/>
      <x:c r="AA126" s="38"/>
      <x:c r="AB126" s="75">
        <x:f t="shared" si="10"/>
      </x:c>
      <x:c r="AC126" s="34"/>
      <x:c r="AD126" s="34"/>
      <x:c r="AE126" s="34"/>
    </x:row>
    <x:row r="127" ht="17" customHeight="1">
      <x:c r="A127" s="34"/>
      <x:c r="B127" s="34"/>
      <x:c r="C127" s="34"/>
      <x:c r="D127" s="34"/>
      <x:c r="E127" s="34"/>
      <x:c r="F127" s="34"/>
      <x:c r="G127" s="34">
        <x:f t="shared" si="14"/>
      </x:c>
      <x:c r="H127" s="34">
        <x:f t="shared" si="7"/>
      </x:c>
      <x:c r="I127" s="38">
        <x:f t="shared" si="8"/>
      </x:c>
      <x:c r="J127" s="38">
        <x:f t="shared" si="9"/>
      </x:c>
      <x:c r="K127" s="38"/>
      <x:c r="L127" s="34"/>
      <x:c r="M127" s="34"/>
      <x:c r="N127" s="38"/>
      <x:c r="O127" s="38"/>
      <x:c r="P127" s="34"/>
      <x:c r="Q127" s="34"/>
      <x:c r="R127" s="38"/>
      <x:c r="S127" s="38"/>
      <x:c r="T127" s="34"/>
      <x:c r="U127" s="34"/>
      <x:c r="V127" s="38"/>
      <x:c r="W127" s="38"/>
      <x:c r="X127" s="34"/>
      <x:c r="Y127" s="34"/>
      <x:c r="Z127" s="38"/>
      <x:c r="AA127" s="38"/>
      <x:c r="AB127" s="75">
        <x:f t="shared" si="10"/>
      </x:c>
      <x:c r="AC127" s="34"/>
      <x:c r="AD127" s="34"/>
      <x:c r="AE127" s="34"/>
    </x:row>
    <x:row r="128" ht="17" customHeight="1">
      <x:c r="A128" s="34"/>
      <x:c r="B128" s="34"/>
      <x:c r="C128" s="34"/>
      <x:c r="D128" s="34"/>
      <x:c r="E128" s="34"/>
      <x:c r="F128" s="34"/>
      <x:c r="G128" s="34">
        <x:f t="shared" si="14"/>
      </x:c>
      <x:c r="H128" s="34">
        <x:f t="shared" si="7"/>
      </x:c>
      <x:c r="I128" s="38">
        <x:f t="shared" si="8"/>
      </x:c>
      <x:c r="J128" s="38">
        <x:f t="shared" si="9"/>
      </x:c>
      <x:c r="K128" s="38"/>
      <x:c r="L128" s="34"/>
      <x:c r="M128" s="34"/>
      <x:c r="N128" s="38"/>
      <x:c r="O128" s="38"/>
      <x:c r="P128" s="34"/>
      <x:c r="Q128" s="34"/>
      <x:c r="R128" s="38"/>
      <x:c r="S128" s="38"/>
      <x:c r="T128" s="34"/>
      <x:c r="U128" s="34"/>
      <x:c r="V128" s="38"/>
      <x:c r="W128" s="38"/>
      <x:c r="X128" s="34"/>
      <x:c r="Y128" s="34"/>
      <x:c r="Z128" s="38"/>
      <x:c r="AA128" s="38"/>
      <x:c r="AB128" s="75">
        <x:f t="shared" si="10"/>
      </x:c>
      <x:c r="AC128" s="34"/>
      <x:c r="AD128" s="34"/>
      <x:c r="AE128" s="34"/>
    </x:row>
    <x:row r="129" ht="17" customHeight="1">
      <x:c r="A129" s="34"/>
      <x:c r="B129" s="34"/>
      <x:c r="C129" s="34"/>
      <x:c r="D129" s="34"/>
      <x:c r="E129" s="34"/>
      <x:c r="F129" s="34"/>
      <x:c r="G129" s="34">
        <x:f t="shared" ref="G129:G140" si="15">IF(OR(M129="挂起",M129="暂停",Q129="挂起",Q129="暂停",U129="挂起",U129="暂停",Y129="挂起",Y129="暂停"),"暂停","未开始")</x:f>
      </x:c>
      <x:c r="H129" s="34">
        <x:f t="shared" si="7"/>
      </x:c>
      <x:c r="I129" s="38">
        <x:f t="shared" si="8"/>
      </x:c>
      <x:c r="J129" s="38">
        <x:f t="shared" si="9"/>
      </x:c>
      <x:c r="K129" s="38"/>
      <x:c r="L129" s="34"/>
      <x:c r="M129" s="34"/>
      <x:c r="N129" s="38"/>
      <x:c r="O129" s="38"/>
      <x:c r="P129" s="34"/>
      <x:c r="Q129" s="34"/>
      <x:c r="R129" s="38"/>
      <x:c r="S129" s="38"/>
      <x:c r="T129" s="34"/>
      <x:c r="U129" s="34"/>
      <x:c r="V129" s="38"/>
      <x:c r="W129" s="38"/>
      <x:c r="X129" s="34"/>
      <x:c r="Y129" s="34"/>
      <x:c r="Z129" s="38"/>
      <x:c r="AA129" s="38"/>
      <x:c r="AB129" s="75">
        <x:f t="shared" si="10"/>
      </x:c>
      <x:c r="AC129" s="34"/>
      <x:c r="AD129" s="34"/>
      <x:c r="AE129" s="34"/>
    </x:row>
    <x:row r="130" ht="17" customHeight="1">
      <x:c r="A130" s="34"/>
      <x:c r="B130" s="34"/>
      <x:c r="C130" s="34"/>
      <x:c r="D130" s="34"/>
      <x:c r="E130" s="34"/>
      <x:c r="F130" s="34"/>
      <x:c r="G130" s="34">
        <x:f t="shared" si="15"/>
      </x:c>
      <x:c r="H130" s="34">
        <x:f t="shared" si="7"/>
      </x:c>
      <x:c r="I130" s="38">
        <x:f t="shared" si="8"/>
      </x:c>
      <x:c r="J130" s="38">
        <x:f t="shared" si="9"/>
      </x:c>
      <x:c r="K130" s="38"/>
      <x:c r="L130" s="34"/>
      <x:c r="M130" s="34"/>
      <x:c r="N130" s="38"/>
      <x:c r="O130" s="38"/>
      <x:c r="P130" s="34"/>
      <x:c r="Q130" s="34"/>
      <x:c r="R130" s="38"/>
      <x:c r="S130" s="38"/>
      <x:c r="T130" s="34"/>
      <x:c r="U130" s="34"/>
      <x:c r="V130" s="38"/>
      <x:c r="W130" s="38"/>
      <x:c r="X130" s="34"/>
      <x:c r="Y130" s="34"/>
      <x:c r="Z130" s="38"/>
      <x:c r="AA130" s="38"/>
      <x:c r="AB130" s="75">
        <x:f t="shared" si="10"/>
      </x:c>
      <x:c r="AC130" s="34"/>
      <x:c r="AD130" s="34"/>
      <x:c r="AE130" s="34"/>
    </x:row>
    <x:row r="131" ht="17" customHeight="1">
      <x:c r="A131" s="34"/>
      <x:c r="B131" s="34"/>
      <x:c r="C131" s="34"/>
      <x:c r="D131" s="34"/>
      <x:c r="E131" s="34"/>
      <x:c r="F131" s="34"/>
      <x:c r="G131" s="34">
        <x:f t="shared" si="15"/>
      </x:c>
      <x:c r="H131" s="34">
        <x:f t="shared" si="7"/>
      </x:c>
      <x:c r="I131" s="38">
        <x:f t="shared" si="8"/>
      </x:c>
      <x:c r="J131" s="38">
        <x:f t="shared" si="9"/>
      </x:c>
      <x:c r="K131" s="38"/>
      <x:c r="L131" s="34"/>
      <x:c r="M131" s="34"/>
      <x:c r="N131" s="38"/>
      <x:c r="O131" s="38"/>
      <x:c r="P131" s="34"/>
      <x:c r="Q131" s="34"/>
      <x:c r="R131" s="38"/>
      <x:c r="S131" s="38"/>
      <x:c r="T131" s="34"/>
      <x:c r="U131" s="34"/>
      <x:c r="V131" s="38"/>
      <x:c r="W131" s="38"/>
      <x:c r="X131" s="34"/>
      <x:c r="Y131" s="34"/>
      <x:c r="Z131" s="38"/>
      <x:c r="AA131" s="38"/>
      <x:c r="AB131" s="75">
        <x:f t="shared" si="10"/>
      </x:c>
      <x:c r="AC131" s="34"/>
      <x:c r="AD131" s="34"/>
      <x:c r="AE131" s="34"/>
    </x:row>
    <x:row r="132" ht="17" customHeight="1">
      <x:c r="A132" s="34"/>
      <x:c r="B132" s="34"/>
      <x:c r="C132" s="34"/>
      <x:c r="D132" s="34"/>
      <x:c r="E132" s="34"/>
      <x:c r="F132" s="34"/>
      <x:c r="G132" s="34">
        <x:f t="shared" si="15"/>
      </x:c>
      <x:c r="H132" s="34">
        <x:f t="shared" ref="H132:H148" si="16">IF(L132&lt;&gt;"",L132,IF(P132&lt;&gt;"",P132,IF(T132&lt;&gt;"",T132,X132)))</x:f>
      </x:c>
      <x:c r="I132" s="38">
        <x:f t="shared" ref="I132:I148" si="17">IF(COUNT(N132,R132,V132,Z132)=0,"",MIN(N132,R132,V132,Z132))</x:f>
      </x:c>
      <x:c r="J132" s="38">
        <x:f t="shared" ref="J132:J148" si="18">IF(ISNUMBER(K132),K132,IF(COUNT(O132,S132,W132,AA132)=0,"",MAX(O132,S132,W132,AA132)))</x:f>
      </x:c>
      <x:c r="K132" s="38"/>
      <x:c r="L132" s="34"/>
      <x:c r="M132" s="34"/>
      <x:c r="N132" s="38"/>
      <x:c r="O132" s="38"/>
      <x:c r="P132" s="34"/>
      <x:c r="Q132" s="34"/>
      <x:c r="R132" s="38"/>
      <x:c r="S132" s="38"/>
      <x:c r="T132" s="34"/>
      <x:c r="U132" s="34"/>
      <x:c r="V132" s="38"/>
      <x:c r="W132" s="38"/>
      <x:c r="X132" s="34"/>
      <x:c r="Y132" s="34"/>
      <x:c r="Z132" s="38"/>
      <x:c r="AA132" s="38"/>
      <x:c r="AB132" s="75">
        <x:f t="shared" ref="AB132:AB148" si="19">(IF(M132="已完成",1,IF(M132="进行中",0.5,0))*15%+IF(Q132="已完成",1,IF(Q132="进行中",0.5,0))*35%+IF(U132="已完成",1,IF(U132="进行中",0.5,0))*30%+IF(Y132="已完成",1,IF(Y132="进行中",0.5,0))*20%)</x:f>
      </x:c>
      <x:c r="AC132" s="34"/>
      <x:c r="AD132" s="34"/>
      <x:c r="AE132" s="34"/>
    </x:row>
    <x:row r="133" ht="17" customHeight="1">
      <x:c r="A133" s="34"/>
      <x:c r="B133" s="34"/>
      <x:c r="C133" s="34"/>
      <x:c r="D133" s="34"/>
      <x:c r="E133" s="34"/>
      <x:c r="F133" s="34"/>
      <x:c r="G133" s="34">
        <x:f t="shared" si="15"/>
      </x:c>
      <x:c r="H133" s="34">
        <x:f t="shared" si="16"/>
      </x:c>
      <x:c r="I133" s="38">
        <x:f t="shared" si="17"/>
      </x:c>
      <x:c r="J133" s="38">
        <x:f t="shared" si="18"/>
      </x:c>
      <x:c r="K133" s="38"/>
      <x:c r="L133" s="34"/>
      <x:c r="M133" s="34"/>
      <x:c r="N133" s="38"/>
      <x:c r="O133" s="38"/>
      <x:c r="P133" s="34"/>
      <x:c r="Q133" s="34"/>
      <x:c r="R133" s="38"/>
      <x:c r="S133" s="38"/>
      <x:c r="T133" s="34"/>
      <x:c r="U133" s="34"/>
      <x:c r="V133" s="38"/>
      <x:c r="W133" s="38"/>
      <x:c r="X133" s="34"/>
      <x:c r="Y133" s="34"/>
      <x:c r="Z133" s="38"/>
      <x:c r="AA133" s="38"/>
      <x:c r="AB133" s="75">
        <x:f t="shared" si="19"/>
      </x:c>
      <x:c r="AC133" s="34"/>
      <x:c r="AD133" s="34"/>
      <x:c r="AE133" s="34"/>
    </x:row>
    <x:row r="134" ht="17" customHeight="1">
      <x:c r="A134" s="34"/>
      <x:c r="B134" s="34"/>
      <x:c r="C134" s="34"/>
      <x:c r="D134" s="34"/>
      <x:c r="E134" s="34"/>
      <x:c r="F134" s="34"/>
      <x:c r="G134" s="34">
        <x:f t="shared" si="15"/>
      </x:c>
      <x:c r="H134" s="34">
        <x:f t="shared" si="16"/>
      </x:c>
      <x:c r="I134" s="38">
        <x:f t="shared" si="17"/>
      </x:c>
      <x:c r="J134" s="38">
        <x:f t="shared" si="18"/>
      </x:c>
      <x:c r="K134" s="38"/>
      <x:c r="L134" s="34"/>
      <x:c r="M134" s="34"/>
      <x:c r="N134" s="38"/>
      <x:c r="O134" s="38"/>
      <x:c r="P134" s="34"/>
      <x:c r="Q134" s="34"/>
      <x:c r="R134" s="38"/>
      <x:c r="S134" s="38"/>
      <x:c r="T134" s="34"/>
      <x:c r="U134" s="34"/>
      <x:c r="V134" s="38"/>
      <x:c r="W134" s="38"/>
      <x:c r="X134" s="34"/>
      <x:c r="Y134" s="34"/>
      <x:c r="Z134" s="38"/>
      <x:c r="AA134" s="38"/>
      <x:c r="AB134" s="75">
        <x:f t="shared" si="19"/>
      </x:c>
      <x:c r="AC134" s="34"/>
      <x:c r="AD134" s="34"/>
      <x:c r="AE134" s="34"/>
    </x:row>
    <x:row r="135" ht="17" customHeight="1">
      <x:c r="A135" s="34"/>
      <x:c r="B135" s="34"/>
      <x:c r="C135" s="34"/>
      <x:c r="D135" s="34"/>
      <x:c r="E135" s="34"/>
      <x:c r="F135" s="34"/>
      <x:c r="G135" s="34">
        <x:f t="shared" si="15"/>
      </x:c>
      <x:c r="H135" s="34">
        <x:f t="shared" si="16"/>
      </x:c>
      <x:c r="I135" s="38">
        <x:f t="shared" si="17"/>
      </x:c>
      <x:c r="J135" s="38">
        <x:f t="shared" si="18"/>
      </x:c>
      <x:c r="K135" s="38"/>
      <x:c r="L135" s="34"/>
      <x:c r="M135" s="34"/>
      <x:c r="N135" s="38"/>
      <x:c r="O135" s="38"/>
      <x:c r="P135" s="34"/>
      <x:c r="Q135" s="34"/>
      <x:c r="R135" s="38"/>
      <x:c r="S135" s="38"/>
      <x:c r="T135" s="34"/>
      <x:c r="U135" s="34"/>
      <x:c r="V135" s="38"/>
      <x:c r="W135" s="38"/>
      <x:c r="X135" s="34"/>
      <x:c r="Y135" s="34"/>
      <x:c r="Z135" s="38"/>
      <x:c r="AA135" s="38"/>
      <x:c r="AB135" s="75">
        <x:f t="shared" si="19"/>
      </x:c>
      <x:c r="AC135" s="34"/>
      <x:c r="AD135" s="34"/>
      <x:c r="AE135" s="34"/>
    </x:row>
    <x:row r="136" ht="17" customHeight="1">
      <x:c r="A136" s="34"/>
      <x:c r="B136" s="34"/>
      <x:c r="C136" s="34"/>
      <x:c r="D136" s="34"/>
      <x:c r="E136" s="34"/>
      <x:c r="F136" s="34"/>
      <x:c r="G136" s="34">
        <x:f t="shared" si="15"/>
      </x:c>
      <x:c r="H136" s="34">
        <x:f t="shared" si="16"/>
      </x:c>
      <x:c r="I136" s="38">
        <x:f t="shared" si="17"/>
      </x:c>
      <x:c r="J136" s="38">
        <x:f t="shared" si="18"/>
      </x:c>
      <x:c r="K136" s="38"/>
      <x:c r="L136" s="34"/>
      <x:c r="M136" s="34"/>
      <x:c r="N136" s="38"/>
      <x:c r="O136" s="38"/>
      <x:c r="P136" s="34"/>
      <x:c r="Q136" s="34"/>
      <x:c r="R136" s="38"/>
      <x:c r="S136" s="38"/>
      <x:c r="T136" s="34"/>
      <x:c r="U136" s="34"/>
      <x:c r="V136" s="38"/>
      <x:c r="W136" s="38"/>
      <x:c r="X136" s="34"/>
      <x:c r="Y136" s="34"/>
      <x:c r="Z136" s="38"/>
      <x:c r="AA136" s="38"/>
      <x:c r="AB136" s="75">
        <x:f t="shared" si="19"/>
      </x:c>
      <x:c r="AC136" s="34"/>
      <x:c r="AD136" s="34"/>
      <x:c r="AE136" s="34"/>
    </x:row>
    <x:row r="137" ht="17" customHeight="1">
      <x:c r="A137" s="34"/>
      <x:c r="B137" s="34"/>
      <x:c r="C137" s="34"/>
      <x:c r="D137" s="34"/>
      <x:c r="E137" s="34"/>
      <x:c r="F137" s="34"/>
      <x:c r="G137" s="34">
        <x:f t="shared" si="15"/>
      </x:c>
      <x:c r="H137" s="34">
        <x:f t="shared" si="16"/>
      </x:c>
      <x:c r="I137" s="38">
        <x:f t="shared" si="17"/>
      </x:c>
      <x:c r="J137" s="38">
        <x:f t="shared" si="18"/>
      </x:c>
      <x:c r="K137" s="38"/>
      <x:c r="L137" s="34"/>
      <x:c r="M137" s="34"/>
      <x:c r="N137" s="38"/>
      <x:c r="O137" s="38"/>
      <x:c r="P137" s="34"/>
      <x:c r="Q137" s="34"/>
      <x:c r="R137" s="38"/>
      <x:c r="S137" s="38"/>
      <x:c r="T137" s="34"/>
      <x:c r="U137" s="34"/>
      <x:c r="V137" s="38"/>
      <x:c r="W137" s="38"/>
      <x:c r="X137" s="34"/>
      <x:c r="Y137" s="34"/>
      <x:c r="Z137" s="38"/>
      <x:c r="AA137" s="38"/>
      <x:c r="AB137" s="75">
        <x:f t="shared" si="19"/>
      </x:c>
      <x:c r="AC137" s="34"/>
      <x:c r="AD137" s="34"/>
      <x:c r="AE137" s="34"/>
    </x:row>
    <x:row r="138" ht="17" customHeight="1">
      <x:c r="A138" s="34"/>
      <x:c r="B138" s="34"/>
      <x:c r="C138" s="34"/>
      <x:c r="D138" s="34"/>
      <x:c r="E138" s="34"/>
      <x:c r="F138" s="34"/>
      <x:c r="G138" s="34">
        <x:f t="shared" si="15"/>
      </x:c>
      <x:c r="H138" s="34">
        <x:f t="shared" si="16"/>
      </x:c>
      <x:c r="I138" s="38">
        <x:f t="shared" si="17"/>
      </x:c>
      <x:c r="J138" s="38">
        <x:f t="shared" si="18"/>
      </x:c>
      <x:c r="K138" s="38"/>
      <x:c r="L138" s="34"/>
      <x:c r="M138" s="34"/>
      <x:c r="N138" s="38"/>
      <x:c r="O138" s="38"/>
      <x:c r="P138" s="34"/>
      <x:c r="Q138" s="34"/>
      <x:c r="R138" s="38"/>
      <x:c r="S138" s="38"/>
      <x:c r="T138" s="34"/>
      <x:c r="U138" s="34"/>
      <x:c r="V138" s="38"/>
      <x:c r="W138" s="38"/>
      <x:c r="X138" s="34"/>
      <x:c r="Y138" s="34"/>
      <x:c r="Z138" s="38"/>
      <x:c r="AA138" s="38"/>
      <x:c r="AB138" s="75">
        <x:f t="shared" si="19"/>
      </x:c>
      <x:c r="AC138" s="34"/>
      <x:c r="AD138" s="34"/>
      <x:c r="AE138" s="34"/>
    </x:row>
    <x:row r="139" ht="17" customHeight="1">
      <x:c r="A139" s="34"/>
      <x:c r="B139" s="34"/>
      <x:c r="C139" s="34"/>
      <x:c r="D139" s="34"/>
      <x:c r="E139" s="34"/>
      <x:c r="F139" s="34"/>
      <x:c r="G139" s="34">
        <x:f t="shared" si="15"/>
      </x:c>
      <x:c r="H139" s="34">
        <x:f t="shared" si="16"/>
      </x:c>
      <x:c r="I139" s="38">
        <x:f t="shared" si="17"/>
      </x:c>
      <x:c r="J139" s="38">
        <x:f t="shared" si="18"/>
      </x:c>
      <x:c r="K139" s="38"/>
      <x:c r="L139" s="34"/>
      <x:c r="M139" s="34"/>
      <x:c r="N139" s="38"/>
      <x:c r="O139" s="38"/>
      <x:c r="P139" s="34"/>
      <x:c r="Q139" s="34"/>
      <x:c r="R139" s="38"/>
      <x:c r="S139" s="38"/>
      <x:c r="T139" s="34"/>
      <x:c r="U139" s="34"/>
      <x:c r="V139" s="38"/>
      <x:c r="W139" s="38"/>
      <x:c r="X139" s="34"/>
      <x:c r="Y139" s="34"/>
      <x:c r="Z139" s="38"/>
      <x:c r="AA139" s="38"/>
      <x:c r="AB139" s="75">
        <x:f t="shared" si="19"/>
      </x:c>
      <x:c r="AC139" s="34"/>
      <x:c r="AD139" s="34"/>
      <x:c r="AE139" s="34"/>
    </x:row>
    <x:row r="140" ht="17" customHeight="1">
      <x:c r="A140" s="34"/>
      <x:c r="B140" s="34"/>
      <x:c r="C140" s="34"/>
      <x:c r="D140" s="34"/>
      <x:c r="E140" s="34"/>
      <x:c r="F140" s="34"/>
      <x:c r="G140" s="34">
        <x:f t="shared" si="15"/>
      </x:c>
      <x:c r="H140" s="34">
        <x:f t="shared" si="16"/>
      </x:c>
      <x:c r="I140" s="38">
        <x:f t="shared" si="17"/>
      </x:c>
      <x:c r="J140" s="38">
        <x:f t="shared" si="18"/>
      </x:c>
      <x:c r="K140" s="38"/>
      <x:c r="L140" s="34"/>
      <x:c r="M140" s="34"/>
      <x:c r="N140" s="38"/>
      <x:c r="O140" s="38"/>
      <x:c r="P140" s="34"/>
      <x:c r="Q140" s="34"/>
      <x:c r="R140" s="38"/>
      <x:c r="S140" s="38"/>
      <x:c r="T140" s="34"/>
      <x:c r="U140" s="34"/>
      <x:c r="V140" s="38"/>
      <x:c r="W140" s="38"/>
      <x:c r="X140" s="34"/>
      <x:c r="Y140" s="34"/>
      <x:c r="Z140" s="38"/>
      <x:c r="AA140" s="38"/>
      <x:c r="AB140" s="75">
        <x:f t="shared" si="19"/>
      </x:c>
      <x:c r="AC140" s="34"/>
      <x:c r="AD140" s="34"/>
      <x:c r="AE140" s="34"/>
    </x:row>
    <x:row r="141" ht="17" customHeight="1">
      <x:c r="A141" s="34"/>
      <x:c r="B141" s="34"/>
      <x:c r="C141" s="34"/>
      <x:c r="D141" s="34"/>
      <x:c r="E141" s="34"/>
      <x:c r="F141" s="34"/>
      <x:c r="G141" s="34"/>
      <x:c r="H141" s="34">
        <x:f t="shared" si="16"/>
      </x:c>
      <x:c r="I141" s="38">
        <x:f t="shared" si="17"/>
      </x:c>
      <x:c r="J141" s="38">
        <x:f t="shared" si="18"/>
      </x:c>
      <x:c r="K141" s="38"/>
      <x:c r="L141" s="34"/>
      <x:c r="M141" s="34"/>
      <x:c r="N141" s="38"/>
      <x:c r="O141" s="38"/>
      <x:c r="P141" s="34"/>
      <x:c r="Q141" s="34"/>
      <x:c r="R141" s="38"/>
      <x:c r="S141" s="38"/>
      <x:c r="T141" s="34"/>
      <x:c r="U141" s="34"/>
      <x:c r="V141" s="38"/>
      <x:c r="W141" s="38"/>
      <x:c r="X141" s="34"/>
      <x:c r="Y141" s="34"/>
      <x:c r="Z141" s="38"/>
      <x:c r="AA141" s="38"/>
      <x:c r="AB141" s="75">
        <x:f t="shared" si="19"/>
      </x:c>
      <x:c r="AC141" s="34"/>
      <x:c r="AD141" s="34"/>
      <x:c r="AE141" s="34"/>
    </x:row>
    <x:row r="142" ht="17" customHeight="1">
      <x:c r="A142" s="34"/>
      <x:c r="B142" s="34"/>
      <x:c r="C142" s="34"/>
      <x:c r="D142" s="34"/>
      <x:c r="E142" s="34"/>
      <x:c r="F142" s="34"/>
      <x:c r="G142" s="34"/>
      <x:c r="H142" s="34">
        <x:f t="shared" si="16"/>
      </x:c>
      <x:c r="I142" s="38">
        <x:f t="shared" si="17"/>
      </x:c>
      <x:c r="J142" s="38">
        <x:f t="shared" si="18"/>
      </x:c>
      <x:c r="K142" s="38"/>
      <x:c r="L142" s="34"/>
      <x:c r="M142" s="34"/>
      <x:c r="N142" s="38"/>
      <x:c r="O142" s="38"/>
      <x:c r="P142" s="34"/>
      <x:c r="Q142" s="34"/>
      <x:c r="R142" s="38"/>
      <x:c r="S142" s="38"/>
      <x:c r="T142" s="34"/>
      <x:c r="U142" s="34"/>
      <x:c r="V142" s="38"/>
      <x:c r="W142" s="38"/>
      <x:c r="X142" s="34"/>
      <x:c r="Y142" s="34"/>
      <x:c r="Z142" s="38"/>
      <x:c r="AA142" s="38"/>
      <x:c r="AB142" s="75">
        <x:f t="shared" si="19"/>
      </x:c>
      <x:c r="AC142" s="34"/>
      <x:c r="AD142" s="34"/>
      <x:c r="AE142" s="34"/>
    </x:row>
    <x:row r="143" ht="17" customHeight="1">
      <x:c r="A143" s="34"/>
      <x:c r="B143" s="34"/>
      <x:c r="C143" s="34"/>
      <x:c r="D143" s="34"/>
      <x:c r="E143" s="34"/>
      <x:c r="F143" s="34"/>
      <x:c r="G143" s="34"/>
      <x:c r="H143" s="34">
        <x:f t="shared" si="16"/>
      </x:c>
      <x:c r="I143" s="38">
        <x:f t="shared" si="17"/>
      </x:c>
      <x:c r="J143" s="38">
        <x:f t="shared" si="18"/>
      </x:c>
      <x:c r="K143" s="38"/>
      <x:c r="L143" s="34"/>
      <x:c r="M143" s="34"/>
      <x:c r="N143" s="38"/>
      <x:c r="O143" s="38"/>
      <x:c r="P143" s="34"/>
      <x:c r="Q143" s="34"/>
      <x:c r="R143" s="38"/>
      <x:c r="S143" s="38"/>
      <x:c r="T143" s="34"/>
      <x:c r="U143" s="34"/>
      <x:c r="V143" s="38"/>
      <x:c r="W143" s="38"/>
      <x:c r="X143" s="34"/>
      <x:c r="Y143" s="34"/>
      <x:c r="Z143" s="38"/>
      <x:c r="AA143" s="38"/>
      <x:c r="AB143" s="75">
        <x:f t="shared" si="19"/>
      </x:c>
      <x:c r="AC143" s="34"/>
      <x:c r="AD143" s="34"/>
      <x:c r="AE143" s="34"/>
    </x:row>
    <x:row r="144" ht="17" customHeight="1">
      <x:c r="A144" s="34"/>
      <x:c r="B144" s="34"/>
      <x:c r="C144" s="34"/>
      <x:c r="D144" s="34"/>
      <x:c r="E144" s="34"/>
      <x:c r="F144" s="34"/>
      <x:c r="G144" s="34"/>
      <x:c r="H144" s="34">
        <x:f t="shared" si="16"/>
      </x:c>
      <x:c r="I144" s="38">
        <x:f t="shared" si="17"/>
      </x:c>
      <x:c r="J144" s="38">
        <x:f t="shared" si="18"/>
      </x:c>
      <x:c r="K144" s="38"/>
      <x:c r="L144" s="34"/>
      <x:c r="M144" s="34"/>
      <x:c r="N144" s="38"/>
      <x:c r="O144" s="38"/>
      <x:c r="P144" s="34"/>
      <x:c r="Q144" s="34"/>
      <x:c r="R144" s="38"/>
      <x:c r="S144" s="38"/>
      <x:c r="T144" s="34"/>
      <x:c r="U144" s="34"/>
      <x:c r="V144" s="38"/>
      <x:c r="W144" s="38"/>
      <x:c r="X144" s="34"/>
      <x:c r="Y144" s="34"/>
      <x:c r="Z144" s="38"/>
      <x:c r="AA144" s="38"/>
      <x:c r="AB144" s="75">
        <x:f t="shared" si="19"/>
      </x:c>
      <x:c r="AC144" s="34"/>
      <x:c r="AD144" s="34"/>
      <x:c r="AE144" s="34"/>
    </x:row>
    <x:row r="145" ht="17" customHeight="1">
      <x:c r="A145" s="34"/>
      <x:c r="B145" s="34"/>
      <x:c r="C145" s="34"/>
      <x:c r="D145" s="34"/>
      <x:c r="E145" s="34"/>
      <x:c r="F145" s="34"/>
      <x:c r="G145" s="34"/>
      <x:c r="H145" s="34">
        <x:f t="shared" si="16"/>
      </x:c>
      <x:c r="I145" s="38">
        <x:f t="shared" si="17"/>
      </x:c>
      <x:c r="J145" s="38">
        <x:f t="shared" si="18"/>
      </x:c>
      <x:c r="K145" s="38"/>
      <x:c r="L145" s="34"/>
      <x:c r="M145" s="34"/>
      <x:c r="N145" s="38"/>
      <x:c r="O145" s="38"/>
      <x:c r="P145" s="34"/>
      <x:c r="Q145" s="34"/>
      <x:c r="R145" s="38"/>
      <x:c r="S145" s="38"/>
      <x:c r="T145" s="34"/>
      <x:c r="U145" s="34"/>
      <x:c r="V145" s="38"/>
      <x:c r="W145" s="38"/>
      <x:c r="X145" s="34"/>
      <x:c r="Y145" s="34"/>
      <x:c r="Z145" s="38"/>
      <x:c r="AA145" s="38"/>
      <x:c r="AB145" s="75">
        <x:f t="shared" si="19"/>
      </x:c>
      <x:c r="AC145" s="34"/>
      <x:c r="AD145" s="34"/>
      <x:c r="AE145" s="34"/>
    </x:row>
    <x:row r="146" ht="17" customHeight="1">
      <x:c r="A146" s="34"/>
      <x:c r="B146" s="34"/>
      <x:c r="C146" s="34"/>
      <x:c r="D146" s="34"/>
      <x:c r="E146" s="34"/>
      <x:c r="F146" s="34"/>
      <x:c r="G146" s="34"/>
      <x:c r="H146" s="34">
        <x:f t="shared" si="16"/>
      </x:c>
      <x:c r="I146" s="38">
        <x:f t="shared" si="17"/>
      </x:c>
      <x:c r="J146" s="38">
        <x:f t="shared" si="18"/>
      </x:c>
      <x:c r="K146" s="38"/>
      <x:c r="L146" s="34"/>
      <x:c r="M146" s="34"/>
      <x:c r="N146" s="38"/>
      <x:c r="O146" s="38"/>
      <x:c r="P146" s="34"/>
      <x:c r="Q146" s="34"/>
      <x:c r="R146" s="38"/>
      <x:c r="S146" s="38"/>
      <x:c r="T146" s="34"/>
      <x:c r="U146" s="34"/>
      <x:c r="V146" s="38"/>
      <x:c r="W146" s="38"/>
      <x:c r="X146" s="34"/>
      <x:c r="Y146" s="34"/>
      <x:c r="Z146" s="38"/>
      <x:c r="AA146" s="38"/>
      <x:c r="AB146" s="75">
        <x:f t="shared" si="19"/>
      </x:c>
      <x:c r="AC146" s="34"/>
      <x:c r="AD146" s="34"/>
      <x:c r="AE146" s="34"/>
    </x:row>
    <x:row r="147" ht="17" customHeight="1">
      <x:c r="A147" s="34"/>
      <x:c r="B147" s="34"/>
      <x:c r="C147" s="34"/>
      <x:c r="D147" s="34"/>
      <x:c r="E147" s="34"/>
      <x:c r="F147" s="34"/>
      <x:c r="G147" s="34"/>
      <x:c r="H147" s="34">
        <x:f t="shared" si="16"/>
      </x:c>
      <x:c r="I147" s="38">
        <x:f t="shared" si="17"/>
      </x:c>
      <x:c r="J147" s="38">
        <x:f t="shared" si="18"/>
      </x:c>
      <x:c r="K147" s="38"/>
      <x:c r="L147" s="34"/>
      <x:c r="M147" s="34"/>
      <x:c r="N147" s="38"/>
      <x:c r="O147" s="38"/>
      <x:c r="P147" s="34"/>
      <x:c r="Q147" s="34"/>
      <x:c r="R147" s="38"/>
      <x:c r="S147" s="38"/>
      <x:c r="T147" s="34"/>
      <x:c r="U147" s="34"/>
      <x:c r="V147" s="38"/>
      <x:c r="W147" s="38"/>
      <x:c r="X147" s="34"/>
      <x:c r="Y147" s="34"/>
      <x:c r="Z147" s="38"/>
      <x:c r="AA147" s="38"/>
      <x:c r="AB147" s="75">
        <x:f t="shared" si="19"/>
      </x:c>
      <x:c r="AC147" s="34"/>
      <x:c r="AD147" s="34"/>
      <x:c r="AE147" s="34"/>
    </x:row>
    <x:row r="148" ht="17" customHeight="1">
      <x:c r="A148" s="34"/>
      <x:c r="B148" s="34"/>
      <x:c r="C148" s="34"/>
      <x:c r="D148" s="34"/>
      <x:c r="E148" s="34"/>
      <x:c r="F148" s="34"/>
      <x:c r="G148" s="34"/>
      <x:c r="H148" s="34">
        <x:f t="shared" si="16"/>
      </x:c>
      <x:c r="I148" s="38">
        <x:f t="shared" si="17"/>
      </x:c>
      <x:c r="J148" s="38">
        <x:f t="shared" si="18"/>
      </x:c>
      <x:c r="K148" s="38"/>
      <x:c r="L148" s="34"/>
      <x:c r="M148" s="34"/>
      <x:c r="N148" s="38"/>
      <x:c r="O148" s="38"/>
      <x:c r="P148" s="34"/>
      <x:c r="Q148" s="34"/>
      <x:c r="R148" s="38"/>
      <x:c r="S148" s="38"/>
      <x:c r="T148" s="34"/>
      <x:c r="U148" s="34"/>
      <x:c r="V148" s="38"/>
      <x:c r="W148" s="38"/>
      <x:c r="X148" s="34"/>
      <x:c r="Y148" s="34"/>
      <x:c r="Z148" s="38"/>
      <x:c r="AA148" s="38"/>
      <x:c r="AB148" s="75">
        <x:f t="shared" si="19"/>
      </x:c>
      <x:c r="AC148" s="34"/>
      <x:c r="AD148" s="34"/>
      <x:c r="AE148" s="34"/>
    </x:row>
  </x:sheetData>
  <x:mergeCells>
    <x:mergeCell ref="A1:AE1"/>
    <x:mergeCell ref="A2:AE2"/>
  </x:mergeCells>
  <x:conditionalFormatting sqref="G4:G132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conditionalFormatting sqref="M4:M132">
    <x:cfRule type="containsText" dxfId="0" priority="5" operator="between" text="已完成">
      <x:formula>NOT(ISERROR(SEARCH("已完成",M4)))</x:formula>
    </x:cfRule>
    <x:cfRule type="containsText" dxfId="1" priority="6" operator="between" text="进行中">
      <x:formula>NOT(ISERROR(SEARCH("进行中",M4)))</x:formula>
    </x:cfRule>
    <x:cfRule type="containsText" dxfId="2" priority="7" operator="between" text="未开始">
      <x:formula>NOT(ISERROR(SEARCH("未开始",M4)))</x:formula>
    </x:cfRule>
    <x:cfRule type="containsText" dxfId="3" priority="8" operator="between" text="暂停">
      <x:formula>NOT(ISERROR(SEARCH("暂停",M4)))</x:formula>
    </x:cfRule>
  </x:conditionalFormatting>
  <x:conditionalFormatting sqref="Q4:Q132">
    <x:cfRule type="containsText" dxfId="0" priority="9" operator="between" text="已完成">
      <x:formula>NOT(ISERROR(SEARCH("已完成",Q4)))</x:formula>
    </x:cfRule>
    <x:cfRule type="containsText" dxfId="1" priority="10" operator="between" text="进行中">
      <x:formula>NOT(ISERROR(SEARCH("进行中",Q4)))</x:formula>
    </x:cfRule>
    <x:cfRule type="containsText" dxfId="2" priority="11" operator="between" text="未开始">
      <x:formula>NOT(ISERROR(SEARCH("未开始",Q4)))</x:formula>
    </x:cfRule>
    <x:cfRule type="containsText" dxfId="3" priority="12" operator="between" text="暂停">
      <x:formula>NOT(ISERROR(SEARCH("暂停",Q4)))</x:formula>
    </x:cfRule>
  </x:conditionalFormatting>
  <x:conditionalFormatting sqref="U4:U132">
    <x:cfRule type="containsText" dxfId="0" priority="13" operator="between" text="已完成">
      <x:formula>NOT(ISERROR(SEARCH("已完成",U4)))</x:formula>
    </x:cfRule>
    <x:cfRule type="containsText" dxfId="1" priority="14" operator="between" text="进行中">
      <x:formula>NOT(ISERROR(SEARCH("进行中",U4)))</x:formula>
    </x:cfRule>
    <x:cfRule type="containsText" dxfId="2" priority="15" operator="between" text="未开始">
      <x:formula>NOT(ISERROR(SEARCH("未开始",U4)))</x:formula>
    </x:cfRule>
    <x:cfRule type="containsText" dxfId="3" priority="16" operator="between" text="暂停">
      <x:formula>NOT(ISERROR(SEARCH("暂停",U4)))</x:formula>
    </x:cfRule>
  </x:conditionalFormatting>
  <x:conditionalFormatting sqref="Y4:Y132">
    <x:cfRule type="containsText" dxfId="0" priority="17" operator="between" text="已完成">
      <x:formula>NOT(ISERROR(SEARCH("已完成",Y4)))</x:formula>
    </x:cfRule>
    <x:cfRule type="containsText" dxfId="1" priority="18" operator="between" text="进行中">
      <x:formula>NOT(ISERROR(SEARCH("进行中",Y4)))</x:formula>
    </x:cfRule>
    <x:cfRule type="containsText" dxfId="2" priority="19" operator="between" text="未开始">
      <x:formula>NOT(ISERROR(SEARCH("未开始",Y4)))</x:formula>
    </x:cfRule>
    <x:cfRule type="containsText" dxfId="3" priority="20" operator="between" text="暂停">
      <x:formula>NOT(ISERROR(SEARCH("暂停",Y4)))</x:formula>
    </x:cfRule>
  </x:conditionalFormatting>
  <x:conditionalFormatting sqref="AB4:AB132">
    <x:cfRule type="dataBar" priority="23">
      <x:dataBar minLength="10" maxLength="90"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{72859857-6009-45f4-9281-a2b1400e55b2}</x14:id>
        </x:ext>
      </x:extLst>
    </x:cfRule>
  </x:conditionalFormatting>
  <x:conditionalFormatting sqref="AC4:AC132">
    <x:cfRule type="containsText" dxfId="4" priority="21" operator="between" text="已延期">
      <x:formula>NOT(ISERROR(SEARCH("已延期",AC4)))</x:formula>
    </x:cfRule>
    <x:cfRule type="containsText" dxfId="1" priority="22" operator="between" text="临近到期">
      <x:formula>NOT(ISERROR(SEARCH("临近到期",AC4)))</x:formula>
    </x:cfRule>
  </x:conditionalFormatting>
  <x:dataValidations count="1">
    <x:dataValidation type="list" sqref="G4:G132 M4:M132 Q4:Q132 U4:U132 Y4:Y132">
      <x:formula1>"未开始,进行中,已完成,暂停"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3" id="{72859857-6009-45f4-9281-a2b1400e55b2}">
            <x14:dataBar minLength="10" maxLength="90" negativeBarColorSameAsPositive="1">
              <x14:cfvo type="min"/>
              <x14:cfvo type="max"/>
              <x14:fillColor rgb="FF70AD47"/>
              <x14:axisColor indexed="65"/>
            </x14:dataBar>
          </x14:cfRule>
          <xm:sqref>AB4:AB132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5" topLeftCell="A16" activePane="bottomLeft" state="frozen"/>
    </x:sheetView>
  </x:sheetViews>
  <x:sheetFormatPr defaultColWidth="9" defaultRowHeight="16.799999237060547"/>
  <x:cols>
    <x:col min="1" max="1" width="14" style="1" customWidth="1"/>
    <x:col min="2" max="2" width="11" style="1" customWidth="1"/>
    <x:col min="3" max="3" width="28" style="1" customWidth="1"/>
    <x:col min="4" max="7" width="13" style="1" customWidth="1"/>
    <x:col min="8" max="8" width="14" style="1" customWidth="1"/>
    <x:col min="9" max="9" width="13" style="1" customWidth="1"/>
    <x:col min="10" max="10" width="28" style="1" customWidth="1"/>
    <x:col min="11" max="11" width="24" style="1" customWidth="1"/>
    <x:col min="12" max="12" width="13" style="1" hidden="1" customWidth="1"/>
  </x:cols>
  <x:sheetData>
    <x:row r="1" ht="28" customHeight="1">
      <x:c r="A1" s="2" t="s">
        <x:v>68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69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70</x:v>
      </x:c>
      <x:c r="B4" s="7" t="s">
        <x:v>71</x:v>
      </x:c>
      <x:c r="C4" s="7" t="s">
        <x:v>21</x:v>
      </x:c>
      <x:c r="D4" s="7" t="s">
        <x:v>72</x:v>
      </x:c>
      <x:c r="E4" s="7" t="s">
        <x:v>73</x:v>
      </x:c>
      <x:c r="F4" s="7" t="s">
        <x:v>74</x:v>
      </x:c>
      <x:c r="G4" s="7" t="s">
        <x:v>75</x:v>
      </x:c>
      <x:c r="H4" s="7" t="s">
        <x:v>76</x:v>
      </x:c>
      <x:c r="I4" s="7" t="s">
        <x:v>77</x:v>
      </x:c>
      <x:c r="J4" s="7" t="s">
        <x:v>78</x:v>
      </x:c>
      <x:c r="K4" s="7" t="s">
        <x:v>79</x:v>
      </x:c>
      <x:c r="L4" s="7" t="s">
        <x:v>67</x:v>
      </x:c>
    </x:row>
    <x:row r="5">
      <x:c r="A5" s="8" t="str">
        <x:v>张伟</x:v>
      </x:c>
      <x:c r="B5" s="8" t="str">
        <x:v>项目经理</x:v>
      </x:c>
      <x:c r="C5" s="8" t="n">
        <x:v>2</x:v>
      </x:c>
      <x:c r="D5" s="8" t="n">
        <x:v>1</x:v>
      </x:c>
      <x:c r="E5" s="99" t="n">
        <x:v>46258</x:v>
      </x:c>
      <x:c r="F5" s="99" t="n">
        <x:v>46371</x:v>
      </x:c>
      <x:c r="G5" s="10" t="n">
        <x:v>40</x:v>
      </x:c>
      <x:c r="H5" s="69" t="n">
        <x:v>80</x:v>
      </x:c>
      <x:c r="I5" s="100" t="n">
        <x:v>0.5</x:v>
      </x:c>
      <x:c r="J5" s="8" t="str">
        <x:v>正常</x:v>
      </x:c>
      <x:c r="K5" s="8" t="str">
        <x:v>关注跨部门决策</x:v>
      </x:c>
      <x:c r="L5" s="10" t="str"/>
    </x:row>
    <x:row r="6">
      <x:c r="A6" s="8" t="str">
        <x:v>李明</x:v>
      </x:c>
      <x:c r="B6" s="8" t="str">
        <x:v>业务负责人</x:v>
      </x:c>
      <x:c r="C6" s="8" t="n">
        <x:v>2</x:v>
      </x:c>
      <x:c r="D6" s="8" t="n">
        <x:v>1</x:v>
      </x:c>
      <x:c r="E6" s="99" t="n">
        <x:v>46263</x:v>
      </x:c>
      <x:c r="F6" s="99" t="n">
        <x:v>46346</x:v>
      </x:c>
      <x:c r="G6" s="10" t="n">
        <x:v>40</x:v>
      </x:c>
      <x:c r="H6" s="69" t="n">
        <x:v>160</x:v>
      </x:c>
      <x:c r="I6" s="100" t="n">
        <x:v>0.8</x:v>
      </x:c>
      <x:c r="J6" s="8" t="str">
        <x:v>正常</x:v>
      </x:c>
      <x:c r="K6" s="8" t="str">
        <x:v>牵引需求与UAT</x:v>
      </x:c>
      <x:c r="L6" s="10" t="str"/>
    </x:row>
    <x:row r="7">
      <x:c r="A7" s="8" t="str">
        <x:v>王芳</x:v>
      </x:c>
      <x:c r="B7" s="8" t="str">
        <x:v>产品经理</x:v>
      </x:c>
      <x:c r="C7" s="8" t="n">
        <x:v>5</x:v>
      </x:c>
      <x:c r="D7" s="8" t="n">
        <x:v>4</x:v>
      </x:c>
      <x:c r="E7" s="99" t="n">
        <x:v>46268</x:v>
      </x:c>
      <x:c r="F7" s="99" t="n">
        <x:v>46359</x:v>
      </x:c>
      <x:c r="G7" s="10" t="n">
        <x:v>40</x:v>
      </x:c>
      <x:c r="H7" s="69" t="n">
        <x:v>320</x:v>
      </x:c>
      <x:c r="I7" s="100" t="n">
        <x:v>0.9</x:v>
      </x:c>
      <x:c r="J7" s="8" t="str">
        <x:v>高负荷</x:v>
      </x:c>
      <x:c r="K7" s="8" t="str">
        <x:v>优先保障P0范围</x:v>
      </x:c>
      <x:c r="L7" s="10" t="str"/>
    </x:row>
    <x:row r="8">
      <x:c r="A8" s="8" t="str">
        <x:v>赵强</x:v>
      </x:c>
      <x:c r="B8" s="8" t="str">
        <x:v>全栈</x:v>
      </x:c>
      <x:c r="C8" s="8" t="n">
        <x:v>10</x:v>
      </x:c>
      <x:c r="D8" s="8" t="n">
        <x:v>9</x:v>
      </x:c>
      <x:c r="E8" s="99" t="n">
        <x:v>46273</x:v>
      </x:c>
      <x:c r="F8" s="99" t="n">
        <x:v>46364</x:v>
      </x:c>
      <x:c r="G8" s="10" t="n">
        <x:v>40</x:v>
      </x:c>
      <x:c r="H8" s="69" t="n">
        <x:v>520</x:v>
      </x:c>
      <x:c r="I8" s="100" t="n">
        <x:v>1</x:v>
      </x:c>
      <x:c r="J8" s="8" t="str">
        <x:v>满负荷</x:v>
      </x:c>
      <x:c r="K8" s="8" t="str">
        <x:v>控制并行任务</x:v>
      </x:c>
      <x:c r="L8" s="10" t="str"/>
    </x:row>
    <x:row r="9">
      <x:c r="A9" s="8" t="str">
        <x:v>孙杰</x:v>
      </x:c>
      <x:c r="B9" s="8" t="str">
        <x:v>集成工程师</x:v>
      </x:c>
      <x:c r="C9" s="8" t="n">
        <x:v>3</x:v>
      </x:c>
      <x:c r="D9" s="8" t="n">
        <x:v>3</x:v>
      </x:c>
      <x:c r="E9" s="99" t="n">
        <x:v>46293</x:v>
      </x:c>
      <x:c r="F9" s="99" t="n">
        <x:v>46369</x:v>
      </x:c>
      <x:c r="G9" s="10" t="n">
        <x:v>40</x:v>
      </x:c>
      <x:c r="H9" s="69" t="n">
        <x:v>240</x:v>
      </x:c>
      <x:c r="I9" s="100" t="n">
        <x:v>0.85</x:v>
      </x:c>
      <x:c r="J9" s="8" t="str">
        <x:v>正常</x:v>
      </x:c>
      <x:c r="K9" s="8" t="str">
        <x:v>重点跟踪外部接口</x:v>
      </x:c>
      <x:c r="L9" s="10" t="str"/>
    </x:row>
    <x:row r="10">
      <x:c r="A10" s="8" t="str">
        <x:v>周敏</x:v>
      </x:c>
      <x:c r="B10" s="8" t="str">
        <x:v>数据工程师</x:v>
      </x:c>
      <x:c r="C10" s="8" t="n">
        <x:v>3</x:v>
      </x:c>
      <x:c r="D10" s="8" t="n">
        <x:v>3</x:v>
      </x:c>
      <x:c r="E10" s="99" t="n">
        <x:v>46308</x:v>
      </x:c>
      <x:c r="F10" s="99" t="n">
        <x:v>46364</x:v>
      </x:c>
      <x:c r="G10" s="10" t="n">
        <x:v>40</x:v>
      </x:c>
      <x:c r="H10" s="69" t="n">
        <x:v>240</x:v>
      </x:c>
      <x:c r="I10" s="100" t="n">
        <x:v>0.85</x:v>
      </x:c>
      <x:c r="J10" s="8" t="str">
        <x:v>正常</x:v>
      </x:c>
      <x:c r="K10" s="8" t="str">
        <x:v>预留迁移演练缓冲</x:v>
      </x:c>
      <x:c r="L10" s="10" t="str"/>
    </x:row>
    <x:row r="13" ht="17.600000381469727" customHeight="1">
      <x:c r="A13" s="23" t="s">
        <x:v>80</x:v>
      </x:c>
    </x:row>
    <x:row r="14">
      <x:c r="A14" s="70" t="str">
        <x:v>V3首版按合同系统总控任务生成；后续通过项目数据中心刷新任务明细。</x:v>
      </x:c>
      <x:c r="B14" s="3"/>
      <x:c r="C14" s="3"/>
      <x:c r="D14" s="3"/>
      <x:c r="E14" s="3"/>
      <x:c r="F14" s="3"/>
      <x:c r="G14" s="3"/>
      <x:c r="H14" s="3"/>
      <x:c r="I14" s="3"/>
      <x:c r="J14" s="3"/>
      <x:c r="K14" s="4"/>
    </x:row>
    <x:row r="15" ht="28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3"/>
      <x:c r="K15" s="4"/>
    </x:row>
    <x:row r="16" ht="48" customHeight="1">
      <x:c r="A16" s="71"/>
      <x:c r="B16" s="25"/>
      <x:c r="C16" s="25"/>
      <x:c r="D16" s="8"/>
      <x:c r="E16" s="8"/>
      <x:c r="F16" s="69"/>
      <x:c r="G16" s="24"/>
      <x:c r="H16" s="8"/>
      <x:c r="I16" s="8"/>
      <x:c r="J16" s="3"/>
      <x:c r="K16" s="4"/>
      <x:c r="L16" s="6"/>
    </x:row>
    <x:row r="17" ht="48" customHeight="1">
      <x:c r="A17" s="72"/>
      <x:c r="B17" s="25"/>
      <x:c r="C17" s="25"/>
      <x:c r="D17" s="8"/>
      <x:c r="E17" s="8"/>
      <x:c r="F17" s="69"/>
      <x:c r="G17" s="24"/>
      <x:c r="H17" s="8"/>
      <x:c r="I17" s="8"/>
      <x:c r="J17" s="3"/>
      <x:c r="K17" s="4"/>
      <x:c r="L17" s="6"/>
    </x:row>
    <x:row r="18" ht="48" customHeight="1">
      <x:c r="A18" s="72"/>
      <x:c r="B18" s="25"/>
      <x:c r="C18" s="25"/>
      <x:c r="D18" s="8"/>
      <x:c r="E18" s="8"/>
      <x:c r="F18" s="69"/>
      <x:c r="G18" s="24"/>
      <x:c r="H18" s="8"/>
      <x:c r="I18" s="8"/>
      <x:c r="J18" s="3"/>
      <x:c r="K18" s="4"/>
      <x:c r="L18" s="6"/>
    </x:row>
    <x:row r="19" ht="48" customHeight="1">
      <x:c r="A19" s="72"/>
      <x:c r="B19" s="25"/>
      <x:c r="C19" s="25"/>
      <x:c r="D19" s="8"/>
      <x:c r="E19" s="8"/>
      <x:c r="F19" s="69"/>
      <x:c r="G19" s="24"/>
      <x:c r="H19" s="8"/>
      <x:c r="I19" s="8"/>
      <x:c r="J19" s="3"/>
      <x:c r="K19" s="4"/>
      <x:c r="L19" s="6"/>
    </x:row>
    <x:row r="20" ht="48" customHeight="1">
      <x:c r="A20" s="72"/>
      <x:c r="B20" s="25"/>
      <x:c r="C20" s="25"/>
      <x:c r="D20" s="8"/>
      <x:c r="E20" s="8"/>
      <x:c r="F20" s="69"/>
      <x:c r="G20" s="24"/>
      <x:c r="H20" s="8"/>
      <x:c r="I20" s="8"/>
      <x:c r="J20" s="3"/>
      <x:c r="K20" s="4"/>
      <x:c r="L20" s="6"/>
    </x:row>
    <x:row r="21" ht="48" customHeight="1">
      <x:c r="A21" s="72"/>
      <x:c r="B21" s="25"/>
      <x:c r="C21" s="25"/>
      <x:c r="D21" s="8"/>
      <x:c r="E21" s="8"/>
      <x:c r="F21" s="69"/>
      <x:c r="G21" s="24"/>
      <x:c r="H21" s="8"/>
      <x:c r="I21" s="8"/>
      <x:c r="J21" s="3"/>
      <x:c r="K21" s="4"/>
      <x:c r="L21" s="6"/>
    </x:row>
    <x:row r="22" ht="48" customHeight="1">
      <x:c r="A22" s="72"/>
      <x:c r="B22" s="25"/>
      <x:c r="C22" s="25"/>
      <x:c r="D22" s="8"/>
      <x:c r="E22" s="8"/>
      <x:c r="F22" s="69"/>
      <x:c r="G22" s="24"/>
      <x:c r="H22" s="8"/>
      <x:c r="I22" s="8"/>
      <x:c r="J22" s="3"/>
      <x:c r="K22" s="4"/>
      <x:c r="L22" s="6"/>
    </x:row>
    <x:row r="23" ht="48" customHeight="1">
      <x:c r="A23" s="72"/>
      <x:c r="B23" s="25"/>
      <x:c r="C23" s="25"/>
      <x:c r="D23" s="8"/>
      <x:c r="E23" s="8"/>
      <x:c r="F23" s="69"/>
      <x:c r="G23" s="24"/>
      <x:c r="H23" s="8"/>
      <x:c r="I23" s="8"/>
      <x:c r="J23" s="3"/>
      <x:c r="K23" s="4"/>
      <x:c r="L23" s="6"/>
    </x:row>
    <x:row r="24" ht="48" customHeight="1">
      <x:c r="A24" s="72"/>
      <x:c r="B24" s="25"/>
      <x:c r="C24" s="25"/>
      <x:c r="D24" s="8"/>
      <x:c r="E24" s="8"/>
      <x:c r="F24" s="69"/>
      <x:c r="G24" s="24"/>
      <x:c r="H24" s="8"/>
      <x:c r="I24" s="8"/>
      <x:c r="J24" s="3"/>
      <x:c r="K24" s="4"/>
      <x:c r="L24" s="6"/>
    </x:row>
    <x:row r="25" ht="48" customHeight="1">
      <x:c r="A25" s="72"/>
      <x:c r="B25" s="25"/>
      <x:c r="C25" s="25"/>
      <x:c r="D25" s="8"/>
      <x:c r="E25" s="8"/>
      <x:c r="F25" s="69"/>
      <x:c r="G25" s="24"/>
      <x:c r="H25" s="8"/>
      <x:c r="I25" s="8"/>
      <x:c r="J25" s="3"/>
      <x:c r="K25" s="4"/>
      <x:c r="L25" s="6"/>
    </x:row>
    <x:row r="26" ht="48" customHeight="1">
      <x:c r="A26" s="72"/>
      <x:c r="B26" s="25"/>
      <x:c r="C26" s="25"/>
      <x:c r="D26" s="8"/>
      <x:c r="E26" s="8"/>
      <x:c r="F26" s="69"/>
      <x:c r="G26" s="24"/>
      <x:c r="H26" s="8"/>
      <x:c r="I26" s="8"/>
      <x:c r="J26" s="3"/>
      <x:c r="K26" s="4"/>
      <x:c r="L26" s="6"/>
    </x:row>
    <x:row r="27" ht="48" customHeight="1">
      <x:c r="A27" s="72"/>
      <x:c r="B27" s="25"/>
      <x:c r="C27" s="25"/>
      <x:c r="D27" s="8"/>
      <x:c r="E27" s="8"/>
      <x:c r="F27" s="69"/>
      <x:c r="G27" s="24"/>
      <x:c r="H27" s="8"/>
      <x:c r="I27" s="8"/>
      <x:c r="J27" s="3"/>
      <x:c r="K27" s="4"/>
      <x:c r="L27" s="6"/>
    </x:row>
    <x:row r="28" ht="48" customHeight="1">
      <x:c r="A28" s="72"/>
      <x:c r="B28" s="25"/>
      <x:c r="C28" s="25"/>
      <x:c r="D28" s="8"/>
      <x:c r="E28" s="8"/>
      <x:c r="F28" s="69"/>
      <x:c r="G28" s="24"/>
      <x:c r="H28" s="8"/>
      <x:c r="I28" s="8"/>
      <x:c r="J28" s="3"/>
      <x:c r="K28" s="4"/>
      <x:c r="L28" s="6"/>
    </x:row>
    <x:row r="29" ht="48" customHeight="1">
      <x:c r="A29" s="72"/>
      <x:c r="B29" s="25"/>
      <x:c r="C29" s="25"/>
      <x:c r="D29" s="8"/>
      <x:c r="E29" s="8"/>
      <x:c r="F29" s="69"/>
      <x:c r="G29" s="24"/>
      <x:c r="H29" s="8"/>
      <x:c r="I29" s="8"/>
      <x:c r="J29" s="3"/>
      <x:c r="K29" s="4"/>
      <x:c r="L29" s="6"/>
    </x:row>
    <x:row r="30" ht="48" customHeight="1">
      <x:c r="A30" s="72"/>
      <x:c r="B30" s="25"/>
      <x:c r="C30" s="25"/>
      <x:c r="D30" s="8"/>
      <x:c r="E30" s="8"/>
      <x:c r="F30" s="69"/>
      <x:c r="G30" s="24"/>
      <x:c r="H30" s="8"/>
      <x:c r="I30" s="8"/>
      <x:c r="J30" s="3"/>
      <x:c r="K30" s="4"/>
      <x:c r="L30" s="6"/>
    </x:row>
    <x:row r="31" ht="48" customHeight="1">
      <x:c r="A31" s="72"/>
      <x:c r="B31" s="25"/>
      <x:c r="C31" s="25"/>
      <x:c r="D31" s="8"/>
      <x:c r="E31" s="8"/>
      <x:c r="F31" s="69"/>
      <x:c r="G31" s="24"/>
      <x:c r="H31" s="8"/>
      <x:c r="I31" s="8"/>
      <x:c r="J31" s="3"/>
      <x:c r="K31" s="4"/>
      <x:c r="L31" s="6"/>
    </x:row>
    <x:row r="32" ht="48" customHeight="1">
      <x:c r="A32" s="72"/>
      <x:c r="B32" s="25"/>
      <x:c r="C32" s="25"/>
      <x:c r="D32" s="8"/>
      <x:c r="E32" s="8"/>
      <x:c r="F32" s="69"/>
      <x:c r="G32" s="24"/>
      <x:c r="H32" s="8"/>
      <x:c r="I32" s="8"/>
      <x:c r="J32" s="3"/>
      <x:c r="K32" s="4"/>
      <x:c r="L32" s="6"/>
    </x:row>
    <x:row r="33" ht="48" customHeight="1">
      <x:c r="A33" s="72"/>
      <x:c r="B33" s="25"/>
      <x:c r="C33" s="25"/>
      <x:c r="D33" s="8"/>
      <x:c r="E33" s="8"/>
      <x:c r="F33" s="69"/>
      <x:c r="G33" s="24"/>
      <x:c r="H33" s="8"/>
      <x:c r="I33" s="8"/>
      <x:c r="J33" s="3"/>
      <x:c r="K33" s="4"/>
      <x:c r="L33" s="6"/>
    </x:row>
    <x:row r="34" ht="48" customHeight="1">
      <x:c r="A34" s="72"/>
      <x:c r="B34" s="25"/>
      <x:c r="C34" s="25"/>
      <x:c r="D34" s="8"/>
      <x:c r="E34" s="8"/>
      <x:c r="F34" s="69"/>
      <x:c r="G34" s="24"/>
      <x:c r="H34" s="8"/>
      <x:c r="I34" s="8"/>
      <x:c r="J34" s="3"/>
      <x:c r="K34" s="4"/>
      <x:c r="L34" s="6"/>
    </x:row>
    <x:row r="35" ht="48" customHeight="1">
      <x:c r="A35" s="72"/>
      <x:c r="B35" s="25"/>
      <x:c r="C35" s="25"/>
      <x:c r="D35" s="8"/>
      <x:c r="E35" s="8"/>
      <x:c r="F35" s="69"/>
      <x:c r="G35" s="24"/>
      <x:c r="H35" s="8"/>
      <x:c r="I35" s="8"/>
      <x:c r="J35" s="3"/>
      <x:c r="K35" s="4"/>
      <x:c r="L35" s="6"/>
    </x:row>
    <x:row r="36" ht="48" customHeight="1">
      <x:c r="A36" s="72"/>
      <x:c r="B36" s="25"/>
      <x:c r="C36" s="25"/>
      <x:c r="D36" s="8"/>
      <x:c r="E36" s="8"/>
      <x:c r="F36" s="69"/>
      <x:c r="G36" s="24"/>
      <x:c r="H36" s="8"/>
      <x:c r="I36" s="8"/>
      <x:c r="J36" s="3"/>
      <x:c r="K36" s="4"/>
      <x:c r="L36" s="6"/>
    </x:row>
    <x:row r="37" ht="20" customHeight="1">
      <x:c r="A37" s="72"/>
      <x:c r="B37" s="25"/>
      <x:c r="C37" s="25"/>
      <x:c r="D37" s="8"/>
      <x:c r="E37" s="8"/>
      <x:c r="F37" s="69"/>
      <x:c r="G37" s="24"/>
      <x:c r="H37" s="8"/>
      <x:c r="I37" s="8"/>
      <x:c r="J37" s="3"/>
      <x:c r="K37" s="4"/>
      <x:c r="L37" s="6"/>
    </x:row>
    <x:row r="38" ht="20" customHeight="1">
      <x:c r="A38" s="73"/>
      <x:c r="B38" s="25"/>
      <x:c r="C38" s="25"/>
      <x:c r="D38" s="8"/>
      <x:c r="E38" s="8"/>
      <x:c r="F38" s="69"/>
      <x:c r="G38" s="24"/>
      <x:c r="H38" s="8"/>
      <x:c r="I38" s="8"/>
      <x:c r="J38" s="3"/>
      <x:c r="K38" s="4"/>
      <x:c r="L38" s="6"/>
    </x:row>
    <x:row r="39" ht="20" customHeight="1">
      <x:c r="A39" s="71"/>
      <x:c r="B39" s="25"/>
      <x:c r="C39" s="25"/>
      <x:c r="D39" s="8"/>
      <x:c r="E39" s="8"/>
      <x:c r="F39" s="69"/>
      <x:c r="G39" s="24"/>
      <x:c r="H39" s="8"/>
      <x:c r="I39" s="8"/>
      <x:c r="J39" s="3"/>
      <x:c r="K39" s="4"/>
      <x:c r="L39" s="6"/>
    </x:row>
    <x:row r="40" ht="20" customHeight="1">
      <x:c r="A40" s="72"/>
      <x:c r="B40" s="25"/>
      <x:c r="C40" s="25"/>
      <x:c r="D40" s="8"/>
      <x:c r="E40" s="8"/>
      <x:c r="F40" s="69"/>
      <x:c r="G40" s="24"/>
      <x:c r="H40" s="8"/>
      <x:c r="I40" s="8"/>
      <x:c r="J40" s="3"/>
      <x:c r="K40" s="4"/>
      <x:c r="L40" s="6"/>
    </x:row>
    <x:row r="41" ht="48" customHeight="1">
      <x:c r="A41" s="72"/>
      <x:c r="B41" s="25"/>
      <x:c r="C41" s="25"/>
      <x:c r="D41" s="8"/>
      <x:c r="E41" s="8"/>
      <x:c r="F41" s="69"/>
      <x:c r="G41" s="24"/>
      <x:c r="H41" s="8"/>
      <x:c r="I41" s="8"/>
      <x:c r="J41" s="3"/>
      <x:c r="K41" s="4"/>
      <x:c r="L41" s="6"/>
    </x:row>
    <x:row r="42" ht="48" customHeight="1">
      <x:c r="A42" s="72"/>
      <x:c r="B42" s="25"/>
      <x:c r="C42" s="25"/>
      <x:c r="D42" s="8"/>
      <x:c r="E42" s="8"/>
      <x:c r="F42" s="69"/>
      <x:c r="G42" s="24"/>
      <x:c r="H42" s="8"/>
      <x:c r="I42" s="8"/>
      <x:c r="J42" s="3"/>
      <x:c r="K42" s="4"/>
      <x:c r="L42" s="6"/>
    </x:row>
    <x:row r="43" ht="48" customHeight="1">
      <x:c r="A43" s="72"/>
      <x:c r="B43" s="25"/>
      <x:c r="C43" s="25"/>
      <x:c r="D43" s="8"/>
      <x:c r="E43" s="8"/>
      <x:c r="F43" s="69"/>
      <x:c r="G43" s="24"/>
      <x:c r="H43" s="8"/>
      <x:c r="I43" s="8"/>
      <x:c r="J43" s="3"/>
      <x:c r="K43" s="4"/>
      <x:c r="L43" s="6"/>
    </x:row>
    <x:row r="44" ht="48" customHeight="1">
      <x:c r="A44" s="72"/>
      <x:c r="B44" s="25"/>
      <x:c r="C44" s="25"/>
      <x:c r="D44" s="8"/>
      <x:c r="E44" s="8"/>
      <x:c r="F44" s="69"/>
      <x:c r="G44" s="24"/>
      <x:c r="H44" s="8"/>
      <x:c r="I44" s="8"/>
      <x:c r="J44" s="3"/>
      <x:c r="K44" s="4"/>
      <x:c r="L44" s="6"/>
    </x:row>
    <x:row r="45" ht="48" customHeight="1">
      <x:c r="A45" s="72"/>
      <x:c r="B45" s="25"/>
      <x:c r="C45" s="25"/>
      <x:c r="D45" s="8"/>
      <x:c r="E45" s="8"/>
      <x:c r="F45" s="69"/>
      <x:c r="G45" s="24"/>
      <x:c r="H45" s="8"/>
      <x:c r="I45" s="8"/>
      <x:c r="J45" s="3"/>
      <x:c r="K45" s="4"/>
      <x:c r="L45" s="6"/>
    </x:row>
    <x:row r="46" ht="48" customHeight="1">
      <x:c r="A46" s="72"/>
      <x:c r="B46" s="25"/>
      <x:c r="C46" s="25"/>
      <x:c r="D46" s="8"/>
      <x:c r="E46" s="8"/>
      <x:c r="F46" s="69"/>
      <x:c r="G46" s="24"/>
      <x:c r="H46" s="8"/>
      <x:c r="I46" s="8"/>
      <x:c r="J46" s="3"/>
      <x:c r="K46" s="4"/>
      <x:c r="L46" s="6"/>
    </x:row>
    <x:row r="47" ht="48" customHeight="1">
      <x:c r="A47" s="72"/>
      <x:c r="B47" s="25"/>
      <x:c r="C47" s="25"/>
      <x:c r="D47" s="8"/>
      <x:c r="E47" s="8"/>
      <x:c r="F47" s="69"/>
      <x:c r="G47" s="24"/>
      <x:c r="H47" s="8"/>
      <x:c r="I47" s="8"/>
      <x:c r="J47" s="3"/>
      <x:c r="K47" s="4"/>
      <x:c r="L47" s="6"/>
    </x:row>
    <x:row r="48" ht="48" customHeight="1">
      <x:c r="A48" s="72"/>
      <x:c r="B48" s="25"/>
      <x:c r="C48" s="25"/>
      <x:c r="D48" s="8"/>
      <x:c r="E48" s="8"/>
      <x:c r="F48" s="69"/>
      <x:c r="G48" s="24"/>
      <x:c r="H48" s="8"/>
      <x:c r="I48" s="8"/>
      <x:c r="J48" s="3"/>
      <x:c r="K48" s="4"/>
      <x:c r="L48" s="6"/>
    </x:row>
    <x:row r="49" ht="48" customHeight="1">
      <x:c r="A49" s="72"/>
      <x:c r="B49" s="25"/>
      <x:c r="C49" s="25"/>
      <x:c r="D49" s="8"/>
      <x:c r="E49" s="8"/>
      <x:c r="F49" s="69"/>
      <x:c r="G49" s="24"/>
      <x:c r="H49" s="8"/>
      <x:c r="I49" s="8"/>
      <x:c r="J49" s="3"/>
      <x:c r="K49" s="4"/>
      <x:c r="L49" s="6"/>
    </x:row>
    <x:row r="50" ht="48" customHeight="1">
      <x:c r="A50" s="72"/>
      <x:c r="B50" s="25"/>
      <x:c r="C50" s="25"/>
      <x:c r="D50" s="8"/>
      <x:c r="E50" s="8"/>
      <x:c r="F50" s="69"/>
      <x:c r="G50" s="24"/>
      <x:c r="H50" s="8"/>
      <x:c r="I50" s="8"/>
      <x:c r="J50" s="3"/>
      <x:c r="K50" s="4"/>
      <x:c r="L50" s="6"/>
    </x:row>
    <x:row r="51" ht="20" customHeight="1">
      <x:c r="A51" s="72"/>
      <x:c r="B51" s="25"/>
      <x:c r="C51" s="25"/>
      <x:c r="D51" s="8"/>
      <x:c r="E51" s="8"/>
      <x:c r="F51" s="69"/>
      <x:c r="G51" s="24"/>
      <x:c r="H51" s="8"/>
      <x:c r="I51" s="8"/>
      <x:c r="J51" s="3"/>
      <x:c r="K51" s="4"/>
      <x:c r="L51" s="6"/>
    </x:row>
    <x:row r="52" ht="48" customHeight="1">
      <x:c r="A52" s="72"/>
      <x:c r="B52" s="25"/>
      <x:c r="C52" s="25"/>
      <x:c r="D52" s="8"/>
      <x:c r="E52" s="8"/>
      <x:c r="F52" s="69"/>
      <x:c r="G52" s="24"/>
      <x:c r="H52" s="8"/>
      <x:c r="I52" s="8"/>
      <x:c r="J52" s="3"/>
      <x:c r="K52" s="4"/>
      <x:c r="L52" s="6"/>
    </x:row>
    <x:row r="53" ht="48" customHeight="1">
      <x:c r="A53" s="72"/>
      <x:c r="B53" s="25"/>
      <x:c r="C53" s="25"/>
      <x:c r="D53" s="8"/>
      <x:c r="E53" s="8"/>
      <x:c r="F53" s="69"/>
      <x:c r="G53" s="24"/>
      <x:c r="H53" s="8"/>
      <x:c r="I53" s="8"/>
      <x:c r="J53" s="3"/>
      <x:c r="K53" s="4"/>
      <x:c r="L53" s="6"/>
    </x:row>
    <x:row r="54" ht="48" customHeight="1">
      <x:c r="A54" s="72"/>
      <x:c r="B54" s="25"/>
      <x:c r="C54" s="25"/>
      <x:c r="D54" s="8"/>
      <x:c r="E54" s="8"/>
      <x:c r="F54" s="69"/>
      <x:c r="G54" s="24"/>
      <x:c r="H54" s="8"/>
      <x:c r="I54" s="8"/>
      <x:c r="J54" s="3"/>
      <x:c r="K54" s="4"/>
      <x:c r="L54" s="6"/>
    </x:row>
    <x:row r="55" ht="48" customHeight="1">
      <x:c r="A55" s="72"/>
      <x:c r="B55" s="25"/>
      <x:c r="C55" s="25"/>
      <x:c r="D55" s="8"/>
      <x:c r="E55" s="8"/>
      <x:c r="F55" s="69"/>
      <x:c r="G55" s="24"/>
      <x:c r="H55" s="8"/>
      <x:c r="I55" s="8"/>
      <x:c r="J55" s="3"/>
      <x:c r="K55" s="4"/>
      <x:c r="L55" s="6"/>
    </x:row>
    <x:row r="56" ht="48" customHeight="1">
      <x:c r="A56" s="72"/>
      <x:c r="B56" s="25"/>
      <x:c r="C56" s="25"/>
      <x:c r="D56" s="8"/>
      <x:c r="E56" s="8"/>
      <x:c r="F56" s="69"/>
      <x:c r="G56" s="24"/>
      <x:c r="H56" s="8"/>
      <x:c r="I56" s="8"/>
      <x:c r="J56" s="3"/>
      <x:c r="K56" s="4"/>
      <x:c r="L56" s="6"/>
    </x:row>
    <x:row r="57" ht="48" customHeight="1">
      <x:c r="A57" s="72"/>
      <x:c r="B57" s="25"/>
      <x:c r="C57" s="25"/>
      <x:c r="D57" s="8"/>
      <x:c r="E57" s="8"/>
      <x:c r="F57" s="69"/>
      <x:c r="G57" s="24"/>
      <x:c r="H57" s="8"/>
      <x:c r="I57" s="8"/>
      <x:c r="J57" s="3"/>
      <x:c r="K57" s="4"/>
      <x:c r="L57" s="6"/>
    </x:row>
    <x:row r="58" ht="48" customHeight="1">
      <x:c r="A58" s="72"/>
      <x:c r="B58" s="25"/>
      <x:c r="C58" s="25"/>
      <x:c r="D58" s="8"/>
      <x:c r="E58" s="8"/>
      <x:c r="F58" s="69"/>
      <x:c r="G58" s="24"/>
      <x:c r="H58" s="8"/>
      <x:c r="I58" s="8"/>
      <x:c r="J58" s="3"/>
      <x:c r="K58" s="4"/>
      <x:c r="L58" s="6"/>
    </x:row>
    <x:row r="59" ht="48" customHeight="1">
      <x:c r="A59" s="72"/>
      <x:c r="B59" s="25"/>
      <x:c r="C59" s="25"/>
      <x:c r="D59" s="8"/>
      <x:c r="E59" s="8"/>
      <x:c r="F59" s="69"/>
      <x:c r="G59" s="24"/>
      <x:c r="H59" s="8"/>
      <x:c r="I59" s="8"/>
      <x:c r="J59" s="3"/>
      <x:c r="K59" s="4"/>
      <x:c r="L59" s="6"/>
    </x:row>
    <x:row r="60" ht="20" customHeight="1">
      <x:c r="A60" s="72"/>
      <x:c r="B60" s="25"/>
      <x:c r="C60" s="25"/>
      <x:c r="D60" s="8"/>
      <x:c r="E60" s="8"/>
      <x:c r="F60" s="69"/>
      <x:c r="G60" s="24"/>
      <x:c r="H60" s="8"/>
      <x:c r="I60" s="8"/>
      <x:c r="J60" s="3"/>
      <x:c r="K60" s="4"/>
      <x:c r="L60" s="6"/>
    </x:row>
    <x:row r="61" ht="20" customHeight="1">
      <x:c r="A61" s="73"/>
      <x:c r="B61" s="25"/>
      <x:c r="C61" s="25"/>
      <x:c r="D61" s="8"/>
      <x:c r="E61" s="8"/>
      <x:c r="F61" s="69"/>
      <x:c r="G61" s="24"/>
      <x:c r="H61" s="8"/>
      <x:c r="I61" s="8"/>
      <x:c r="J61" s="3"/>
      <x:c r="K61" s="4"/>
      <x:c r="L61" s="6"/>
    </x:row>
    <x:row r="62" ht="48" customHeight="1">
      <x:c r="A62" s="71"/>
      <x:c r="B62" s="25"/>
      <x:c r="C62" s="25"/>
      <x:c r="D62" s="8"/>
      <x:c r="E62" s="8"/>
      <x:c r="F62" s="69"/>
      <x:c r="G62" s="24"/>
      <x:c r="H62" s="8"/>
      <x:c r="I62" s="8"/>
      <x:c r="J62" s="3"/>
      <x:c r="K62" s="4"/>
      <x:c r="L62" s="6"/>
    </x:row>
    <x:row r="63" ht="48" customHeight="1">
      <x:c r="A63" s="72"/>
      <x:c r="B63" s="25"/>
      <x:c r="C63" s="25"/>
      <x:c r="D63" s="8"/>
      <x:c r="E63" s="8"/>
      <x:c r="F63" s="69"/>
      <x:c r="G63" s="24"/>
      <x:c r="H63" s="8"/>
      <x:c r="I63" s="8"/>
      <x:c r="J63" s="3"/>
      <x:c r="K63" s="4"/>
      <x:c r="L63" s="6"/>
    </x:row>
    <x:row r="64" ht="48" customHeight="1">
      <x:c r="A64" s="72"/>
      <x:c r="B64" s="25"/>
      <x:c r="C64" s="25"/>
      <x:c r="D64" s="8"/>
      <x:c r="E64" s="8"/>
      <x:c r="F64" s="69"/>
      <x:c r="G64" s="24"/>
      <x:c r="H64" s="8"/>
      <x:c r="I64" s="8"/>
      <x:c r="J64" s="3"/>
      <x:c r="K64" s="4"/>
      <x:c r="L64" s="6"/>
    </x:row>
    <x:row r="65" ht="48" customHeight="1">
      <x:c r="A65" s="72"/>
      <x:c r="B65" s="25"/>
      <x:c r="C65" s="25"/>
      <x:c r="D65" s="8"/>
      <x:c r="E65" s="8"/>
      <x:c r="F65" s="69"/>
      <x:c r="G65" s="24"/>
      <x:c r="H65" s="8"/>
      <x:c r="I65" s="8"/>
      <x:c r="J65" s="3"/>
      <x:c r="K65" s="4"/>
      <x:c r="L65" s="6"/>
    </x:row>
    <x:row r="66" ht="48" customHeight="1">
      <x:c r="A66" s="72"/>
      <x:c r="B66" s="25"/>
      <x:c r="C66" s="25"/>
      <x:c r="D66" s="8"/>
      <x:c r="E66" s="8"/>
      <x:c r="F66" s="69"/>
      <x:c r="G66" s="24"/>
      <x:c r="H66" s="8"/>
      <x:c r="I66" s="8"/>
      <x:c r="J66" s="3"/>
      <x:c r="K66" s="4"/>
      <x:c r="L66" s="6"/>
    </x:row>
    <x:row r="67" ht="48" customHeight="1">
      <x:c r="A67" s="72"/>
      <x:c r="B67" s="25"/>
      <x:c r="C67" s="25"/>
      <x:c r="D67" s="8"/>
      <x:c r="E67" s="8"/>
      <x:c r="F67" s="69"/>
      <x:c r="G67" s="24"/>
      <x:c r="H67" s="8"/>
      <x:c r="I67" s="8"/>
      <x:c r="J67" s="3"/>
      <x:c r="K67" s="4"/>
      <x:c r="L67" s="6"/>
    </x:row>
    <x:row r="68" ht="48" customHeight="1">
      <x:c r="A68" s="72"/>
      <x:c r="B68" s="25"/>
      <x:c r="C68" s="25"/>
      <x:c r="D68" s="8"/>
      <x:c r="E68" s="8"/>
      <x:c r="F68" s="69"/>
      <x:c r="G68" s="24"/>
      <x:c r="H68" s="8"/>
      <x:c r="I68" s="8"/>
      <x:c r="J68" s="3"/>
      <x:c r="K68" s="4"/>
      <x:c r="L68" s="6"/>
    </x:row>
    <x:row r="69" ht="48" customHeight="1">
      <x:c r="A69" s="72"/>
      <x:c r="B69" s="25"/>
      <x:c r="C69" s="25"/>
      <x:c r="D69" s="8"/>
      <x:c r="E69" s="8"/>
      <x:c r="F69" s="69"/>
      <x:c r="G69" s="24"/>
      <x:c r="H69" s="8"/>
      <x:c r="I69" s="8"/>
      <x:c r="J69" s="3"/>
      <x:c r="K69" s="4"/>
      <x:c r="L69" s="6"/>
    </x:row>
    <x:row r="70" ht="48" customHeight="1">
      <x:c r="A70" s="72"/>
      <x:c r="B70" s="25"/>
      <x:c r="C70" s="25"/>
      <x:c r="D70" s="8"/>
      <x:c r="E70" s="8"/>
      <x:c r="F70" s="69"/>
      <x:c r="G70" s="24"/>
      <x:c r="H70" s="8"/>
      <x:c r="I70" s="8"/>
      <x:c r="J70" s="3"/>
      <x:c r="K70" s="4"/>
      <x:c r="L70" s="6"/>
    </x:row>
    <x:row r="71" ht="48" customHeight="1">
      <x:c r="A71" s="72"/>
      <x:c r="B71" s="25"/>
      <x:c r="C71" s="25"/>
      <x:c r="D71" s="8"/>
      <x:c r="E71" s="8"/>
      <x:c r="F71" s="69"/>
      <x:c r="G71" s="24"/>
      <x:c r="H71" s="8"/>
      <x:c r="I71" s="8"/>
      <x:c r="J71" s="3"/>
      <x:c r="K71" s="4"/>
      <x:c r="L71" s="6"/>
    </x:row>
    <x:row r="72" ht="48" customHeight="1">
      <x:c r="A72" s="72"/>
      <x:c r="B72" s="25"/>
      <x:c r="C72" s="25"/>
      <x:c r="D72" s="8"/>
      <x:c r="E72" s="8"/>
      <x:c r="F72" s="69"/>
      <x:c r="G72" s="24"/>
      <x:c r="H72" s="8"/>
      <x:c r="I72" s="8"/>
      <x:c r="J72" s="3"/>
      <x:c r="K72" s="4"/>
      <x:c r="L72" s="6"/>
    </x:row>
    <x:row r="73" ht="48" customHeight="1">
      <x:c r="A73" s="72"/>
      <x:c r="B73" s="25"/>
      <x:c r="C73" s="25"/>
      <x:c r="D73" s="8"/>
      <x:c r="E73" s="8"/>
      <x:c r="F73" s="69"/>
      <x:c r="G73" s="24"/>
      <x:c r="H73" s="8"/>
      <x:c r="I73" s="8"/>
      <x:c r="J73" s="3"/>
      <x:c r="K73" s="4"/>
      <x:c r="L73" s="6"/>
    </x:row>
    <x:row r="74" ht="48" customHeight="1">
      <x:c r="A74" s="72"/>
      <x:c r="B74" s="25"/>
      <x:c r="C74" s="25"/>
      <x:c r="D74" s="8"/>
      <x:c r="E74" s="8"/>
      <x:c r="F74" s="69"/>
      <x:c r="G74" s="24"/>
      <x:c r="H74" s="8"/>
      <x:c r="I74" s="8"/>
      <x:c r="J74" s="3"/>
      <x:c r="K74" s="4"/>
      <x:c r="L74" s="6"/>
    </x:row>
    <x:row r="75" ht="48" customHeight="1">
      <x:c r="A75" s="72"/>
      <x:c r="B75" s="25"/>
      <x:c r="C75" s="25"/>
      <x:c r="D75" s="8"/>
      <x:c r="E75" s="8"/>
      <x:c r="F75" s="69"/>
      <x:c r="G75" s="24"/>
      <x:c r="H75" s="8"/>
      <x:c r="I75" s="8"/>
      <x:c r="J75" s="3"/>
      <x:c r="K75" s="4"/>
      <x:c r="L75" s="6"/>
    </x:row>
    <x:row r="76" ht="48" customHeight="1">
      <x:c r="A76" s="72"/>
      <x:c r="B76" s="25"/>
      <x:c r="C76" s="25"/>
      <x:c r="D76" s="8"/>
      <x:c r="E76" s="8"/>
      <x:c r="F76" s="69"/>
      <x:c r="G76" s="24"/>
      <x:c r="H76" s="8"/>
      <x:c r="I76" s="8"/>
      <x:c r="J76" s="3"/>
      <x:c r="K76" s="4"/>
      <x:c r="L76" s="6"/>
    </x:row>
    <x:row r="77" ht="48" customHeight="1">
      <x:c r="A77" s="72"/>
      <x:c r="B77" s="25"/>
      <x:c r="C77" s="25"/>
      <x:c r="D77" s="8"/>
      <x:c r="E77" s="8"/>
      <x:c r="F77" s="69"/>
      <x:c r="G77" s="24"/>
      <x:c r="H77" s="8"/>
      <x:c r="I77" s="8"/>
      <x:c r="J77" s="3"/>
      <x:c r="K77" s="4"/>
      <x:c r="L77" s="6"/>
    </x:row>
    <x:row r="78" ht="48" customHeight="1">
      <x:c r="A78" s="72"/>
      <x:c r="B78" s="25"/>
      <x:c r="C78" s="25"/>
      <x:c r="D78" s="8"/>
      <x:c r="E78" s="8"/>
      <x:c r="F78" s="69"/>
      <x:c r="G78" s="24"/>
      <x:c r="H78" s="8"/>
      <x:c r="I78" s="8"/>
      <x:c r="J78" s="3"/>
      <x:c r="K78" s="4"/>
      <x:c r="L78" s="6"/>
    </x:row>
    <x:row r="79" ht="48" customHeight="1">
      <x:c r="A79" s="72"/>
      <x:c r="B79" s="25"/>
      <x:c r="C79" s="25"/>
      <x:c r="D79" s="8"/>
      <x:c r="E79" s="8"/>
      <x:c r="F79" s="69"/>
      <x:c r="G79" s="24"/>
      <x:c r="H79" s="8"/>
      <x:c r="I79" s="8"/>
      <x:c r="J79" s="3"/>
      <x:c r="K79" s="4"/>
      <x:c r="L79" s="6"/>
    </x:row>
    <x:row r="80" ht="48" customHeight="1">
      <x:c r="A80" s="72"/>
      <x:c r="B80" s="25"/>
      <x:c r="C80" s="25"/>
      <x:c r="D80" s="8"/>
      <x:c r="E80" s="8"/>
      <x:c r="F80" s="69"/>
      <x:c r="G80" s="24"/>
      <x:c r="H80" s="8"/>
      <x:c r="I80" s="8"/>
      <x:c r="J80" s="3"/>
      <x:c r="K80" s="4"/>
      <x:c r="L80" s="6"/>
    </x:row>
    <x:row r="81" ht="48" customHeight="1">
      <x:c r="A81" s="72"/>
      <x:c r="B81" s="25"/>
      <x:c r="C81" s="25"/>
      <x:c r="D81" s="8"/>
      <x:c r="E81" s="8"/>
      <x:c r="F81" s="69"/>
      <x:c r="G81" s="24"/>
      <x:c r="H81" s="8"/>
      <x:c r="I81" s="8"/>
      <x:c r="J81" s="3"/>
      <x:c r="K81" s="4"/>
      <x:c r="L81" s="6"/>
    </x:row>
    <x:row r="82" ht="48" customHeight="1">
      <x:c r="A82" s="72"/>
      <x:c r="B82" s="25"/>
      <x:c r="C82" s="25"/>
      <x:c r="D82" s="8"/>
      <x:c r="E82" s="8"/>
      <x:c r="F82" s="69"/>
      <x:c r="G82" s="24"/>
      <x:c r="H82" s="8"/>
      <x:c r="I82" s="8"/>
      <x:c r="J82" s="3"/>
      <x:c r="K82" s="4"/>
      <x:c r="L82" s="6"/>
    </x:row>
    <x:row r="83" ht="20" customHeight="1">
      <x:c r="A83" s="72"/>
      <x:c r="B83" s="25"/>
      <x:c r="C83" s="25"/>
      <x:c r="D83" s="8"/>
      <x:c r="E83" s="8"/>
      <x:c r="F83" s="69"/>
      <x:c r="G83" s="24"/>
      <x:c r="H83" s="8"/>
      <x:c r="I83" s="8"/>
      <x:c r="J83" s="3"/>
      <x:c r="K83" s="4"/>
      <x:c r="L83" s="6"/>
    </x:row>
    <x:row r="84" ht="20" customHeight="1">
      <x:c r="A84" s="73"/>
      <x:c r="B84" s="25"/>
      <x:c r="C84" s="25"/>
      <x:c r="D84" s="8"/>
      <x:c r="E84" s="8"/>
      <x:c r="F84" s="69"/>
      <x:c r="G84" s="24"/>
      <x:c r="H84" s="8"/>
      <x:c r="I84" s="8"/>
      <x:c r="J84" s="3"/>
      <x:c r="K84" s="4"/>
      <x:c r="L84" s="6"/>
    </x:row>
    <x:row r="85" ht="20" customHeight="1">
      <x:c r="A85" s="71"/>
      <x:c r="B85" s="25"/>
      <x:c r="C85" s="25"/>
      <x:c r="D85" s="8"/>
      <x:c r="E85" s="8"/>
      <x:c r="F85" s="69"/>
      <x:c r="G85" s="24"/>
      <x:c r="H85" s="8"/>
      <x:c r="I85" s="8"/>
      <x:c r="J85" s="3"/>
      <x:c r="K85" s="4"/>
      <x:c r="L85" s="6"/>
    </x:row>
    <x:row r="86" ht="48" customHeight="1">
      <x:c r="A86" s="72"/>
      <x:c r="B86" s="25"/>
      <x:c r="C86" s="25"/>
      <x:c r="D86" s="8"/>
      <x:c r="E86" s="8"/>
      <x:c r="F86" s="69"/>
      <x:c r="G86" s="24"/>
      <x:c r="H86" s="8"/>
      <x:c r="I86" s="8"/>
      <x:c r="J86" s="3"/>
      <x:c r="K86" s="4"/>
      <x:c r="L86" s="6"/>
    </x:row>
    <x:row r="87" ht="48" customHeight="1">
      <x:c r="A87" s="72"/>
      <x:c r="B87" s="25"/>
      <x:c r="C87" s="25"/>
      <x:c r="D87" s="8"/>
      <x:c r="E87" s="8"/>
      <x:c r="F87" s="69"/>
      <x:c r="G87" s="24"/>
      <x:c r="H87" s="8"/>
      <x:c r="I87" s="8"/>
      <x:c r="J87" s="3"/>
      <x:c r="K87" s="4"/>
      <x:c r="L87" s="6"/>
    </x:row>
    <x:row r="88" ht="48" customHeight="1">
      <x:c r="A88" s="72"/>
      <x:c r="B88" s="25"/>
      <x:c r="C88" s="25"/>
      <x:c r="D88" s="8"/>
      <x:c r="E88" s="8"/>
      <x:c r="F88" s="69"/>
      <x:c r="G88" s="24"/>
      <x:c r="H88" s="8"/>
      <x:c r="I88" s="8"/>
      <x:c r="J88" s="3"/>
      <x:c r="K88" s="4"/>
      <x:c r="L88" s="6"/>
    </x:row>
    <x:row r="89" ht="48" customHeight="1">
      <x:c r="A89" s="72"/>
      <x:c r="B89" s="25"/>
      <x:c r="C89" s="25"/>
      <x:c r="D89" s="8"/>
      <x:c r="E89" s="8"/>
      <x:c r="F89" s="69"/>
      <x:c r="G89" s="24"/>
      <x:c r="H89" s="8"/>
      <x:c r="I89" s="8"/>
      <x:c r="J89" s="3"/>
      <x:c r="K89" s="4"/>
      <x:c r="L89" s="6"/>
    </x:row>
    <x:row r="90" ht="48" customHeight="1">
      <x:c r="A90" s="72"/>
      <x:c r="B90" s="25"/>
      <x:c r="C90" s="25"/>
      <x:c r="D90" s="8"/>
      <x:c r="E90" s="8"/>
      <x:c r="F90" s="69"/>
      <x:c r="G90" s="24"/>
      <x:c r="H90" s="8"/>
      <x:c r="I90" s="8"/>
      <x:c r="J90" s="3"/>
      <x:c r="K90" s="4"/>
      <x:c r="L90" s="6"/>
    </x:row>
    <x:row r="91" ht="20" customHeight="1">
      <x:c r="A91" s="72"/>
      <x:c r="B91" s="25"/>
      <x:c r="C91" s="25"/>
      <x:c r="D91" s="8"/>
      <x:c r="E91" s="8"/>
      <x:c r="F91" s="69"/>
      <x:c r="G91" s="24"/>
      <x:c r="H91" s="8"/>
      <x:c r="I91" s="8"/>
      <x:c r="J91" s="3"/>
      <x:c r="K91" s="4"/>
      <x:c r="L91" s="6"/>
    </x:row>
    <x:row r="92" ht="20" customHeight="1">
      <x:c r="A92" s="72"/>
      <x:c r="B92" s="25"/>
      <x:c r="C92" s="25"/>
      <x:c r="D92" s="8"/>
      <x:c r="E92" s="8"/>
      <x:c r="F92" s="69"/>
      <x:c r="G92" s="24"/>
      <x:c r="H92" s="8"/>
      <x:c r="I92" s="8"/>
      <x:c r="J92" s="3"/>
      <x:c r="K92" s="4"/>
      <x:c r="L92" s="6"/>
    </x:row>
    <x:row r="93" ht="48" customHeight="1">
      <x:c r="A93" s="72"/>
      <x:c r="B93" s="25"/>
      <x:c r="C93" s="25"/>
      <x:c r="D93" s="8"/>
      <x:c r="E93" s="8"/>
      <x:c r="F93" s="69"/>
      <x:c r="G93" s="24"/>
      <x:c r="H93" s="8"/>
      <x:c r="I93" s="8"/>
      <x:c r="J93" s="3"/>
      <x:c r="K93" s="4"/>
      <x:c r="L93" s="6"/>
    </x:row>
    <x:row r="94" ht="48" customHeight="1">
      <x:c r="A94" s="72"/>
      <x:c r="B94" s="25"/>
      <x:c r="C94" s="25"/>
      <x:c r="D94" s="8"/>
      <x:c r="E94" s="8"/>
      <x:c r="F94" s="69"/>
      <x:c r="G94" s="24"/>
      <x:c r="H94" s="8"/>
      <x:c r="I94" s="8"/>
      <x:c r="J94" s="3"/>
      <x:c r="K94" s="4"/>
      <x:c r="L94" s="6"/>
    </x:row>
    <x:row r="95" ht="48" customHeight="1">
      <x:c r="A95" s="72"/>
      <x:c r="B95" s="25"/>
      <x:c r="C95" s="25"/>
      <x:c r="D95" s="8"/>
      <x:c r="E95" s="8"/>
      <x:c r="F95" s="69"/>
      <x:c r="G95" s="24"/>
      <x:c r="H95" s="8"/>
      <x:c r="I95" s="8"/>
      <x:c r="J95" s="3"/>
      <x:c r="K95" s="4"/>
      <x:c r="L95" s="6"/>
    </x:row>
    <x:row r="96" ht="48" customHeight="1">
      <x:c r="A96" s="72"/>
      <x:c r="B96" s="25"/>
      <x:c r="C96" s="25"/>
      <x:c r="D96" s="8"/>
      <x:c r="E96" s="8"/>
      <x:c r="F96" s="69"/>
      <x:c r="G96" s="24"/>
      <x:c r="H96" s="8"/>
      <x:c r="I96" s="8"/>
      <x:c r="J96" s="3"/>
      <x:c r="K96" s="4"/>
      <x:c r="L96" s="6"/>
    </x:row>
    <x:row r="97" ht="20" customHeight="1">
      <x:c r="A97" s="72"/>
      <x:c r="B97" s="25"/>
      <x:c r="C97" s="25"/>
      <x:c r="D97" s="8"/>
      <x:c r="E97" s="8"/>
      <x:c r="F97" s="69"/>
      <x:c r="G97" s="24"/>
      <x:c r="H97" s="8"/>
      <x:c r="I97" s="8"/>
      <x:c r="J97" s="3"/>
      <x:c r="K97" s="4"/>
      <x:c r="L97" s="6"/>
    </x:row>
    <x:row r="98" ht="20" customHeight="1">
      <x:c r="A98" s="72"/>
      <x:c r="B98" s="25"/>
      <x:c r="C98" s="25"/>
      <x:c r="D98" s="8"/>
      <x:c r="E98" s="8"/>
      <x:c r="F98" s="69"/>
      <x:c r="G98" s="24"/>
      <x:c r="H98" s="8"/>
      <x:c r="I98" s="8"/>
      <x:c r="J98" s="3"/>
      <x:c r="K98" s="4"/>
      <x:c r="L98" s="6"/>
    </x:row>
    <x:row r="99" ht="20" customHeight="1">
      <x:c r="A99" s="72"/>
      <x:c r="B99" s="25"/>
      <x:c r="C99" s="25"/>
      <x:c r="D99" s="8"/>
      <x:c r="E99" s="8"/>
      <x:c r="F99" s="69"/>
      <x:c r="G99" s="24"/>
      <x:c r="H99" s="8"/>
      <x:c r="I99" s="8"/>
      <x:c r="J99" s="3"/>
      <x:c r="K99" s="4"/>
      <x:c r="L99" s="6"/>
    </x:row>
    <x:row r="100" ht="20" customHeight="1">
      <x:c r="A100" s="72"/>
      <x:c r="B100" s="25"/>
      <x:c r="C100" s="25"/>
      <x:c r="D100" s="8"/>
      <x:c r="E100" s="8"/>
      <x:c r="F100" s="69"/>
      <x:c r="G100" s="24"/>
      <x:c r="H100" s="8"/>
      <x:c r="I100" s="8"/>
      <x:c r="J100" s="3"/>
      <x:c r="K100" s="4"/>
      <x:c r="L100" s="6"/>
    </x:row>
    <x:row r="101" ht="48" customHeight="1">
      <x:c r="A101" s="72"/>
      <x:c r="B101" s="25"/>
      <x:c r="C101" s="25"/>
      <x:c r="D101" s="8"/>
      <x:c r="E101" s="8"/>
      <x:c r="F101" s="69"/>
      <x:c r="G101" s="24"/>
      <x:c r="H101" s="8"/>
      <x:c r="I101" s="8"/>
      <x:c r="J101" s="3"/>
      <x:c r="K101" s="4"/>
      <x:c r="L101" s="6"/>
    </x:row>
    <x:row r="102" ht="48" customHeight="1">
      <x:c r="A102" s="72"/>
      <x:c r="B102" s="25"/>
      <x:c r="C102" s="25"/>
      <x:c r="D102" s="8"/>
      <x:c r="E102" s="8"/>
      <x:c r="F102" s="69"/>
      <x:c r="G102" s="24"/>
      <x:c r="H102" s="8"/>
      <x:c r="I102" s="8"/>
      <x:c r="J102" s="3"/>
      <x:c r="K102" s="4"/>
      <x:c r="L102" s="6"/>
    </x:row>
    <x:row r="103" ht="20" customHeight="1">
      <x:c r="A103" s="72"/>
      <x:c r="B103" s="25"/>
      <x:c r="C103" s="25"/>
      <x:c r="D103" s="8"/>
      <x:c r="E103" s="8"/>
      <x:c r="F103" s="69"/>
      <x:c r="G103" s="24"/>
      <x:c r="H103" s="8"/>
      <x:c r="I103" s="8"/>
      <x:c r="J103" s="3"/>
      <x:c r="K103" s="4"/>
      <x:c r="L103" s="6"/>
    </x:row>
    <x:row r="104" ht="20" customHeight="1">
      <x:c r="A104" s="72"/>
      <x:c r="B104" s="25"/>
      <x:c r="C104" s="25"/>
      <x:c r="D104" s="8"/>
      <x:c r="E104" s="8"/>
      <x:c r="F104" s="69"/>
      <x:c r="G104" s="24"/>
      <x:c r="H104" s="8"/>
      <x:c r="I104" s="8"/>
      <x:c r="J104" s="3"/>
      <x:c r="K104" s="4"/>
      <x:c r="L104" s="6"/>
    </x:row>
    <x:row r="105" ht="20" customHeight="1">
      <x:c r="A105" s="72"/>
      <x:c r="B105" s="25"/>
      <x:c r="C105" s="25"/>
      <x:c r="D105" s="8"/>
      <x:c r="E105" s="8"/>
      <x:c r="F105" s="69"/>
      <x:c r="G105" s="24"/>
      <x:c r="H105" s="8"/>
      <x:c r="I105" s="8"/>
      <x:c r="J105" s="3"/>
      <x:c r="K105" s="4"/>
      <x:c r="L105" s="6"/>
    </x:row>
    <x:row r="106" ht="48" customHeight="1">
      <x:c r="A106" s="72"/>
      <x:c r="B106" s="25"/>
      <x:c r="C106" s="25"/>
      <x:c r="D106" s="8"/>
      <x:c r="E106" s="8"/>
      <x:c r="F106" s="69"/>
      <x:c r="G106" s="24"/>
      <x:c r="H106" s="8"/>
      <x:c r="I106" s="8"/>
      <x:c r="J106" s="3"/>
      <x:c r="K106" s="4"/>
      <x:c r="L106" s="6"/>
    </x:row>
    <x:row r="107" ht="48" customHeight="1">
      <x:c r="A107" s="73"/>
      <x:c r="B107" s="25"/>
      <x:c r="C107" s="25"/>
      <x:c r="D107" s="8"/>
      <x:c r="E107" s="8"/>
      <x:c r="F107" s="69"/>
      <x:c r="G107" s="24"/>
      <x:c r="H107" s="8"/>
      <x:c r="I107" s="8"/>
      <x:c r="J107" s="3"/>
      <x:c r="K107" s="4"/>
      <x:c r="L107" s="6"/>
    </x:row>
    <x:row r="108" ht="48" customHeight="1">
      <x:c r="A108" s="71"/>
      <x:c r="B108" s="25"/>
      <x:c r="C108" s="25"/>
      <x:c r="D108" s="8"/>
      <x:c r="E108" s="8"/>
      <x:c r="F108" s="69"/>
      <x:c r="G108" s="24"/>
      <x:c r="H108" s="8"/>
      <x:c r="I108" s="8"/>
      <x:c r="J108" s="3"/>
      <x:c r="K108" s="4"/>
      <x:c r="L108" s="6"/>
    </x:row>
    <x:row r="109" ht="48" customHeight="1">
      <x:c r="A109" s="72"/>
      <x:c r="B109" s="25"/>
      <x:c r="C109" s="25"/>
      <x:c r="D109" s="8"/>
      <x:c r="E109" s="8"/>
      <x:c r="F109" s="69"/>
      <x:c r="G109" s="24"/>
      <x:c r="H109" s="8"/>
      <x:c r="I109" s="8"/>
      <x:c r="J109" s="3"/>
      <x:c r="K109" s="4"/>
      <x:c r="L109" s="6"/>
    </x:row>
    <x:row r="110" ht="48" customHeight="1">
      <x:c r="A110" s="72"/>
      <x:c r="B110" s="25"/>
      <x:c r="C110" s="25"/>
      <x:c r="D110" s="8"/>
      <x:c r="E110" s="8"/>
      <x:c r="F110" s="69"/>
      <x:c r="G110" s="24"/>
      <x:c r="H110" s="8"/>
      <x:c r="I110" s="8"/>
      <x:c r="J110" s="3"/>
      <x:c r="K110" s="4"/>
      <x:c r="L110" s="6"/>
    </x:row>
    <x:row r="111" ht="48" customHeight="1">
      <x:c r="A111" s="72"/>
      <x:c r="B111" s="25"/>
      <x:c r="C111" s="25"/>
      <x:c r="D111" s="8"/>
      <x:c r="E111" s="8"/>
      <x:c r="F111" s="69"/>
      <x:c r="G111" s="24"/>
      <x:c r="H111" s="8"/>
      <x:c r="I111" s="8"/>
      <x:c r="J111" s="3"/>
      <x:c r="K111" s="4"/>
      <x:c r="L111" s="6"/>
    </x:row>
    <x:row r="112" ht="48" customHeight="1">
      <x:c r="A112" s="72"/>
      <x:c r="B112" s="25"/>
      <x:c r="C112" s="25"/>
      <x:c r="D112" s="8"/>
      <x:c r="E112" s="8"/>
      <x:c r="F112" s="69"/>
      <x:c r="G112" s="24"/>
      <x:c r="H112" s="8"/>
      <x:c r="I112" s="8"/>
      <x:c r="J112" s="3"/>
      <x:c r="K112" s="4"/>
      <x:c r="L112" s="6"/>
    </x:row>
    <x:row r="113" ht="48" customHeight="1">
      <x:c r="A113" s="72"/>
      <x:c r="B113" s="25"/>
      <x:c r="C113" s="25"/>
      <x:c r="D113" s="8"/>
      <x:c r="E113" s="8"/>
      <x:c r="F113" s="69"/>
      <x:c r="G113" s="24"/>
      <x:c r="H113" s="8"/>
      <x:c r="I113" s="8"/>
      <x:c r="J113" s="3"/>
      <x:c r="K113" s="4"/>
      <x:c r="L113" s="6"/>
    </x:row>
    <x:row r="114" ht="48" customHeight="1">
      <x:c r="A114" s="72"/>
      <x:c r="B114" s="25"/>
      <x:c r="C114" s="25"/>
      <x:c r="D114" s="8"/>
      <x:c r="E114" s="8"/>
      <x:c r="F114" s="69"/>
      <x:c r="G114" s="24"/>
      <x:c r="H114" s="8"/>
      <x:c r="I114" s="8"/>
      <x:c r="J114" s="3"/>
      <x:c r="K114" s="4"/>
      <x:c r="L114" s="6"/>
    </x:row>
    <x:row r="115" ht="48" customHeight="1">
      <x:c r="A115" s="72"/>
      <x:c r="B115" s="25"/>
      <x:c r="C115" s="25"/>
      <x:c r="D115" s="8"/>
      <x:c r="E115" s="8"/>
      <x:c r="F115" s="69"/>
      <x:c r="G115" s="24"/>
      <x:c r="H115" s="8"/>
      <x:c r="I115" s="8"/>
      <x:c r="J115" s="3"/>
      <x:c r="K115" s="4"/>
      <x:c r="L115" s="6"/>
    </x:row>
    <x:row r="116" ht="48" customHeight="1">
      <x:c r="A116" s="72"/>
      <x:c r="B116" s="25"/>
      <x:c r="C116" s="25"/>
      <x:c r="D116" s="8"/>
      <x:c r="E116" s="8"/>
      <x:c r="F116" s="69"/>
      <x:c r="G116" s="24"/>
      <x:c r="H116" s="8"/>
      <x:c r="I116" s="8"/>
      <x:c r="J116" s="3"/>
      <x:c r="K116" s="4"/>
      <x:c r="L116" s="6"/>
    </x:row>
    <x:row r="117" ht="48" customHeight="1">
      <x:c r="A117" s="72"/>
      <x:c r="B117" s="25"/>
      <x:c r="C117" s="25"/>
      <x:c r="D117" s="8"/>
      <x:c r="E117" s="8"/>
      <x:c r="F117" s="69"/>
      <x:c r="G117" s="24"/>
      <x:c r="H117" s="8"/>
      <x:c r="I117" s="8"/>
      <x:c r="J117" s="3"/>
      <x:c r="K117" s="4"/>
      <x:c r="L117" s="6"/>
    </x:row>
    <x:row r="118" ht="48" customHeight="1">
      <x:c r="A118" s="72"/>
      <x:c r="B118" s="25"/>
      <x:c r="C118" s="25"/>
      <x:c r="D118" s="8"/>
      <x:c r="E118" s="8"/>
      <x:c r="F118" s="69"/>
      <x:c r="G118" s="24"/>
      <x:c r="H118" s="8"/>
      <x:c r="I118" s="8"/>
      <x:c r="J118" s="3"/>
      <x:c r="K118" s="4"/>
      <x:c r="L118" s="6"/>
    </x:row>
    <x:row r="119" ht="48" customHeight="1">
      <x:c r="A119" s="72"/>
      <x:c r="B119" s="25"/>
      <x:c r="C119" s="25"/>
      <x:c r="D119" s="8"/>
      <x:c r="E119" s="8"/>
      <x:c r="F119" s="69"/>
      <x:c r="G119" s="24"/>
      <x:c r="H119" s="8"/>
      <x:c r="I119" s="8"/>
      <x:c r="J119" s="3"/>
      <x:c r="K119" s="4"/>
      <x:c r="L119" s="6"/>
    </x:row>
    <x:row r="120" ht="48" customHeight="1">
      <x:c r="A120" s="72"/>
      <x:c r="B120" s="25"/>
      <x:c r="C120" s="25"/>
      <x:c r="D120" s="8"/>
      <x:c r="E120" s="8"/>
      <x:c r="F120" s="69"/>
      <x:c r="G120" s="24"/>
      <x:c r="H120" s="8"/>
      <x:c r="I120" s="8"/>
      <x:c r="J120" s="3"/>
      <x:c r="K120" s="4"/>
      <x:c r="L120" s="6"/>
    </x:row>
    <x:row r="121" ht="48" customHeight="1">
      <x:c r="A121" s="72"/>
      <x:c r="B121" s="25"/>
      <x:c r="C121" s="25"/>
      <x:c r="D121" s="8"/>
      <x:c r="E121" s="8"/>
      <x:c r="F121" s="69"/>
      <x:c r="G121" s="24"/>
      <x:c r="H121" s="8"/>
      <x:c r="I121" s="8"/>
      <x:c r="J121" s="3"/>
      <x:c r="K121" s="4"/>
      <x:c r="L121" s="6"/>
    </x:row>
    <x:row r="122" ht="48" customHeight="1">
      <x:c r="A122" s="72"/>
      <x:c r="B122" s="25"/>
      <x:c r="C122" s="25"/>
      <x:c r="D122" s="8"/>
      <x:c r="E122" s="8"/>
      <x:c r="F122" s="69"/>
      <x:c r="G122" s="24"/>
      <x:c r="H122" s="8"/>
      <x:c r="I122" s="8"/>
      <x:c r="J122" s="3"/>
      <x:c r="K122" s="4"/>
      <x:c r="L122" s="6"/>
    </x:row>
    <x:row r="123" ht="48" customHeight="1">
      <x:c r="A123" s="72"/>
      <x:c r="B123" s="25"/>
      <x:c r="C123" s="25"/>
      <x:c r="D123" s="8"/>
      <x:c r="E123" s="8"/>
      <x:c r="F123" s="69"/>
      <x:c r="G123" s="24"/>
      <x:c r="H123" s="8"/>
      <x:c r="I123" s="8"/>
      <x:c r="J123" s="3"/>
      <x:c r="K123" s="4"/>
      <x:c r="L123" s="6"/>
    </x:row>
    <x:row r="124" ht="48" customHeight="1">
      <x:c r="A124" s="72"/>
      <x:c r="B124" s="25"/>
      <x:c r="C124" s="25"/>
      <x:c r="D124" s="8"/>
      <x:c r="E124" s="8"/>
      <x:c r="F124" s="69"/>
      <x:c r="G124" s="24"/>
      <x:c r="H124" s="8"/>
      <x:c r="I124" s="8"/>
      <x:c r="J124" s="3"/>
      <x:c r="K124" s="4"/>
      <x:c r="L124" s="6"/>
    </x:row>
    <x:row r="125" ht="48" customHeight="1">
      <x:c r="A125" s="72"/>
      <x:c r="B125" s="25"/>
      <x:c r="C125" s="25"/>
      <x:c r="D125" s="8"/>
      <x:c r="E125" s="8"/>
      <x:c r="F125" s="69"/>
      <x:c r="G125" s="24"/>
      <x:c r="H125" s="8"/>
      <x:c r="I125" s="8"/>
      <x:c r="J125" s="3"/>
      <x:c r="K125" s="4"/>
      <x:c r="L125" s="6"/>
    </x:row>
    <x:row r="126" ht="48" customHeight="1">
      <x:c r="A126" s="72"/>
      <x:c r="B126" s="25"/>
      <x:c r="C126" s="25"/>
      <x:c r="D126" s="8"/>
      <x:c r="E126" s="8"/>
      <x:c r="F126" s="69"/>
      <x:c r="G126" s="24"/>
      <x:c r="H126" s="8"/>
      <x:c r="I126" s="8"/>
      <x:c r="J126" s="3"/>
      <x:c r="K126" s="4"/>
      <x:c r="L126" s="6"/>
    </x:row>
    <x:row r="127" ht="48" customHeight="1">
      <x:c r="A127" s="72"/>
      <x:c r="B127" s="25"/>
      <x:c r="C127" s="25"/>
      <x:c r="D127" s="8"/>
      <x:c r="E127" s="8"/>
      <x:c r="F127" s="69"/>
      <x:c r="G127" s="24"/>
      <x:c r="H127" s="8"/>
      <x:c r="I127" s="8"/>
      <x:c r="J127" s="3"/>
      <x:c r="K127" s="4"/>
      <x:c r="L127" s="6"/>
    </x:row>
    <x:row r="128" ht="48" customHeight="1">
      <x:c r="A128" s="72"/>
      <x:c r="B128" s="25"/>
      <x:c r="C128" s="25"/>
      <x:c r="D128" s="8"/>
      <x:c r="E128" s="8"/>
      <x:c r="F128" s="69"/>
      <x:c r="G128" s="24"/>
      <x:c r="H128" s="8"/>
      <x:c r="I128" s="8"/>
      <x:c r="J128" s="3"/>
      <x:c r="K128" s="4"/>
      <x:c r="L128" s="6"/>
    </x:row>
    <x:row r="129" ht="20" customHeight="1">
      <x:c r="A129" s="72"/>
      <x:c r="B129" s="25"/>
      <x:c r="C129" s="25"/>
      <x:c r="D129" s="8"/>
      <x:c r="E129" s="8"/>
      <x:c r="F129" s="69"/>
      <x:c r="G129" s="24"/>
      <x:c r="H129" s="8"/>
      <x:c r="I129" s="8"/>
      <x:c r="J129" s="3"/>
      <x:c r="K129" s="4"/>
      <x:c r="L129" s="6"/>
    </x:row>
    <x:row r="130" ht="20" customHeight="1">
      <x:c r="A130" s="73"/>
      <x:c r="B130" s="25"/>
      <x:c r="C130" s="25"/>
      <x:c r="D130" s="8"/>
      <x:c r="E130" s="8"/>
      <x:c r="F130" s="69"/>
      <x:c r="G130" s="24"/>
      <x:c r="H130" s="8"/>
      <x:c r="I130" s="8"/>
      <x:c r="J130" s="3"/>
      <x:c r="K130" s="4"/>
      <x:c r="L130" s="6"/>
    </x:row>
    <x:row r="131" ht="20" customHeight="1">
      <x:c r="A131" s="71"/>
      <x:c r="B131" s="25"/>
      <x:c r="C131" s="25"/>
      <x:c r="D131" s="8"/>
      <x:c r="E131" s="8"/>
      <x:c r="F131" s="69"/>
      <x:c r="G131" s="24"/>
      <x:c r="H131" s="8"/>
      <x:c r="I131" s="8"/>
      <x:c r="J131" s="3"/>
      <x:c r="K131" s="4"/>
      <x:c r="L131" s="6"/>
    </x:row>
    <x:row r="132" ht="48" customHeight="1">
      <x:c r="A132" s="72"/>
      <x:c r="B132" s="25"/>
      <x:c r="C132" s="25"/>
      <x:c r="D132" s="8"/>
      <x:c r="E132" s="8"/>
      <x:c r="F132" s="69"/>
      <x:c r="G132" s="24"/>
      <x:c r="H132" s="8"/>
      <x:c r="I132" s="8"/>
      <x:c r="J132" s="3"/>
      <x:c r="K132" s="4"/>
      <x:c r="L132" s="6"/>
    </x:row>
    <x:row r="133" ht="48" customHeight="1">
      <x:c r="A133" s="72"/>
      <x:c r="B133" s="25"/>
      <x:c r="C133" s="25"/>
      <x:c r="D133" s="8"/>
      <x:c r="E133" s="8"/>
      <x:c r="F133" s="69"/>
      <x:c r="G133" s="24"/>
      <x:c r="H133" s="8"/>
      <x:c r="I133" s="8"/>
      <x:c r="J133" s="3"/>
      <x:c r="K133" s="4"/>
      <x:c r="L133" s="6"/>
    </x:row>
    <x:row r="134" ht="48" customHeight="1">
      <x:c r="A134" s="72"/>
      <x:c r="B134" s="25"/>
      <x:c r="C134" s="25"/>
      <x:c r="D134" s="8"/>
      <x:c r="E134" s="8"/>
      <x:c r="F134" s="69"/>
      <x:c r="G134" s="24"/>
      <x:c r="H134" s="8"/>
      <x:c r="I134" s="8"/>
      <x:c r="J134" s="3"/>
      <x:c r="K134" s="4"/>
      <x:c r="L134" s="6"/>
    </x:row>
    <x:row r="135" ht="48" customHeight="1">
      <x:c r="A135" s="72"/>
      <x:c r="B135" s="25"/>
      <x:c r="C135" s="25"/>
      <x:c r="D135" s="8"/>
      <x:c r="E135" s="8"/>
      <x:c r="F135" s="69"/>
      <x:c r="G135" s="24"/>
      <x:c r="H135" s="8"/>
      <x:c r="I135" s="8"/>
      <x:c r="J135" s="3"/>
      <x:c r="K135" s="4"/>
      <x:c r="L135" s="6"/>
    </x:row>
    <x:row r="136" ht="48" customHeight="1">
      <x:c r="A136" s="72"/>
      <x:c r="B136" s="25"/>
      <x:c r="C136" s="25"/>
      <x:c r="D136" s="8"/>
      <x:c r="E136" s="8"/>
      <x:c r="F136" s="69"/>
      <x:c r="G136" s="24"/>
      <x:c r="H136" s="8"/>
      <x:c r="I136" s="8"/>
      <x:c r="J136" s="3"/>
      <x:c r="K136" s="4"/>
      <x:c r="L136" s="6"/>
    </x:row>
    <x:row r="137" ht="48" customHeight="1">
      <x:c r="A137" s="72"/>
      <x:c r="B137" s="25"/>
      <x:c r="C137" s="25"/>
      <x:c r="D137" s="8"/>
      <x:c r="E137" s="8"/>
      <x:c r="F137" s="69"/>
      <x:c r="G137" s="24"/>
      <x:c r="H137" s="8"/>
      <x:c r="I137" s="8"/>
      <x:c r="J137" s="3"/>
      <x:c r="K137" s="4"/>
      <x:c r="L137" s="6"/>
    </x:row>
    <x:row r="138" ht="20" customHeight="1">
      <x:c r="A138" s="72"/>
      <x:c r="B138" s="25"/>
      <x:c r="C138" s="25"/>
      <x:c r="D138" s="8"/>
      <x:c r="E138" s="8"/>
      <x:c r="F138" s="69"/>
      <x:c r="G138" s="24"/>
      <x:c r="H138" s="8"/>
      <x:c r="I138" s="8"/>
      <x:c r="J138" s="3"/>
      <x:c r="K138" s="4"/>
      <x:c r="L138" s="6"/>
    </x:row>
    <x:row r="139" ht="20" customHeight="1">
      <x:c r="A139" s="72"/>
      <x:c r="B139" s="25"/>
      <x:c r="C139" s="25"/>
      <x:c r="D139" s="8"/>
      <x:c r="E139" s="8"/>
      <x:c r="F139" s="69"/>
      <x:c r="G139" s="24"/>
      <x:c r="H139" s="8"/>
      <x:c r="I139" s="8"/>
      <x:c r="J139" s="3"/>
      <x:c r="K139" s="4"/>
      <x:c r="L139" s="6"/>
    </x:row>
    <x:row r="140" ht="20" customHeight="1">
      <x:c r="A140" s="72"/>
      <x:c r="B140" s="25"/>
      <x:c r="C140" s="25"/>
      <x:c r="D140" s="8"/>
      <x:c r="E140" s="8"/>
      <x:c r="F140" s="69"/>
      <x:c r="G140" s="24"/>
      <x:c r="H140" s="8"/>
      <x:c r="I140" s="8"/>
      <x:c r="J140" s="3"/>
      <x:c r="K140" s="4"/>
      <x:c r="L140" s="6"/>
    </x:row>
    <x:row r="141" ht="20" customHeight="1">
      <x:c r="A141" s="72"/>
      <x:c r="B141" s="25"/>
      <x:c r="C141" s="25"/>
      <x:c r="D141" s="8"/>
      <x:c r="E141" s="8"/>
      <x:c r="F141" s="69"/>
      <x:c r="G141" s="24"/>
      <x:c r="H141" s="8"/>
      <x:c r="I141" s="8"/>
      <x:c r="J141" s="3"/>
      <x:c r="K141" s="4"/>
      <x:c r="L141" s="6"/>
    </x:row>
    <x:row r="142" ht="20" customHeight="1">
      <x:c r="A142" s="72"/>
      <x:c r="B142" s="25"/>
      <x:c r="C142" s="25"/>
      <x:c r="D142" s="8"/>
      <x:c r="E142" s="8"/>
      <x:c r="F142" s="69"/>
      <x:c r="G142" s="24"/>
      <x:c r="H142" s="8"/>
      <x:c r="I142" s="8"/>
      <x:c r="J142" s="3"/>
      <x:c r="K142" s="4"/>
      <x:c r="L142" s="6"/>
    </x:row>
    <x:row r="143" ht="20" customHeight="1">
      <x:c r="A143" s="72"/>
      <x:c r="B143" s="25"/>
      <x:c r="C143" s="25"/>
      <x:c r="D143" s="8"/>
      <x:c r="E143" s="8"/>
      <x:c r="F143" s="69"/>
      <x:c r="G143" s="24"/>
      <x:c r="H143" s="8"/>
      <x:c r="I143" s="8"/>
      <x:c r="J143" s="3"/>
      <x:c r="K143" s="4"/>
      <x:c r="L143" s="6"/>
    </x:row>
    <x:row r="144" ht="20" customHeight="1">
      <x:c r="A144" s="72"/>
      <x:c r="B144" s="25"/>
      <x:c r="C144" s="25"/>
      <x:c r="D144" s="8"/>
      <x:c r="E144" s="8"/>
      <x:c r="F144" s="69"/>
      <x:c r="G144" s="24"/>
      <x:c r="H144" s="8"/>
      <x:c r="I144" s="8"/>
      <x:c r="J144" s="3"/>
      <x:c r="K144" s="4"/>
      <x:c r="L144" s="6"/>
    </x:row>
    <x:row r="145" ht="20" customHeight="1">
      <x:c r="A145" s="72"/>
      <x:c r="B145" s="25"/>
      <x:c r="C145" s="25"/>
      <x:c r="D145" s="8"/>
      <x:c r="E145" s="8"/>
      <x:c r="F145" s="69"/>
      <x:c r="G145" s="24"/>
      <x:c r="H145" s="8"/>
      <x:c r="I145" s="8"/>
      <x:c r="J145" s="3"/>
      <x:c r="K145" s="4"/>
      <x:c r="L145" s="6"/>
    </x:row>
    <x:row r="146" ht="20" customHeight="1">
      <x:c r="A146" s="72"/>
      <x:c r="B146" s="25"/>
      <x:c r="C146" s="25"/>
      <x:c r="D146" s="8"/>
      <x:c r="E146" s="8"/>
      <x:c r="F146" s="69"/>
      <x:c r="G146" s="24"/>
      <x:c r="H146" s="8"/>
      <x:c r="I146" s="8"/>
      <x:c r="J146" s="3"/>
      <x:c r="K146" s="4"/>
      <x:c r="L146" s="6"/>
    </x:row>
    <x:row r="147" ht="20" customHeight="1">
      <x:c r="A147" s="72"/>
      <x:c r="B147" s="25"/>
      <x:c r="C147" s="25"/>
      <x:c r="D147" s="8"/>
      <x:c r="E147" s="8"/>
      <x:c r="F147" s="69"/>
      <x:c r="G147" s="24"/>
      <x:c r="H147" s="8"/>
      <x:c r="I147" s="8"/>
      <x:c r="J147" s="3"/>
      <x:c r="K147" s="4"/>
      <x:c r="L147" s="6"/>
    </x:row>
    <x:row r="148" ht="20" customHeight="1">
      <x:c r="A148" s="72"/>
      <x:c r="B148" s="25"/>
      <x:c r="C148" s="25"/>
      <x:c r="D148" s="8"/>
      <x:c r="E148" s="8"/>
      <x:c r="F148" s="69"/>
      <x:c r="G148" s="24"/>
      <x:c r="H148" s="8"/>
      <x:c r="I148" s="8"/>
      <x:c r="J148" s="3"/>
      <x:c r="K148" s="4"/>
      <x:c r="L148" s="6"/>
    </x:row>
    <x:row r="149" ht="20" customHeight="1">
      <x:c r="A149" s="72"/>
      <x:c r="B149" s="25"/>
      <x:c r="C149" s="25"/>
      <x:c r="D149" s="8"/>
      <x:c r="E149" s="8"/>
      <x:c r="F149" s="69"/>
      <x:c r="G149" s="24"/>
      <x:c r="H149" s="8"/>
      <x:c r="I149" s="8"/>
      <x:c r="J149" s="3"/>
      <x:c r="K149" s="4"/>
      <x:c r="L149" s="6"/>
    </x:row>
    <x:row r="150" ht="20" customHeight="1">
      <x:c r="A150" s="72"/>
      <x:c r="B150" s="25"/>
      <x:c r="C150" s="25"/>
      <x:c r="D150" s="8"/>
      <x:c r="E150" s="8"/>
      <x:c r="F150" s="69"/>
      <x:c r="G150" s="24"/>
      <x:c r="H150" s="8"/>
      <x:c r="I150" s="8"/>
      <x:c r="J150" s="3"/>
      <x:c r="K150" s="4"/>
      <x:c r="L150" s="6"/>
    </x:row>
    <x:row r="151" ht="20" customHeight="1">
      <x:c r="A151" s="72"/>
      <x:c r="B151" s="25"/>
      <x:c r="C151" s="25"/>
      <x:c r="D151" s="8"/>
      <x:c r="E151" s="8"/>
      <x:c r="F151" s="69"/>
      <x:c r="G151" s="24"/>
      <x:c r="H151" s="8"/>
      <x:c r="I151" s="8"/>
      <x:c r="J151" s="3"/>
      <x:c r="K151" s="4"/>
      <x:c r="L151" s="6"/>
    </x:row>
    <x:row r="152" ht="20" customHeight="1">
      <x:c r="A152" s="72"/>
      <x:c r="B152" s="25"/>
      <x:c r="C152" s="25"/>
      <x:c r="D152" s="8"/>
      <x:c r="E152" s="8"/>
      <x:c r="F152" s="69"/>
      <x:c r="G152" s="24"/>
      <x:c r="H152" s="8"/>
      <x:c r="I152" s="8"/>
      <x:c r="J152" s="3"/>
      <x:c r="K152" s="4"/>
      <x:c r="L152" s="6"/>
    </x:row>
    <x:row r="153" ht="20" customHeight="1">
      <x:c r="A153" s="73"/>
      <x:c r="B153" s="25"/>
      <x:c r="C153" s="25"/>
      <x:c r="D153" s="8"/>
      <x:c r="E153" s="8"/>
      <x:c r="F153" s="69"/>
      <x:c r="G153" s="24"/>
      <x:c r="H153" s="8"/>
      <x:c r="I153" s="8"/>
      <x:c r="J153" s="3"/>
      <x:c r="K153" s="4"/>
      <x:c r="L153" s="6"/>
    </x:row>
    <x:row r="157" ht="28" customHeight="1"/>
  </x:sheetData>
  <x:mergeCells>
    <x:mergeCell ref="A1:L1"/>
    <x:mergeCell ref="A2:L2"/>
    <x:mergeCell ref="A14:K14"/>
    <x:mergeCell ref="I15:K15"/>
    <x:mergeCell ref="I16:K16"/>
    <x:mergeCell ref="I17:K17"/>
    <x:mergeCell ref="I18:K18"/>
    <x:mergeCell ref="I19:K19"/>
    <x:mergeCell ref="I20:K20"/>
    <x:mergeCell ref="I21:K21"/>
    <x:mergeCell ref="I22:K22"/>
    <x:mergeCell ref="I23:K23"/>
    <x:mergeCell ref="I24:K24"/>
    <x:mergeCell ref="I25:K25"/>
    <x:mergeCell ref="I26:K26"/>
    <x:mergeCell ref="I27:K27"/>
    <x:mergeCell ref="I28:K28"/>
    <x:mergeCell ref="I29:K29"/>
    <x:mergeCell ref="I30:K30"/>
    <x:mergeCell ref="I31:K31"/>
    <x:mergeCell ref="I32:K32"/>
    <x:mergeCell ref="I33:K33"/>
    <x:mergeCell ref="I34:K34"/>
    <x:mergeCell ref="I35:K35"/>
    <x:mergeCell ref="I36:K36"/>
    <x:mergeCell ref="I37:K37"/>
    <x:mergeCell ref="I38:K38"/>
    <x:mergeCell ref="I39:K39"/>
    <x:mergeCell ref="I40:K40"/>
    <x:mergeCell ref="I41:K41"/>
    <x:mergeCell ref="I42:K42"/>
    <x:mergeCell ref="I43:K43"/>
    <x:mergeCell ref="I44:K44"/>
    <x:mergeCell ref="I45:K45"/>
    <x:mergeCell ref="I46:K46"/>
    <x:mergeCell ref="I47:K47"/>
    <x:mergeCell ref="I48:K48"/>
    <x:mergeCell ref="I49:K49"/>
    <x:mergeCell ref="I50:K50"/>
    <x:mergeCell ref="I51:K51"/>
    <x:mergeCell ref="I52:K52"/>
    <x:mergeCell ref="I53:K53"/>
    <x:mergeCell ref="I54:K54"/>
    <x:mergeCell ref="I55:K55"/>
    <x:mergeCell ref="I56:K56"/>
    <x:mergeCell ref="I57:K57"/>
    <x:mergeCell ref="I58:K58"/>
    <x:mergeCell ref="I59:K59"/>
    <x:mergeCell ref="I60:K60"/>
    <x:mergeCell ref="I61:K61"/>
    <x:mergeCell ref="I62:K62"/>
    <x:mergeCell ref="I63:K63"/>
    <x:mergeCell ref="I64:K64"/>
    <x:mergeCell ref="I65:K65"/>
    <x:mergeCell ref="I66:K66"/>
    <x:mergeCell ref="I67:K67"/>
    <x:mergeCell ref="I68:K68"/>
    <x:mergeCell ref="I69:K69"/>
    <x:mergeCell ref="I70:K70"/>
    <x:mergeCell ref="I71:K71"/>
    <x:mergeCell ref="I72:K72"/>
    <x:mergeCell ref="I73:K73"/>
    <x:mergeCell ref="I74:K74"/>
    <x:mergeCell ref="I75:K75"/>
    <x:mergeCell ref="I76:K76"/>
    <x:mergeCell ref="I77:K77"/>
    <x:mergeCell ref="I78:K78"/>
    <x:mergeCell ref="I79:K79"/>
    <x:mergeCell ref="I80:K80"/>
    <x:mergeCell ref="I81:K81"/>
    <x:mergeCell ref="I82:K82"/>
    <x:mergeCell ref="I83:K83"/>
    <x:mergeCell ref="I84:K84"/>
    <x:mergeCell ref="I85:K85"/>
    <x:mergeCell ref="I86:K86"/>
    <x:mergeCell ref="I87:K87"/>
    <x:mergeCell ref="I88:K88"/>
    <x:mergeCell ref="I89:K89"/>
    <x:mergeCell ref="I90:K90"/>
    <x:mergeCell ref="I91:K91"/>
    <x:mergeCell ref="I92:K92"/>
    <x:mergeCell ref="I93:K93"/>
    <x:mergeCell ref="I94:K94"/>
    <x:mergeCell ref="I95:K95"/>
    <x:mergeCell ref="I96:K96"/>
    <x:mergeCell ref="I97:K97"/>
    <x:mergeCell ref="I98:K98"/>
    <x:mergeCell ref="I99:K99"/>
    <x:mergeCell ref="I100:K100"/>
    <x:mergeCell ref="I101:K101"/>
    <x:mergeCell ref="I102:K102"/>
    <x:mergeCell ref="I103:K103"/>
    <x:mergeCell ref="I104:K104"/>
    <x:mergeCell ref="I105:K105"/>
    <x:mergeCell ref="I106:K106"/>
    <x:mergeCell ref="I107:K107"/>
    <x:mergeCell ref="I108:K108"/>
    <x:mergeCell ref="I109:K109"/>
    <x:mergeCell ref="I110:K110"/>
    <x:mergeCell ref="I111:K111"/>
    <x:mergeCell ref="I112:K112"/>
    <x:mergeCell ref="I113:K113"/>
    <x:mergeCell ref="I114:K114"/>
    <x:mergeCell ref="I115:K115"/>
    <x:mergeCell ref="I116:K116"/>
    <x:mergeCell ref="I117:K117"/>
    <x:mergeCell ref="I118:K118"/>
    <x:mergeCell ref="I119:K119"/>
    <x:mergeCell ref="I120:K120"/>
    <x:mergeCell ref="I121:K121"/>
    <x:mergeCell ref="I122:K122"/>
    <x:mergeCell ref="I123:K123"/>
    <x:mergeCell ref="I124:K124"/>
    <x:mergeCell ref="I125:K125"/>
    <x:mergeCell ref="I126:K126"/>
    <x:mergeCell ref="I127:K127"/>
    <x:mergeCell ref="I128:K128"/>
    <x:mergeCell ref="I129:K129"/>
    <x:mergeCell ref="I130:K130"/>
    <x:mergeCell ref="I131:K131"/>
    <x:mergeCell ref="I132:K132"/>
    <x:mergeCell ref="I133:K133"/>
    <x:mergeCell ref="I134:K134"/>
    <x:mergeCell ref="I135:K135"/>
    <x:mergeCell ref="I136:K136"/>
    <x:mergeCell ref="I137:K137"/>
    <x:mergeCell ref="I138:K138"/>
    <x:mergeCell ref="I139:K139"/>
    <x:mergeCell ref="I140:K140"/>
    <x:mergeCell ref="I141:K141"/>
    <x:mergeCell ref="I142:K142"/>
    <x:mergeCell ref="I143:K143"/>
    <x:mergeCell ref="I144:K144"/>
    <x:mergeCell ref="I145:K145"/>
    <x:mergeCell ref="I146:K146"/>
    <x:mergeCell ref="I147:K147"/>
    <x:mergeCell ref="I148:K148"/>
    <x:mergeCell ref="I149:K149"/>
    <x:mergeCell ref="I150:K150"/>
    <x:mergeCell ref="I151:K151"/>
    <x:mergeCell ref="I152:K152"/>
    <x:mergeCell ref="I153:K153"/>
    <x:mergeCell ref="A16:A38"/>
    <x:mergeCell ref="A39:A61"/>
    <x:mergeCell ref="A62:A84"/>
    <x:mergeCell ref="A85:A107"/>
    <x:mergeCell ref="A108:A130"/>
    <x:mergeCell ref="A131:A153"/>
  </x:mergeCells>
  <x:conditionalFormatting sqref="D16:D153">
    <x:cfRule type="expression" dxfId="5" priority="4">
      <x:formula>$D16="无"</x:formula>
    </x:cfRule>
  </x:conditionalFormatting>
  <x:conditionalFormatting sqref="H16:H153">
    <x:cfRule type="expression" dxfId="6" priority="5">
      <x:formula>$H16="超负荷"</x:formula>
    </x:cfRule>
  </x:conditionalFormatting>
  <x:conditionalFormatting sqref="J5:J10">
    <x:cfRule type="expression" dxfId="6" priority="1">
      <x:formula>$J5="超负荷"</x:formula>
    </x:cfRule>
    <x:cfRule type="expression" dxfId="7" priority="2">
      <x:formula>$J5="高负荷"</x:formula>
    </x:cfRule>
    <x:cfRule type="expression" dxfId="8" priority="3">
      <x:formula>$J5="正常"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3b3824a19f43a9"/>
  </x:tableParts>
</x:worksheet>
</file>

<file path=xl/worksheets/sheet4.xml><?xml version="1.0" encoding="utf-8"?>
<x:worksheet xmlns:x="http://schemas.openxmlformats.org/spreadsheetml/2006/main">
  <x:sheetPr>
    <x:tabColor rgb="FF8064A2"/>
  </x:sheetPr>
  <x:sheetViews>
    <x:sheetView showGridLines="0" workbookViewId="0" tabSelected="1">
      <x:pane ySplit="8" topLeftCell="A9" activePane="bottomLeft" state="frozen"/>
    </x:sheetView>
  </x:sheetViews>
  <x:sheetFormatPr defaultColWidth="9" defaultRowHeight="16.799999237060547"/>
  <x:cols>
    <x:col min="1" max="1" width="13" style="1" customWidth="1"/>
    <x:col min="2" max="2" width="18" style="1" customWidth="1"/>
    <x:col min="3" max="3" width="20" style="1" customWidth="1"/>
    <x:col min="4" max="4" width="18" style="1" customWidth="1"/>
    <x:col min="5" max="5" width="15" style="1" customWidth="1"/>
    <x:col min="6" max="6" width="24" style="1" customWidth="1"/>
    <x:col min="7" max="7" width="28" style="1" customWidth="1"/>
    <x:col min="8" max="9" width="11" style="1" customWidth="1"/>
    <x:col min="10" max="11" width="14" style="1" customWidth="1"/>
    <x:col min="12" max="13" width="11" style="1" customWidth="1"/>
    <x:col min="14" max="14" width="14" style="1" customWidth="1"/>
    <x:col min="15" max="15" width="16" style="1" customWidth="1"/>
    <x:col min="16" max="16" width="13" style="1" customWidth="1"/>
    <x:col min="17" max="17" width="24" style="1" customWidth="1"/>
    <x:col min="18" max="18" width="15" style="1" customWidth="1"/>
    <x:col min="19" max="20" width="14" style="1" customWidth="1"/>
    <x:col min="21" max="22" width="30" style="1" customWidth="1"/>
    <x:col min="23" max="23" width="15" style="1" customWidth="1"/>
    <x:col min="24" max="24" width="14" style="1" customWidth="1"/>
    <x:col min="25" max="25" width="13" style="1" customWidth="1"/>
    <x:col min="26" max="26" width="14" style="1" customWidth="1"/>
    <x:col min="27" max="27" width="18" style="1" customWidth="1"/>
    <x:col min="28" max="28" width="28" style="1" customWidth="1"/>
    <x:col min="29" max="29" width="24" style="1" customWidth="1"/>
  </x:cols>
  <x:sheetData>
    <x:row r="1" ht="28" customHeight="1">
      <x:c r="A1" s="44" t="s">
        <x:v>81</x:v>
      </x:c>
    </x:row>
    <x:row r="2">
      <x:c r="A2" s="67" t="s">
        <x:v>82</x:v>
      </x:c>
    </x:row>
    <x:row r="4">
      <x:c r="A4" s="68" t="s">
        <x:v>83</x:v>
      </x:c>
      <x:c r="B4" s="3"/>
      <x:c r="C4" s="4"/>
      <x:c r="D4" s="68" t="s">
        <x:v>84</x:v>
      </x:c>
      <x:c r="E4" s="3"/>
      <x:c r="F4" s="4"/>
      <x:c r="G4" s="68" t="s">
        <x:v>85</x:v>
      </x:c>
      <x:c r="H4" s="3"/>
      <x:c r="I4" s="4"/>
      <x:c r="J4" s="68" t="s">
        <x:v>86</x:v>
      </x:c>
      <x:c r="K4" s="3"/>
      <x:c r="L4" s="4"/>
      <x:c r="M4" s="68" t="s">
        <x:v>87</x:v>
      </x:c>
      <x:c r="N4" s="3"/>
      <x:c r="O4" s="4"/>
      <x:c r="P4" s="68" t="s">
        <x:v>88</x:v>
      </x:c>
      <x:c r="Q4" s="3"/>
      <x:c r="R4" s="4"/>
      <x:c r="S4" s="68" t="s">
        <x:v>89</x:v>
      </x:c>
      <x:c r="T4" s="3"/>
      <x:c r="U4" s="4"/>
      <x:c r="V4" s="68" t="s">
        <x:v>90</x:v>
      </x:c>
      <x:c r="W4" s="3"/>
      <x:c r="X4" s="4"/>
    </x:row>
    <x:row r="5" ht="22" customHeight="1">
      <x:c r="A5" s="59" t="n">
        <x:f>COUNTIFS($B$9:$B$108,"&lt;&gt;")</x:f>
        <x:v>0</x:v>
      </x:c>
      <x:c r="B5" s="3"/>
      <x:c r="C5" s="4"/>
      <x:c r="D5" s="59" t="n">
        <x:f>COUNTIFS($B$9:$B$108,"&lt;&gt;",$H$9:$H$108,"高")</x:f>
        <x:v>0</x:v>
      </x:c>
      <x:c r="E5" s="3"/>
      <x:c r="F5" s="4"/>
      <x:c r="G5" s="59" t="n">
        <x:f>COUNTIFS($B$9:$B$108,"&lt;&gt;",$N$9:$N$108,"重点管理")</x:f>
        <x:v>0</x:v>
      </x:c>
      <x:c r="H5" s="3"/>
      <x:c r="I5" s="4"/>
      <x:c r="J5" s="59" t="n">
        <x:f>COUNTIFS($B$9:$B$108,"&lt;&gt;",$J$9:$J$108,"抵触")+COUNTIFS($B$9:$B$108,"&lt;&gt;",$J$9:$J$108,"不支持")</x:f>
        <x:v>0</x:v>
      </x:c>
      <x:c r="K5" s="3"/>
      <x:c r="L5" s="4"/>
      <x:c r="M5" s="59" t="n">
        <x:f>COUNTIFS($B$9:$B$108,"&lt;&gt;",$L$9:$L$108,"&gt;0")</x:f>
        <x:v>0</x:v>
      </x:c>
      <x:c r="N5" s="3"/>
      <x:c r="O5" s="4"/>
      <x:c r="P5" s="59" t="e">
        <x:f>COUNTIFS($B$9:$B$108,"&lt;&gt;",$T$9:$T$108,"&lt;"&amp;项目驾驶舱!$B$3,$T$9:$T$108,"&lt;&gt;")</x:f>
        <x:v>#NAME?</x:v>
      </x:c>
      <x:c r="Q5" s="3"/>
      <x:c r="R5" s="4"/>
      <x:c r="S5" s="59" t="n">
        <x:f>COUNTIFS($B$9:$B$108,"&lt;&gt;",$Y$9:$Y$108,"&lt;&gt;已完成",$V$9:$V$108,"&lt;&gt;")</x:f>
        <x:v>0</x:v>
      </x:c>
      <x:c r="T5" s="3"/>
      <x:c r="U5" s="4"/>
      <x:c r="V5" s="59" t="n">
        <x:f>COUNTIFS($B$9:$B$108,"&lt;&gt;",$Z$9:$Z$108,"是")</x:f>
        <x:v>0</x:v>
      </x:c>
      <x:c r="W5" s="3"/>
      <x:c r="X5" s="4"/>
    </x:row>
    <x:row r="7" ht="17.600000381469727" customHeight="1">
      <x:c r="A7" s="50" t="s">
        <x:v>91</x:v>
      </x:c>
    </x:row>
    <x:row r="8" ht="34" customHeight="1">
      <x:c r="A8" s="7" t="s">
        <x:v>92</x:v>
      </x:c>
      <x:c r="B8" s="7" t="s">
        <x:v>93</x:v>
      </x:c>
      <x:c r="C8" s="7" t="s">
        <x:v>94</x:v>
      </x:c>
      <x:c r="D8" s="7" t="s">
        <x:v>95</x:v>
      </x:c>
      <x:c r="E8" s="7" t="s">
        <x:v>96</x:v>
      </x:c>
      <x:c r="F8" s="7" t="s">
        <x:v>97</x:v>
      </x:c>
      <x:c r="G8" s="7" t="s">
        <x:v>98</x:v>
      </x:c>
      <x:c r="H8" s="7" t="s">
        <x:v>99</x:v>
      </x:c>
      <x:c r="I8" s="7" t="s">
        <x:v>100</x:v>
      </x:c>
      <x:c r="J8" s="7" t="s">
        <x:v>101</x:v>
      </x:c>
      <x:c r="K8" s="7" t="s">
        <x:v>102</x:v>
      </x:c>
      <x:c r="L8" s="7" t="s">
        <x:v>103</x:v>
      </x:c>
      <x:c r="M8" s="7" t="s">
        <x:v>104</x:v>
      </x:c>
      <x:c r="N8" s="7" t="s">
        <x:v>105</x:v>
      </x:c>
      <x:c r="O8" s="7" t="s">
        <x:v>106</x:v>
      </x:c>
      <x:c r="P8" s="7" t="s">
        <x:v>107</x:v>
      </x:c>
      <x:c r="Q8" s="7" t="s">
        <x:v>108</x:v>
      </x:c>
      <x:c r="R8" s="7" t="s">
        <x:v>109</x:v>
      </x:c>
      <x:c r="S8" s="7" t="s">
        <x:v>110</x:v>
      </x:c>
      <x:c r="T8" s="7" t="s">
        <x:v>111</x:v>
      </x:c>
      <x:c r="U8" s="7" t="s">
        <x:v>112</x:v>
      </x:c>
      <x:c r="V8" s="7" t="s">
        <x:v>113</x:v>
      </x:c>
      <x:c r="W8" s="7" t="s">
        <x:v>114</x:v>
      </x:c>
      <x:c r="X8" s="7" t="s">
        <x:v>115</x:v>
      </x:c>
      <x:c r="Y8" s="7" t="s">
        <x:v>116</x:v>
      </x:c>
      <x:c r="Z8" s="7" t="s">
        <x:v>117</x:v>
      </x:c>
      <x:c r="AA8" s="7" t="s">
        <x:v>118</x:v>
      </x:c>
      <x:c r="AB8" s="7" t="s">
        <x:v>119</x:v>
      </x:c>
      <x:c r="AC8" s="7" t="s">
        <x:v>67</x:v>
      </x:c>
    </x:row>
    <x:row r="9">
      <x:c r="A9" s="8" t="str">
        <x:f t="shared" ref="A9:A72" si="0">IF(B9="","","SH-"&amp;TEXT(ROW()-8,"000"))</x:f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8" t="str">
        <x:f t="shared" ref="L9:L72" si="1">IF(OR(J9="",K9=""),"",IF(K9="抵触",1,IF(K9="不支持",2,IF(K9="中立",3,IF(K9="支持",4,IF(K9="积极推动",5,"")))))-IF(J9="抵触",1,IF(J9="不支持",2,IF(J9="中立",3,IF(J9="支持",4,IF(J9="积极推动",5,""))))))</x:f>
      </x:c>
      <x:c r="M9" s="10"/>
      <x:c r="N9" s="10" t="str">
        <x:f t="shared" ref="N9:N72" si="2">IF(OR(H9="",I9=""),"",IF(AND(H9="高",I9="高"),"重点管理",IF(H9="高","保持满意",IF(I9="高","保持沟通","监督观察"))))</x:f>
      </x:c>
      <x:c r="O9" s="10"/>
      <x:c r="P9" s="10"/>
      <x:c r="Q9" s="10"/>
      <x:c r="R9" s="10"/>
      <x:c r="S9" s="11"/>
      <x:c r="T9" s="11"/>
      <x:c r="U9" s="10"/>
      <x:c r="V9" s="10"/>
      <x:c r="W9" s="10"/>
      <x:c r="X9" s="11"/>
      <x:c r="Y9" s="10"/>
      <x:c r="Z9" s="10"/>
      <x:c r="AA9" s="10"/>
      <x:c r="AB9" s="8" t="e">
        <x:f>IF(B9="","",IF(AND(H9="高",OR(J9="抵触",J9="不支持")),"高权力不支持；","")&amp;IF(L9&gt;0,"存在支持差距；","")&amp;IF(AND(T9&lt;&gt;"",T9&lt;项目驾驶舱!$B$3),"沟通逾期；","")&amp;IF(AND(V9&lt;&gt;"",X9&lt;项目驾驶舱!$B$3,Y9&lt;&gt;"已完成"),"行动逾期；","")&amp;IF(AND(Z9="是",AA9=""),"未填升级对象",""))</x:f>
        <x:v>#NAME?</x:v>
      </x:c>
      <x:c r="AC9" s="10"/>
    </x:row>
    <x:row r="10">
      <x:c r="A10" s="8" t="str">
        <x:f t="shared" si="0"/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8" t="str">
        <x:f t="shared" si="1"/>
      </x:c>
      <x:c r="M10" s="10"/>
      <x:c r="N10" s="10" t="str">
        <x:f t="shared" si="2"/>
      </x:c>
      <x:c r="O10" s="10"/>
      <x:c r="P10" s="10"/>
      <x:c r="Q10" s="10"/>
      <x:c r="R10" s="10"/>
      <x:c r="S10" s="11"/>
      <x:c r="T10" s="11"/>
      <x:c r="U10" s="10"/>
      <x:c r="V10" s="10"/>
      <x:c r="W10" s="10"/>
      <x:c r="X10" s="11"/>
      <x:c r="Y10" s="10"/>
      <x:c r="Z10" s="10"/>
      <x:c r="AA10" s="10"/>
      <x:c r="AB10" s="8" t="e">
        <x:f>IF(B10="","",IF(AND(H10="高",OR(J10="抵触",J10="不支持")),"高权力不支持；","")&amp;IF(L10&gt;0,"存在支持差距；","")&amp;IF(AND(T10&lt;&gt;"",T10&lt;项目驾驶舱!$B$3),"沟通逾期；","")&amp;IF(AND(V10&lt;&gt;"",X10&lt;项目驾驶舱!$B$3,Y10&lt;&gt;"已完成"),"行动逾期；","")&amp;IF(AND(Z10="是",AA10=""),"未填升级对象",""))</x:f>
        <x:v>#NAME?</x:v>
      </x:c>
      <x:c r="AC10" s="10"/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8" t="str">
        <x:f t="shared" si="1"/>
      </x:c>
      <x:c r="M11" s="10"/>
      <x:c r="N11" s="10" t="str">
        <x:f t="shared" si="2"/>
      </x:c>
      <x:c r="O11" s="10"/>
      <x:c r="P11" s="10"/>
      <x:c r="Q11" s="10"/>
      <x:c r="R11" s="10"/>
      <x:c r="S11" s="11"/>
      <x:c r="T11" s="11"/>
      <x:c r="U11" s="10"/>
      <x:c r="V11" s="10"/>
      <x:c r="W11" s="10"/>
      <x:c r="X11" s="11"/>
      <x:c r="Y11" s="10"/>
      <x:c r="Z11" s="10"/>
      <x:c r="AA11" s="10"/>
      <x:c r="AB11" s="8" t="e">
        <x:f>IF(B11="","",IF(AND(H11="高",OR(J11="抵触",J11="不支持")),"高权力不支持；","")&amp;IF(L11&gt;0,"存在支持差距；","")&amp;IF(AND(T11&lt;&gt;"",T11&lt;项目驾驶舱!$B$3),"沟通逾期；","")&amp;IF(AND(V11&lt;&gt;"",X11&lt;项目驾驶舱!$B$3,Y11&lt;&gt;"已完成"),"行动逾期；","")&amp;IF(AND(Z11="是",AA11=""),"未填升级对象",""))</x:f>
        <x:v>#NAME?</x:v>
      </x:c>
      <x:c r="AC11" s="10"/>
    </x:row>
    <x:row r="12">
      <x:c r="A12" s="8" t="str">
        <x:f t="shared" si="0"/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8" t="str">
        <x:f t="shared" si="1"/>
      </x:c>
      <x:c r="M12" s="10"/>
      <x:c r="N12" s="10" t="str">
        <x:f t="shared" si="2"/>
      </x:c>
      <x:c r="O12" s="10"/>
      <x:c r="P12" s="10"/>
      <x:c r="Q12" s="10"/>
      <x:c r="R12" s="10"/>
      <x:c r="S12" s="11"/>
      <x:c r="T12" s="11"/>
      <x:c r="U12" s="10"/>
      <x:c r="V12" s="10"/>
      <x:c r="W12" s="10"/>
      <x:c r="X12" s="11"/>
      <x:c r="Y12" s="10"/>
      <x:c r="Z12" s="10"/>
      <x:c r="AA12" s="10"/>
      <x:c r="AB12" s="8" t="e">
        <x:f>IF(B12="","",IF(AND(H12="高",OR(J12="抵触",J12="不支持")),"高权力不支持；","")&amp;IF(L12&gt;0,"存在支持差距；","")&amp;IF(AND(T12&lt;&gt;"",T12&lt;项目驾驶舱!$B$3),"沟通逾期；","")&amp;IF(AND(V12&lt;&gt;"",X12&lt;项目驾驶舱!$B$3,Y12&lt;&gt;"已完成"),"行动逾期；","")&amp;IF(AND(Z12="是",AA12=""),"未填升级对象",""))</x:f>
        <x:v>#NAME?</x:v>
      </x:c>
      <x:c r="AC12" s="10"/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8" t="str">
        <x:f t="shared" si="1"/>
      </x:c>
      <x:c r="M13" s="10"/>
      <x:c r="N13" s="10" t="str">
        <x:f t="shared" si="2"/>
      </x:c>
      <x:c r="O13" s="10"/>
      <x:c r="P13" s="10"/>
      <x:c r="Q13" s="10"/>
      <x:c r="R13" s="10"/>
      <x:c r="S13" s="11"/>
      <x:c r="T13" s="11"/>
      <x:c r="U13" s="10"/>
      <x:c r="V13" s="10"/>
      <x:c r="W13" s="10"/>
      <x:c r="X13" s="11"/>
      <x:c r="Y13" s="10"/>
      <x:c r="Z13" s="10"/>
      <x:c r="AA13" s="10"/>
      <x:c r="AB13" s="8" t="e">
        <x:f>IF(B13="","",IF(AND(H13="高",OR(J13="抵触",J13="不支持")),"高权力不支持；","")&amp;IF(L13&gt;0,"存在支持差距；","")&amp;IF(AND(T13&lt;&gt;"",T13&lt;项目驾驶舱!$B$3),"沟通逾期；","")&amp;IF(AND(V13&lt;&gt;"",X13&lt;项目驾驶舱!$B$3,Y13&lt;&gt;"已完成"),"行动逾期；","")&amp;IF(AND(Z13="是",AA13=""),"未填升级对象",""))</x:f>
        <x:v>#NAME?</x:v>
      </x:c>
      <x:c r="AC13" s="10"/>
    </x:row>
    <x:row r="14">
      <x:c r="A14" s="8" t="str">
        <x:f t="shared" si="0"/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8" t="str">
        <x:f t="shared" si="1"/>
      </x:c>
      <x:c r="M14" s="10"/>
      <x:c r="N14" s="10" t="str">
        <x:f t="shared" si="2"/>
      </x:c>
      <x:c r="O14" s="10"/>
      <x:c r="P14" s="10"/>
      <x:c r="Q14" s="10"/>
      <x:c r="R14" s="10"/>
      <x:c r="S14" s="11"/>
      <x:c r="T14" s="11"/>
      <x:c r="U14" s="10"/>
      <x:c r="V14" s="10"/>
      <x:c r="W14" s="10"/>
      <x:c r="X14" s="11"/>
      <x:c r="Y14" s="10"/>
      <x:c r="Z14" s="10"/>
      <x:c r="AA14" s="10"/>
      <x:c r="AB14" s="8" t="e">
        <x:f>IF(B14="","",IF(AND(H14="高",OR(J14="抵触",J14="不支持")),"高权力不支持；","")&amp;IF(L14&gt;0,"存在支持差距；","")&amp;IF(AND(T14&lt;&gt;"",T14&lt;项目驾驶舱!$B$3),"沟通逾期；","")&amp;IF(AND(V14&lt;&gt;"",X14&lt;项目驾驶舱!$B$3,Y14&lt;&gt;"已完成"),"行动逾期；","")&amp;IF(AND(Z14="是",AA14=""),"未填升级对象",""))</x:f>
        <x:v>#NAME?</x:v>
      </x:c>
      <x:c r="AC14" s="10"/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8" t="str">
        <x:f t="shared" si="1"/>
      </x:c>
      <x:c r="M15" s="10"/>
      <x:c r="N15" s="10" t="str">
        <x:f t="shared" si="2"/>
      </x:c>
      <x:c r="O15" s="10"/>
      <x:c r="P15" s="10"/>
      <x:c r="Q15" s="10"/>
      <x:c r="R15" s="10"/>
      <x:c r="S15" s="11"/>
      <x:c r="T15" s="11"/>
      <x:c r="U15" s="10"/>
      <x:c r="V15" s="10"/>
      <x:c r="W15" s="10"/>
      <x:c r="X15" s="11"/>
      <x:c r="Y15" s="10"/>
      <x:c r="Z15" s="10"/>
      <x:c r="AA15" s="10"/>
      <x:c r="AB15" s="8" t="e">
        <x:f>IF(B15="","",IF(AND(H15="高",OR(J15="抵触",J15="不支持")),"高权力不支持；","")&amp;IF(L15&gt;0,"存在支持差距；","")&amp;IF(AND(T15&lt;&gt;"",T15&lt;项目驾驶舱!$B$3),"沟通逾期；","")&amp;IF(AND(V15&lt;&gt;"",X15&lt;项目驾驶舱!$B$3,Y15&lt;&gt;"已完成"),"行动逾期；","")&amp;IF(AND(Z15="是",AA15=""),"未填升级对象",""))</x:f>
        <x:v>#NAME?</x:v>
      </x:c>
      <x:c r="AC15" s="10"/>
    </x:row>
    <x:row r="16">
      <x:c r="A16" s="8" t="str">
        <x:f t="shared" si="0"/>
      </x:c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8" t="str">
        <x:f t="shared" si="1"/>
      </x:c>
      <x:c r="M16" s="10"/>
      <x:c r="N16" s="10" t="str">
        <x:f t="shared" si="2"/>
      </x:c>
      <x:c r="O16" s="10"/>
      <x:c r="P16" s="10"/>
      <x:c r="Q16" s="10"/>
      <x:c r="R16" s="10"/>
      <x:c r="S16" s="11"/>
      <x:c r="T16" s="11"/>
      <x:c r="U16" s="10"/>
      <x:c r="V16" s="10"/>
      <x:c r="W16" s="10"/>
      <x:c r="X16" s="11"/>
      <x:c r="Y16" s="10"/>
      <x:c r="Z16" s="10"/>
      <x:c r="AA16" s="10"/>
      <x:c r="AB16" s="8" t="e">
        <x:f>IF(B16="","",IF(AND(H16="高",OR(J16="抵触",J16="不支持")),"高权力不支持；","")&amp;IF(L16&gt;0,"存在支持差距；","")&amp;IF(AND(T16&lt;&gt;"",T16&lt;项目驾驶舱!$B$3),"沟通逾期；","")&amp;IF(AND(V16&lt;&gt;"",X16&lt;项目驾驶舱!$B$3,Y16&lt;&gt;"已完成"),"行动逾期；","")&amp;IF(AND(Z16="是",AA16=""),"未填升级对象",""))</x:f>
        <x:v>#NAME?</x:v>
      </x:c>
      <x:c r="AC16" s="10"/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8" t="str">
        <x:f t="shared" si="1"/>
      </x:c>
      <x:c r="M17" s="10"/>
      <x:c r="N17" s="10" t="str">
        <x:f t="shared" si="2"/>
      </x:c>
      <x:c r="O17" s="10"/>
      <x:c r="P17" s="10"/>
      <x:c r="Q17" s="10"/>
      <x:c r="R17" s="10"/>
      <x:c r="S17" s="11"/>
      <x:c r="T17" s="11"/>
      <x:c r="U17" s="10"/>
      <x:c r="V17" s="10"/>
      <x:c r="W17" s="10"/>
      <x:c r="X17" s="11"/>
      <x:c r="Y17" s="10"/>
      <x:c r="Z17" s="10"/>
      <x:c r="AA17" s="10"/>
      <x:c r="AB17" s="8" t="e">
        <x:f>IF(B17="","",IF(AND(H17="高",OR(J17="抵触",J17="不支持")),"高权力不支持；","")&amp;IF(L17&gt;0,"存在支持差距；","")&amp;IF(AND(T17&lt;&gt;"",T17&lt;项目驾驶舱!$B$3),"沟通逾期；","")&amp;IF(AND(V17&lt;&gt;"",X17&lt;项目驾驶舱!$B$3,Y17&lt;&gt;"已完成"),"行动逾期；","")&amp;IF(AND(Z17="是",AA17=""),"未填升级对象",""))</x:f>
        <x:v>#NAME?</x:v>
      </x:c>
      <x:c r="AC17" s="10"/>
    </x:row>
    <x:row r="18">
      <x:c r="A18" s="8" t="str">
        <x:f t="shared" si="0"/>
      </x:c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8" t="str">
        <x:f t="shared" si="1"/>
      </x:c>
      <x:c r="M18" s="10"/>
      <x:c r="N18" s="10" t="str">
        <x:f t="shared" si="2"/>
      </x:c>
      <x:c r="O18" s="10"/>
      <x:c r="P18" s="10"/>
      <x:c r="Q18" s="10"/>
      <x:c r="R18" s="10"/>
      <x:c r="S18" s="11"/>
      <x:c r="T18" s="11"/>
      <x:c r="U18" s="10"/>
      <x:c r="V18" s="10"/>
      <x:c r="W18" s="10"/>
      <x:c r="X18" s="11"/>
      <x:c r="Y18" s="10"/>
      <x:c r="Z18" s="10"/>
      <x:c r="AA18" s="10"/>
      <x:c r="AB18" s="8" t="e">
        <x:f>IF(B18="","",IF(AND(H18="高",OR(J18="抵触",J18="不支持")),"高权力不支持；","")&amp;IF(L18&gt;0,"存在支持差距；","")&amp;IF(AND(T18&lt;&gt;"",T18&lt;项目驾驶舱!$B$3),"沟通逾期；","")&amp;IF(AND(V18&lt;&gt;"",X18&lt;项目驾驶舱!$B$3,Y18&lt;&gt;"已完成"),"行动逾期；","")&amp;IF(AND(Z18="是",AA18=""),"未填升级对象",""))</x:f>
        <x:v>#NAME?</x:v>
      </x:c>
      <x:c r="AC18" s="10"/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8" t="str">
        <x:f t="shared" si="1"/>
      </x:c>
      <x:c r="M19" s="10"/>
      <x:c r="N19" s="10" t="str">
        <x:f t="shared" si="2"/>
      </x:c>
      <x:c r="O19" s="10"/>
      <x:c r="P19" s="10"/>
      <x:c r="Q19" s="10"/>
      <x:c r="R19" s="10"/>
      <x:c r="S19" s="11"/>
      <x:c r="T19" s="11"/>
      <x:c r="U19" s="10"/>
      <x:c r="V19" s="10"/>
      <x:c r="W19" s="10"/>
      <x:c r="X19" s="11"/>
      <x:c r="Y19" s="10"/>
      <x:c r="Z19" s="10"/>
      <x:c r="AA19" s="10"/>
      <x:c r="AB19" s="8" t="e">
        <x:f>IF(B19="","",IF(AND(H19="高",OR(J19="抵触",J19="不支持")),"高权力不支持；","")&amp;IF(L19&gt;0,"存在支持差距；","")&amp;IF(AND(T19&lt;&gt;"",T19&lt;项目驾驶舱!$B$3),"沟通逾期；","")&amp;IF(AND(V19&lt;&gt;"",X19&lt;项目驾驶舱!$B$3,Y19&lt;&gt;"已完成"),"行动逾期；","")&amp;IF(AND(Z19="是",AA19=""),"未填升级对象",""))</x:f>
        <x:v>#NAME?</x:v>
      </x:c>
      <x:c r="AC19" s="10"/>
    </x:row>
    <x:row r="20">
      <x:c r="A20" s="8" t="str">
        <x:f t="shared" si="0"/>
      </x:c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8" t="str">
        <x:f t="shared" si="1"/>
      </x:c>
      <x:c r="M20" s="10"/>
      <x:c r="N20" s="10" t="str">
        <x:f t="shared" si="2"/>
      </x:c>
      <x:c r="O20" s="10"/>
      <x:c r="P20" s="10"/>
      <x:c r="Q20" s="10"/>
      <x:c r="R20" s="10"/>
      <x:c r="S20" s="11"/>
      <x:c r="T20" s="11"/>
      <x:c r="U20" s="10"/>
      <x:c r="V20" s="10"/>
      <x:c r="W20" s="10"/>
      <x:c r="X20" s="11"/>
      <x:c r="Y20" s="10"/>
      <x:c r="Z20" s="10"/>
      <x:c r="AA20" s="10"/>
      <x:c r="AB20" s="8" t="e">
        <x:f>IF(B20="","",IF(AND(H20="高",OR(J20="抵触",J20="不支持")),"高权力不支持；","")&amp;IF(L20&gt;0,"存在支持差距；","")&amp;IF(AND(T20&lt;&gt;"",T20&lt;项目驾驶舱!$B$3),"沟通逾期；","")&amp;IF(AND(V20&lt;&gt;"",X20&lt;项目驾驶舱!$B$3,Y20&lt;&gt;"已完成"),"行动逾期；","")&amp;IF(AND(Z20="是",AA20=""),"未填升级对象",""))</x:f>
        <x:v>#NAME?</x:v>
      </x:c>
      <x:c r="AC20" s="10"/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8" t="str">
        <x:f t="shared" si="1"/>
      </x:c>
      <x:c r="M21" s="10"/>
      <x:c r="N21" s="10" t="str">
        <x:f t="shared" si="2"/>
      </x:c>
      <x:c r="O21" s="10"/>
      <x:c r="P21" s="10"/>
      <x:c r="Q21" s="10"/>
      <x:c r="R21" s="10"/>
      <x:c r="S21" s="11"/>
      <x:c r="T21" s="11"/>
      <x:c r="U21" s="10"/>
      <x:c r="V21" s="10"/>
      <x:c r="W21" s="10"/>
      <x:c r="X21" s="11"/>
      <x:c r="Y21" s="10"/>
      <x:c r="Z21" s="10"/>
      <x:c r="AA21" s="10"/>
      <x:c r="AB21" s="8" t="e">
        <x:f>IF(B21="","",IF(AND(H21="高",OR(J21="抵触",J21="不支持")),"高权力不支持；","")&amp;IF(L21&gt;0,"存在支持差距；","")&amp;IF(AND(T21&lt;&gt;"",T21&lt;项目驾驶舱!$B$3),"沟通逾期；","")&amp;IF(AND(V21&lt;&gt;"",X21&lt;项目驾驶舱!$B$3,Y21&lt;&gt;"已完成"),"行动逾期；","")&amp;IF(AND(Z21="是",AA21=""),"未填升级对象",""))</x:f>
        <x:v>#NAME?</x:v>
      </x:c>
      <x:c r="AC21" s="10"/>
    </x:row>
    <x:row r="22">
      <x:c r="A22" s="8" t="str">
        <x:f t="shared" si="0"/>
      </x:c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8" t="str">
        <x:f t="shared" si="1"/>
      </x:c>
      <x:c r="M22" s="10"/>
      <x:c r="N22" s="10" t="str">
        <x:f t="shared" si="2"/>
      </x:c>
      <x:c r="O22" s="10"/>
      <x:c r="P22" s="10"/>
      <x:c r="Q22" s="10"/>
      <x:c r="R22" s="10"/>
      <x:c r="S22" s="11"/>
      <x:c r="T22" s="11"/>
      <x:c r="U22" s="10"/>
      <x:c r="V22" s="10"/>
      <x:c r="W22" s="10"/>
      <x:c r="X22" s="11"/>
      <x:c r="Y22" s="10"/>
      <x:c r="Z22" s="10"/>
      <x:c r="AA22" s="10"/>
      <x:c r="AB22" s="8" t="e">
        <x:f>IF(B22="","",IF(AND(H22="高",OR(J22="抵触",J22="不支持")),"高权力不支持；","")&amp;IF(L22&gt;0,"存在支持差距；","")&amp;IF(AND(T22&lt;&gt;"",T22&lt;项目驾驶舱!$B$3),"沟通逾期；","")&amp;IF(AND(V22&lt;&gt;"",X22&lt;项目驾驶舱!$B$3,Y22&lt;&gt;"已完成"),"行动逾期；","")&amp;IF(AND(Z22="是",AA22=""),"未填升级对象",""))</x:f>
        <x:v>#NAME?</x:v>
      </x:c>
      <x:c r="AC22" s="10"/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8" t="str">
        <x:f t="shared" si="1"/>
      </x:c>
      <x:c r="M23" s="10"/>
      <x:c r="N23" s="10" t="str">
        <x:f t="shared" si="2"/>
      </x:c>
      <x:c r="O23" s="10"/>
      <x:c r="P23" s="10"/>
      <x:c r="Q23" s="10"/>
      <x:c r="R23" s="10"/>
      <x:c r="S23" s="11"/>
      <x:c r="T23" s="11"/>
      <x:c r="U23" s="10"/>
      <x:c r="V23" s="10"/>
      <x:c r="W23" s="10"/>
      <x:c r="X23" s="11"/>
      <x:c r="Y23" s="10"/>
      <x:c r="Z23" s="10"/>
      <x:c r="AA23" s="10"/>
      <x:c r="AB23" s="8" t="e">
        <x:f>IF(B23="","",IF(AND(H23="高",OR(J23="抵触",J23="不支持")),"高权力不支持；","")&amp;IF(L23&gt;0,"存在支持差距；","")&amp;IF(AND(T23&lt;&gt;"",T23&lt;项目驾驶舱!$B$3),"沟通逾期；","")&amp;IF(AND(V23&lt;&gt;"",X23&lt;项目驾驶舱!$B$3,Y23&lt;&gt;"已完成"),"行动逾期；","")&amp;IF(AND(Z23="是",AA23=""),"未填升级对象",""))</x:f>
        <x:v>#NAME?</x:v>
      </x:c>
      <x:c r="AC23" s="10"/>
    </x:row>
    <x:row r="24">
      <x:c r="A24" s="8" t="str">
        <x:f t="shared" si="0"/>
      </x:c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8" t="str">
        <x:f t="shared" si="1"/>
      </x:c>
      <x:c r="M24" s="10"/>
      <x:c r="N24" s="10" t="str">
        <x:f t="shared" si="2"/>
      </x:c>
      <x:c r="O24" s="10"/>
      <x:c r="P24" s="10"/>
      <x:c r="Q24" s="10"/>
      <x:c r="R24" s="10"/>
      <x:c r="S24" s="11"/>
      <x:c r="T24" s="11"/>
      <x:c r="U24" s="10"/>
      <x:c r="V24" s="10"/>
      <x:c r="W24" s="10"/>
      <x:c r="X24" s="11"/>
      <x:c r="Y24" s="10"/>
      <x:c r="Z24" s="10"/>
      <x:c r="AA24" s="10"/>
      <x:c r="AB24" s="8" t="e">
        <x:f>IF(B24="","",IF(AND(H24="高",OR(J24="抵触",J24="不支持")),"高权力不支持；","")&amp;IF(L24&gt;0,"存在支持差距；","")&amp;IF(AND(T24&lt;&gt;"",T24&lt;项目驾驶舱!$B$3),"沟通逾期；","")&amp;IF(AND(V24&lt;&gt;"",X24&lt;项目驾驶舱!$B$3,Y24&lt;&gt;"已完成"),"行动逾期；","")&amp;IF(AND(Z24="是",AA24=""),"未填升级对象",""))</x:f>
        <x:v>#NAME?</x:v>
      </x:c>
      <x:c r="AC24" s="10"/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8" t="str">
        <x:f t="shared" si="1"/>
      </x:c>
      <x:c r="M25" s="10"/>
      <x:c r="N25" s="10" t="str">
        <x:f t="shared" si="2"/>
      </x:c>
      <x:c r="O25" s="10"/>
      <x:c r="P25" s="10"/>
      <x:c r="Q25" s="10"/>
      <x:c r="R25" s="10"/>
      <x:c r="S25" s="11"/>
      <x:c r="T25" s="11"/>
      <x:c r="U25" s="10"/>
      <x:c r="V25" s="10"/>
      <x:c r="W25" s="10"/>
      <x:c r="X25" s="11"/>
      <x:c r="Y25" s="10"/>
      <x:c r="Z25" s="10"/>
      <x:c r="AA25" s="10"/>
      <x:c r="AB25" s="8" t="e">
        <x:f>IF(B25="","",IF(AND(H25="高",OR(J25="抵触",J25="不支持")),"高权力不支持；","")&amp;IF(L25&gt;0,"存在支持差距；","")&amp;IF(AND(T25&lt;&gt;"",T25&lt;项目驾驶舱!$B$3),"沟通逾期；","")&amp;IF(AND(V25&lt;&gt;"",X25&lt;项目驾驶舱!$B$3,Y25&lt;&gt;"已完成"),"行动逾期；","")&amp;IF(AND(Z25="是",AA25=""),"未填升级对象",""))</x:f>
        <x:v>#NAME?</x:v>
      </x:c>
      <x:c r="AC25" s="10"/>
    </x:row>
    <x:row r="26">
      <x:c r="A26" s="8" t="str">
        <x:f t="shared" si="0"/>
      </x:c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8" t="str">
        <x:f t="shared" si="1"/>
      </x:c>
      <x:c r="M26" s="10"/>
      <x:c r="N26" s="10" t="str">
        <x:f t="shared" si="2"/>
      </x:c>
      <x:c r="O26" s="10"/>
      <x:c r="P26" s="10"/>
      <x:c r="Q26" s="10"/>
      <x:c r="R26" s="10"/>
      <x:c r="S26" s="11"/>
      <x:c r="T26" s="11"/>
      <x:c r="U26" s="10"/>
      <x:c r="V26" s="10"/>
      <x:c r="W26" s="10"/>
      <x:c r="X26" s="11"/>
      <x:c r="Y26" s="10"/>
      <x:c r="Z26" s="10"/>
      <x:c r="AA26" s="10"/>
      <x:c r="AB26" s="8" t="e">
        <x:f>IF(B26="","",IF(AND(H26="高",OR(J26="抵触",J26="不支持")),"高权力不支持；","")&amp;IF(L26&gt;0,"存在支持差距；","")&amp;IF(AND(T26&lt;&gt;"",T26&lt;项目驾驶舱!$B$3),"沟通逾期；","")&amp;IF(AND(V26&lt;&gt;"",X26&lt;项目驾驶舱!$B$3,Y26&lt;&gt;"已完成"),"行动逾期；","")&amp;IF(AND(Z26="是",AA26=""),"未填升级对象",""))</x:f>
        <x:v>#NAME?</x:v>
      </x:c>
      <x:c r="AC26" s="10"/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8" t="str">
        <x:f t="shared" si="1"/>
      </x:c>
      <x:c r="M27" s="10"/>
      <x:c r="N27" s="10" t="str">
        <x:f t="shared" si="2"/>
      </x:c>
      <x:c r="O27" s="10"/>
      <x:c r="P27" s="10"/>
      <x:c r="Q27" s="10"/>
      <x:c r="R27" s="10"/>
      <x:c r="S27" s="11"/>
      <x:c r="T27" s="11"/>
      <x:c r="U27" s="10"/>
      <x:c r="V27" s="10"/>
      <x:c r="W27" s="10"/>
      <x:c r="X27" s="11"/>
      <x:c r="Y27" s="10"/>
      <x:c r="Z27" s="10"/>
      <x:c r="AA27" s="10"/>
      <x:c r="AB27" s="8" t="e">
        <x:f>IF(B27="","",IF(AND(H27="高",OR(J27="抵触",J27="不支持")),"高权力不支持；","")&amp;IF(L27&gt;0,"存在支持差距；","")&amp;IF(AND(T27&lt;&gt;"",T27&lt;项目驾驶舱!$B$3),"沟通逾期；","")&amp;IF(AND(V27&lt;&gt;"",X27&lt;项目驾驶舱!$B$3,Y27&lt;&gt;"已完成"),"行动逾期；","")&amp;IF(AND(Z27="是",AA27=""),"未填升级对象",""))</x:f>
        <x:v>#NAME?</x:v>
      </x:c>
      <x:c r="AC27" s="10"/>
    </x:row>
    <x:row r="28">
      <x:c r="A28" s="8" t="str">
        <x:f t="shared" si="0"/>
      </x:c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8" t="str">
        <x:f t="shared" si="1"/>
      </x:c>
      <x:c r="M28" s="10"/>
      <x:c r="N28" s="10" t="str">
        <x:f t="shared" si="2"/>
      </x:c>
      <x:c r="O28" s="10"/>
      <x:c r="P28" s="10"/>
      <x:c r="Q28" s="10"/>
      <x:c r="R28" s="10"/>
      <x:c r="S28" s="11"/>
      <x:c r="T28" s="11"/>
      <x:c r="U28" s="10"/>
      <x:c r="V28" s="10"/>
      <x:c r="W28" s="10"/>
      <x:c r="X28" s="11"/>
      <x:c r="Y28" s="10"/>
      <x:c r="Z28" s="10"/>
      <x:c r="AA28" s="10"/>
      <x:c r="AB28" s="8" t="e">
        <x:f>IF(B28="","",IF(AND(H28="高",OR(J28="抵触",J28="不支持")),"高权力不支持；","")&amp;IF(L28&gt;0,"存在支持差距；","")&amp;IF(AND(T28&lt;&gt;"",T28&lt;项目驾驶舱!$B$3),"沟通逾期；","")&amp;IF(AND(V28&lt;&gt;"",X28&lt;项目驾驶舱!$B$3,Y28&lt;&gt;"已完成"),"行动逾期；","")&amp;IF(AND(Z28="是",AA28=""),"未填升级对象",""))</x:f>
        <x:v>#NAME?</x:v>
      </x:c>
      <x:c r="AC28" s="10"/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8" t="str">
        <x:f t="shared" si="1"/>
      </x:c>
      <x:c r="M29" s="10"/>
      <x:c r="N29" s="10" t="str">
        <x:f t="shared" si="2"/>
      </x:c>
      <x:c r="O29" s="10"/>
      <x:c r="P29" s="10"/>
      <x:c r="Q29" s="10"/>
      <x:c r="R29" s="10"/>
      <x:c r="S29" s="11"/>
      <x:c r="T29" s="11"/>
      <x:c r="U29" s="10"/>
      <x:c r="V29" s="10"/>
      <x:c r="W29" s="10"/>
      <x:c r="X29" s="11"/>
      <x:c r="Y29" s="10"/>
      <x:c r="Z29" s="10"/>
      <x:c r="AA29" s="10"/>
      <x:c r="AB29" s="8" t="e">
        <x:f>IF(B29="","",IF(AND(H29="高",OR(J29="抵触",J29="不支持")),"高权力不支持；","")&amp;IF(L29&gt;0,"存在支持差距；","")&amp;IF(AND(T29&lt;&gt;"",T29&lt;项目驾驶舱!$B$3),"沟通逾期；","")&amp;IF(AND(V29&lt;&gt;"",X29&lt;项目驾驶舱!$B$3,Y29&lt;&gt;"已完成"),"行动逾期；","")&amp;IF(AND(Z29="是",AA29=""),"未填升级对象",""))</x:f>
        <x:v>#NAME?</x:v>
      </x:c>
      <x:c r="AC29" s="10"/>
    </x:row>
    <x:row r="30">
      <x:c r="A30" s="8" t="str">
        <x:f t="shared" si="0"/>
      </x:c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8" t="str">
        <x:f t="shared" si="1"/>
      </x:c>
      <x:c r="M30" s="10"/>
      <x:c r="N30" s="10" t="str">
        <x:f t="shared" si="2"/>
      </x:c>
      <x:c r="O30" s="10"/>
      <x:c r="P30" s="10"/>
      <x:c r="Q30" s="10"/>
      <x:c r="R30" s="10"/>
      <x:c r="S30" s="11"/>
      <x:c r="T30" s="11"/>
      <x:c r="U30" s="10"/>
      <x:c r="V30" s="10"/>
      <x:c r="W30" s="10"/>
      <x:c r="X30" s="11"/>
      <x:c r="Y30" s="10"/>
      <x:c r="Z30" s="10"/>
      <x:c r="AA30" s="10"/>
      <x:c r="AB30" s="8" t="e">
        <x:f>IF(B30="","",IF(AND(H30="高",OR(J30="抵触",J30="不支持")),"高权力不支持；","")&amp;IF(L30&gt;0,"存在支持差距；","")&amp;IF(AND(T30&lt;&gt;"",T30&lt;项目驾驶舱!$B$3),"沟通逾期；","")&amp;IF(AND(V30&lt;&gt;"",X30&lt;项目驾驶舱!$B$3,Y30&lt;&gt;"已完成"),"行动逾期；","")&amp;IF(AND(Z30="是",AA30=""),"未填升级对象",""))</x:f>
        <x:v>#NAME?</x:v>
      </x:c>
      <x:c r="AC30" s="10"/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8" t="str">
        <x:f t="shared" si="1"/>
      </x:c>
      <x:c r="M31" s="10"/>
      <x:c r="N31" s="10" t="str">
        <x:f t="shared" si="2"/>
      </x:c>
      <x:c r="O31" s="10"/>
      <x:c r="P31" s="10"/>
      <x:c r="Q31" s="10"/>
      <x:c r="R31" s="10"/>
      <x:c r="S31" s="11"/>
      <x:c r="T31" s="11"/>
      <x:c r="U31" s="10"/>
      <x:c r="V31" s="10"/>
      <x:c r="W31" s="10"/>
      <x:c r="X31" s="11"/>
      <x:c r="Y31" s="10"/>
      <x:c r="Z31" s="10"/>
      <x:c r="AA31" s="10"/>
      <x:c r="AB31" s="8" t="e">
        <x:f>IF(B31="","",IF(AND(H31="高",OR(J31="抵触",J31="不支持")),"高权力不支持；","")&amp;IF(L31&gt;0,"存在支持差距；","")&amp;IF(AND(T31&lt;&gt;"",T31&lt;项目驾驶舱!$B$3),"沟通逾期；","")&amp;IF(AND(V31&lt;&gt;"",X31&lt;项目驾驶舱!$B$3,Y31&lt;&gt;"已完成"),"行动逾期；","")&amp;IF(AND(Z31="是",AA31=""),"未填升级对象",""))</x:f>
        <x:v>#NAME?</x:v>
      </x:c>
      <x:c r="AC31" s="10"/>
    </x:row>
    <x:row r="32">
      <x:c r="A32" s="8" t="str">
        <x:f t="shared" si="0"/>
      </x:c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8" t="str">
        <x:f t="shared" si="1"/>
      </x:c>
      <x:c r="M32" s="10"/>
      <x:c r="N32" s="10" t="str">
        <x:f t="shared" si="2"/>
      </x:c>
      <x:c r="O32" s="10"/>
      <x:c r="P32" s="10"/>
      <x:c r="Q32" s="10"/>
      <x:c r="R32" s="10"/>
      <x:c r="S32" s="11"/>
      <x:c r="T32" s="11"/>
      <x:c r="U32" s="10"/>
      <x:c r="V32" s="10"/>
      <x:c r="W32" s="10"/>
      <x:c r="X32" s="11"/>
      <x:c r="Y32" s="10"/>
      <x:c r="Z32" s="10"/>
      <x:c r="AA32" s="10"/>
      <x:c r="AB32" s="8" t="e">
        <x:f>IF(B32="","",IF(AND(H32="高",OR(J32="抵触",J32="不支持")),"高权力不支持；","")&amp;IF(L32&gt;0,"存在支持差距；","")&amp;IF(AND(T32&lt;&gt;"",T32&lt;项目驾驶舱!$B$3),"沟通逾期；","")&amp;IF(AND(V32&lt;&gt;"",X32&lt;项目驾驶舱!$B$3,Y32&lt;&gt;"已完成"),"行动逾期；","")&amp;IF(AND(Z32="是",AA32=""),"未填升级对象",""))</x:f>
        <x:v>#NAME?</x:v>
      </x:c>
      <x:c r="AC32" s="10"/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8" t="str">
        <x:f t="shared" si="1"/>
      </x:c>
      <x:c r="M33" s="10"/>
      <x:c r="N33" s="10" t="str">
        <x:f t="shared" si="2"/>
      </x:c>
      <x:c r="O33" s="10"/>
      <x:c r="P33" s="10"/>
      <x:c r="Q33" s="10"/>
      <x:c r="R33" s="10"/>
      <x:c r="S33" s="11"/>
      <x:c r="T33" s="11"/>
      <x:c r="U33" s="10"/>
      <x:c r="V33" s="10"/>
      <x:c r="W33" s="10"/>
      <x:c r="X33" s="11"/>
      <x:c r="Y33" s="10"/>
      <x:c r="Z33" s="10"/>
      <x:c r="AA33" s="10"/>
      <x:c r="AB33" s="8" t="e">
        <x:f>IF(B33="","",IF(AND(H33="高",OR(J33="抵触",J33="不支持")),"高权力不支持；","")&amp;IF(L33&gt;0,"存在支持差距；","")&amp;IF(AND(T33&lt;&gt;"",T33&lt;项目驾驶舱!$B$3),"沟通逾期；","")&amp;IF(AND(V33&lt;&gt;"",X33&lt;项目驾驶舱!$B$3,Y33&lt;&gt;"已完成"),"行动逾期；","")&amp;IF(AND(Z33="是",AA33=""),"未填升级对象",""))</x:f>
        <x:v>#NAME?</x:v>
      </x:c>
      <x:c r="AC33" s="10"/>
    </x:row>
    <x:row r="34">
      <x:c r="A34" s="8" t="str">
        <x:f t="shared" si="0"/>
      </x:c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8" t="str">
        <x:f t="shared" si="1"/>
      </x:c>
      <x:c r="M34" s="10"/>
      <x:c r="N34" s="10" t="str">
        <x:f t="shared" si="2"/>
      </x:c>
      <x:c r="O34" s="10"/>
      <x:c r="P34" s="10"/>
      <x:c r="Q34" s="10"/>
      <x:c r="R34" s="10"/>
      <x:c r="S34" s="11"/>
      <x:c r="T34" s="11"/>
      <x:c r="U34" s="10"/>
      <x:c r="V34" s="10"/>
      <x:c r="W34" s="10"/>
      <x:c r="X34" s="11"/>
      <x:c r="Y34" s="10"/>
      <x:c r="Z34" s="10"/>
      <x:c r="AA34" s="10"/>
      <x:c r="AB34" s="8" t="e">
        <x:f>IF(B34="","",IF(AND(H34="高",OR(J34="抵触",J34="不支持")),"高权力不支持；","")&amp;IF(L34&gt;0,"存在支持差距；","")&amp;IF(AND(T34&lt;&gt;"",T34&lt;项目驾驶舱!$B$3),"沟通逾期；","")&amp;IF(AND(V34&lt;&gt;"",X34&lt;项目驾驶舱!$B$3,Y34&lt;&gt;"已完成"),"行动逾期；","")&amp;IF(AND(Z34="是",AA34=""),"未填升级对象",""))</x:f>
        <x:v>#NAME?</x:v>
      </x:c>
      <x:c r="AC34" s="10"/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8" t="str">
        <x:f t="shared" si="1"/>
      </x:c>
      <x:c r="M35" s="10"/>
      <x:c r="N35" s="10" t="str">
        <x:f t="shared" si="2"/>
      </x:c>
      <x:c r="O35" s="10"/>
      <x:c r="P35" s="10"/>
      <x:c r="Q35" s="10"/>
      <x:c r="R35" s="10"/>
      <x:c r="S35" s="11"/>
      <x:c r="T35" s="11"/>
      <x:c r="U35" s="10"/>
      <x:c r="V35" s="10"/>
      <x:c r="W35" s="10"/>
      <x:c r="X35" s="11"/>
      <x:c r="Y35" s="10"/>
      <x:c r="Z35" s="10"/>
      <x:c r="AA35" s="10"/>
      <x:c r="AB35" s="8" t="e">
        <x:f>IF(B35="","",IF(AND(H35="高",OR(J35="抵触",J35="不支持")),"高权力不支持；","")&amp;IF(L35&gt;0,"存在支持差距；","")&amp;IF(AND(T35&lt;&gt;"",T35&lt;项目驾驶舱!$B$3),"沟通逾期；","")&amp;IF(AND(V35&lt;&gt;"",X35&lt;项目驾驶舱!$B$3,Y35&lt;&gt;"已完成"),"行动逾期；","")&amp;IF(AND(Z35="是",AA35=""),"未填升级对象",""))</x:f>
        <x:v>#NAME?</x:v>
      </x:c>
      <x:c r="AC35" s="10"/>
    </x:row>
    <x:row r="36">
      <x:c r="A36" s="8" t="str">
        <x:f t="shared" si="0"/>
      </x:c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8" t="str">
        <x:f t="shared" si="1"/>
      </x:c>
      <x:c r="M36" s="10"/>
      <x:c r="N36" s="10" t="str">
        <x:f t="shared" si="2"/>
      </x:c>
      <x:c r="O36" s="10"/>
      <x:c r="P36" s="10"/>
      <x:c r="Q36" s="10"/>
      <x:c r="R36" s="10"/>
      <x:c r="S36" s="11"/>
      <x:c r="T36" s="11"/>
      <x:c r="U36" s="10"/>
      <x:c r="V36" s="10"/>
      <x:c r="W36" s="10"/>
      <x:c r="X36" s="11"/>
      <x:c r="Y36" s="10"/>
      <x:c r="Z36" s="10"/>
      <x:c r="AA36" s="10"/>
      <x:c r="AB36" s="8" t="e">
        <x:f>IF(B36="","",IF(AND(H36="高",OR(J36="抵触",J36="不支持")),"高权力不支持；","")&amp;IF(L36&gt;0,"存在支持差距；","")&amp;IF(AND(T36&lt;&gt;"",T36&lt;项目驾驶舱!$B$3),"沟通逾期；","")&amp;IF(AND(V36&lt;&gt;"",X36&lt;项目驾驶舱!$B$3,Y36&lt;&gt;"已完成"),"行动逾期；","")&amp;IF(AND(Z36="是",AA36=""),"未填升级对象",""))</x:f>
        <x:v>#NAME?</x:v>
      </x:c>
      <x:c r="AC36" s="10"/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8" t="str">
        <x:f t="shared" si="1"/>
      </x:c>
      <x:c r="M37" s="10"/>
      <x:c r="N37" s="10" t="str">
        <x:f t="shared" si="2"/>
      </x:c>
      <x:c r="O37" s="10"/>
      <x:c r="P37" s="10"/>
      <x:c r="Q37" s="10"/>
      <x:c r="R37" s="10"/>
      <x:c r="S37" s="11"/>
      <x:c r="T37" s="11"/>
      <x:c r="U37" s="10"/>
      <x:c r="V37" s="10"/>
      <x:c r="W37" s="10"/>
      <x:c r="X37" s="11"/>
      <x:c r="Y37" s="10"/>
      <x:c r="Z37" s="10"/>
      <x:c r="AA37" s="10"/>
      <x:c r="AB37" s="8" t="e">
        <x:f>IF(B37="","",IF(AND(H37="高",OR(J37="抵触",J37="不支持")),"高权力不支持；","")&amp;IF(L37&gt;0,"存在支持差距；","")&amp;IF(AND(T37&lt;&gt;"",T37&lt;项目驾驶舱!$B$3),"沟通逾期；","")&amp;IF(AND(V37&lt;&gt;"",X37&lt;项目驾驶舱!$B$3,Y37&lt;&gt;"已完成"),"行动逾期；","")&amp;IF(AND(Z37="是",AA37=""),"未填升级对象",""))</x:f>
        <x:v>#NAME?</x:v>
      </x:c>
      <x:c r="AC37" s="10"/>
    </x:row>
    <x:row r="38">
      <x:c r="A38" s="8" t="str">
        <x:f t="shared" si="0"/>
      </x:c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8" t="str">
        <x:f t="shared" si="1"/>
      </x:c>
      <x:c r="M38" s="10"/>
      <x:c r="N38" s="10" t="str">
        <x:f t="shared" si="2"/>
      </x:c>
      <x:c r="O38" s="10"/>
      <x:c r="P38" s="10"/>
      <x:c r="Q38" s="10"/>
      <x:c r="R38" s="10"/>
      <x:c r="S38" s="11"/>
      <x:c r="T38" s="11"/>
      <x:c r="U38" s="10"/>
      <x:c r="V38" s="10"/>
      <x:c r="W38" s="10"/>
      <x:c r="X38" s="11"/>
      <x:c r="Y38" s="10"/>
      <x:c r="Z38" s="10"/>
      <x:c r="AA38" s="10"/>
      <x:c r="AB38" s="8" t="e">
        <x:f>IF(B38="","",IF(AND(H38="高",OR(J38="抵触",J38="不支持")),"高权力不支持；","")&amp;IF(L38&gt;0,"存在支持差距；","")&amp;IF(AND(T38&lt;&gt;"",T38&lt;项目驾驶舱!$B$3),"沟通逾期；","")&amp;IF(AND(V38&lt;&gt;"",X38&lt;项目驾驶舱!$B$3,Y38&lt;&gt;"已完成"),"行动逾期；","")&amp;IF(AND(Z38="是",AA38=""),"未填升级对象",""))</x:f>
        <x:v>#NAME?</x:v>
      </x:c>
      <x:c r="AC38" s="10"/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8" t="str">
        <x:f t="shared" si="1"/>
      </x:c>
      <x:c r="M39" s="10"/>
      <x:c r="N39" s="10" t="str">
        <x:f t="shared" si="2"/>
      </x:c>
      <x:c r="O39" s="10"/>
      <x:c r="P39" s="10"/>
      <x:c r="Q39" s="10"/>
      <x:c r="R39" s="10"/>
      <x:c r="S39" s="11"/>
      <x:c r="T39" s="11"/>
      <x:c r="U39" s="10"/>
      <x:c r="V39" s="10"/>
      <x:c r="W39" s="10"/>
      <x:c r="X39" s="11"/>
      <x:c r="Y39" s="10"/>
      <x:c r="Z39" s="10"/>
      <x:c r="AA39" s="10"/>
      <x:c r="AB39" s="8" t="e">
        <x:f>IF(B39="","",IF(AND(H39="高",OR(J39="抵触",J39="不支持")),"高权力不支持；","")&amp;IF(L39&gt;0,"存在支持差距；","")&amp;IF(AND(T39&lt;&gt;"",T39&lt;项目驾驶舱!$B$3),"沟通逾期；","")&amp;IF(AND(V39&lt;&gt;"",X39&lt;项目驾驶舱!$B$3,Y39&lt;&gt;"已完成"),"行动逾期；","")&amp;IF(AND(Z39="是",AA39=""),"未填升级对象",""))</x:f>
        <x:v>#NAME?</x:v>
      </x:c>
      <x:c r="AC39" s="10"/>
    </x:row>
    <x:row r="40">
      <x:c r="A40" s="8" t="str">
        <x:f t="shared" si="0"/>
      </x:c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8" t="str">
        <x:f t="shared" si="1"/>
      </x:c>
      <x:c r="M40" s="10"/>
      <x:c r="N40" s="10" t="str">
        <x:f t="shared" si="2"/>
      </x:c>
      <x:c r="O40" s="10"/>
      <x:c r="P40" s="10"/>
      <x:c r="Q40" s="10"/>
      <x:c r="R40" s="10"/>
      <x:c r="S40" s="11"/>
      <x:c r="T40" s="11"/>
      <x:c r="U40" s="10"/>
      <x:c r="V40" s="10"/>
      <x:c r="W40" s="10"/>
      <x:c r="X40" s="11"/>
      <x:c r="Y40" s="10"/>
      <x:c r="Z40" s="10"/>
      <x:c r="AA40" s="10"/>
      <x:c r="AB40" s="8" t="e">
        <x:f>IF(B40="","",IF(AND(H40="高",OR(J40="抵触",J40="不支持")),"高权力不支持；","")&amp;IF(L40&gt;0,"存在支持差距；","")&amp;IF(AND(T40&lt;&gt;"",T40&lt;项目驾驶舱!$B$3),"沟通逾期；","")&amp;IF(AND(V40&lt;&gt;"",X40&lt;项目驾驶舱!$B$3,Y40&lt;&gt;"已完成"),"行动逾期；","")&amp;IF(AND(Z40="是",AA40=""),"未填升级对象",""))</x:f>
        <x:v>#NAME?</x:v>
      </x:c>
      <x:c r="AC40" s="10"/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8" t="str">
        <x:f t="shared" si="1"/>
      </x:c>
      <x:c r="M41" s="10"/>
      <x:c r="N41" s="10" t="str">
        <x:f t="shared" si="2"/>
      </x:c>
      <x:c r="O41" s="10"/>
      <x:c r="P41" s="10"/>
      <x:c r="Q41" s="10"/>
      <x:c r="R41" s="10"/>
      <x:c r="S41" s="11"/>
      <x:c r="T41" s="11"/>
      <x:c r="U41" s="10"/>
      <x:c r="V41" s="10"/>
      <x:c r="W41" s="10"/>
      <x:c r="X41" s="11"/>
      <x:c r="Y41" s="10"/>
      <x:c r="Z41" s="10"/>
      <x:c r="AA41" s="10"/>
      <x:c r="AB41" s="8" t="e">
        <x:f>IF(B41="","",IF(AND(H41="高",OR(J41="抵触",J41="不支持")),"高权力不支持；","")&amp;IF(L41&gt;0,"存在支持差距；","")&amp;IF(AND(T41&lt;&gt;"",T41&lt;项目驾驶舱!$B$3),"沟通逾期；","")&amp;IF(AND(V41&lt;&gt;"",X41&lt;项目驾驶舱!$B$3,Y41&lt;&gt;"已完成"),"行动逾期；","")&amp;IF(AND(Z41="是",AA41=""),"未填升级对象",""))</x:f>
        <x:v>#NAME?</x:v>
      </x:c>
      <x:c r="AC41" s="10"/>
    </x:row>
    <x:row r="42">
      <x:c r="A42" s="8" t="str">
        <x:f t="shared" si="0"/>
      </x:c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8" t="str">
        <x:f t="shared" si="1"/>
      </x:c>
      <x:c r="M42" s="10"/>
      <x:c r="N42" s="10" t="str">
        <x:f t="shared" si="2"/>
      </x:c>
      <x:c r="O42" s="10"/>
      <x:c r="P42" s="10"/>
      <x:c r="Q42" s="10"/>
      <x:c r="R42" s="10"/>
      <x:c r="S42" s="11"/>
      <x:c r="T42" s="11"/>
      <x:c r="U42" s="10"/>
      <x:c r="V42" s="10"/>
      <x:c r="W42" s="10"/>
      <x:c r="X42" s="11"/>
      <x:c r="Y42" s="10"/>
      <x:c r="Z42" s="10"/>
      <x:c r="AA42" s="10"/>
      <x:c r="AB42" s="8" t="e">
        <x:f>IF(B42="","",IF(AND(H42="高",OR(J42="抵触",J42="不支持")),"高权力不支持；","")&amp;IF(L42&gt;0,"存在支持差距；","")&amp;IF(AND(T42&lt;&gt;"",T42&lt;项目驾驶舱!$B$3),"沟通逾期；","")&amp;IF(AND(V42&lt;&gt;"",X42&lt;项目驾驶舱!$B$3,Y42&lt;&gt;"已完成"),"行动逾期；","")&amp;IF(AND(Z42="是",AA42=""),"未填升级对象",""))</x:f>
        <x:v>#NAME?</x:v>
      </x:c>
      <x:c r="AC42" s="10"/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8" t="str">
        <x:f t="shared" si="1"/>
      </x:c>
      <x:c r="M43" s="10"/>
      <x:c r="N43" s="10" t="str">
        <x:f t="shared" si="2"/>
      </x:c>
      <x:c r="O43" s="10"/>
      <x:c r="P43" s="10"/>
      <x:c r="Q43" s="10"/>
      <x:c r="R43" s="10"/>
      <x:c r="S43" s="11"/>
      <x:c r="T43" s="11"/>
      <x:c r="U43" s="10"/>
      <x:c r="V43" s="10"/>
      <x:c r="W43" s="10"/>
      <x:c r="X43" s="11"/>
      <x:c r="Y43" s="10"/>
      <x:c r="Z43" s="10"/>
      <x:c r="AA43" s="10"/>
      <x:c r="AB43" s="8" t="e">
        <x:f>IF(B43="","",IF(AND(H43="高",OR(J43="抵触",J43="不支持")),"高权力不支持；","")&amp;IF(L43&gt;0,"存在支持差距；","")&amp;IF(AND(T43&lt;&gt;"",T43&lt;项目驾驶舱!$B$3),"沟通逾期；","")&amp;IF(AND(V43&lt;&gt;"",X43&lt;项目驾驶舱!$B$3,Y43&lt;&gt;"已完成"),"行动逾期；","")&amp;IF(AND(Z43="是",AA43=""),"未填升级对象",""))</x:f>
        <x:v>#NAME?</x:v>
      </x:c>
      <x:c r="AC43" s="10"/>
    </x:row>
    <x:row r="44">
      <x:c r="A44" s="8" t="str">
        <x:f t="shared" si="0"/>
      </x:c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8" t="str">
        <x:f t="shared" si="1"/>
      </x:c>
      <x:c r="M44" s="10"/>
      <x:c r="N44" s="10" t="str">
        <x:f t="shared" si="2"/>
      </x:c>
      <x:c r="O44" s="10"/>
      <x:c r="P44" s="10"/>
      <x:c r="Q44" s="10"/>
      <x:c r="R44" s="10"/>
      <x:c r="S44" s="11"/>
      <x:c r="T44" s="11"/>
      <x:c r="U44" s="10"/>
      <x:c r="V44" s="10"/>
      <x:c r="W44" s="10"/>
      <x:c r="X44" s="11"/>
      <x:c r="Y44" s="10"/>
      <x:c r="Z44" s="10"/>
      <x:c r="AA44" s="10"/>
      <x:c r="AB44" s="8" t="e">
        <x:f>IF(B44="","",IF(AND(H44="高",OR(J44="抵触",J44="不支持")),"高权力不支持；","")&amp;IF(L44&gt;0,"存在支持差距；","")&amp;IF(AND(T44&lt;&gt;"",T44&lt;项目驾驶舱!$B$3),"沟通逾期；","")&amp;IF(AND(V44&lt;&gt;"",X44&lt;项目驾驶舱!$B$3,Y44&lt;&gt;"已完成"),"行动逾期；","")&amp;IF(AND(Z44="是",AA44=""),"未填升级对象",""))</x:f>
        <x:v>#NAME?</x:v>
      </x:c>
      <x:c r="AC44" s="10"/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8" t="str">
        <x:f t="shared" si="1"/>
      </x:c>
      <x:c r="M45" s="10"/>
      <x:c r="N45" s="10" t="str">
        <x:f t="shared" si="2"/>
      </x:c>
      <x:c r="O45" s="10"/>
      <x:c r="P45" s="10"/>
      <x:c r="Q45" s="10"/>
      <x:c r="R45" s="10"/>
      <x:c r="S45" s="11"/>
      <x:c r="T45" s="11"/>
      <x:c r="U45" s="10"/>
      <x:c r="V45" s="10"/>
      <x:c r="W45" s="10"/>
      <x:c r="X45" s="11"/>
      <x:c r="Y45" s="10"/>
      <x:c r="Z45" s="10"/>
      <x:c r="AA45" s="10"/>
      <x:c r="AB45" s="8" t="e">
        <x:f>IF(B45="","",IF(AND(H45="高",OR(J45="抵触",J45="不支持")),"高权力不支持；","")&amp;IF(L45&gt;0,"存在支持差距；","")&amp;IF(AND(T45&lt;&gt;"",T45&lt;项目驾驶舱!$B$3),"沟通逾期；","")&amp;IF(AND(V45&lt;&gt;"",X45&lt;项目驾驶舱!$B$3,Y45&lt;&gt;"已完成"),"行动逾期；","")&amp;IF(AND(Z45="是",AA45=""),"未填升级对象",""))</x:f>
        <x:v>#NAME?</x:v>
      </x:c>
      <x:c r="AC45" s="10"/>
    </x:row>
    <x:row r="46">
      <x:c r="A46" s="8" t="str">
        <x:f t="shared" si="0"/>
      </x:c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8" t="str">
        <x:f t="shared" si="1"/>
      </x:c>
      <x:c r="M46" s="10"/>
      <x:c r="N46" s="10" t="str">
        <x:f t="shared" si="2"/>
      </x:c>
      <x:c r="O46" s="10"/>
      <x:c r="P46" s="10"/>
      <x:c r="Q46" s="10"/>
      <x:c r="R46" s="10"/>
      <x:c r="S46" s="11"/>
      <x:c r="T46" s="11"/>
      <x:c r="U46" s="10"/>
      <x:c r="V46" s="10"/>
      <x:c r="W46" s="10"/>
      <x:c r="X46" s="11"/>
      <x:c r="Y46" s="10"/>
      <x:c r="Z46" s="10"/>
      <x:c r="AA46" s="10"/>
      <x:c r="AB46" s="8" t="e">
        <x:f>IF(B46="","",IF(AND(H46="高",OR(J46="抵触",J46="不支持")),"高权力不支持；","")&amp;IF(L46&gt;0,"存在支持差距；","")&amp;IF(AND(T46&lt;&gt;"",T46&lt;项目驾驶舱!$B$3),"沟通逾期；","")&amp;IF(AND(V46&lt;&gt;"",X46&lt;项目驾驶舱!$B$3,Y46&lt;&gt;"已完成"),"行动逾期；","")&amp;IF(AND(Z46="是",AA46=""),"未填升级对象",""))</x:f>
        <x:v>#NAME?</x:v>
      </x:c>
      <x:c r="AC46" s="10"/>
    </x:row>
    <x:row r="47">
      <x:c r="A47" s="8" t="str">
        <x:f t="shared" si="0"/>
      </x:c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8" t="str">
        <x:f t="shared" si="1"/>
      </x:c>
      <x:c r="M47" s="10"/>
      <x:c r="N47" s="10" t="str">
        <x:f t="shared" si="2"/>
      </x:c>
      <x:c r="O47" s="10"/>
      <x:c r="P47" s="10"/>
      <x:c r="Q47" s="10"/>
      <x:c r="R47" s="10"/>
      <x:c r="S47" s="11"/>
      <x:c r="T47" s="11"/>
      <x:c r="U47" s="10"/>
      <x:c r="V47" s="10"/>
      <x:c r="W47" s="10"/>
      <x:c r="X47" s="11"/>
      <x:c r="Y47" s="10"/>
      <x:c r="Z47" s="10"/>
      <x:c r="AA47" s="10"/>
      <x:c r="AB47" s="8" t="e">
        <x:f>IF(B47="","",IF(AND(H47="高",OR(J47="抵触",J47="不支持")),"高权力不支持；","")&amp;IF(L47&gt;0,"存在支持差距；","")&amp;IF(AND(T47&lt;&gt;"",T47&lt;项目驾驶舱!$B$3),"沟通逾期；","")&amp;IF(AND(V47&lt;&gt;"",X47&lt;项目驾驶舱!$B$3,Y47&lt;&gt;"已完成"),"行动逾期；","")&amp;IF(AND(Z47="是",AA47=""),"未填升级对象",""))</x:f>
        <x:v>#NAME?</x:v>
      </x:c>
      <x:c r="AC47" s="10"/>
    </x:row>
    <x:row r="48">
      <x:c r="A48" s="8" t="str">
        <x:f t="shared" si="0"/>
      </x:c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8" t="str">
        <x:f t="shared" si="1"/>
      </x:c>
      <x:c r="M48" s="10"/>
      <x:c r="N48" s="10" t="str">
        <x:f t="shared" si="2"/>
      </x:c>
      <x:c r="O48" s="10"/>
      <x:c r="P48" s="10"/>
      <x:c r="Q48" s="10"/>
      <x:c r="R48" s="10"/>
      <x:c r="S48" s="11"/>
      <x:c r="T48" s="11"/>
      <x:c r="U48" s="10"/>
      <x:c r="V48" s="10"/>
      <x:c r="W48" s="10"/>
      <x:c r="X48" s="11"/>
      <x:c r="Y48" s="10"/>
      <x:c r="Z48" s="10"/>
      <x:c r="AA48" s="10"/>
      <x:c r="AB48" s="8" t="e">
        <x:f>IF(B48="","",IF(AND(H48="高",OR(J48="抵触",J48="不支持")),"高权力不支持；","")&amp;IF(L48&gt;0,"存在支持差距；","")&amp;IF(AND(T48&lt;&gt;"",T48&lt;项目驾驶舱!$B$3),"沟通逾期；","")&amp;IF(AND(V48&lt;&gt;"",X48&lt;项目驾驶舱!$B$3,Y48&lt;&gt;"已完成"),"行动逾期；","")&amp;IF(AND(Z48="是",AA48=""),"未填升级对象",""))</x:f>
        <x:v>#NAME?</x:v>
      </x:c>
      <x:c r="AC48" s="10"/>
    </x:row>
    <x:row r="49">
      <x:c r="A49" s="8" t="str">
        <x:f t="shared" si="0"/>
      </x:c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8" t="str">
        <x:f t="shared" si="1"/>
      </x:c>
      <x:c r="M49" s="10"/>
      <x:c r="N49" s="10" t="str">
        <x:f t="shared" si="2"/>
      </x:c>
      <x:c r="O49" s="10"/>
      <x:c r="P49" s="10"/>
      <x:c r="Q49" s="10"/>
      <x:c r="R49" s="10"/>
      <x:c r="S49" s="11"/>
      <x:c r="T49" s="11"/>
      <x:c r="U49" s="10"/>
      <x:c r="V49" s="10"/>
      <x:c r="W49" s="10"/>
      <x:c r="X49" s="11"/>
      <x:c r="Y49" s="10"/>
      <x:c r="Z49" s="10"/>
      <x:c r="AA49" s="10"/>
      <x:c r="AB49" s="8" t="e">
        <x:f>IF(B49="","",IF(AND(H49="高",OR(J49="抵触",J49="不支持")),"高权力不支持；","")&amp;IF(L49&gt;0,"存在支持差距；","")&amp;IF(AND(T49&lt;&gt;"",T49&lt;项目驾驶舱!$B$3),"沟通逾期；","")&amp;IF(AND(V49&lt;&gt;"",X49&lt;项目驾驶舱!$B$3,Y49&lt;&gt;"已完成"),"行动逾期；","")&amp;IF(AND(Z49="是",AA49=""),"未填升级对象",""))</x:f>
        <x:v>#NAME?</x:v>
      </x:c>
      <x:c r="AC49" s="10"/>
    </x:row>
    <x:row r="50">
      <x:c r="A50" s="8" t="str">
        <x:f t="shared" si="0"/>
      </x:c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8" t="str">
        <x:f t="shared" si="1"/>
      </x:c>
      <x:c r="M50" s="10"/>
      <x:c r="N50" s="10" t="str">
        <x:f t="shared" si="2"/>
      </x:c>
      <x:c r="O50" s="10"/>
      <x:c r="P50" s="10"/>
      <x:c r="Q50" s="10"/>
      <x:c r="R50" s="10"/>
      <x:c r="S50" s="11"/>
      <x:c r="T50" s="11"/>
      <x:c r="U50" s="10"/>
      <x:c r="V50" s="10"/>
      <x:c r="W50" s="10"/>
      <x:c r="X50" s="11"/>
      <x:c r="Y50" s="10"/>
      <x:c r="Z50" s="10"/>
      <x:c r="AA50" s="10"/>
      <x:c r="AB50" s="8" t="e">
        <x:f>IF(B50="","",IF(AND(H50="高",OR(J50="抵触",J50="不支持")),"高权力不支持；","")&amp;IF(L50&gt;0,"存在支持差距；","")&amp;IF(AND(T50&lt;&gt;"",T50&lt;项目驾驶舱!$B$3),"沟通逾期；","")&amp;IF(AND(V50&lt;&gt;"",X50&lt;项目驾驶舱!$B$3,Y50&lt;&gt;"已完成"),"行动逾期；","")&amp;IF(AND(Z50="是",AA50=""),"未填升级对象",""))</x:f>
        <x:v>#NAME?</x:v>
      </x:c>
      <x:c r="AC50" s="10"/>
    </x:row>
    <x:row r="51">
      <x:c r="A51" s="8" t="str">
        <x:f t="shared" si="0"/>
      </x:c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8" t="str">
        <x:f t="shared" si="1"/>
      </x:c>
      <x:c r="M51" s="10"/>
      <x:c r="N51" s="10" t="str">
        <x:f t="shared" si="2"/>
      </x:c>
      <x:c r="O51" s="10"/>
      <x:c r="P51" s="10"/>
      <x:c r="Q51" s="10"/>
      <x:c r="R51" s="10"/>
      <x:c r="S51" s="11"/>
      <x:c r="T51" s="11"/>
      <x:c r="U51" s="10"/>
      <x:c r="V51" s="10"/>
      <x:c r="W51" s="10"/>
      <x:c r="X51" s="11"/>
      <x:c r="Y51" s="10"/>
      <x:c r="Z51" s="10"/>
      <x:c r="AA51" s="10"/>
      <x:c r="AB51" s="8" t="e">
        <x:f>IF(B51="","",IF(AND(H51="高",OR(J51="抵触",J51="不支持")),"高权力不支持；","")&amp;IF(L51&gt;0,"存在支持差距；","")&amp;IF(AND(T51&lt;&gt;"",T51&lt;项目驾驶舱!$B$3),"沟通逾期；","")&amp;IF(AND(V51&lt;&gt;"",X51&lt;项目驾驶舱!$B$3,Y51&lt;&gt;"已完成"),"行动逾期；","")&amp;IF(AND(Z51="是",AA51=""),"未填升级对象",""))</x:f>
        <x:v>#NAME?</x:v>
      </x:c>
      <x:c r="AC51" s="10"/>
    </x:row>
    <x:row r="52">
      <x:c r="A52" s="8" t="str">
        <x:f t="shared" si="0"/>
      </x:c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8" t="str">
        <x:f t="shared" si="1"/>
      </x:c>
      <x:c r="M52" s="10"/>
      <x:c r="N52" s="10" t="str">
        <x:f t="shared" si="2"/>
      </x:c>
      <x:c r="O52" s="10"/>
      <x:c r="P52" s="10"/>
      <x:c r="Q52" s="10"/>
      <x:c r="R52" s="10"/>
      <x:c r="S52" s="11"/>
      <x:c r="T52" s="11"/>
      <x:c r="U52" s="10"/>
      <x:c r="V52" s="10"/>
      <x:c r="W52" s="10"/>
      <x:c r="X52" s="11"/>
      <x:c r="Y52" s="10"/>
      <x:c r="Z52" s="10"/>
      <x:c r="AA52" s="10"/>
      <x:c r="AB52" s="8" t="e">
        <x:f>IF(B52="","",IF(AND(H52="高",OR(J52="抵触",J52="不支持")),"高权力不支持；","")&amp;IF(L52&gt;0,"存在支持差距；","")&amp;IF(AND(T52&lt;&gt;"",T52&lt;项目驾驶舱!$B$3),"沟通逾期；","")&amp;IF(AND(V52&lt;&gt;"",X52&lt;项目驾驶舱!$B$3,Y52&lt;&gt;"已完成"),"行动逾期；","")&amp;IF(AND(Z52="是",AA52=""),"未填升级对象",""))</x:f>
        <x:v>#NAME?</x:v>
      </x:c>
      <x:c r="AC52" s="10"/>
    </x:row>
    <x:row r="53">
      <x:c r="A53" s="8" t="str">
        <x:f t="shared" si="0"/>
      </x:c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8" t="str">
        <x:f t="shared" si="1"/>
      </x:c>
      <x:c r="M53" s="10"/>
      <x:c r="N53" s="10" t="str">
        <x:f t="shared" si="2"/>
      </x:c>
      <x:c r="O53" s="10"/>
      <x:c r="P53" s="10"/>
      <x:c r="Q53" s="10"/>
      <x:c r="R53" s="10"/>
      <x:c r="S53" s="11"/>
      <x:c r="T53" s="11"/>
      <x:c r="U53" s="10"/>
      <x:c r="V53" s="10"/>
      <x:c r="W53" s="10"/>
      <x:c r="X53" s="11"/>
      <x:c r="Y53" s="10"/>
      <x:c r="Z53" s="10"/>
      <x:c r="AA53" s="10"/>
      <x:c r="AB53" s="8" t="e">
        <x:f>IF(B53="","",IF(AND(H53="高",OR(J53="抵触",J53="不支持")),"高权力不支持；","")&amp;IF(L53&gt;0,"存在支持差距；","")&amp;IF(AND(T53&lt;&gt;"",T53&lt;项目驾驶舱!$B$3),"沟通逾期；","")&amp;IF(AND(V53&lt;&gt;"",X53&lt;项目驾驶舱!$B$3,Y53&lt;&gt;"已完成"),"行动逾期；","")&amp;IF(AND(Z53="是",AA53=""),"未填升级对象",""))</x:f>
        <x:v>#NAME?</x:v>
      </x:c>
      <x:c r="AC53" s="10"/>
    </x:row>
    <x:row r="54">
      <x:c r="A54" s="8" t="str">
        <x:f t="shared" si="0"/>
      </x:c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8" t="str">
        <x:f t="shared" si="1"/>
      </x:c>
      <x:c r="M54" s="10"/>
      <x:c r="N54" s="10" t="str">
        <x:f t="shared" si="2"/>
      </x:c>
      <x:c r="O54" s="10"/>
      <x:c r="P54" s="10"/>
      <x:c r="Q54" s="10"/>
      <x:c r="R54" s="10"/>
      <x:c r="S54" s="11"/>
      <x:c r="T54" s="11"/>
      <x:c r="U54" s="10"/>
      <x:c r="V54" s="10"/>
      <x:c r="W54" s="10"/>
      <x:c r="X54" s="11"/>
      <x:c r="Y54" s="10"/>
      <x:c r="Z54" s="10"/>
      <x:c r="AA54" s="10"/>
      <x:c r="AB54" s="8" t="e">
        <x:f>IF(B54="","",IF(AND(H54="高",OR(J54="抵触",J54="不支持")),"高权力不支持；","")&amp;IF(L54&gt;0,"存在支持差距；","")&amp;IF(AND(T54&lt;&gt;"",T54&lt;项目驾驶舱!$B$3),"沟通逾期；","")&amp;IF(AND(V54&lt;&gt;"",X54&lt;项目驾驶舱!$B$3,Y54&lt;&gt;"已完成"),"行动逾期；","")&amp;IF(AND(Z54="是",AA54=""),"未填升级对象",""))</x:f>
        <x:v>#NAME?</x:v>
      </x:c>
      <x:c r="AC54" s="10"/>
    </x:row>
    <x:row r="55">
      <x:c r="A55" s="8" t="str">
        <x:f t="shared" si="0"/>
      </x:c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8" t="str">
        <x:f t="shared" si="1"/>
      </x:c>
      <x:c r="M55" s="10"/>
      <x:c r="N55" s="10" t="str">
        <x:f t="shared" si="2"/>
      </x:c>
      <x:c r="O55" s="10"/>
      <x:c r="P55" s="10"/>
      <x:c r="Q55" s="10"/>
      <x:c r="R55" s="10"/>
      <x:c r="S55" s="11"/>
      <x:c r="T55" s="11"/>
      <x:c r="U55" s="10"/>
      <x:c r="V55" s="10"/>
      <x:c r="W55" s="10"/>
      <x:c r="X55" s="11"/>
      <x:c r="Y55" s="10"/>
      <x:c r="Z55" s="10"/>
      <x:c r="AA55" s="10"/>
      <x:c r="AB55" s="8" t="e">
        <x:f>IF(B55="","",IF(AND(H55="高",OR(J55="抵触",J55="不支持")),"高权力不支持；","")&amp;IF(L55&gt;0,"存在支持差距；","")&amp;IF(AND(T55&lt;&gt;"",T55&lt;项目驾驶舱!$B$3),"沟通逾期；","")&amp;IF(AND(V55&lt;&gt;"",X55&lt;项目驾驶舱!$B$3,Y55&lt;&gt;"已完成"),"行动逾期；","")&amp;IF(AND(Z55="是",AA55=""),"未填升级对象",""))</x:f>
        <x:v>#NAME?</x:v>
      </x:c>
      <x:c r="AC55" s="10"/>
    </x:row>
    <x:row r="56">
      <x:c r="A56" s="8" t="str">
        <x:f t="shared" si="0"/>
      </x:c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8" t="str">
        <x:f t="shared" si="1"/>
      </x:c>
      <x:c r="M56" s="10"/>
      <x:c r="N56" s="10" t="str">
        <x:f t="shared" si="2"/>
      </x:c>
      <x:c r="O56" s="10"/>
      <x:c r="P56" s="10"/>
      <x:c r="Q56" s="10"/>
      <x:c r="R56" s="10"/>
      <x:c r="S56" s="11"/>
      <x:c r="T56" s="11"/>
      <x:c r="U56" s="10"/>
      <x:c r="V56" s="10"/>
      <x:c r="W56" s="10"/>
      <x:c r="X56" s="11"/>
      <x:c r="Y56" s="10"/>
      <x:c r="Z56" s="10"/>
      <x:c r="AA56" s="10"/>
      <x:c r="AB56" s="8" t="e">
        <x:f>IF(B56="","",IF(AND(H56="高",OR(J56="抵触",J56="不支持")),"高权力不支持；","")&amp;IF(L56&gt;0,"存在支持差距；","")&amp;IF(AND(T56&lt;&gt;"",T56&lt;项目驾驶舱!$B$3),"沟通逾期；","")&amp;IF(AND(V56&lt;&gt;"",X56&lt;项目驾驶舱!$B$3,Y56&lt;&gt;"已完成"),"行动逾期；","")&amp;IF(AND(Z56="是",AA56=""),"未填升级对象",""))</x:f>
        <x:v>#NAME?</x:v>
      </x:c>
      <x:c r="AC56" s="10"/>
    </x:row>
    <x:row r="57">
      <x:c r="A57" s="8" t="str">
        <x:f t="shared" si="0"/>
      </x:c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8" t="str">
        <x:f t="shared" si="1"/>
      </x:c>
      <x:c r="M57" s="10"/>
      <x:c r="N57" s="10" t="str">
        <x:f t="shared" si="2"/>
      </x:c>
      <x:c r="O57" s="10"/>
      <x:c r="P57" s="10"/>
      <x:c r="Q57" s="10"/>
      <x:c r="R57" s="10"/>
      <x:c r="S57" s="11"/>
      <x:c r="T57" s="11"/>
      <x:c r="U57" s="10"/>
      <x:c r="V57" s="10"/>
      <x:c r="W57" s="10"/>
      <x:c r="X57" s="11"/>
      <x:c r="Y57" s="10"/>
      <x:c r="Z57" s="10"/>
      <x:c r="AA57" s="10"/>
      <x:c r="AB57" s="8" t="e">
        <x:f>IF(B57="","",IF(AND(H57="高",OR(J57="抵触",J57="不支持")),"高权力不支持；","")&amp;IF(L57&gt;0,"存在支持差距；","")&amp;IF(AND(T57&lt;&gt;"",T57&lt;项目驾驶舱!$B$3),"沟通逾期；","")&amp;IF(AND(V57&lt;&gt;"",X57&lt;项目驾驶舱!$B$3,Y57&lt;&gt;"已完成"),"行动逾期；","")&amp;IF(AND(Z57="是",AA57=""),"未填升级对象",""))</x:f>
        <x:v>#NAME?</x:v>
      </x:c>
      <x:c r="AC57" s="10"/>
    </x:row>
    <x:row r="58">
      <x:c r="A58" s="8" t="str">
        <x:f t="shared" si="0"/>
      </x:c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8" t="str">
        <x:f t="shared" si="1"/>
      </x:c>
      <x:c r="M58" s="10"/>
      <x:c r="N58" s="10" t="str">
        <x:f t="shared" si="2"/>
      </x:c>
      <x:c r="O58" s="10"/>
      <x:c r="P58" s="10"/>
      <x:c r="Q58" s="10"/>
      <x:c r="R58" s="10"/>
      <x:c r="S58" s="11"/>
      <x:c r="T58" s="11"/>
      <x:c r="U58" s="10"/>
      <x:c r="V58" s="10"/>
      <x:c r="W58" s="10"/>
      <x:c r="X58" s="11"/>
      <x:c r="Y58" s="10"/>
      <x:c r="Z58" s="10"/>
      <x:c r="AA58" s="10"/>
      <x:c r="AB58" s="8" t="e">
        <x:f>IF(B58="","",IF(AND(H58="高",OR(J58="抵触",J58="不支持")),"高权力不支持；","")&amp;IF(L58&gt;0,"存在支持差距；","")&amp;IF(AND(T58&lt;&gt;"",T58&lt;项目驾驶舱!$B$3),"沟通逾期；","")&amp;IF(AND(V58&lt;&gt;"",X58&lt;项目驾驶舱!$B$3,Y58&lt;&gt;"已完成"),"行动逾期；","")&amp;IF(AND(Z58="是",AA58=""),"未填升级对象",""))</x:f>
        <x:v>#NAME?</x:v>
      </x:c>
      <x:c r="AC58" s="10"/>
    </x:row>
    <x:row r="59">
      <x:c r="A59" s="8" t="str">
        <x:f t="shared" si="0"/>
      </x:c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8" t="str">
        <x:f t="shared" si="1"/>
      </x:c>
      <x:c r="M59" s="10"/>
      <x:c r="N59" s="10" t="str">
        <x:f t="shared" si="2"/>
      </x:c>
      <x:c r="O59" s="10"/>
      <x:c r="P59" s="10"/>
      <x:c r="Q59" s="10"/>
      <x:c r="R59" s="10"/>
      <x:c r="S59" s="11"/>
      <x:c r="T59" s="11"/>
      <x:c r="U59" s="10"/>
      <x:c r="V59" s="10"/>
      <x:c r="W59" s="10"/>
      <x:c r="X59" s="11"/>
      <x:c r="Y59" s="10"/>
      <x:c r="Z59" s="10"/>
      <x:c r="AA59" s="10"/>
      <x:c r="AB59" s="8" t="e">
        <x:f>IF(B59="","",IF(AND(H59="高",OR(J59="抵触",J59="不支持")),"高权力不支持；","")&amp;IF(L59&gt;0,"存在支持差距；","")&amp;IF(AND(T59&lt;&gt;"",T59&lt;项目驾驶舱!$B$3),"沟通逾期；","")&amp;IF(AND(V59&lt;&gt;"",X59&lt;项目驾驶舱!$B$3,Y59&lt;&gt;"已完成"),"行动逾期；","")&amp;IF(AND(Z59="是",AA59=""),"未填升级对象",""))</x:f>
        <x:v>#NAME?</x:v>
      </x:c>
      <x:c r="AC59" s="10"/>
    </x:row>
    <x:row r="60">
      <x:c r="A60" s="8" t="str">
        <x:f t="shared" si="0"/>
      </x:c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8" t="str">
        <x:f t="shared" si="1"/>
      </x:c>
      <x:c r="M60" s="10"/>
      <x:c r="N60" s="10" t="str">
        <x:f t="shared" si="2"/>
      </x:c>
      <x:c r="O60" s="10"/>
      <x:c r="P60" s="10"/>
      <x:c r="Q60" s="10"/>
      <x:c r="R60" s="10"/>
      <x:c r="S60" s="11"/>
      <x:c r="T60" s="11"/>
      <x:c r="U60" s="10"/>
      <x:c r="V60" s="10"/>
      <x:c r="W60" s="10"/>
      <x:c r="X60" s="11"/>
      <x:c r="Y60" s="10"/>
      <x:c r="Z60" s="10"/>
      <x:c r="AA60" s="10"/>
      <x:c r="AB60" s="8" t="e">
        <x:f>IF(B60="","",IF(AND(H60="高",OR(J60="抵触",J60="不支持")),"高权力不支持；","")&amp;IF(L60&gt;0,"存在支持差距；","")&amp;IF(AND(T60&lt;&gt;"",T60&lt;项目驾驶舱!$B$3),"沟通逾期；","")&amp;IF(AND(V60&lt;&gt;"",X60&lt;项目驾驶舱!$B$3,Y60&lt;&gt;"已完成"),"行动逾期；","")&amp;IF(AND(Z60="是",AA60=""),"未填升级对象",""))</x:f>
        <x:v>#NAME?</x:v>
      </x:c>
      <x:c r="AC60" s="10"/>
    </x:row>
    <x:row r="61">
      <x:c r="A61" s="8" t="str">
        <x:f t="shared" si="0"/>
      </x:c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8" t="str">
        <x:f t="shared" si="1"/>
      </x:c>
      <x:c r="M61" s="10"/>
      <x:c r="N61" s="10" t="str">
        <x:f t="shared" si="2"/>
      </x:c>
      <x:c r="O61" s="10"/>
      <x:c r="P61" s="10"/>
      <x:c r="Q61" s="10"/>
      <x:c r="R61" s="10"/>
      <x:c r="S61" s="11"/>
      <x:c r="T61" s="11"/>
      <x:c r="U61" s="10"/>
      <x:c r="V61" s="10"/>
      <x:c r="W61" s="10"/>
      <x:c r="X61" s="11"/>
      <x:c r="Y61" s="10"/>
      <x:c r="Z61" s="10"/>
      <x:c r="AA61" s="10"/>
      <x:c r="AB61" s="8" t="e">
        <x:f>IF(B61="","",IF(AND(H61="高",OR(J61="抵触",J61="不支持")),"高权力不支持；","")&amp;IF(L61&gt;0,"存在支持差距；","")&amp;IF(AND(T61&lt;&gt;"",T61&lt;项目驾驶舱!$B$3),"沟通逾期；","")&amp;IF(AND(V61&lt;&gt;"",X61&lt;项目驾驶舱!$B$3,Y61&lt;&gt;"已完成"),"行动逾期；","")&amp;IF(AND(Z61="是",AA61=""),"未填升级对象",""))</x:f>
        <x:v>#NAME?</x:v>
      </x:c>
      <x:c r="AC61" s="10"/>
    </x:row>
    <x:row r="62">
      <x:c r="A62" s="8" t="str">
        <x:f t="shared" si="0"/>
      </x:c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8" t="str">
        <x:f t="shared" si="1"/>
      </x:c>
      <x:c r="M62" s="10"/>
      <x:c r="N62" s="10" t="str">
        <x:f t="shared" si="2"/>
      </x:c>
      <x:c r="O62" s="10"/>
      <x:c r="P62" s="10"/>
      <x:c r="Q62" s="10"/>
      <x:c r="R62" s="10"/>
      <x:c r="S62" s="11"/>
      <x:c r="T62" s="11"/>
      <x:c r="U62" s="10"/>
      <x:c r="V62" s="10"/>
      <x:c r="W62" s="10"/>
      <x:c r="X62" s="11"/>
      <x:c r="Y62" s="10"/>
      <x:c r="Z62" s="10"/>
      <x:c r="AA62" s="10"/>
      <x:c r="AB62" s="8" t="e">
        <x:f>IF(B62="","",IF(AND(H62="高",OR(J62="抵触",J62="不支持")),"高权力不支持；","")&amp;IF(L62&gt;0,"存在支持差距；","")&amp;IF(AND(T62&lt;&gt;"",T62&lt;项目驾驶舱!$B$3),"沟通逾期；","")&amp;IF(AND(V62&lt;&gt;"",X62&lt;项目驾驶舱!$B$3,Y62&lt;&gt;"已完成"),"行动逾期；","")&amp;IF(AND(Z62="是",AA62=""),"未填升级对象",""))</x:f>
        <x:v>#NAME?</x:v>
      </x:c>
      <x:c r="AC62" s="10"/>
    </x:row>
    <x:row r="63">
      <x:c r="A63" s="8" t="str">
        <x:f t="shared" si="0"/>
      </x:c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8" t="str">
        <x:f t="shared" si="1"/>
      </x:c>
      <x:c r="M63" s="10"/>
      <x:c r="N63" s="10" t="str">
        <x:f t="shared" si="2"/>
      </x:c>
      <x:c r="O63" s="10"/>
      <x:c r="P63" s="10"/>
      <x:c r="Q63" s="10"/>
      <x:c r="R63" s="10"/>
      <x:c r="S63" s="11"/>
      <x:c r="T63" s="11"/>
      <x:c r="U63" s="10"/>
      <x:c r="V63" s="10"/>
      <x:c r="W63" s="10"/>
      <x:c r="X63" s="11"/>
      <x:c r="Y63" s="10"/>
      <x:c r="Z63" s="10"/>
      <x:c r="AA63" s="10"/>
      <x:c r="AB63" s="8" t="e">
        <x:f>IF(B63="","",IF(AND(H63="高",OR(J63="抵触",J63="不支持")),"高权力不支持；","")&amp;IF(L63&gt;0,"存在支持差距；","")&amp;IF(AND(T63&lt;&gt;"",T63&lt;项目驾驶舱!$B$3),"沟通逾期；","")&amp;IF(AND(V63&lt;&gt;"",X63&lt;项目驾驶舱!$B$3,Y63&lt;&gt;"已完成"),"行动逾期；","")&amp;IF(AND(Z63="是",AA63=""),"未填升级对象",""))</x:f>
        <x:v>#NAME?</x:v>
      </x:c>
      <x:c r="AC63" s="10"/>
    </x:row>
    <x:row r="64">
      <x:c r="A64" s="8" t="str">
        <x:f t="shared" si="0"/>
      </x:c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8" t="str">
        <x:f t="shared" si="1"/>
      </x:c>
      <x:c r="M64" s="10"/>
      <x:c r="N64" s="10" t="str">
        <x:f t="shared" si="2"/>
      </x:c>
      <x:c r="O64" s="10"/>
      <x:c r="P64" s="10"/>
      <x:c r="Q64" s="10"/>
      <x:c r="R64" s="10"/>
      <x:c r="S64" s="11"/>
      <x:c r="T64" s="11"/>
      <x:c r="U64" s="10"/>
      <x:c r="V64" s="10"/>
      <x:c r="W64" s="10"/>
      <x:c r="X64" s="11"/>
      <x:c r="Y64" s="10"/>
      <x:c r="Z64" s="10"/>
      <x:c r="AA64" s="10"/>
      <x:c r="AB64" s="8" t="e">
        <x:f>IF(B64="","",IF(AND(H64="高",OR(J64="抵触",J64="不支持")),"高权力不支持；","")&amp;IF(L64&gt;0,"存在支持差距；","")&amp;IF(AND(T64&lt;&gt;"",T64&lt;项目驾驶舱!$B$3),"沟通逾期；","")&amp;IF(AND(V64&lt;&gt;"",X64&lt;项目驾驶舱!$B$3,Y64&lt;&gt;"已完成"),"行动逾期；","")&amp;IF(AND(Z64="是",AA64=""),"未填升级对象",""))</x:f>
        <x:v>#NAME?</x:v>
      </x:c>
      <x:c r="AC64" s="10"/>
    </x:row>
    <x:row r="65">
      <x:c r="A65" s="8" t="str">
        <x:f t="shared" si="0"/>
      </x:c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8" t="str">
        <x:f t="shared" si="1"/>
      </x:c>
      <x:c r="M65" s="10"/>
      <x:c r="N65" s="10" t="str">
        <x:f t="shared" si="2"/>
      </x:c>
      <x:c r="O65" s="10"/>
      <x:c r="P65" s="10"/>
      <x:c r="Q65" s="10"/>
      <x:c r="R65" s="10"/>
      <x:c r="S65" s="11"/>
      <x:c r="T65" s="11"/>
      <x:c r="U65" s="10"/>
      <x:c r="V65" s="10"/>
      <x:c r="W65" s="10"/>
      <x:c r="X65" s="11"/>
      <x:c r="Y65" s="10"/>
      <x:c r="Z65" s="10"/>
      <x:c r="AA65" s="10"/>
      <x:c r="AB65" s="8" t="e">
        <x:f>IF(B65="","",IF(AND(H65="高",OR(J65="抵触",J65="不支持")),"高权力不支持；","")&amp;IF(L65&gt;0,"存在支持差距；","")&amp;IF(AND(T65&lt;&gt;"",T65&lt;项目驾驶舱!$B$3),"沟通逾期；","")&amp;IF(AND(V65&lt;&gt;"",X65&lt;项目驾驶舱!$B$3,Y65&lt;&gt;"已完成"),"行动逾期；","")&amp;IF(AND(Z65="是",AA65=""),"未填升级对象",""))</x:f>
        <x:v>#NAME?</x:v>
      </x:c>
      <x:c r="AC65" s="10"/>
    </x:row>
    <x:row r="66">
      <x:c r="A66" s="8" t="str">
        <x:f t="shared" si="0"/>
      </x:c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8" t="str">
        <x:f t="shared" si="1"/>
      </x:c>
      <x:c r="M66" s="10"/>
      <x:c r="N66" s="10" t="str">
        <x:f t="shared" si="2"/>
      </x:c>
      <x:c r="O66" s="10"/>
      <x:c r="P66" s="10"/>
      <x:c r="Q66" s="10"/>
      <x:c r="R66" s="10"/>
      <x:c r="S66" s="11"/>
      <x:c r="T66" s="11"/>
      <x:c r="U66" s="10"/>
      <x:c r="V66" s="10"/>
      <x:c r="W66" s="10"/>
      <x:c r="X66" s="11"/>
      <x:c r="Y66" s="10"/>
      <x:c r="Z66" s="10"/>
      <x:c r="AA66" s="10"/>
      <x:c r="AB66" s="8" t="e">
        <x:f>IF(B66="","",IF(AND(H66="高",OR(J66="抵触",J66="不支持")),"高权力不支持；","")&amp;IF(L66&gt;0,"存在支持差距；","")&amp;IF(AND(T66&lt;&gt;"",T66&lt;项目驾驶舱!$B$3),"沟通逾期；","")&amp;IF(AND(V66&lt;&gt;"",X66&lt;项目驾驶舱!$B$3,Y66&lt;&gt;"已完成"),"行动逾期；","")&amp;IF(AND(Z66="是",AA66=""),"未填升级对象",""))</x:f>
        <x:v>#NAME?</x:v>
      </x:c>
      <x:c r="AC66" s="10"/>
    </x:row>
    <x:row r="67">
      <x:c r="A67" s="8" t="str">
        <x:f t="shared" si="0"/>
      </x:c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8" t="str">
        <x:f t="shared" si="1"/>
      </x:c>
      <x:c r="M67" s="10"/>
      <x:c r="N67" s="10" t="str">
        <x:f t="shared" si="2"/>
      </x:c>
      <x:c r="O67" s="10"/>
      <x:c r="P67" s="10"/>
      <x:c r="Q67" s="10"/>
      <x:c r="R67" s="10"/>
      <x:c r="S67" s="11"/>
      <x:c r="T67" s="11"/>
      <x:c r="U67" s="10"/>
      <x:c r="V67" s="10"/>
      <x:c r="W67" s="10"/>
      <x:c r="X67" s="11"/>
      <x:c r="Y67" s="10"/>
      <x:c r="Z67" s="10"/>
      <x:c r="AA67" s="10"/>
      <x:c r="AB67" s="8" t="e">
        <x:f>IF(B67="","",IF(AND(H67="高",OR(J67="抵触",J67="不支持")),"高权力不支持；","")&amp;IF(L67&gt;0,"存在支持差距；","")&amp;IF(AND(T67&lt;&gt;"",T67&lt;项目驾驶舱!$B$3),"沟通逾期；","")&amp;IF(AND(V67&lt;&gt;"",X67&lt;项目驾驶舱!$B$3,Y67&lt;&gt;"已完成"),"行动逾期；","")&amp;IF(AND(Z67="是",AA67=""),"未填升级对象",""))</x:f>
        <x:v>#NAME?</x:v>
      </x:c>
      <x:c r="AC67" s="10"/>
    </x:row>
    <x:row r="68">
      <x:c r="A68" s="8" t="str">
        <x:f t="shared" si="0"/>
      </x:c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8" t="str">
        <x:f t="shared" si="1"/>
      </x:c>
      <x:c r="M68" s="10"/>
      <x:c r="N68" s="10" t="str">
        <x:f t="shared" si="2"/>
      </x:c>
      <x:c r="O68" s="10"/>
      <x:c r="P68" s="10"/>
      <x:c r="Q68" s="10"/>
      <x:c r="R68" s="10"/>
      <x:c r="S68" s="11"/>
      <x:c r="T68" s="11"/>
      <x:c r="U68" s="10"/>
      <x:c r="V68" s="10"/>
      <x:c r="W68" s="10"/>
      <x:c r="X68" s="11"/>
      <x:c r="Y68" s="10"/>
      <x:c r="Z68" s="10"/>
      <x:c r="AA68" s="10"/>
      <x:c r="AB68" s="8" t="e">
        <x:f>IF(B68="","",IF(AND(H68="高",OR(J68="抵触",J68="不支持")),"高权力不支持；","")&amp;IF(L68&gt;0,"存在支持差距；","")&amp;IF(AND(T68&lt;&gt;"",T68&lt;项目驾驶舱!$B$3),"沟通逾期；","")&amp;IF(AND(V68&lt;&gt;"",X68&lt;项目驾驶舱!$B$3,Y68&lt;&gt;"已完成"),"行动逾期；","")&amp;IF(AND(Z68="是",AA68=""),"未填升级对象",""))</x:f>
        <x:v>#NAME?</x:v>
      </x:c>
      <x:c r="AC68" s="10"/>
    </x:row>
    <x:row r="69">
      <x:c r="A69" s="8" t="str">
        <x:f t="shared" si="0"/>
      </x:c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8" t="str">
        <x:f t="shared" si="1"/>
      </x:c>
      <x:c r="M69" s="10"/>
      <x:c r="N69" s="10" t="str">
        <x:f t="shared" si="2"/>
      </x:c>
      <x:c r="O69" s="10"/>
      <x:c r="P69" s="10"/>
      <x:c r="Q69" s="10"/>
      <x:c r="R69" s="10"/>
      <x:c r="S69" s="11"/>
      <x:c r="T69" s="11"/>
      <x:c r="U69" s="10"/>
      <x:c r="V69" s="10"/>
      <x:c r="W69" s="10"/>
      <x:c r="X69" s="11"/>
      <x:c r="Y69" s="10"/>
      <x:c r="Z69" s="10"/>
      <x:c r="AA69" s="10"/>
      <x:c r="AB69" s="8" t="e">
        <x:f>IF(B69="","",IF(AND(H69="高",OR(J69="抵触",J69="不支持")),"高权力不支持；","")&amp;IF(L69&gt;0,"存在支持差距；","")&amp;IF(AND(T69&lt;&gt;"",T69&lt;项目驾驶舱!$B$3),"沟通逾期；","")&amp;IF(AND(V69&lt;&gt;"",X69&lt;项目驾驶舱!$B$3,Y69&lt;&gt;"已完成"),"行动逾期；","")&amp;IF(AND(Z69="是",AA69=""),"未填升级对象",""))</x:f>
        <x:v>#NAME?</x:v>
      </x:c>
      <x:c r="AC69" s="10"/>
    </x:row>
    <x:row r="70">
      <x:c r="A70" s="8" t="str">
        <x:f t="shared" si="0"/>
      </x:c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8" t="str">
        <x:f t="shared" si="1"/>
      </x:c>
      <x:c r="M70" s="10"/>
      <x:c r="N70" s="10" t="str">
        <x:f t="shared" si="2"/>
      </x:c>
      <x:c r="O70" s="10"/>
      <x:c r="P70" s="10"/>
      <x:c r="Q70" s="10"/>
      <x:c r="R70" s="10"/>
      <x:c r="S70" s="11"/>
      <x:c r="T70" s="11"/>
      <x:c r="U70" s="10"/>
      <x:c r="V70" s="10"/>
      <x:c r="W70" s="10"/>
      <x:c r="X70" s="11"/>
      <x:c r="Y70" s="10"/>
      <x:c r="Z70" s="10"/>
      <x:c r="AA70" s="10"/>
      <x:c r="AB70" s="8" t="e">
        <x:f>IF(B70="","",IF(AND(H70="高",OR(J70="抵触",J70="不支持")),"高权力不支持；","")&amp;IF(L70&gt;0,"存在支持差距；","")&amp;IF(AND(T70&lt;&gt;"",T70&lt;项目驾驶舱!$B$3),"沟通逾期；","")&amp;IF(AND(V70&lt;&gt;"",X70&lt;项目驾驶舱!$B$3,Y70&lt;&gt;"已完成"),"行动逾期；","")&amp;IF(AND(Z70="是",AA70=""),"未填升级对象",""))</x:f>
        <x:v>#NAME?</x:v>
      </x:c>
      <x:c r="AC70" s="10"/>
    </x:row>
    <x:row r="71">
      <x:c r="A71" s="8" t="str">
        <x:f t="shared" si="0"/>
      </x:c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8" t="str">
        <x:f t="shared" si="1"/>
      </x:c>
      <x:c r="M71" s="10"/>
      <x:c r="N71" s="10" t="str">
        <x:f t="shared" si="2"/>
      </x:c>
      <x:c r="O71" s="10"/>
      <x:c r="P71" s="10"/>
      <x:c r="Q71" s="10"/>
      <x:c r="R71" s="10"/>
      <x:c r="S71" s="11"/>
      <x:c r="T71" s="11"/>
      <x:c r="U71" s="10"/>
      <x:c r="V71" s="10"/>
      <x:c r="W71" s="10"/>
      <x:c r="X71" s="11"/>
      <x:c r="Y71" s="10"/>
      <x:c r="Z71" s="10"/>
      <x:c r="AA71" s="10"/>
      <x:c r="AB71" s="8" t="e">
        <x:f>IF(B71="","",IF(AND(H71="高",OR(J71="抵触",J71="不支持")),"高权力不支持；","")&amp;IF(L71&gt;0,"存在支持差距；","")&amp;IF(AND(T71&lt;&gt;"",T71&lt;项目驾驶舱!$B$3),"沟通逾期；","")&amp;IF(AND(V71&lt;&gt;"",X71&lt;项目驾驶舱!$B$3,Y71&lt;&gt;"已完成"),"行动逾期；","")&amp;IF(AND(Z71="是",AA71=""),"未填升级对象",""))</x:f>
        <x:v>#NAME?</x:v>
      </x:c>
      <x:c r="AC71" s="10"/>
    </x:row>
    <x:row r="72">
      <x:c r="A72" s="8" t="str">
        <x:f t="shared" si="0"/>
      </x:c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8" t="str">
        <x:f t="shared" si="1"/>
      </x:c>
      <x:c r="M72" s="10"/>
      <x:c r="N72" s="10" t="str">
        <x:f t="shared" si="2"/>
      </x:c>
      <x:c r="O72" s="10"/>
      <x:c r="P72" s="10"/>
      <x:c r="Q72" s="10"/>
      <x:c r="R72" s="10"/>
      <x:c r="S72" s="11"/>
      <x:c r="T72" s="11"/>
      <x:c r="U72" s="10"/>
      <x:c r="V72" s="10"/>
      <x:c r="W72" s="10"/>
      <x:c r="X72" s="11"/>
      <x:c r="Y72" s="10"/>
      <x:c r="Z72" s="10"/>
      <x:c r="AA72" s="10"/>
      <x:c r="AB72" s="8" t="e">
        <x:f>IF(B72="","",IF(AND(H72="高",OR(J72="抵触",J72="不支持")),"高权力不支持；","")&amp;IF(L72&gt;0,"存在支持差距；","")&amp;IF(AND(T72&lt;&gt;"",T72&lt;项目驾驶舱!$B$3),"沟通逾期；","")&amp;IF(AND(V72&lt;&gt;"",X72&lt;项目驾驶舱!$B$3,Y72&lt;&gt;"已完成"),"行动逾期；","")&amp;IF(AND(Z72="是",AA72=""),"未填升级对象",""))</x:f>
        <x:v>#NAME?</x:v>
      </x:c>
      <x:c r="AC72" s="10"/>
    </x:row>
    <x:row r="73">
      <x:c r="A73" s="8" t="str">
        <x:f t="shared" ref="A73:A108" si="3">IF(B73="","","SH-"&amp;TEXT(ROW()-8,"000"))</x:f>
      </x:c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8" t="str">
        <x:f t="shared" ref="L73:L108" si="4">IF(OR(J73="",K73=""),"",IF(K73="抵触",1,IF(K73="不支持",2,IF(K73="中立",3,IF(K73="支持",4,IF(K73="积极推动",5,"")))))-IF(J73="抵触",1,IF(J73="不支持",2,IF(J73="中立",3,IF(J73="支持",4,IF(J73="积极推动",5,""))))))</x:f>
      </x:c>
      <x:c r="M73" s="10"/>
      <x:c r="N73" s="10" t="str">
        <x:f t="shared" ref="N73:N108" si="5">IF(OR(H73="",I73=""),"",IF(AND(H73="高",I73="高"),"重点管理",IF(H73="高","保持满意",IF(I73="高","保持沟通","监督观察"))))</x:f>
      </x:c>
      <x:c r="O73" s="10"/>
      <x:c r="P73" s="10"/>
      <x:c r="Q73" s="10"/>
      <x:c r="R73" s="10"/>
      <x:c r="S73" s="11"/>
      <x:c r="T73" s="11"/>
      <x:c r="U73" s="10"/>
      <x:c r="V73" s="10"/>
      <x:c r="W73" s="10"/>
      <x:c r="X73" s="11"/>
      <x:c r="Y73" s="10"/>
      <x:c r="Z73" s="10"/>
      <x:c r="AA73" s="10"/>
      <x:c r="AB73" s="8" t="e">
        <x:f>IF(B73="","",IF(AND(H73="高",OR(J73="抵触",J73="不支持")),"高权力不支持；","")&amp;IF(L73&gt;0,"存在支持差距；","")&amp;IF(AND(T73&lt;&gt;"",T73&lt;项目驾驶舱!$B$3),"沟通逾期；","")&amp;IF(AND(V73&lt;&gt;"",X73&lt;项目驾驶舱!$B$3,Y73&lt;&gt;"已完成"),"行动逾期；","")&amp;IF(AND(Z73="是",AA73=""),"未填升级对象",""))</x:f>
        <x:v>#NAME?</x:v>
      </x:c>
      <x:c r="AC73" s="10"/>
    </x:row>
    <x:row r="74">
      <x:c r="A74" s="8" t="str">
        <x:f t="shared" si="3"/>
      </x:c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8" t="str">
        <x:f t="shared" si="4"/>
      </x:c>
      <x:c r="M74" s="10"/>
      <x:c r="N74" s="10" t="str">
        <x:f t="shared" si="5"/>
      </x:c>
      <x:c r="O74" s="10"/>
      <x:c r="P74" s="10"/>
      <x:c r="Q74" s="10"/>
      <x:c r="R74" s="10"/>
      <x:c r="S74" s="11"/>
      <x:c r="T74" s="11"/>
      <x:c r="U74" s="10"/>
      <x:c r="V74" s="10"/>
      <x:c r="W74" s="10"/>
      <x:c r="X74" s="11"/>
      <x:c r="Y74" s="10"/>
      <x:c r="Z74" s="10"/>
      <x:c r="AA74" s="10"/>
      <x:c r="AB74" s="8" t="e">
        <x:f>IF(B74="","",IF(AND(H74="高",OR(J74="抵触",J74="不支持")),"高权力不支持；","")&amp;IF(L74&gt;0,"存在支持差距；","")&amp;IF(AND(T74&lt;&gt;"",T74&lt;项目驾驶舱!$B$3),"沟通逾期；","")&amp;IF(AND(V74&lt;&gt;"",X74&lt;项目驾驶舱!$B$3,Y74&lt;&gt;"已完成"),"行动逾期；","")&amp;IF(AND(Z74="是",AA74=""),"未填升级对象",""))</x:f>
        <x:v>#NAME?</x:v>
      </x:c>
      <x:c r="AC74" s="10"/>
    </x:row>
    <x:row r="75">
      <x:c r="A75" s="8" t="str">
        <x:f t="shared" si="3"/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8" t="str">
        <x:f t="shared" si="4"/>
      </x:c>
      <x:c r="M75" s="10"/>
      <x:c r="N75" s="10" t="str">
        <x:f t="shared" si="5"/>
      </x:c>
      <x:c r="O75" s="10"/>
      <x:c r="P75" s="10"/>
      <x:c r="Q75" s="10"/>
      <x:c r="R75" s="10"/>
      <x:c r="S75" s="11"/>
      <x:c r="T75" s="11"/>
      <x:c r="U75" s="10"/>
      <x:c r="V75" s="10"/>
      <x:c r="W75" s="10"/>
      <x:c r="X75" s="11"/>
      <x:c r="Y75" s="10"/>
      <x:c r="Z75" s="10"/>
      <x:c r="AA75" s="10"/>
      <x:c r="AB75" s="8" t="e">
        <x:f>IF(B75="","",IF(AND(H75="高",OR(J75="抵触",J75="不支持")),"高权力不支持；","")&amp;IF(L75&gt;0,"存在支持差距；","")&amp;IF(AND(T75&lt;&gt;"",T75&lt;项目驾驶舱!$B$3),"沟通逾期；","")&amp;IF(AND(V75&lt;&gt;"",X75&lt;项目驾驶舱!$B$3,Y75&lt;&gt;"已完成"),"行动逾期；","")&amp;IF(AND(Z75="是",AA75=""),"未填升级对象",""))</x:f>
        <x:v>#NAME?</x:v>
      </x:c>
      <x:c r="AC75" s="10"/>
    </x:row>
    <x:row r="76">
      <x:c r="A76" s="8" t="str">
        <x:f t="shared" si="3"/>
      </x:c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8" t="str">
        <x:f t="shared" si="4"/>
      </x:c>
      <x:c r="M76" s="10"/>
      <x:c r="N76" s="10" t="str">
        <x:f t="shared" si="5"/>
      </x:c>
      <x:c r="O76" s="10"/>
      <x:c r="P76" s="10"/>
      <x:c r="Q76" s="10"/>
      <x:c r="R76" s="10"/>
      <x:c r="S76" s="11"/>
      <x:c r="T76" s="11"/>
      <x:c r="U76" s="10"/>
      <x:c r="V76" s="10"/>
      <x:c r="W76" s="10"/>
      <x:c r="X76" s="11"/>
      <x:c r="Y76" s="10"/>
      <x:c r="Z76" s="10"/>
      <x:c r="AA76" s="10"/>
      <x:c r="AB76" s="8" t="e">
        <x:f>IF(B76="","",IF(AND(H76="高",OR(J76="抵触",J76="不支持")),"高权力不支持；","")&amp;IF(L76&gt;0,"存在支持差距；","")&amp;IF(AND(T76&lt;&gt;"",T76&lt;项目驾驶舱!$B$3),"沟通逾期；","")&amp;IF(AND(V76&lt;&gt;"",X76&lt;项目驾驶舱!$B$3,Y76&lt;&gt;"已完成"),"行动逾期；","")&amp;IF(AND(Z76="是",AA76=""),"未填升级对象",""))</x:f>
        <x:v>#NAME?</x:v>
      </x:c>
      <x:c r="AC76" s="10"/>
    </x:row>
    <x:row r="77">
      <x:c r="A77" s="8" t="str">
        <x:f t="shared" si="3"/>
      </x:c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8" t="str">
        <x:f t="shared" si="4"/>
      </x:c>
      <x:c r="M77" s="10"/>
      <x:c r="N77" s="10" t="str">
        <x:f t="shared" si="5"/>
      </x:c>
      <x:c r="O77" s="10"/>
      <x:c r="P77" s="10"/>
      <x:c r="Q77" s="10"/>
      <x:c r="R77" s="10"/>
      <x:c r="S77" s="11"/>
      <x:c r="T77" s="11"/>
      <x:c r="U77" s="10"/>
      <x:c r="V77" s="10"/>
      <x:c r="W77" s="10"/>
      <x:c r="X77" s="11"/>
      <x:c r="Y77" s="10"/>
      <x:c r="Z77" s="10"/>
      <x:c r="AA77" s="10"/>
      <x:c r="AB77" s="8" t="e">
        <x:f>IF(B77="","",IF(AND(H77="高",OR(J77="抵触",J77="不支持")),"高权力不支持；","")&amp;IF(L77&gt;0,"存在支持差距；","")&amp;IF(AND(T77&lt;&gt;"",T77&lt;项目驾驶舱!$B$3),"沟通逾期；","")&amp;IF(AND(V77&lt;&gt;"",X77&lt;项目驾驶舱!$B$3,Y77&lt;&gt;"已完成"),"行动逾期；","")&amp;IF(AND(Z77="是",AA77=""),"未填升级对象",""))</x:f>
        <x:v>#NAME?</x:v>
      </x:c>
      <x:c r="AC77" s="10"/>
    </x:row>
    <x:row r="78">
      <x:c r="A78" s="8" t="str">
        <x:f t="shared" si="3"/>
      </x:c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8" t="str">
        <x:f t="shared" si="4"/>
      </x:c>
      <x:c r="M78" s="10"/>
      <x:c r="N78" s="10" t="str">
        <x:f t="shared" si="5"/>
      </x:c>
      <x:c r="O78" s="10"/>
      <x:c r="P78" s="10"/>
      <x:c r="Q78" s="10"/>
      <x:c r="R78" s="10"/>
      <x:c r="S78" s="11"/>
      <x:c r="T78" s="11"/>
      <x:c r="U78" s="10"/>
      <x:c r="V78" s="10"/>
      <x:c r="W78" s="10"/>
      <x:c r="X78" s="11"/>
      <x:c r="Y78" s="10"/>
      <x:c r="Z78" s="10"/>
      <x:c r="AA78" s="10"/>
      <x:c r="AB78" s="8" t="e">
        <x:f>IF(B78="","",IF(AND(H78="高",OR(J78="抵触",J78="不支持")),"高权力不支持；","")&amp;IF(L78&gt;0,"存在支持差距；","")&amp;IF(AND(T78&lt;&gt;"",T78&lt;项目驾驶舱!$B$3),"沟通逾期；","")&amp;IF(AND(V78&lt;&gt;"",X78&lt;项目驾驶舱!$B$3,Y78&lt;&gt;"已完成"),"行动逾期；","")&amp;IF(AND(Z78="是",AA78=""),"未填升级对象",""))</x:f>
        <x:v>#NAME?</x:v>
      </x:c>
      <x:c r="AC78" s="10"/>
    </x:row>
    <x:row r="79">
      <x:c r="A79" s="8" t="str">
        <x:f t="shared" si="3"/>
      </x:c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8" t="str">
        <x:f t="shared" si="4"/>
      </x:c>
      <x:c r="M79" s="10"/>
      <x:c r="N79" s="10" t="str">
        <x:f t="shared" si="5"/>
      </x:c>
      <x:c r="O79" s="10"/>
      <x:c r="P79" s="10"/>
      <x:c r="Q79" s="10"/>
      <x:c r="R79" s="10"/>
      <x:c r="S79" s="11"/>
      <x:c r="T79" s="11"/>
      <x:c r="U79" s="10"/>
      <x:c r="V79" s="10"/>
      <x:c r="W79" s="10"/>
      <x:c r="X79" s="11"/>
      <x:c r="Y79" s="10"/>
      <x:c r="Z79" s="10"/>
      <x:c r="AA79" s="10"/>
      <x:c r="AB79" s="8" t="e">
        <x:f>IF(B79="","",IF(AND(H79="高",OR(J79="抵触",J79="不支持")),"高权力不支持；","")&amp;IF(L79&gt;0,"存在支持差距；","")&amp;IF(AND(T79&lt;&gt;"",T79&lt;项目驾驶舱!$B$3),"沟通逾期；","")&amp;IF(AND(V79&lt;&gt;"",X79&lt;项目驾驶舱!$B$3,Y79&lt;&gt;"已完成"),"行动逾期；","")&amp;IF(AND(Z79="是",AA79=""),"未填升级对象",""))</x:f>
        <x:v>#NAME?</x:v>
      </x:c>
      <x:c r="AC79" s="10"/>
    </x:row>
    <x:row r="80">
      <x:c r="A80" s="8" t="str">
        <x:f t="shared" si="3"/>
      </x:c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8" t="str">
        <x:f t="shared" si="4"/>
      </x:c>
      <x:c r="M80" s="10"/>
      <x:c r="N80" s="10" t="str">
        <x:f t="shared" si="5"/>
      </x:c>
      <x:c r="O80" s="10"/>
      <x:c r="P80" s="10"/>
      <x:c r="Q80" s="10"/>
      <x:c r="R80" s="10"/>
      <x:c r="S80" s="11"/>
      <x:c r="T80" s="11"/>
      <x:c r="U80" s="10"/>
      <x:c r="V80" s="10"/>
      <x:c r="W80" s="10"/>
      <x:c r="X80" s="11"/>
      <x:c r="Y80" s="10"/>
      <x:c r="Z80" s="10"/>
      <x:c r="AA80" s="10"/>
      <x:c r="AB80" s="8" t="e">
        <x:f>IF(B80="","",IF(AND(H80="高",OR(J80="抵触",J80="不支持")),"高权力不支持；","")&amp;IF(L80&gt;0,"存在支持差距；","")&amp;IF(AND(T80&lt;&gt;"",T80&lt;项目驾驶舱!$B$3),"沟通逾期；","")&amp;IF(AND(V80&lt;&gt;"",X80&lt;项目驾驶舱!$B$3,Y80&lt;&gt;"已完成"),"行动逾期；","")&amp;IF(AND(Z80="是",AA80=""),"未填升级对象",""))</x:f>
        <x:v>#NAME?</x:v>
      </x:c>
      <x:c r="AC80" s="10"/>
    </x:row>
    <x:row r="81">
      <x:c r="A81" s="8" t="str">
        <x:f t="shared" si="3"/>
      </x:c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8" t="str">
        <x:f t="shared" si="4"/>
      </x:c>
      <x:c r="M81" s="10"/>
      <x:c r="N81" s="10" t="str">
        <x:f t="shared" si="5"/>
      </x:c>
      <x:c r="O81" s="10"/>
      <x:c r="P81" s="10"/>
      <x:c r="Q81" s="10"/>
      <x:c r="R81" s="10"/>
      <x:c r="S81" s="11"/>
      <x:c r="T81" s="11"/>
      <x:c r="U81" s="10"/>
      <x:c r="V81" s="10"/>
      <x:c r="W81" s="10"/>
      <x:c r="X81" s="11"/>
      <x:c r="Y81" s="10"/>
      <x:c r="Z81" s="10"/>
      <x:c r="AA81" s="10"/>
      <x:c r="AB81" s="8" t="e">
        <x:f>IF(B81="","",IF(AND(H81="高",OR(J81="抵触",J81="不支持")),"高权力不支持；","")&amp;IF(L81&gt;0,"存在支持差距；","")&amp;IF(AND(T81&lt;&gt;"",T81&lt;项目驾驶舱!$B$3),"沟通逾期；","")&amp;IF(AND(V81&lt;&gt;"",X81&lt;项目驾驶舱!$B$3,Y81&lt;&gt;"已完成"),"行动逾期；","")&amp;IF(AND(Z81="是",AA81=""),"未填升级对象",""))</x:f>
        <x:v>#NAME?</x:v>
      </x:c>
      <x:c r="AC81" s="10"/>
    </x:row>
    <x:row r="82">
      <x:c r="A82" s="8" t="str">
        <x:f t="shared" si="3"/>
      </x:c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8" t="str">
        <x:f t="shared" si="4"/>
      </x:c>
      <x:c r="M82" s="10"/>
      <x:c r="N82" s="10" t="str">
        <x:f t="shared" si="5"/>
      </x:c>
      <x:c r="O82" s="10"/>
      <x:c r="P82" s="10"/>
      <x:c r="Q82" s="10"/>
      <x:c r="R82" s="10"/>
      <x:c r="S82" s="11"/>
      <x:c r="T82" s="11"/>
      <x:c r="U82" s="10"/>
      <x:c r="V82" s="10"/>
      <x:c r="W82" s="10"/>
      <x:c r="X82" s="11"/>
      <x:c r="Y82" s="10"/>
      <x:c r="Z82" s="10"/>
      <x:c r="AA82" s="10"/>
      <x:c r="AB82" s="8" t="e">
        <x:f>IF(B82="","",IF(AND(H82="高",OR(J82="抵触",J82="不支持")),"高权力不支持；","")&amp;IF(L82&gt;0,"存在支持差距；","")&amp;IF(AND(T82&lt;&gt;"",T82&lt;项目驾驶舱!$B$3),"沟通逾期；","")&amp;IF(AND(V82&lt;&gt;"",X82&lt;项目驾驶舱!$B$3,Y82&lt;&gt;"已完成"),"行动逾期；","")&amp;IF(AND(Z82="是",AA82=""),"未填升级对象",""))</x:f>
        <x:v>#NAME?</x:v>
      </x:c>
      <x:c r="AC82" s="10"/>
    </x:row>
    <x:row r="83">
      <x:c r="A83" s="8" t="str">
        <x:f t="shared" si="3"/>
      </x:c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8" t="str">
        <x:f t="shared" si="4"/>
      </x:c>
      <x:c r="M83" s="10"/>
      <x:c r="N83" s="10" t="str">
        <x:f t="shared" si="5"/>
      </x:c>
      <x:c r="O83" s="10"/>
      <x:c r="P83" s="10"/>
      <x:c r="Q83" s="10"/>
      <x:c r="R83" s="10"/>
      <x:c r="S83" s="11"/>
      <x:c r="T83" s="11"/>
      <x:c r="U83" s="10"/>
      <x:c r="V83" s="10"/>
      <x:c r="W83" s="10"/>
      <x:c r="X83" s="11"/>
      <x:c r="Y83" s="10"/>
      <x:c r="Z83" s="10"/>
      <x:c r="AA83" s="10"/>
      <x:c r="AB83" s="8" t="e">
        <x:f>IF(B83="","",IF(AND(H83="高",OR(J83="抵触",J83="不支持")),"高权力不支持；","")&amp;IF(L83&gt;0,"存在支持差距；","")&amp;IF(AND(T83&lt;&gt;"",T83&lt;项目驾驶舱!$B$3),"沟通逾期；","")&amp;IF(AND(V83&lt;&gt;"",X83&lt;项目驾驶舱!$B$3,Y83&lt;&gt;"已完成"),"行动逾期；","")&amp;IF(AND(Z83="是",AA83=""),"未填升级对象",""))</x:f>
        <x:v>#NAME?</x:v>
      </x:c>
      <x:c r="AC83" s="10"/>
    </x:row>
    <x:row r="84">
      <x:c r="A84" s="8" t="str">
        <x:f t="shared" si="3"/>
      </x:c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8" t="str">
        <x:f t="shared" si="4"/>
      </x:c>
      <x:c r="M84" s="10"/>
      <x:c r="N84" s="10" t="str">
        <x:f t="shared" si="5"/>
      </x:c>
      <x:c r="O84" s="10"/>
      <x:c r="P84" s="10"/>
      <x:c r="Q84" s="10"/>
      <x:c r="R84" s="10"/>
      <x:c r="S84" s="11"/>
      <x:c r="T84" s="11"/>
      <x:c r="U84" s="10"/>
      <x:c r="V84" s="10"/>
      <x:c r="W84" s="10"/>
      <x:c r="X84" s="11"/>
      <x:c r="Y84" s="10"/>
      <x:c r="Z84" s="10"/>
      <x:c r="AA84" s="10"/>
      <x:c r="AB84" s="8" t="e">
        <x:f>IF(B84="","",IF(AND(H84="高",OR(J84="抵触",J84="不支持")),"高权力不支持；","")&amp;IF(L84&gt;0,"存在支持差距；","")&amp;IF(AND(T84&lt;&gt;"",T84&lt;项目驾驶舱!$B$3),"沟通逾期；","")&amp;IF(AND(V84&lt;&gt;"",X84&lt;项目驾驶舱!$B$3,Y84&lt;&gt;"已完成"),"行动逾期；","")&amp;IF(AND(Z84="是",AA84=""),"未填升级对象",""))</x:f>
        <x:v>#NAME?</x:v>
      </x:c>
      <x:c r="AC84" s="10"/>
    </x:row>
    <x:row r="85">
      <x:c r="A85" s="8" t="str">
        <x:f t="shared" si="3"/>
      </x:c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8" t="str">
        <x:f t="shared" si="4"/>
      </x:c>
      <x:c r="M85" s="10"/>
      <x:c r="N85" s="10" t="str">
        <x:f t="shared" si="5"/>
      </x:c>
      <x:c r="O85" s="10"/>
      <x:c r="P85" s="10"/>
      <x:c r="Q85" s="10"/>
      <x:c r="R85" s="10"/>
      <x:c r="S85" s="11"/>
      <x:c r="T85" s="11"/>
      <x:c r="U85" s="10"/>
      <x:c r="V85" s="10"/>
      <x:c r="W85" s="10"/>
      <x:c r="X85" s="11"/>
      <x:c r="Y85" s="10"/>
      <x:c r="Z85" s="10"/>
      <x:c r="AA85" s="10"/>
      <x:c r="AB85" s="8" t="e">
        <x:f>IF(B85="","",IF(AND(H85="高",OR(J85="抵触",J85="不支持")),"高权力不支持；","")&amp;IF(L85&gt;0,"存在支持差距；","")&amp;IF(AND(T85&lt;&gt;"",T85&lt;项目驾驶舱!$B$3),"沟通逾期；","")&amp;IF(AND(V85&lt;&gt;"",X85&lt;项目驾驶舱!$B$3,Y85&lt;&gt;"已完成"),"行动逾期；","")&amp;IF(AND(Z85="是",AA85=""),"未填升级对象",""))</x:f>
        <x:v>#NAME?</x:v>
      </x:c>
      <x:c r="AC85" s="10"/>
    </x:row>
    <x:row r="86">
      <x:c r="A86" s="8" t="str">
        <x:f t="shared" si="3"/>
      </x:c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8" t="str">
        <x:f t="shared" si="4"/>
      </x:c>
      <x:c r="M86" s="10"/>
      <x:c r="N86" s="10" t="str">
        <x:f t="shared" si="5"/>
      </x:c>
      <x:c r="O86" s="10"/>
      <x:c r="P86" s="10"/>
      <x:c r="Q86" s="10"/>
      <x:c r="R86" s="10"/>
      <x:c r="S86" s="11"/>
      <x:c r="T86" s="11"/>
      <x:c r="U86" s="10"/>
      <x:c r="V86" s="10"/>
      <x:c r="W86" s="10"/>
      <x:c r="X86" s="11"/>
      <x:c r="Y86" s="10"/>
      <x:c r="Z86" s="10"/>
      <x:c r="AA86" s="10"/>
      <x:c r="AB86" s="8" t="e">
        <x:f>IF(B86="","",IF(AND(H86="高",OR(J86="抵触",J86="不支持")),"高权力不支持；","")&amp;IF(L86&gt;0,"存在支持差距；","")&amp;IF(AND(T86&lt;&gt;"",T86&lt;项目驾驶舱!$B$3),"沟通逾期；","")&amp;IF(AND(V86&lt;&gt;"",X86&lt;项目驾驶舱!$B$3,Y86&lt;&gt;"已完成"),"行动逾期；","")&amp;IF(AND(Z86="是",AA86=""),"未填升级对象",""))</x:f>
        <x:v>#NAME?</x:v>
      </x:c>
      <x:c r="AC86" s="10"/>
    </x:row>
    <x:row r="87">
      <x:c r="A87" s="8" t="str">
        <x:f t="shared" si="3"/>
      </x:c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8" t="str">
        <x:f t="shared" si="4"/>
      </x:c>
      <x:c r="M87" s="10"/>
      <x:c r="N87" s="10" t="str">
        <x:f t="shared" si="5"/>
      </x:c>
      <x:c r="O87" s="10"/>
      <x:c r="P87" s="10"/>
      <x:c r="Q87" s="10"/>
      <x:c r="R87" s="10"/>
      <x:c r="S87" s="11"/>
      <x:c r="T87" s="11"/>
      <x:c r="U87" s="10"/>
      <x:c r="V87" s="10"/>
      <x:c r="W87" s="10"/>
      <x:c r="X87" s="11"/>
      <x:c r="Y87" s="10"/>
      <x:c r="Z87" s="10"/>
      <x:c r="AA87" s="10"/>
      <x:c r="AB87" s="8" t="e">
        <x:f>IF(B87="","",IF(AND(H87="高",OR(J87="抵触",J87="不支持")),"高权力不支持；","")&amp;IF(L87&gt;0,"存在支持差距；","")&amp;IF(AND(T87&lt;&gt;"",T87&lt;项目驾驶舱!$B$3),"沟通逾期；","")&amp;IF(AND(V87&lt;&gt;"",X87&lt;项目驾驶舱!$B$3,Y87&lt;&gt;"已完成"),"行动逾期；","")&amp;IF(AND(Z87="是",AA87=""),"未填升级对象",""))</x:f>
        <x:v>#NAME?</x:v>
      </x:c>
      <x:c r="AC87" s="10"/>
    </x:row>
    <x:row r="88">
      <x:c r="A88" s="8" t="str">
        <x:f t="shared" si="3"/>
      </x:c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8" t="str">
        <x:f t="shared" si="4"/>
      </x:c>
      <x:c r="M88" s="10"/>
      <x:c r="N88" s="10" t="str">
        <x:f t="shared" si="5"/>
      </x:c>
      <x:c r="O88" s="10"/>
      <x:c r="P88" s="10"/>
      <x:c r="Q88" s="10"/>
      <x:c r="R88" s="10"/>
      <x:c r="S88" s="11"/>
      <x:c r="T88" s="11"/>
      <x:c r="U88" s="10"/>
      <x:c r="V88" s="10"/>
      <x:c r="W88" s="10"/>
      <x:c r="X88" s="11"/>
      <x:c r="Y88" s="10"/>
      <x:c r="Z88" s="10"/>
      <x:c r="AA88" s="10"/>
      <x:c r="AB88" s="8" t="e">
        <x:f>IF(B88="","",IF(AND(H88="高",OR(J88="抵触",J88="不支持")),"高权力不支持；","")&amp;IF(L88&gt;0,"存在支持差距；","")&amp;IF(AND(T88&lt;&gt;"",T88&lt;项目驾驶舱!$B$3),"沟通逾期；","")&amp;IF(AND(V88&lt;&gt;"",X88&lt;项目驾驶舱!$B$3,Y88&lt;&gt;"已完成"),"行动逾期；","")&amp;IF(AND(Z88="是",AA88=""),"未填升级对象",""))</x:f>
        <x:v>#NAME?</x:v>
      </x:c>
      <x:c r="AC88" s="10"/>
    </x:row>
    <x:row r="89">
      <x:c r="A89" s="8" t="str">
        <x:f t="shared" si="3"/>
      </x:c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8" t="str">
        <x:f t="shared" si="4"/>
      </x:c>
      <x:c r="M89" s="10"/>
      <x:c r="N89" s="10" t="str">
        <x:f t="shared" si="5"/>
      </x:c>
      <x:c r="O89" s="10"/>
      <x:c r="P89" s="10"/>
      <x:c r="Q89" s="10"/>
      <x:c r="R89" s="10"/>
      <x:c r="S89" s="11"/>
      <x:c r="T89" s="11"/>
      <x:c r="U89" s="10"/>
      <x:c r="V89" s="10"/>
      <x:c r="W89" s="10"/>
      <x:c r="X89" s="11"/>
      <x:c r="Y89" s="10"/>
      <x:c r="Z89" s="10"/>
      <x:c r="AA89" s="10"/>
      <x:c r="AB89" s="8" t="e">
        <x:f>IF(B89="","",IF(AND(H89="高",OR(J89="抵触",J89="不支持")),"高权力不支持；","")&amp;IF(L89&gt;0,"存在支持差距；","")&amp;IF(AND(T89&lt;&gt;"",T89&lt;项目驾驶舱!$B$3),"沟通逾期；","")&amp;IF(AND(V89&lt;&gt;"",X89&lt;项目驾驶舱!$B$3,Y89&lt;&gt;"已完成"),"行动逾期；","")&amp;IF(AND(Z89="是",AA89=""),"未填升级对象",""))</x:f>
        <x:v>#NAME?</x:v>
      </x:c>
      <x:c r="AC89" s="10"/>
    </x:row>
    <x:row r="90">
      <x:c r="A90" s="8" t="str">
        <x:f t="shared" si="3"/>
      </x:c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8" t="str">
        <x:f t="shared" si="4"/>
      </x:c>
      <x:c r="M90" s="10"/>
      <x:c r="N90" s="10" t="str">
        <x:f t="shared" si="5"/>
      </x:c>
      <x:c r="O90" s="10"/>
      <x:c r="P90" s="10"/>
      <x:c r="Q90" s="10"/>
      <x:c r="R90" s="10"/>
      <x:c r="S90" s="11"/>
      <x:c r="T90" s="11"/>
      <x:c r="U90" s="10"/>
      <x:c r="V90" s="10"/>
      <x:c r="W90" s="10"/>
      <x:c r="X90" s="11"/>
      <x:c r="Y90" s="10"/>
      <x:c r="Z90" s="10"/>
      <x:c r="AA90" s="10"/>
      <x:c r="AB90" s="8" t="e">
        <x:f>IF(B90="","",IF(AND(H90="高",OR(J90="抵触",J90="不支持")),"高权力不支持；","")&amp;IF(L90&gt;0,"存在支持差距；","")&amp;IF(AND(T90&lt;&gt;"",T90&lt;项目驾驶舱!$B$3),"沟通逾期；","")&amp;IF(AND(V90&lt;&gt;"",X90&lt;项目驾驶舱!$B$3,Y90&lt;&gt;"已完成"),"行动逾期；","")&amp;IF(AND(Z90="是",AA90=""),"未填升级对象",""))</x:f>
        <x:v>#NAME?</x:v>
      </x:c>
      <x:c r="AC90" s="10"/>
    </x:row>
    <x:row r="91">
      <x:c r="A91" s="8" t="str">
        <x:f t="shared" si="3"/>
      </x:c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8" t="str">
        <x:f t="shared" si="4"/>
      </x:c>
      <x:c r="M91" s="10"/>
      <x:c r="N91" s="10" t="str">
        <x:f t="shared" si="5"/>
      </x:c>
      <x:c r="O91" s="10"/>
      <x:c r="P91" s="10"/>
      <x:c r="Q91" s="10"/>
      <x:c r="R91" s="10"/>
      <x:c r="S91" s="11"/>
      <x:c r="T91" s="11"/>
      <x:c r="U91" s="10"/>
      <x:c r="V91" s="10"/>
      <x:c r="W91" s="10"/>
      <x:c r="X91" s="11"/>
      <x:c r="Y91" s="10"/>
      <x:c r="Z91" s="10"/>
      <x:c r="AA91" s="10"/>
      <x:c r="AB91" s="8" t="e">
        <x:f>IF(B91="","",IF(AND(H91="高",OR(J91="抵触",J91="不支持")),"高权力不支持；","")&amp;IF(L91&gt;0,"存在支持差距；","")&amp;IF(AND(T91&lt;&gt;"",T91&lt;项目驾驶舱!$B$3),"沟通逾期；","")&amp;IF(AND(V91&lt;&gt;"",X91&lt;项目驾驶舱!$B$3,Y91&lt;&gt;"已完成"),"行动逾期；","")&amp;IF(AND(Z91="是",AA91=""),"未填升级对象",""))</x:f>
        <x:v>#NAME?</x:v>
      </x:c>
      <x:c r="AC91" s="10"/>
    </x:row>
    <x:row r="92">
      <x:c r="A92" s="8" t="str">
        <x:f t="shared" si="3"/>
      </x:c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8" t="str">
        <x:f t="shared" si="4"/>
      </x:c>
      <x:c r="M92" s="10"/>
      <x:c r="N92" s="10" t="str">
        <x:f t="shared" si="5"/>
      </x:c>
      <x:c r="O92" s="10"/>
      <x:c r="P92" s="10"/>
      <x:c r="Q92" s="10"/>
      <x:c r="R92" s="10"/>
      <x:c r="S92" s="11"/>
      <x:c r="T92" s="11"/>
      <x:c r="U92" s="10"/>
      <x:c r="V92" s="10"/>
      <x:c r="W92" s="10"/>
      <x:c r="X92" s="11"/>
      <x:c r="Y92" s="10"/>
      <x:c r="Z92" s="10"/>
      <x:c r="AA92" s="10"/>
      <x:c r="AB92" s="8" t="e">
        <x:f>IF(B92="","",IF(AND(H92="高",OR(J92="抵触",J92="不支持")),"高权力不支持；","")&amp;IF(L92&gt;0,"存在支持差距；","")&amp;IF(AND(T92&lt;&gt;"",T92&lt;项目驾驶舱!$B$3),"沟通逾期；","")&amp;IF(AND(V92&lt;&gt;"",X92&lt;项目驾驶舱!$B$3,Y92&lt;&gt;"已完成"),"行动逾期；","")&amp;IF(AND(Z92="是",AA92=""),"未填升级对象",""))</x:f>
        <x:v>#NAME?</x:v>
      </x:c>
      <x:c r="AC92" s="10"/>
    </x:row>
    <x:row r="93">
      <x:c r="A93" s="8" t="str">
        <x:f t="shared" si="3"/>
      </x:c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8" t="str">
        <x:f t="shared" si="4"/>
      </x:c>
      <x:c r="M93" s="10"/>
      <x:c r="N93" s="10" t="str">
        <x:f t="shared" si="5"/>
      </x:c>
      <x:c r="O93" s="10"/>
      <x:c r="P93" s="10"/>
      <x:c r="Q93" s="10"/>
      <x:c r="R93" s="10"/>
      <x:c r="S93" s="11"/>
      <x:c r="T93" s="11"/>
      <x:c r="U93" s="10"/>
      <x:c r="V93" s="10"/>
      <x:c r="W93" s="10"/>
      <x:c r="X93" s="11"/>
      <x:c r="Y93" s="10"/>
      <x:c r="Z93" s="10"/>
      <x:c r="AA93" s="10"/>
      <x:c r="AB93" s="8" t="e">
        <x:f>IF(B93="","",IF(AND(H93="高",OR(J93="抵触",J93="不支持")),"高权力不支持；","")&amp;IF(L93&gt;0,"存在支持差距；","")&amp;IF(AND(T93&lt;&gt;"",T93&lt;项目驾驶舱!$B$3),"沟通逾期；","")&amp;IF(AND(V93&lt;&gt;"",X93&lt;项目驾驶舱!$B$3,Y93&lt;&gt;"已完成"),"行动逾期；","")&amp;IF(AND(Z93="是",AA93=""),"未填升级对象",""))</x:f>
        <x:v>#NAME?</x:v>
      </x:c>
      <x:c r="AC93" s="10"/>
    </x:row>
    <x:row r="94">
      <x:c r="A94" s="8" t="str">
        <x:f t="shared" si="3"/>
      </x:c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8" t="str">
        <x:f t="shared" si="4"/>
      </x:c>
      <x:c r="M94" s="10"/>
      <x:c r="N94" s="10" t="str">
        <x:f t="shared" si="5"/>
      </x:c>
      <x:c r="O94" s="10"/>
      <x:c r="P94" s="10"/>
      <x:c r="Q94" s="10"/>
      <x:c r="R94" s="10"/>
      <x:c r="S94" s="11"/>
      <x:c r="T94" s="11"/>
      <x:c r="U94" s="10"/>
      <x:c r="V94" s="10"/>
      <x:c r="W94" s="10"/>
      <x:c r="X94" s="11"/>
      <x:c r="Y94" s="10"/>
      <x:c r="Z94" s="10"/>
      <x:c r="AA94" s="10"/>
      <x:c r="AB94" s="8" t="e">
        <x:f>IF(B94="","",IF(AND(H94="高",OR(J94="抵触",J94="不支持")),"高权力不支持；","")&amp;IF(L94&gt;0,"存在支持差距；","")&amp;IF(AND(T94&lt;&gt;"",T94&lt;项目驾驶舱!$B$3),"沟通逾期；","")&amp;IF(AND(V94&lt;&gt;"",X94&lt;项目驾驶舱!$B$3,Y94&lt;&gt;"已完成"),"行动逾期；","")&amp;IF(AND(Z94="是",AA94=""),"未填升级对象",""))</x:f>
        <x:v>#NAME?</x:v>
      </x:c>
      <x:c r="AC94" s="10"/>
    </x:row>
    <x:row r="95">
      <x:c r="A95" s="8" t="str">
        <x:f t="shared" si="3"/>
      </x:c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8" t="str">
        <x:f t="shared" si="4"/>
      </x:c>
      <x:c r="M95" s="10"/>
      <x:c r="N95" s="10" t="str">
        <x:f t="shared" si="5"/>
      </x:c>
      <x:c r="O95" s="10"/>
      <x:c r="P95" s="10"/>
      <x:c r="Q95" s="10"/>
      <x:c r="R95" s="10"/>
      <x:c r="S95" s="11"/>
      <x:c r="T95" s="11"/>
      <x:c r="U95" s="10"/>
      <x:c r="V95" s="10"/>
      <x:c r="W95" s="10"/>
      <x:c r="X95" s="11"/>
      <x:c r="Y95" s="10"/>
      <x:c r="Z95" s="10"/>
      <x:c r="AA95" s="10"/>
      <x:c r="AB95" s="8" t="e">
        <x:f>IF(B95="","",IF(AND(H95="高",OR(J95="抵触",J95="不支持")),"高权力不支持；","")&amp;IF(L95&gt;0,"存在支持差距；","")&amp;IF(AND(T95&lt;&gt;"",T95&lt;项目驾驶舱!$B$3),"沟通逾期；","")&amp;IF(AND(V95&lt;&gt;"",X95&lt;项目驾驶舱!$B$3,Y95&lt;&gt;"已完成"),"行动逾期；","")&amp;IF(AND(Z95="是",AA95=""),"未填升级对象",""))</x:f>
        <x:v>#NAME?</x:v>
      </x:c>
      <x:c r="AC95" s="10"/>
    </x:row>
    <x:row r="96">
      <x:c r="A96" s="8" t="str">
        <x:f t="shared" si="3"/>
      </x:c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8" t="str">
        <x:f t="shared" si="4"/>
      </x:c>
      <x:c r="M96" s="10"/>
      <x:c r="N96" s="10" t="str">
        <x:f t="shared" si="5"/>
      </x:c>
      <x:c r="O96" s="10"/>
      <x:c r="P96" s="10"/>
      <x:c r="Q96" s="10"/>
      <x:c r="R96" s="10"/>
      <x:c r="S96" s="11"/>
      <x:c r="T96" s="11"/>
      <x:c r="U96" s="10"/>
      <x:c r="V96" s="10"/>
      <x:c r="W96" s="10"/>
      <x:c r="X96" s="11"/>
      <x:c r="Y96" s="10"/>
      <x:c r="Z96" s="10"/>
      <x:c r="AA96" s="10"/>
      <x:c r="AB96" s="8" t="e">
        <x:f>IF(B96="","",IF(AND(H96="高",OR(J96="抵触",J96="不支持")),"高权力不支持；","")&amp;IF(L96&gt;0,"存在支持差距；","")&amp;IF(AND(T96&lt;&gt;"",T96&lt;项目驾驶舱!$B$3),"沟通逾期；","")&amp;IF(AND(V96&lt;&gt;"",X96&lt;项目驾驶舱!$B$3,Y96&lt;&gt;"已完成"),"行动逾期；","")&amp;IF(AND(Z96="是",AA96=""),"未填升级对象",""))</x:f>
        <x:v>#NAME?</x:v>
      </x:c>
      <x:c r="AC96" s="10"/>
    </x:row>
    <x:row r="97">
      <x:c r="A97" s="8" t="str">
        <x:f t="shared" si="3"/>
      </x:c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8" t="str">
        <x:f t="shared" si="4"/>
      </x:c>
      <x:c r="M97" s="10"/>
      <x:c r="N97" s="10" t="str">
        <x:f t="shared" si="5"/>
      </x:c>
      <x:c r="O97" s="10"/>
      <x:c r="P97" s="10"/>
      <x:c r="Q97" s="10"/>
      <x:c r="R97" s="10"/>
      <x:c r="S97" s="11"/>
      <x:c r="T97" s="11"/>
      <x:c r="U97" s="10"/>
      <x:c r="V97" s="10"/>
      <x:c r="W97" s="10"/>
      <x:c r="X97" s="11"/>
      <x:c r="Y97" s="10"/>
      <x:c r="Z97" s="10"/>
      <x:c r="AA97" s="10"/>
      <x:c r="AB97" s="8" t="e">
        <x:f>IF(B97="","",IF(AND(H97="高",OR(J97="抵触",J97="不支持")),"高权力不支持；","")&amp;IF(L97&gt;0,"存在支持差距；","")&amp;IF(AND(T97&lt;&gt;"",T97&lt;项目驾驶舱!$B$3),"沟通逾期；","")&amp;IF(AND(V97&lt;&gt;"",X97&lt;项目驾驶舱!$B$3,Y97&lt;&gt;"已完成"),"行动逾期；","")&amp;IF(AND(Z97="是",AA97=""),"未填升级对象",""))</x:f>
        <x:v>#NAME?</x:v>
      </x:c>
      <x:c r="AC97" s="10"/>
    </x:row>
    <x:row r="98">
      <x:c r="A98" s="8" t="str">
        <x:f t="shared" si="3"/>
      </x:c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8" t="str">
        <x:f t="shared" si="4"/>
      </x:c>
      <x:c r="M98" s="10"/>
      <x:c r="N98" s="10" t="str">
        <x:f t="shared" si="5"/>
      </x:c>
      <x:c r="O98" s="10"/>
      <x:c r="P98" s="10"/>
      <x:c r="Q98" s="10"/>
      <x:c r="R98" s="10"/>
      <x:c r="S98" s="11"/>
      <x:c r="T98" s="11"/>
      <x:c r="U98" s="10"/>
      <x:c r="V98" s="10"/>
      <x:c r="W98" s="10"/>
      <x:c r="X98" s="11"/>
      <x:c r="Y98" s="10"/>
      <x:c r="Z98" s="10"/>
      <x:c r="AA98" s="10"/>
      <x:c r="AB98" s="8" t="e">
        <x:f>IF(B98="","",IF(AND(H98="高",OR(J98="抵触",J98="不支持")),"高权力不支持；","")&amp;IF(L98&gt;0,"存在支持差距；","")&amp;IF(AND(T98&lt;&gt;"",T98&lt;项目驾驶舱!$B$3),"沟通逾期；","")&amp;IF(AND(V98&lt;&gt;"",X98&lt;项目驾驶舱!$B$3,Y98&lt;&gt;"已完成"),"行动逾期；","")&amp;IF(AND(Z98="是",AA98=""),"未填升级对象",""))</x:f>
        <x:v>#NAME?</x:v>
      </x:c>
      <x:c r="AC98" s="10"/>
    </x:row>
    <x:row r="99">
      <x:c r="A99" s="8" t="str">
        <x:f t="shared" si="3"/>
      </x:c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8" t="str">
        <x:f t="shared" si="4"/>
      </x:c>
      <x:c r="M99" s="10"/>
      <x:c r="N99" s="10" t="str">
        <x:f t="shared" si="5"/>
      </x:c>
      <x:c r="O99" s="10"/>
      <x:c r="P99" s="10"/>
      <x:c r="Q99" s="10"/>
      <x:c r="R99" s="10"/>
      <x:c r="S99" s="11"/>
      <x:c r="T99" s="11"/>
      <x:c r="U99" s="10"/>
      <x:c r="V99" s="10"/>
      <x:c r="W99" s="10"/>
      <x:c r="X99" s="11"/>
      <x:c r="Y99" s="10"/>
      <x:c r="Z99" s="10"/>
      <x:c r="AA99" s="10"/>
      <x:c r="AB99" s="8" t="e">
        <x:f>IF(B99="","",IF(AND(H99="高",OR(J99="抵触",J99="不支持")),"高权力不支持；","")&amp;IF(L99&gt;0,"存在支持差距；","")&amp;IF(AND(T99&lt;&gt;"",T99&lt;项目驾驶舱!$B$3),"沟通逾期；","")&amp;IF(AND(V99&lt;&gt;"",X99&lt;项目驾驶舱!$B$3,Y99&lt;&gt;"已完成"),"行动逾期；","")&amp;IF(AND(Z99="是",AA99=""),"未填升级对象",""))</x:f>
        <x:v>#NAME?</x:v>
      </x:c>
      <x:c r="AC99" s="10"/>
    </x:row>
    <x:row r="100">
      <x:c r="A100" s="8" t="str">
        <x:f t="shared" si="3"/>
      </x:c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8" t="str">
        <x:f t="shared" si="4"/>
      </x:c>
      <x:c r="M100" s="10"/>
      <x:c r="N100" s="10" t="str">
        <x:f t="shared" si="5"/>
      </x:c>
      <x:c r="O100" s="10"/>
      <x:c r="P100" s="10"/>
      <x:c r="Q100" s="10"/>
      <x:c r="R100" s="10"/>
      <x:c r="S100" s="11"/>
      <x:c r="T100" s="11"/>
      <x:c r="U100" s="10"/>
      <x:c r="V100" s="10"/>
      <x:c r="W100" s="10"/>
      <x:c r="X100" s="11"/>
      <x:c r="Y100" s="10"/>
      <x:c r="Z100" s="10"/>
      <x:c r="AA100" s="10"/>
      <x:c r="AB100" s="8" t="e">
        <x:f>IF(B100="","",IF(AND(H100="高",OR(J100="抵触",J100="不支持")),"高权力不支持；","")&amp;IF(L100&gt;0,"存在支持差距；","")&amp;IF(AND(T100&lt;&gt;"",T100&lt;项目驾驶舱!$B$3),"沟通逾期；","")&amp;IF(AND(V100&lt;&gt;"",X100&lt;项目驾驶舱!$B$3,Y100&lt;&gt;"已完成"),"行动逾期；","")&amp;IF(AND(Z100="是",AA100=""),"未填升级对象",""))</x:f>
        <x:v>#NAME?</x:v>
      </x:c>
      <x:c r="AC100" s="10"/>
    </x:row>
    <x:row r="101">
      <x:c r="A101" s="8" t="str">
        <x:f t="shared" si="3"/>
      </x:c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8" t="str">
        <x:f t="shared" si="4"/>
      </x:c>
      <x:c r="M101" s="10"/>
      <x:c r="N101" s="10" t="str">
        <x:f t="shared" si="5"/>
      </x:c>
      <x:c r="O101" s="10"/>
      <x:c r="P101" s="10"/>
      <x:c r="Q101" s="10"/>
      <x:c r="R101" s="10"/>
      <x:c r="S101" s="11"/>
      <x:c r="T101" s="11"/>
      <x:c r="U101" s="10"/>
      <x:c r="V101" s="10"/>
      <x:c r="W101" s="10"/>
      <x:c r="X101" s="11"/>
      <x:c r="Y101" s="10"/>
      <x:c r="Z101" s="10"/>
      <x:c r="AA101" s="10"/>
      <x:c r="AB101" s="8" t="e">
        <x:f>IF(B101="","",IF(AND(H101="高",OR(J101="抵触",J101="不支持")),"高权力不支持；","")&amp;IF(L101&gt;0,"存在支持差距；","")&amp;IF(AND(T101&lt;&gt;"",T101&lt;项目驾驶舱!$B$3),"沟通逾期；","")&amp;IF(AND(V101&lt;&gt;"",X101&lt;项目驾驶舱!$B$3,Y101&lt;&gt;"已完成"),"行动逾期；","")&amp;IF(AND(Z101="是",AA101=""),"未填升级对象",""))</x:f>
        <x:v>#NAME?</x:v>
      </x:c>
      <x:c r="AC101" s="10"/>
    </x:row>
    <x:row r="102">
      <x:c r="A102" s="8" t="str">
        <x:f t="shared" si="3"/>
      </x:c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8" t="str">
        <x:f t="shared" si="4"/>
      </x:c>
      <x:c r="M102" s="10"/>
      <x:c r="N102" s="10" t="str">
        <x:f t="shared" si="5"/>
      </x:c>
      <x:c r="O102" s="10"/>
      <x:c r="P102" s="10"/>
      <x:c r="Q102" s="10"/>
      <x:c r="R102" s="10"/>
      <x:c r="S102" s="11"/>
      <x:c r="T102" s="11"/>
      <x:c r="U102" s="10"/>
      <x:c r="V102" s="10"/>
      <x:c r="W102" s="10"/>
      <x:c r="X102" s="11"/>
      <x:c r="Y102" s="10"/>
      <x:c r="Z102" s="10"/>
      <x:c r="AA102" s="10"/>
      <x:c r="AB102" s="8" t="e">
        <x:f>IF(B102="","",IF(AND(H102="高",OR(J102="抵触",J102="不支持")),"高权力不支持；","")&amp;IF(L102&gt;0,"存在支持差距；","")&amp;IF(AND(T102&lt;&gt;"",T102&lt;项目驾驶舱!$B$3),"沟通逾期；","")&amp;IF(AND(V102&lt;&gt;"",X102&lt;项目驾驶舱!$B$3,Y102&lt;&gt;"已完成"),"行动逾期；","")&amp;IF(AND(Z102="是",AA102=""),"未填升级对象",""))</x:f>
        <x:v>#NAME?</x:v>
      </x:c>
      <x:c r="AC102" s="10"/>
    </x:row>
    <x:row r="103">
      <x:c r="A103" s="8" t="str">
        <x:f t="shared" si="3"/>
      </x:c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8" t="str">
        <x:f t="shared" si="4"/>
      </x:c>
      <x:c r="M103" s="10"/>
      <x:c r="N103" s="10" t="str">
        <x:f t="shared" si="5"/>
      </x:c>
      <x:c r="O103" s="10"/>
      <x:c r="P103" s="10"/>
      <x:c r="Q103" s="10"/>
      <x:c r="R103" s="10"/>
      <x:c r="S103" s="11"/>
      <x:c r="T103" s="11"/>
      <x:c r="U103" s="10"/>
      <x:c r="V103" s="10"/>
      <x:c r="W103" s="10"/>
      <x:c r="X103" s="11"/>
      <x:c r="Y103" s="10"/>
      <x:c r="Z103" s="10"/>
      <x:c r="AA103" s="10"/>
      <x:c r="AB103" s="8" t="e">
        <x:f>IF(B103="","",IF(AND(H103="高",OR(J103="抵触",J103="不支持")),"高权力不支持；","")&amp;IF(L103&gt;0,"存在支持差距；","")&amp;IF(AND(T103&lt;&gt;"",T103&lt;项目驾驶舱!$B$3),"沟通逾期；","")&amp;IF(AND(V103&lt;&gt;"",X103&lt;项目驾驶舱!$B$3,Y103&lt;&gt;"已完成"),"行动逾期；","")&amp;IF(AND(Z103="是",AA103=""),"未填升级对象",""))</x:f>
        <x:v>#NAME?</x:v>
      </x:c>
      <x:c r="AC103" s="10"/>
    </x:row>
    <x:row r="104">
      <x:c r="A104" s="8" t="str">
        <x:f t="shared" si="3"/>
      </x:c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8" t="str">
        <x:f t="shared" si="4"/>
      </x:c>
      <x:c r="M104" s="10"/>
      <x:c r="N104" s="10" t="str">
        <x:f t="shared" si="5"/>
      </x:c>
      <x:c r="O104" s="10"/>
      <x:c r="P104" s="10"/>
      <x:c r="Q104" s="10"/>
      <x:c r="R104" s="10"/>
      <x:c r="S104" s="11"/>
      <x:c r="T104" s="11"/>
      <x:c r="U104" s="10"/>
      <x:c r="V104" s="10"/>
      <x:c r="W104" s="10"/>
      <x:c r="X104" s="11"/>
      <x:c r="Y104" s="10"/>
      <x:c r="Z104" s="10"/>
      <x:c r="AA104" s="10"/>
      <x:c r="AB104" s="8" t="e">
        <x:f>IF(B104="","",IF(AND(H104="高",OR(J104="抵触",J104="不支持")),"高权力不支持；","")&amp;IF(L104&gt;0,"存在支持差距；","")&amp;IF(AND(T104&lt;&gt;"",T104&lt;项目驾驶舱!$B$3),"沟通逾期；","")&amp;IF(AND(V104&lt;&gt;"",X104&lt;项目驾驶舱!$B$3,Y104&lt;&gt;"已完成"),"行动逾期；","")&amp;IF(AND(Z104="是",AA104=""),"未填升级对象",""))</x:f>
        <x:v>#NAME?</x:v>
      </x:c>
      <x:c r="AC104" s="10"/>
    </x:row>
    <x:row r="105">
      <x:c r="A105" s="8" t="str">
        <x:f t="shared" si="3"/>
      </x:c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8" t="str">
        <x:f t="shared" si="4"/>
      </x:c>
      <x:c r="M105" s="10"/>
      <x:c r="N105" s="10" t="str">
        <x:f t="shared" si="5"/>
      </x:c>
      <x:c r="O105" s="10"/>
      <x:c r="P105" s="10"/>
      <x:c r="Q105" s="10"/>
      <x:c r="R105" s="10"/>
      <x:c r="S105" s="11"/>
      <x:c r="T105" s="11"/>
      <x:c r="U105" s="10"/>
      <x:c r="V105" s="10"/>
      <x:c r="W105" s="10"/>
      <x:c r="X105" s="11"/>
      <x:c r="Y105" s="10"/>
      <x:c r="Z105" s="10"/>
      <x:c r="AA105" s="10"/>
      <x:c r="AB105" s="8" t="e">
        <x:f>IF(B105="","",IF(AND(H105="高",OR(J105="抵触",J105="不支持")),"高权力不支持；","")&amp;IF(L105&gt;0,"存在支持差距；","")&amp;IF(AND(T105&lt;&gt;"",T105&lt;项目驾驶舱!$B$3),"沟通逾期；","")&amp;IF(AND(V105&lt;&gt;"",X105&lt;项目驾驶舱!$B$3,Y105&lt;&gt;"已完成"),"行动逾期；","")&amp;IF(AND(Z105="是",AA105=""),"未填升级对象",""))</x:f>
        <x:v>#NAME?</x:v>
      </x:c>
      <x:c r="AC105" s="10"/>
    </x:row>
    <x:row r="106">
      <x:c r="A106" s="8" t="str">
        <x:f t="shared" si="3"/>
      </x:c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8" t="str">
        <x:f t="shared" si="4"/>
      </x:c>
      <x:c r="M106" s="10"/>
      <x:c r="N106" s="10" t="str">
        <x:f t="shared" si="5"/>
      </x:c>
      <x:c r="O106" s="10"/>
      <x:c r="P106" s="10"/>
      <x:c r="Q106" s="10"/>
      <x:c r="R106" s="10"/>
      <x:c r="S106" s="11"/>
      <x:c r="T106" s="11"/>
      <x:c r="U106" s="10"/>
      <x:c r="V106" s="10"/>
      <x:c r="W106" s="10"/>
      <x:c r="X106" s="11"/>
      <x:c r="Y106" s="10"/>
      <x:c r="Z106" s="10"/>
      <x:c r="AA106" s="10"/>
      <x:c r="AB106" s="8" t="e">
        <x:f>IF(B106="","",IF(AND(H106="高",OR(J106="抵触",J106="不支持")),"高权力不支持；","")&amp;IF(L106&gt;0,"存在支持差距；","")&amp;IF(AND(T106&lt;&gt;"",T106&lt;项目驾驶舱!$B$3),"沟通逾期；","")&amp;IF(AND(V106&lt;&gt;"",X106&lt;项目驾驶舱!$B$3,Y106&lt;&gt;"已完成"),"行动逾期；","")&amp;IF(AND(Z106="是",AA106=""),"未填升级对象",""))</x:f>
        <x:v>#NAME?</x:v>
      </x:c>
      <x:c r="AC106" s="10"/>
    </x:row>
    <x:row r="107">
      <x:c r="A107" s="8" t="str">
        <x:f t="shared" si="3"/>
      </x:c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8" t="str">
        <x:f t="shared" si="4"/>
      </x:c>
      <x:c r="M107" s="10"/>
      <x:c r="N107" s="10" t="str">
        <x:f t="shared" si="5"/>
      </x:c>
      <x:c r="O107" s="10"/>
      <x:c r="P107" s="10"/>
      <x:c r="Q107" s="10"/>
      <x:c r="R107" s="10"/>
      <x:c r="S107" s="11"/>
      <x:c r="T107" s="11"/>
      <x:c r="U107" s="10"/>
      <x:c r="V107" s="10"/>
      <x:c r="W107" s="10"/>
      <x:c r="X107" s="11"/>
      <x:c r="Y107" s="10"/>
      <x:c r="Z107" s="10"/>
      <x:c r="AA107" s="10"/>
      <x:c r="AB107" s="8" t="e">
        <x:f>IF(B107="","",IF(AND(H107="高",OR(J107="抵触",J107="不支持")),"高权力不支持；","")&amp;IF(L107&gt;0,"存在支持差距；","")&amp;IF(AND(T107&lt;&gt;"",T107&lt;项目驾驶舱!$B$3),"沟通逾期；","")&amp;IF(AND(V107&lt;&gt;"",X107&lt;项目驾驶舱!$B$3,Y107&lt;&gt;"已完成"),"行动逾期；","")&amp;IF(AND(Z107="是",AA107=""),"未填升级对象",""))</x:f>
        <x:v>#NAME?</x:v>
      </x:c>
      <x:c r="AC107" s="10"/>
    </x:row>
    <x:row r="108">
      <x:c r="A108" s="8" t="str">
        <x:f t="shared" si="3"/>
      </x:c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8" t="str">
        <x:f t="shared" si="4"/>
      </x:c>
      <x:c r="M108" s="10"/>
      <x:c r="N108" s="10" t="str">
        <x:f t="shared" si="5"/>
      </x:c>
      <x:c r="O108" s="10"/>
      <x:c r="P108" s="10"/>
      <x:c r="Q108" s="10"/>
      <x:c r="R108" s="10"/>
      <x:c r="S108" s="11"/>
      <x:c r="T108" s="11"/>
      <x:c r="U108" s="10"/>
      <x:c r="V108" s="10"/>
      <x:c r="W108" s="10"/>
      <x:c r="X108" s="11"/>
      <x:c r="Y108" s="10"/>
      <x:c r="Z108" s="10"/>
      <x:c r="AA108" s="10"/>
      <x:c r="AB108" s="8" t="e">
        <x:f>IF(B108="","",IF(AND(H108="高",OR(J108="抵触",J108="不支持")),"高权力不支持；","")&amp;IF(L108&gt;0,"存在支持差距；","")&amp;IF(AND(T108&lt;&gt;"",T108&lt;项目驾驶舱!$B$3),"沟通逾期；","")&amp;IF(AND(V108&lt;&gt;"",X108&lt;项目驾驶舱!$B$3,Y108&lt;&gt;"已完成"),"行动逾期；","")&amp;IF(AND(Z108="是",AA108=""),"未填升级对象",""))</x:f>
        <x:v>#NAME?</x:v>
      </x:c>
      <x:c r="AC108" s="10"/>
    </x:row>
  </x:sheetData>
  <x:mergeCells>
    <x:mergeCell ref="A1:AC1"/>
    <x:mergeCell ref="A2:AC2"/>
    <x:mergeCell ref="A4:C4"/>
    <x:mergeCell ref="D4:F4"/>
    <x:mergeCell ref="G4:I4"/>
    <x:mergeCell ref="J4:L4"/>
    <x:mergeCell ref="M4:O4"/>
    <x:mergeCell ref="P4:R4"/>
    <x:mergeCell ref="S4:U4"/>
    <x:mergeCell ref="V4:X4"/>
    <x:mergeCell ref="A5:C5"/>
    <x:mergeCell ref="D5:F5"/>
    <x:mergeCell ref="G5:I5"/>
    <x:mergeCell ref="J5:L5"/>
    <x:mergeCell ref="M5:O5"/>
    <x:mergeCell ref="P5:R5"/>
    <x:mergeCell ref="S5:U5"/>
    <x:mergeCell ref="V5:X5"/>
  </x:mergeCells>
  <x:conditionalFormatting sqref="A9:AC108">
    <x:cfRule type="expression" dxfId="9" priority="1">
      <x:formula>$AB9&lt;&gt;""</x:formula>
    </x:cfRule>
    <x:cfRule type="expression" dxfId="10" priority="2">
      <x:formula>AND($AB9="",$B9&lt;&gt;"")</x:formula>
    </x:cfRule>
  </x:conditionalFormatting>
  <x:dataValidations count="8">
    <x:dataValidation type="list" allowBlank="1" sqref="E9:E108">
      <x:formula1>"决策方,业务方,建设方,使用方,监管方,供应商"</x:formula1>
    </x:dataValidation>
    <x:dataValidation type="list" allowBlank="1" sqref="M9:M108">
      <x:formula1>"正向,中性,负向"</x:formula1>
    </x:dataValidation>
    <x:dataValidation type="list" allowBlank="1" sqref="O9:O108">
      <x:formula1>"会议,周报,专题汇报,邮件,即时沟通"</x:formula1>
    </x:dataValidation>
    <x:dataValidation type="list" allowBlank="1" sqref="P9:P108">
      <x:formula1>"随时,每周,双周,每月,里程碑"</x:formula1>
    </x:dataValidation>
    <x:dataValidation type="list" allowBlank="1" sqref="Y9:Y108">
      <x:formula1>"未开始,进行中,已完成,暂停"</x:formula1>
    </x:dataValidation>
    <x:dataValidation type="list" allowBlank="1" sqref="Z9:Z108">
      <x:formula1>"是,否"</x:formula1>
    </x:dataValidation>
    <x:dataValidation type="list" allowBlank="1" sqref="H9:I108">
      <x:formula1>"高,中,低"</x:formula1>
    </x:dataValidation>
    <x:dataValidation type="list" allowBlank="1" sqref="J9:K108">
      <x:formula1>"抵触,不支持,中立,支持,积极推动"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ColWidth="9" defaultRowHeight="16.799999237060547"/>
  <x:cols>
    <x:col min="1" max="1" width="18" style="1" customWidth="1"/>
    <x:col min="2" max="2" width="28" style="1" customWidth="1"/>
    <x:col min="3" max="3" width="24" style="1" customWidth="1"/>
    <x:col min="4" max="5" width="16" style="1" customWidth="1"/>
    <x:col min="6" max="6" width="20" style="1" customWidth="1"/>
    <x:col min="7" max="7" width="24" style="1" customWidth="1"/>
    <x:col min="8" max="9" width="18" style="1" customWidth="1"/>
    <x:col min="10" max="10" width="24" style="1" customWidth="1"/>
  </x:cols>
  <x:sheetData>
    <x:row r="1" ht="28" customHeight="1">
      <x:c r="A1" s="44" t="s">
        <x:v>120</x:v>
      </x:c>
    </x:row>
    <x:row r="2" ht="24" customHeight="1">
      <x:c r="A2" s="45" t="s">
        <x:v>121</x:v>
      </x:c>
    </x:row>
    <x:row r="4" ht="17">
      <x:c r="A4" s="36" t="s">
        <x:v>122</x:v>
      </x:c>
      <x:c r="B4" s="60" t="str">
        <x:v>某大型能源集团合同全生命周期管理系统</x:v>
      </x:c>
      <x:c r="C4" s="61"/>
      <x:c r="D4" s="62"/>
      <x:c r="F4" s="36" t="s">
        <x:v>123</x:v>
      </x:c>
      <x:c r="G4" s="60" t="s">
        <x:v>124</x:v>
      </x:c>
      <x:c r="H4" s="61"/>
      <x:c r="I4" s="61"/>
      <x:c r="J4" s="62"/>
    </x:row>
    <x:row r="5" ht="17">
      <x:c r="A5" s="36" t="s">
        <x:v>125</x:v>
      </x:c>
      <x:c r="B5" s="60" t="s">
        <x:v>126</x:v>
      </x:c>
      <x:c r="C5" s="61"/>
      <x:c r="D5" s="62"/>
      <x:c r="F5" s="36" t="s">
        <x:v>127</x:v>
      </x:c>
      <x:c r="G5" s="60" t="s">
        <x:v>128</x:v>
      </x:c>
      <x:c r="H5" s="61"/>
      <x:c r="I5" s="61"/>
      <x:c r="J5" s="62"/>
    </x:row>
    <x:row r="6" ht="17">
      <x:c r="A6" s="36" t="s">
        <x:v>0</x:v>
      </x:c>
      <x:c r="B6" s="63" t="e">
        <x:f>项目驾驶舱!B3</x:f>
        <x:v>#NAME?</x:v>
      </x:c>
      <x:c r="C6" s="64"/>
      <x:c r="D6" s="65"/>
      <x:c r="F6" s="36" t="s">
        <x:v>129</x:v>
      </x:c>
      <x:c r="G6" s="60" t="s">
        <x:v>130</x:v>
      </x:c>
      <x:c r="H6" s="61"/>
      <x:c r="I6" s="61"/>
      <x:c r="J6" s="62"/>
    </x:row>
    <x:row r="7" ht="17">
      <x:c r="A7" s="36" t="s">
        <x:v>131</x:v>
      </x:c>
      <x:c r="B7" s="60" t="s">
        <x:v>132</x:v>
      </x:c>
      <x:c r="C7" s="61"/>
      <x:c r="D7" s="62"/>
      <x:c r="F7" s="36" t="s">
        <x:v>133</x:v>
      </x:c>
      <x:c r="G7" s="60" t="s">
        <x:v>134</x:v>
      </x:c>
      <x:c r="H7" s="61"/>
      <x:c r="I7" s="61"/>
      <x:c r="J7" s="62"/>
    </x:row>
    <x:row r="9" ht="17.600000381469727">
      <x:c r="A9" s="50" t="s">
        <x:v>135</x:v>
      </x:c>
    </x:row>
    <x:row r="10" ht="34" customHeight="1">
      <x:c r="A10" s="7" t="s">
        <x:v>71</x:v>
      </x:c>
      <x:c r="B10" s="7" t="s">
        <x:v>136</x:v>
      </x:c>
      <x:c r="C10" s="7" t="s">
        <x:v>137</x:v>
      </x:c>
      <x:c r="D10" s="7" t="s">
        <x:v>138</x:v>
      </x:c>
      <x:c r="E10" s="7" t="s">
        <x:v>139</x:v>
      </x:c>
    </x:row>
    <x:row r="11">
      <x:c r="A11" s="8" t="s">
        <x:v>140</x:v>
      </x:c>
      <x:c r="B11" s="8" t="s">
        <x:v>141</x:v>
      </x:c>
      <x:c r="C11" s="8" t="s">
        <x:v>142</x:v>
      </x:c>
      <x:c r="D11" s="8" t="s">
        <x:v>143</x:v>
      </x:c>
      <x:c r="E11" s="8" t="s">
        <x:v>144</x:v>
      </x:c>
    </x:row>
    <x:row r="12">
      <x:c r="A12" s="8" t="s">
        <x:v>124</x:v>
      </x:c>
      <x:c r="B12" s="8" t="s">
        <x:v>145</x:v>
      </x:c>
      <x:c r="C12" s="8" t="s">
        <x:v>146</x:v>
      </x:c>
      <x:c r="D12" s="8" t="s">
        <x:v>147</x:v>
      </x:c>
      <x:c r="E12" s="8" t="s">
        <x:v>148</x:v>
      </x:c>
    </x:row>
    <x:row r="13">
      <x:c r="A13" s="8" t="s">
        <x:v>149</x:v>
      </x:c>
      <x:c r="B13" s="8" t="s">
        <x:v>150</x:v>
      </x:c>
      <x:c r="C13" s="8" t="s">
        <x:v>151</x:v>
      </x:c>
      <x:c r="D13" s="8" t="s">
        <x:v>152</x:v>
      </x:c>
      <x:c r="E13" s="8" t="s">
        <x:v>153</x:v>
      </x:c>
    </x:row>
    <x:row r="14">
      <x:c r="A14" s="8" t="s">
        <x:v>154</x:v>
      </x:c>
      <x:c r="B14" s="8" t="s">
        <x:v>155</x:v>
      </x:c>
      <x:c r="C14" s="8" t="s">
        <x:v>156</x:v>
      </x:c>
      <x:c r="D14" s="8" t="s">
        <x:v>157</x:v>
      </x:c>
      <x:c r="E14" s="8" t="s">
        <x:v>158</x:v>
      </x:c>
    </x:row>
    <x:row r="15">
      <x:c r="A15" s="8" t="s">
        <x:v>159</x:v>
      </x:c>
      <x:c r="B15" s="8" t="s">
        <x:v>160</x:v>
      </x:c>
      <x:c r="C15" s="8" t="s">
        <x:v>161</x:v>
      </x:c>
      <x:c r="D15" s="8" t="s">
        <x:v>162</x:v>
      </x:c>
      <x:c r="E15" s="8" t="s">
        <x:v>163</x:v>
      </x:c>
    </x:row>
    <x:row r="17" ht="17.600000381469727">
      <x:c r="A17" s="50" t="s">
        <x:v>164</x:v>
      </x:c>
    </x:row>
    <x:row r="18">
      <x:c r="A18" s="66" t="s">
        <x:v>165</x:v>
      </x:c>
      <x:c r="C18" s="66" t="s">
        <x:v>166</x:v>
      </x:c>
      <x:c r="E18" s="66" t="s">
        <x:v>167</x:v>
      </x:c>
      <x:c r="G18" s="66" t="s">
        <x:v>168</x:v>
      </x:c>
    </x:row>
    <x:row r="19">
      <x:c r="A19" s="66" t="s">
        <x:v>169</x:v>
      </x:c>
      <x:c r="C19" s="66" t="s">
        <x:v>170</x:v>
      </x:c>
      <x:c r="E19" s="66" t="s">
        <x:v>171</x:v>
      </x:c>
      <x:c r="G19" s="66" t="s">
        <x:v>172</x:v>
      </x:c>
    </x:row>
    <x:row r="20">
      <x:c r="A20" s="66" t="s">
        <x:v>173</x:v>
      </x:c>
      <x:c r="C20" s="66" t="s">
        <x:v>174</x:v>
      </x:c>
      <x:c r="E20" s="66" t="s">
        <x:v>175</x:v>
      </x:c>
      <x:c r="G20" s="66" t="s">
        <x:v>176</x:v>
      </x:c>
    </x:row>
    <x:row r="21">
      <x:c r="A21" s="66" t="s">
        <x:v>177</x:v>
      </x:c>
      <x:c r="C21" s="66" t="s">
        <x:v>178</x:v>
      </x:c>
      <x:c r="E21" s="66" t="s">
        <x:v>179</x:v>
      </x:c>
      <x:c r="G21" s="66" t="s">
        <x:v>180</x:v>
      </x:c>
    </x:row>
    <x:row r="23" ht="17.600000381469727">
      <x:c r="A23" s="50" t="s">
        <x:v>181</x:v>
      </x:c>
    </x:row>
    <x:row r="24" ht="34" customHeight="1">
      <x:c r="A24" s="7" t="s">
        <x:v>182</x:v>
      </x:c>
      <x:c r="B24" s="7" t="s">
        <x:v>183</x:v>
      </x:c>
      <x:c r="C24" s="7" t="s">
        <x:v>184</x:v>
      </x:c>
      <x:c r="D24" s="7" t="s">
        <x:v>185</x:v>
      </x:c>
      <x:c r="E24" s="7" t="s">
        <x:v>186</x:v>
      </x:c>
      <x:c r="F24" s="7" t="s">
        <x:v>187</x:v>
      </x:c>
    </x:row>
    <x:row r="25">
      <x:c r="A25" s="8">
        <x:v>1</x:v>
      </x:c>
      <x:c r="B25" s="8" t="s">
        <x:v>188</x:v>
      </x:c>
      <x:c r="C25" s="8" t="s">
        <x:v>189</x:v>
      </x:c>
      <x:c r="D25" s="8" t="s">
        <x:v>190</x:v>
      </x:c>
      <x:c r="E25" s="8" t="s">
        <x:v>191</x:v>
      </x:c>
      <x:c r="F25" s="8" t="s">
        <x:v>192</x:v>
      </x:c>
    </x:row>
    <x:row r="26">
      <x:c r="A26" s="8">
        <x:v>2</x:v>
      </x:c>
      <x:c r="B26" s="8" t="s">
        <x:v>193</x:v>
      </x:c>
      <x:c r="C26" s="8" t="s">
        <x:v>194</x:v>
      </x:c>
      <x:c r="D26" s="8" t="s">
        <x:v>195</x:v>
      </x:c>
      <x:c r="E26" s="8" t="s">
        <x:v>196</x:v>
      </x:c>
      <x:c r="F26" s="8" t="s">
        <x:v>197</x:v>
      </x:c>
    </x:row>
    <x:row r="27">
      <x:c r="A27" s="8">
        <x:v>3</x:v>
      </x:c>
      <x:c r="B27" s="8" t="s">
        <x:v>198</x:v>
      </x:c>
      <x:c r="C27" s="8" t="s">
        <x:v>199</x:v>
      </x:c>
      <x:c r="D27" s="8" t="s">
        <x:v>200</x:v>
      </x:c>
      <x:c r="E27" s="8" t="s">
        <x:v>201</x:v>
      </x:c>
      <x:c r="F27" s="8" t="s">
        <x:v>202</x:v>
      </x:c>
    </x:row>
    <x:row r="28">
      <x:c r="A28" s="8">
        <x:v>4</x:v>
      </x:c>
      <x:c r="B28" s="8" t="s">
        <x:v>203</x:v>
      </x:c>
      <x:c r="C28" s="8" t="s">
        <x:v>204</x:v>
      </x:c>
      <x:c r="D28" s="8" t="s">
        <x:v>205</x:v>
      </x:c>
      <x:c r="E28" s="8" t="s">
        <x:v>206</x:v>
      </x:c>
      <x:c r="F28" s="8" t="s">
        <x:v>207</x:v>
      </x:c>
    </x:row>
    <x:row r="29">
      <x:c r="A29" s="8">
        <x:v>5</x:v>
      </x:c>
      <x:c r="B29" s="8" t="s">
        <x:v>208</x:v>
      </x:c>
      <x:c r="C29" s="8" t="s">
        <x:v>209</x:v>
      </x:c>
      <x:c r="D29" s="8" t="s">
        <x:v>210</x:v>
      </x:c>
      <x:c r="E29" s="8" t="s">
        <x:v>206</x:v>
      </x:c>
      <x:c r="F29" s="8" t="s">
        <x:v>211</x:v>
      </x:c>
    </x:row>
  </x:sheetData>
  <x:mergeCells>
    <x:mergeCell ref="A1:J1"/>
    <x:mergeCell ref="A2:J2"/>
    <x:mergeCell ref="B4:D4"/>
    <x:mergeCell ref="G4:J4"/>
    <x:mergeCell ref="B5:D5"/>
    <x:mergeCell ref="G5:J5"/>
    <x:mergeCell ref="B6:D6"/>
    <x:mergeCell ref="G6:J6"/>
    <x:mergeCell ref="B7:D7"/>
    <x:mergeCell ref="G7:J7"/>
    <x:mergeCell ref="A18:B18"/>
    <x:mergeCell ref="C18:D18"/>
    <x:mergeCell ref="E18:F18"/>
    <x:mergeCell ref="G18:H18"/>
    <x:mergeCell ref="A19:B19"/>
    <x:mergeCell ref="C19:D19"/>
    <x:mergeCell ref="E19:F19"/>
    <x:mergeCell ref="G19:H19"/>
    <x:mergeCell ref="A20:B20"/>
    <x:mergeCell ref="C20:D20"/>
    <x:mergeCell ref="E20:F20"/>
    <x:mergeCell ref="G20:H20"/>
    <x:mergeCell ref="A21:B21"/>
    <x:mergeCell ref="C21:D21"/>
    <x:mergeCell ref="E21:F21"/>
    <x:mergeCell ref="G21:H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ColWidth="9" defaultRowHeight="16.799999237060547"/>
  <x:cols>
    <x:col min="1" max="1" width="13" style="1" customWidth="1"/>
    <x:col min="2" max="2" width="24" style="1" customWidth="1"/>
    <x:col min="3" max="3" width="10" style="1" customWidth="1"/>
    <x:col min="4" max="4" width="20" style="1" customWidth="1"/>
    <x:col min="5" max="5" width="16" style="1" customWidth="1"/>
    <x:col min="6" max="6" width="26" style="1" customWidth="1"/>
    <x:col min="7" max="7" width="28" style="1" customWidth="1"/>
    <x:col min="8" max="8" width="30" style="1" customWidth="1"/>
    <x:col min="9" max="10" width="14" style="1" customWidth="1"/>
    <x:col min="11" max="11" width="18" style="1" customWidth="1"/>
    <x:col min="12" max="12" width="9" style="1" customWidth="1"/>
    <x:col min="13" max="16" width="11" style="1" customWidth="1"/>
    <x:col min="17" max="17" width="13" style="1" customWidth="1"/>
    <x:col min="18" max="18" width="15" style="1" customWidth="1"/>
    <x:col min="19" max="19" width="13" style="1" customWidth="1"/>
    <x:col min="20" max="20" width="11" style="1" customWidth="1"/>
    <x:col min="21" max="22" width="13" style="1" customWidth="1"/>
    <x:col min="23" max="23" width="15" style="1" customWidth="1"/>
    <x:col min="24" max="24" width="16" style="1" customWidth="1"/>
    <x:col min="25" max="25" width="13" style="1" customWidth="1"/>
    <x:col min="26" max="26" width="25" style="1" customWidth="1"/>
    <x:col min="27" max="27" width="18" style="1" customWidth="1"/>
    <x:col min="28" max="28" width="14" style="1" customWidth="1"/>
    <x:col min="29" max="30" width="13" style="1" customWidth="1"/>
    <x:col min="31" max="32" width="11" style="1" customWidth="1"/>
    <x:col min="33" max="34" width="13" style="1" customWidth="1"/>
    <x:col min="35" max="35" width="10" style="1" customWidth="1"/>
    <x:col min="36" max="36" width="13" style="1" customWidth="1"/>
    <x:col min="37" max="37" width="15" style="1" customWidth="1"/>
    <x:col min="38" max="40" width="14" style="1" customWidth="1"/>
    <x:col min="41" max="41" width="28" style="1" customWidth="1"/>
    <x:col min="42" max="42" width="11" style="1" customWidth="1"/>
    <x:col min="43" max="43" width="24" style="1" customWidth="1"/>
    <x:col min="44" max="44" width="10" style="1" hidden="1" customWidth="1"/>
  </x:cols>
  <x:sheetData>
    <x:row r="1" ht="28" customHeight="1">
      <x:c r="A1" s="44" t="s">
        <x:v>212</x:v>
      </x:c>
    </x:row>
    <x:row r="2" ht="24" customHeight="1">
      <x:c r="A2" s="45" t="s">
        <x:v>213</x:v>
      </x:c>
    </x:row>
    <x:row r="4">
      <x:c r="A4" s="58" t="s">
        <x:v>214</x:v>
      </x:c>
      <x:c r="B4" s="6"/>
      <x:c r="C4" s="6"/>
      <x:c r="D4" s="58" t="s">
        <x:v>215</x:v>
      </x:c>
      <x:c r="E4" s="6"/>
      <x:c r="F4" s="6"/>
      <x:c r="G4" s="58" t="s">
        <x:v>9</x:v>
      </x:c>
      <x:c r="H4" s="6"/>
      <x:c r="I4" s="6"/>
      <x:c r="J4" s="58" t="s">
        <x:v>216</x:v>
      </x:c>
      <x:c r="K4" s="6"/>
      <x:c r="L4" s="6"/>
      <x:c r="M4" s="58" t="s">
        <x:v>36</x:v>
      </x:c>
      <x:c r="N4" s="6"/>
      <x:c r="O4" s="6"/>
      <x:c r="P4" s="58" t="s">
        <x:v>217</x:v>
      </x:c>
      <x:c r="Q4" s="6"/>
      <x:c r="R4" s="6"/>
      <x:c r="S4" s="58" t="s">
        <x:v>218</x:v>
      </x:c>
      <x:c r="T4" s="6"/>
      <x:c r="U4" s="6"/>
    </x:row>
    <x:row r="5" ht="22">
      <x:c r="A5" s="59" t="n">
        <x:f>COUNTIFS($B$9:$B$108,"&lt;&gt;")</x:f>
        <x:v>0</x:v>
      </x:c>
      <x:c r="B5" s="6"/>
      <x:c r="C5" s="6"/>
      <x:c r="D5" s="59" t="n">
        <x:f>COUNTIFS($B$9:$B$108,"&lt;&gt;",$AH$9:$AH$108,"重大")</x:f>
        <x:v>0</x:v>
      </x:c>
      <x:c r="E5" s="6"/>
      <x:c r="F5" s="6"/>
      <x:c r="G5" s="59" t="n">
        <x:f>COUNTIFS($B$9:$B$108,"&lt;&gt;",$AH$9:$AH$108,"高")</x:f>
        <x:v>0</x:v>
      </x:c>
      <x:c r="H5" s="6"/>
      <x:c r="I5" s="6"/>
      <x:c r="J5" s="59" t="n">
        <x:f>COUNTIFS($B$9:$B$108,"&lt;&gt;",$AJ$9:$AJ$108,"是")</x:f>
        <x:v>0</x:v>
      </x:c>
      <x:c r="K5" s="6"/>
      <x:c r="L5" s="6"/>
      <x:c r="M5" s="59" t="e">
        <x:f>COUNTIFS($B$9:$B$108,"&lt;&gt;",$AB$9:$AB$108,"&lt;"&amp;项目驾驶舱!$B$3,$AB$9:$AB$108,"&lt;&gt;",$AC$9:$AC$108,"&lt;&gt;已关闭")</x:f>
        <x:v>#NAME?</x:v>
      </x:c>
      <x:c r="N5" s="6"/>
      <x:c r="O5" s="6"/>
      <x:c r="P5" s="59" t="n">
        <x:f>COUNTIFS($B$9:$B$108,"&lt;&gt;",$W$9:$W$108,"")</x:f>
        <x:v>0</x:v>
      </x:c>
      <x:c r="Q5" s="6"/>
      <x:c r="R5" s="6"/>
      <x:c r="S5" s="59" t="n">
        <x:f>SUMIFS($AG$9:$AG$108,$B$9:$B$108,"&lt;&gt;")</x:f>
        <x:v>0</x:v>
      </x:c>
      <x:c r="T5" s="6"/>
      <x:c r="U5" s="6"/>
    </x:row>
    <x:row r="7" ht="17.600000381469727">
      <x:c r="A7" s="50" t="s">
        <x:v>219</x:v>
      </x:c>
    </x:row>
    <x:row r="8" ht="34" customHeight="1">
      <x:c r="A8" s="7" t="s">
        <x:v>220</x:v>
      </x:c>
      <x:c r="B8" s="7" t="s">
        <x:v>221</x:v>
      </x:c>
      <x:c r="C8" s="7" t="s">
        <x:v>222</x:v>
      </x:c>
      <x:c r="D8" s="7" t="s">
        <x:v>223</x:v>
      </x:c>
      <x:c r="E8" s="7" t="s">
        <x:v>125</x:v>
      </x:c>
      <x:c r="F8" s="7" t="s">
        <x:v>224</x:v>
      </x:c>
      <x:c r="G8" s="7" t="s">
        <x:v>225</x:v>
      </x:c>
      <x:c r="H8" s="7" t="s">
        <x:v>226</x:v>
      </x:c>
      <x:c r="I8" s="7" t="s">
        <x:v>227</x:v>
      </x:c>
      <x:c r="J8" s="7" t="s">
        <x:v>228</x:v>
      </x:c>
      <x:c r="K8" s="7" t="s">
        <x:v>229</x:v>
      </x:c>
      <x:c r="L8" s="7" t="s">
        <x:v>230</x:v>
      </x:c>
      <x:c r="M8" s="7" t="s">
        <x:v>231</x:v>
      </x:c>
      <x:c r="N8" s="7" t="s">
        <x:v>232</x:v>
      </x:c>
      <x:c r="O8" s="7" t="s">
        <x:v>233</x:v>
      </x:c>
      <x:c r="P8" s="7" t="s">
        <x:v>234</x:v>
      </x:c>
      <x:c r="Q8" s="7" t="s">
        <x:v>235</x:v>
      </x:c>
      <x:c r="R8" s="7" t="s">
        <x:v>236</x:v>
      </x:c>
      <x:c r="S8" s="7" t="s">
        <x:v>237</x:v>
      </x:c>
      <x:c r="T8" s="7" t="s">
        <x:v>238</x:v>
      </x:c>
      <x:c r="U8" s="7" t="s">
        <x:v>239</x:v>
      </x:c>
      <x:c r="V8" s="7" t="s">
        <x:v>240</x:v>
      </x:c>
      <x:c r="W8" s="7" t="s">
        <x:v>149</x:v>
      </x:c>
      <x:c r="X8" s="7" t="s">
        <x:v>241</x:v>
      </x:c>
      <x:c r="Y8" s="7" t="s">
        <x:v>242</x:v>
      </x:c>
      <x:c r="Z8" s="7" t="s">
        <x:v>243</x:v>
      </x:c>
      <x:c r="AA8" s="7" t="s">
        <x:v>244</x:v>
      </x:c>
      <x:c r="AB8" s="7" t="s">
        <x:v>245</x:v>
      </x:c>
      <x:c r="AC8" s="7" t="s">
        <x:v>20</x:v>
      </x:c>
      <x:c r="AD8" s="7" t="s">
        <x:v>246</x:v>
      </x:c>
      <x:c r="AE8" s="7" t="s">
        <x:v>247</x:v>
      </x:c>
      <x:c r="AF8" s="7" t="s">
        <x:v>248</x:v>
      </x:c>
      <x:c r="AG8" s="7" t="s">
        <x:v>249</x:v>
      </x:c>
      <x:c r="AH8" s="7" t="s">
        <x:v>250</x:v>
      </x:c>
      <x:c r="AI8" s="7" t="s">
        <x:v>251</x:v>
      </x:c>
      <x:c r="AJ8" s="7" t="s">
        <x:v>252</x:v>
      </x:c>
      <x:c r="AK8" s="7" t="s">
        <x:v>253</x:v>
      </x:c>
      <x:c r="AL8" s="7" t="s">
        <x:v>254</x:v>
      </x:c>
      <x:c r="AM8" s="7" t="s">
        <x:v>255</x:v>
      </x:c>
      <x:c r="AN8" s="7" t="s">
        <x:v>256</x:v>
      </x:c>
      <x:c r="AO8" s="7" t="s">
        <x:v>257</x:v>
      </x:c>
      <x:c r="AP8" s="7" t="s">
        <x:v>258</x:v>
      </x:c>
      <x:c r="AQ8" s="7" t="s">
        <x:v>259</x:v>
      </x:c>
      <x:c r="AR8" s="7" t="s">
        <x:v>260</x:v>
      </x:c>
    </x:row>
    <x:row r="9">
      <x:c r="A9" s="8" t="str">
        <x:f t="shared" ref="A9:A72" si="0">IF(B9="","","RSK-"&amp;TEXT(ROW()-8,"000"))</x:f>
      </x:c>
      <x:c r="B9" s="10"/>
      <x:c r="C9" s="10"/>
      <x:c r="D9" s="10"/>
      <x:c r="E9" s="10"/>
      <x:c r="F9" s="10"/>
      <x:c r="G9" s="10"/>
      <x:c r="H9" s="10"/>
      <x:c r="I9" s="10"/>
      <x:c r="J9" s="11"/>
      <x:c r="K9" s="10"/>
      <x:c r="L9" s="10"/>
      <x:c r="M9" s="10"/>
      <x:c r="N9" s="10"/>
      <x:c r="O9" s="10"/>
      <x:c r="P9" s="10"/>
      <x:c r="Q9" s="10"/>
      <x:c r="R9" s="10"/>
      <x:c r="S9" s="10"/>
      <x:c r="T9" s="8" t="str">
        <x:f t="shared" ref="T9:T72" si="1">IF(B9="","",MAX(M9:S9))</x:f>
      </x:c>
      <x:c r="U9" s="8" t="str">
        <x:f t="shared" ref="U9:U72" si="2">IF(OR(L9="",T9=""),"",L9*T9)</x:f>
      </x:c>
      <x:c r="V9" s="8" t="str">
        <x:f t="shared" ref="V9:V72" si="3">IF(U9="","",IF(OR(U9&gt;=17,T9=5),"重大",IF(U9&gt;=10,"高",IF(U9&gt;=5,"中","低"))))</x:f>
      </x:c>
      <x:c r="W9" s="10"/>
      <x:c r="X9" s="10"/>
      <x:c r="Y9" s="10"/>
      <x:c r="Z9" s="10"/>
      <x:c r="AA9" s="10"/>
      <x:c r="AB9" s="11"/>
      <x:c r="AC9" s="10"/>
      <x:c r="AD9" s="47"/>
      <x:c r="AE9" s="10"/>
      <x:c r="AF9" s="10"/>
      <x:c r="AG9" s="8" t="str">
        <x:f t="shared" ref="AG9:AG72" si="4">IF(OR(AE9="",AF9=""),"",AE9*AF9)</x:f>
      </x:c>
      <x:c r="AH9" s="8" t="str">
        <x:f t="shared" ref="AH9:AH72" si="5">IF(AG9="","",IF(OR(AG9&gt;=17,AF9=5),"重大",IF(AG9&gt;=10,"高",IF(AG9&gt;=5,"中","低"))))</x:f>
      </x:c>
      <x:c r="AI9" s="10"/>
      <x:c r="AJ9" s="10"/>
      <x:c r="AK9" s="10"/>
      <x:c r="AL9" s="11"/>
      <x:c r="AM9" s="11"/>
      <x:c r="AN9" s="11"/>
      <x:c r="AO9" s="10"/>
      <x:c r="AP9" s="8" t="e">
        <x:f>IF(B9="","",IF(OR(V9="重大",AH9="重大",AH9="高",AI9="上升",AJ9="是",AND(AB9&lt;&gt;"",AB9&lt;项目驾驶舱!$B$3,AC9&lt;&gt;"已关闭")),"是","否"))</x:f>
        <x:v>#NAME?</x:v>
      </x:c>
      <x:c r="AQ9" s="8" t="e">
        <x:f>IF(B9="","",IF(W9="","缺风险责任人",IF(AND(OR(V9="重大",V9="高"),Y9=""),"高风险缺应对策略",IF(AND(AJ9="是",AK9=""),"已发生未关联问题",IF(AND(AC9="已关闭",AO9=""),"关闭缺证据",IF(AND(AM9&lt;&gt;"",AM9&lt;项目驾驶舱!$B$3),"评审逾期",""))))))</x:f>
        <x:v>#NAME?</x:v>
      </x:c>
      <x:c r="AR9" s="8" t="e">
        <x:f>IF(AP9="是",COUNTIFS($AP$9:AP9,"是"),"")</x:f>
        <x:v>#NAME?</x:v>
      </x:c>
    </x:row>
    <x:row r="10">
      <x:c r="A10" s="8" t="str">
        <x:f t="shared" si="0"/>
      </x:c>
      <x:c r="B10" s="10"/>
      <x:c r="C10" s="10"/>
      <x:c r="D10" s="10"/>
      <x:c r="E10" s="10"/>
      <x:c r="F10" s="10"/>
      <x:c r="G10" s="10"/>
      <x:c r="H10" s="10"/>
      <x:c r="I10" s="10"/>
      <x:c r="J10" s="11"/>
      <x:c r="K10" s="10"/>
      <x:c r="L10" s="10"/>
      <x:c r="M10" s="10"/>
      <x:c r="N10" s="10"/>
      <x:c r="O10" s="10"/>
      <x:c r="P10" s="10"/>
      <x:c r="Q10" s="10"/>
      <x:c r="R10" s="10"/>
      <x:c r="S10" s="10"/>
      <x:c r="T10" s="8" t="str">
        <x:f t="shared" si="1"/>
      </x:c>
      <x:c r="U10" s="8" t="str">
        <x:f t="shared" si="2"/>
      </x:c>
      <x:c r="V10" s="8" t="str">
        <x:f t="shared" si="3"/>
      </x:c>
      <x:c r="W10" s="10"/>
      <x:c r="X10" s="10"/>
      <x:c r="Y10" s="10"/>
      <x:c r="Z10" s="10"/>
      <x:c r="AA10" s="10"/>
      <x:c r="AB10" s="11"/>
      <x:c r="AC10" s="10"/>
      <x:c r="AD10" s="47"/>
      <x:c r="AE10" s="10"/>
      <x:c r="AF10" s="10"/>
      <x:c r="AG10" s="8" t="str">
        <x:f t="shared" si="4"/>
      </x:c>
      <x:c r="AH10" s="8" t="str">
        <x:f t="shared" si="5"/>
      </x:c>
      <x:c r="AI10" s="10"/>
      <x:c r="AJ10" s="10"/>
      <x:c r="AK10" s="10"/>
      <x:c r="AL10" s="11"/>
      <x:c r="AM10" s="11"/>
      <x:c r="AN10" s="11"/>
      <x:c r="AO10" s="10"/>
      <x:c r="AP10" s="8" t="e">
        <x:f>IF(B10="","",IF(OR(V10="重大",AH10="重大",AH10="高",AI10="上升",AJ10="是",AND(AB10&lt;&gt;"",AB10&lt;项目驾驶舱!$B$3,AC10&lt;&gt;"已关闭")),"是","否"))</x:f>
        <x:v>#NAME?</x:v>
      </x:c>
      <x:c r="AQ10" s="8" t="e">
        <x:f>IF(B10="","",IF(W10="","缺风险责任人",IF(AND(OR(V10="重大",V10="高"),Y10=""),"高风险缺应对策略",IF(AND(AJ10="是",AK10=""),"已发生未关联问题",IF(AND(AC10="已关闭",AO10=""),"关闭缺证据",IF(AND(AM10&lt;&gt;"",AM10&lt;项目驾驶舱!$B$3),"评审逾期",""))))))</x:f>
        <x:v>#NAME?</x:v>
      </x:c>
      <x:c r="AR10" s="8" t="e">
        <x:f>IF(AP10="是",COUNTIFS($AP$9:AP10,"是"),"")</x:f>
        <x:v>#NAME?</x:v>
      </x:c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1"/>
      <x:c r="K11" s="10"/>
      <x:c r="L11" s="10"/>
      <x:c r="M11" s="10"/>
      <x:c r="N11" s="10"/>
      <x:c r="O11" s="10"/>
      <x:c r="P11" s="10"/>
      <x:c r="Q11" s="10"/>
      <x:c r="R11" s="10"/>
      <x:c r="S11" s="10"/>
      <x:c r="T11" s="8" t="str">
        <x:f t="shared" si="1"/>
      </x:c>
      <x:c r="U11" s="8" t="str">
        <x:f t="shared" si="2"/>
      </x:c>
      <x:c r="V11" s="8" t="str">
        <x:f t="shared" si="3"/>
      </x:c>
      <x:c r="W11" s="10"/>
      <x:c r="X11" s="10"/>
      <x:c r="Y11" s="10"/>
      <x:c r="Z11" s="10"/>
      <x:c r="AA11" s="10"/>
      <x:c r="AB11" s="11"/>
      <x:c r="AC11" s="10"/>
      <x:c r="AD11" s="47"/>
      <x:c r="AE11" s="10"/>
      <x:c r="AF11" s="10"/>
      <x:c r="AG11" s="8" t="str">
        <x:f t="shared" si="4"/>
      </x:c>
      <x:c r="AH11" s="8" t="str">
        <x:f t="shared" si="5"/>
      </x:c>
      <x:c r="AI11" s="10"/>
      <x:c r="AJ11" s="10"/>
      <x:c r="AK11" s="10"/>
      <x:c r="AL11" s="11"/>
      <x:c r="AM11" s="11"/>
      <x:c r="AN11" s="11"/>
      <x:c r="AO11" s="10"/>
      <x:c r="AP11" s="8" t="e">
        <x:f>IF(B11="","",IF(OR(V11="重大",AH11="重大",AH11="高",AI11="上升",AJ11="是",AND(AB11&lt;&gt;"",AB11&lt;项目驾驶舱!$B$3,AC11&lt;&gt;"已关闭")),"是","否"))</x:f>
        <x:v>#NAME?</x:v>
      </x:c>
      <x:c r="AQ11" s="8" t="e">
        <x:f>IF(B11="","",IF(W11="","缺风险责任人",IF(AND(OR(V11="重大",V11="高"),Y11=""),"高风险缺应对策略",IF(AND(AJ11="是",AK11=""),"已发生未关联问题",IF(AND(AC11="已关闭",AO11=""),"关闭缺证据",IF(AND(AM11&lt;&gt;"",AM11&lt;项目驾驶舱!$B$3),"评审逾期",""))))))</x:f>
        <x:v>#NAME?</x:v>
      </x:c>
      <x:c r="AR11" s="8" t="e">
        <x:f>IF(AP11="是",COUNTIFS($AP$9:AP11,"是"),"")</x:f>
        <x:v>#NAME?</x:v>
      </x:c>
    </x:row>
    <x:row r="12">
      <x:c r="A12" s="8" t="str">
        <x:f t="shared" si="0"/>
      </x:c>
      <x:c r="B12" s="10"/>
      <x:c r="C12" s="10"/>
      <x:c r="D12" s="10"/>
      <x:c r="E12" s="10"/>
      <x:c r="F12" s="10"/>
      <x:c r="G12" s="10"/>
      <x:c r="H12" s="10"/>
      <x:c r="I12" s="10"/>
      <x:c r="J12" s="11"/>
      <x:c r="K12" s="10"/>
      <x:c r="L12" s="10"/>
      <x:c r="M12" s="10"/>
      <x:c r="N12" s="10"/>
      <x:c r="O12" s="10"/>
      <x:c r="P12" s="10"/>
      <x:c r="Q12" s="10"/>
      <x:c r="R12" s="10"/>
      <x:c r="S12" s="10"/>
      <x:c r="T12" s="8" t="str">
        <x:f t="shared" si="1"/>
      </x:c>
      <x:c r="U12" s="8" t="str">
        <x:f t="shared" si="2"/>
      </x:c>
      <x:c r="V12" s="8" t="str">
        <x:f t="shared" si="3"/>
      </x:c>
      <x:c r="W12" s="10"/>
      <x:c r="X12" s="10"/>
      <x:c r="Y12" s="10"/>
      <x:c r="Z12" s="10"/>
      <x:c r="AA12" s="10"/>
      <x:c r="AB12" s="11"/>
      <x:c r="AC12" s="10"/>
      <x:c r="AD12" s="47"/>
      <x:c r="AE12" s="10"/>
      <x:c r="AF12" s="10"/>
      <x:c r="AG12" s="8" t="str">
        <x:f t="shared" si="4"/>
      </x:c>
      <x:c r="AH12" s="8" t="str">
        <x:f t="shared" si="5"/>
      </x:c>
      <x:c r="AI12" s="10"/>
      <x:c r="AJ12" s="10"/>
      <x:c r="AK12" s="10"/>
      <x:c r="AL12" s="11"/>
      <x:c r="AM12" s="11"/>
      <x:c r="AN12" s="11"/>
      <x:c r="AO12" s="10"/>
      <x:c r="AP12" s="8" t="e">
        <x:f>IF(B12="","",IF(OR(V12="重大",AH12="重大",AH12="高",AI12="上升",AJ12="是",AND(AB12&lt;&gt;"",AB12&lt;项目驾驶舱!$B$3,AC12&lt;&gt;"已关闭")),"是","否"))</x:f>
        <x:v>#NAME?</x:v>
      </x:c>
      <x:c r="AQ12" s="8" t="e">
        <x:f>IF(B12="","",IF(W12="","缺风险责任人",IF(AND(OR(V12="重大",V12="高"),Y12=""),"高风险缺应对策略",IF(AND(AJ12="是",AK12=""),"已发生未关联问题",IF(AND(AC12="已关闭",AO12=""),"关闭缺证据",IF(AND(AM12&lt;&gt;"",AM12&lt;项目驾驶舱!$B$3),"评审逾期",""))))))</x:f>
        <x:v>#NAME?</x:v>
      </x:c>
      <x:c r="AR12" s="8" t="e">
        <x:f>IF(AP12="是",COUNTIFS($AP$9:AP12,"是"),"")</x:f>
        <x:v>#NAME?</x:v>
      </x:c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1"/>
      <x:c r="K13" s="10"/>
      <x:c r="L13" s="10"/>
      <x:c r="M13" s="10"/>
      <x:c r="N13" s="10"/>
      <x:c r="O13" s="10"/>
      <x:c r="P13" s="10"/>
      <x:c r="Q13" s="10"/>
      <x:c r="R13" s="10"/>
      <x:c r="S13" s="10"/>
      <x:c r="T13" s="8" t="str">
        <x:f t="shared" si="1"/>
      </x:c>
      <x:c r="U13" s="8" t="str">
        <x:f t="shared" si="2"/>
      </x:c>
      <x:c r="V13" s="8" t="str">
        <x:f t="shared" si="3"/>
      </x:c>
      <x:c r="W13" s="10"/>
      <x:c r="X13" s="10"/>
      <x:c r="Y13" s="10"/>
      <x:c r="Z13" s="10"/>
      <x:c r="AA13" s="10"/>
      <x:c r="AB13" s="11"/>
      <x:c r="AC13" s="10"/>
      <x:c r="AD13" s="47"/>
      <x:c r="AE13" s="10"/>
      <x:c r="AF13" s="10"/>
      <x:c r="AG13" s="8" t="str">
        <x:f t="shared" si="4"/>
      </x:c>
      <x:c r="AH13" s="8" t="str">
        <x:f t="shared" si="5"/>
      </x:c>
      <x:c r="AI13" s="10"/>
      <x:c r="AJ13" s="10"/>
      <x:c r="AK13" s="10"/>
      <x:c r="AL13" s="11"/>
      <x:c r="AM13" s="11"/>
      <x:c r="AN13" s="11"/>
      <x:c r="AO13" s="10"/>
      <x:c r="AP13" s="8" t="e">
        <x:f>IF(B13="","",IF(OR(V13="重大",AH13="重大",AH13="高",AI13="上升",AJ13="是",AND(AB13&lt;&gt;"",AB13&lt;项目驾驶舱!$B$3,AC13&lt;&gt;"已关闭")),"是","否"))</x:f>
        <x:v>#NAME?</x:v>
      </x:c>
      <x:c r="AQ13" s="8" t="e">
        <x:f>IF(B13="","",IF(W13="","缺风险责任人",IF(AND(OR(V13="重大",V13="高"),Y13=""),"高风险缺应对策略",IF(AND(AJ13="是",AK13=""),"已发生未关联问题",IF(AND(AC13="已关闭",AO13=""),"关闭缺证据",IF(AND(AM13&lt;&gt;"",AM13&lt;项目驾驶舱!$B$3),"评审逾期",""))))))</x:f>
        <x:v>#NAME?</x:v>
      </x:c>
      <x:c r="AR13" s="8" t="e">
        <x:f>IF(AP13="是",COUNTIFS($AP$9:AP13,"是"),"")</x:f>
        <x:v>#NAME?</x:v>
      </x:c>
    </x:row>
    <x:row r="14">
      <x:c r="A14" s="8" t="str">
        <x:f t="shared" si="0"/>
      </x:c>
      <x:c r="B14" s="10"/>
      <x:c r="C14" s="10"/>
      <x:c r="D14" s="10"/>
      <x:c r="E14" s="10"/>
      <x:c r="F14" s="10"/>
      <x:c r="G14" s="10"/>
      <x:c r="H14" s="10"/>
      <x:c r="I14" s="10"/>
      <x:c r="J14" s="11"/>
      <x:c r="K14" s="10"/>
      <x:c r="L14" s="10"/>
      <x:c r="M14" s="10"/>
      <x:c r="N14" s="10"/>
      <x:c r="O14" s="10"/>
      <x:c r="P14" s="10"/>
      <x:c r="Q14" s="10"/>
      <x:c r="R14" s="10"/>
      <x:c r="S14" s="10"/>
      <x:c r="T14" s="8" t="str">
        <x:f t="shared" si="1"/>
      </x:c>
      <x:c r="U14" s="8" t="str">
        <x:f t="shared" si="2"/>
      </x:c>
      <x:c r="V14" s="8" t="str">
        <x:f t="shared" si="3"/>
      </x:c>
      <x:c r="W14" s="10"/>
      <x:c r="X14" s="10"/>
      <x:c r="Y14" s="10"/>
      <x:c r="Z14" s="10"/>
      <x:c r="AA14" s="10"/>
      <x:c r="AB14" s="11"/>
      <x:c r="AC14" s="10"/>
      <x:c r="AD14" s="47"/>
      <x:c r="AE14" s="10"/>
      <x:c r="AF14" s="10"/>
      <x:c r="AG14" s="8" t="str">
        <x:f t="shared" si="4"/>
      </x:c>
      <x:c r="AH14" s="8" t="str">
        <x:f t="shared" si="5"/>
      </x:c>
      <x:c r="AI14" s="10"/>
      <x:c r="AJ14" s="10"/>
      <x:c r="AK14" s="10"/>
      <x:c r="AL14" s="11"/>
      <x:c r="AM14" s="11"/>
      <x:c r="AN14" s="11"/>
      <x:c r="AO14" s="10"/>
      <x:c r="AP14" s="8" t="e">
        <x:f>IF(B14="","",IF(OR(V14="重大",AH14="重大",AH14="高",AI14="上升",AJ14="是",AND(AB14&lt;&gt;"",AB14&lt;项目驾驶舱!$B$3,AC14&lt;&gt;"已关闭")),"是","否"))</x:f>
        <x:v>#NAME?</x:v>
      </x:c>
      <x:c r="AQ14" s="8" t="e">
        <x:f>IF(B14="","",IF(W14="","缺风险责任人",IF(AND(OR(V14="重大",V14="高"),Y14=""),"高风险缺应对策略",IF(AND(AJ14="是",AK14=""),"已发生未关联问题",IF(AND(AC14="已关闭",AO14=""),"关闭缺证据",IF(AND(AM14&lt;&gt;"",AM14&lt;项目驾驶舱!$B$3),"评审逾期",""))))))</x:f>
        <x:v>#NAME?</x:v>
      </x:c>
      <x:c r="AR14" s="8" t="e">
        <x:f>IF(AP14="是",COUNTIFS($AP$9:AP14,"是"),"")</x:f>
        <x:v>#NAME?</x:v>
      </x:c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1"/>
      <x:c r="K15" s="10"/>
      <x:c r="L15" s="10"/>
      <x:c r="M15" s="10"/>
      <x:c r="N15" s="10"/>
      <x:c r="O15" s="10"/>
      <x:c r="P15" s="10"/>
      <x:c r="Q15" s="10"/>
      <x:c r="R15" s="10"/>
      <x:c r="S15" s="10"/>
      <x:c r="T15" s="8" t="str">
        <x:f t="shared" si="1"/>
      </x:c>
      <x:c r="U15" s="8" t="str">
        <x:f t="shared" si="2"/>
      </x:c>
      <x:c r="V15" s="8" t="str">
        <x:f t="shared" si="3"/>
      </x:c>
      <x:c r="W15" s="10"/>
      <x:c r="X15" s="10"/>
      <x:c r="Y15" s="10"/>
      <x:c r="Z15" s="10"/>
      <x:c r="AA15" s="10"/>
      <x:c r="AB15" s="11"/>
      <x:c r="AC15" s="10"/>
      <x:c r="AD15" s="47"/>
      <x:c r="AE15" s="10"/>
      <x:c r="AF15" s="10"/>
      <x:c r="AG15" s="8" t="str">
        <x:f t="shared" si="4"/>
      </x:c>
      <x:c r="AH15" s="8" t="str">
        <x:f t="shared" si="5"/>
      </x:c>
      <x:c r="AI15" s="10"/>
      <x:c r="AJ15" s="10"/>
      <x:c r="AK15" s="10"/>
      <x:c r="AL15" s="11"/>
      <x:c r="AM15" s="11"/>
      <x:c r="AN15" s="11"/>
      <x:c r="AO15" s="10"/>
      <x:c r="AP15" s="8" t="e">
        <x:f>IF(B15="","",IF(OR(V15="重大",AH15="重大",AH15="高",AI15="上升",AJ15="是",AND(AB15&lt;&gt;"",AB15&lt;项目驾驶舱!$B$3,AC15&lt;&gt;"已关闭")),"是","否"))</x:f>
        <x:v>#NAME?</x:v>
      </x:c>
      <x:c r="AQ15" s="8" t="e">
        <x:f>IF(B15="","",IF(W15="","缺风险责任人",IF(AND(OR(V15="重大",V15="高"),Y15=""),"高风险缺应对策略",IF(AND(AJ15="是",AK15=""),"已发生未关联问题",IF(AND(AC15="已关闭",AO15=""),"关闭缺证据",IF(AND(AM15&lt;&gt;"",AM15&lt;项目驾驶舱!$B$3),"评审逾期",""))))))</x:f>
        <x:v>#NAME?</x:v>
      </x:c>
      <x:c r="AR15" s="8" t="e">
        <x:f>IF(AP15="是",COUNTIFS($AP$9:AP15,"是"),"")</x:f>
        <x:v>#NAME?</x:v>
      </x:c>
    </x:row>
    <x:row r="16">
      <x:c r="A16" s="8" t="str">
        <x:f t="shared" si="0"/>
      </x:c>
      <x:c r="B16" s="10"/>
      <x:c r="C16" s="10"/>
      <x:c r="D16" s="10"/>
      <x:c r="E16" s="10"/>
      <x:c r="F16" s="10"/>
      <x:c r="G16" s="10"/>
      <x:c r="H16" s="10"/>
      <x:c r="I16" s="10"/>
      <x:c r="J16" s="11"/>
      <x:c r="K16" s="10"/>
      <x:c r="L16" s="10"/>
      <x:c r="M16" s="10"/>
      <x:c r="N16" s="10"/>
      <x:c r="O16" s="10"/>
      <x:c r="P16" s="10"/>
      <x:c r="Q16" s="10"/>
      <x:c r="R16" s="10"/>
      <x:c r="S16" s="10"/>
      <x:c r="T16" s="8" t="str">
        <x:f t="shared" si="1"/>
      </x:c>
      <x:c r="U16" s="8" t="str">
        <x:f t="shared" si="2"/>
      </x:c>
      <x:c r="V16" s="8" t="str">
        <x:f t="shared" si="3"/>
      </x:c>
      <x:c r="W16" s="10"/>
      <x:c r="X16" s="10"/>
      <x:c r="Y16" s="10"/>
      <x:c r="Z16" s="10"/>
      <x:c r="AA16" s="10"/>
      <x:c r="AB16" s="11"/>
      <x:c r="AC16" s="10"/>
      <x:c r="AD16" s="47"/>
      <x:c r="AE16" s="10"/>
      <x:c r="AF16" s="10"/>
      <x:c r="AG16" s="8" t="str">
        <x:f t="shared" si="4"/>
      </x:c>
      <x:c r="AH16" s="8" t="str">
        <x:f t="shared" si="5"/>
      </x:c>
      <x:c r="AI16" s="10"/>
      <x:c r="AJ16" s="10"/>
      <x:c r="AK16" s="10"/>
      <x:c r="AL16" s="11"/>
      <x:c r="AM16" s="11"/>
      <x:c r="AN16" s="11"/>
      <x:c r="AO16" s="10"/>
      <x:c r="AP16" s="8" t="e">
        <x:f>IF(B16="","",IF(OR(V16="重大",AH16="重大",AH16="高",AI16="上升",AJ16="是",AND(AB16&lt;&gt;"",AB16&lt;项目驾驶舱!$B$3,AC16&lt;&gt;"已关闭")),"是","否"))</x:f>
        <x:v>#NAME?</x:v>
      </x:c>
      <x:c r="AQ16" s="8" t="e">
        <x:f>IF(B16="","",IF(W16="","缺风险责任人",IF(AND(OR(V16="重大",V16="高"),Y16=""),"高风险缺应对策略",IF(AND(AJ16="是",AK16=""),"已发生未关联问题",IF(AND(AC16="已关闭",AO16=""),"关闭缺证据",IF(AND(AM16&lt;&gt;"",AM16&lt;项目驾驶舱!$B$3),"评审逾期",""))))))</x:f>
        <x:v>#NAME?</x:v>
      </x:c>
      <x:c r="AR16" s="8" t="e">
        <x:f>IF(AP16="是",COUNTIFS($AP$9:AP16,"是"),"")</x:f>
        <x:v>#NAME?</x:v>
      </x:c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1"/>
      <x:c r="K17" s="10"/>
      <x:c r="L17" s="10"/>
      <x:c r="M17" s="10"/>
      <x:c r="N17" s="10"/>
      <x:c r="O17" s="10"/>
      <x:c r="P17" s="10"/>
      <x:c r="Q17" s="10"/>
      <x:c r="R17" s="10"/>
      <x:c r="S17" s="10"/>
      <x:c r="T17" s="8" t="str">
        <x:f t="shared" si="1"/>
      </x:c>
      <x:c r="U17" s="8" t="str">
        <x:f t="shared" si="2"/>
      </x:c>
      <x:c r="V17" s="8" t="str">
        <x:f t="shared" si="3"/>
      </x:c>
      <x:c r="W17" s="10"/>
      <x:c r="X17" s="10"/>
      <x:c r="Y17" s="10"/>
      <x:c r="Z17" s="10"/>
      <x:c r="AA17" s="10"/>
      <x:c r="AB17" s="11"/>
      <x:c r="AC17" s="10"/>
      <x:c r="AD17" s="47"/>
      <x:c r="AE17" s="10"/>
      <x:c r="AF17" s="10"/>
      <x:c r="AG17" s="8" t="str">
        <x:f t="shared" si="4"/>
      </x:c>
      <x:c r="AH17" s="8" t="str">
        <x:f t="shared" si="5"/>
      </x:c>
      <x:c r="AI17" s="10"/>
      <x:c r="AJ17" s="10"/>
      <x:c r="AK17" s="10"/>
      <x:c r="AL17" s="11"/>
      <x:c r="AM17" s="11"/>
      <x:c r="AN17" s="11"/>
      <x:c r="AO17" s="10"/>
      <x:c r="AP17" s="8" t="e">
        <x:f>IF(B17="","",IF(OR(V17="重大",AH17="重大",AH17="高",AI17="上升",AJ17="是",AND(AB17&lt;&gt;"",AB17&lt;项目驾驶舱!$B$3,AC17&lt;&gt;"已关闭")),"是","否"))</x:f>
        <x:v>#NAME?</x:v>
      </x:c>
      <x:c r="AQ17" s="8" t="e">
        <x:f>IF(B17="","",IF(W17="","缺风险责任人",IF(AND(OR(V17="重大",V17="高"),Y17=""),"高风险缺应对策略",IF(AND(AJ17="是",AK17=""),"已发生未关联问题",IF(AND(AC17="已关闭",AO17=""),"关闭缺证据",IF(AND(AM17&lt;&gt;"",AM17&lt;项目驾驶舱!$B$3),"评审逾期",""))))))</x:f>
        <x:v>#NAME?</x:v>
      </x:c>
      <x:c r="AR17" s="8" t="e">
        <x:f>IF(AP17="是",COUNTIFS($AP$9:AP17,"是"),"")</x:f>
        <x:v>#NAME?</x:v>
      </x:c>
    </x:row>
    <x:row r="18">
      <x:c r="A18" s="8" t="str">
        <x:f t="shared" si="0"/>
      </x:c>
      <x:c r="B18" s="10"/>
      <x:c r="C18" s="10"/>
      <x:c r="D18" s="10"/>
      <x:c r="E18" s="10"/>
      <x:c r="F18" s="10"/>
      <x:c r="G18" s="10"/>
      <x:c r="H18" s="10"/>
      <x:c r="I18" s="10"/>
      <x:c r="J18" s="11"/>
      <x:c r="K18" s="10"/>
      <x:c r="L18" s="10"/>
      <x:c r="M18" s="10"/>
      <x:c r="N18" s="10"/>
      <x:c r="O18" s="10"/>
      <x:c r="P18" s="10"/>
      <x:c r="Q18" s="10"/>
      <x:c r="R18" s="10"/>
      <x:c r="S18" s="10"/>
      <x:c r="T18" s="8" t="str">
        <x:f t="shared" si="1"/>
      </x:c>
      <x:c r="U18" s="8" t="str">
        <x:f t="shared" si="2"/>
      </x:c>
      <x:c r="V18" s="8" t="str">
        <x:f t="shared" si="3"/>
      </x:c>
      <x:c r="W18" s="10"/>
      <x:c r="X18" s="10"/>
      <x:c r="Y18" s="10"/>
      <x:c r="Z18" s="10"/>
      <x:c r="AA18" s="10"/>
      <x:c r="AB18" s="11"/>
      <x:c r="AC18" s="10"/>
      <x:c r="AD18" s="47"/>
      <x:c r="AE18" s="10"/>
      <x:c r="AF18" s="10"/>
      <x:c r="AG18" s="8" t="str">
        <x:f t="shared" si="4"/>
      </x:c>
      <x:c r="AH18" s="8" t="str">
        <x:f t="shared" si="5"/>
      </x:c>
      <x:c r="AI18" s="10"/>
      <x:c r="AJ18" s="10"/>
      <x:c r="AK18" s="10"/>
      <x:c r="AL18" s="11"/>
      <x:c r="AM18" s="11"/>
      <x:c r="AN18" s="11"/>
      <x:c r="AO18" s="10"/>
      <x:c r="AP18" s="8" t="e">
        <x:f>IF(B18="","",IF(OR(V18="重大",AH18="重大",AH18="高",AI18="上升",AJ18="是",AND(AB18&lt;&gt;"",AB18&lt;项目驾驶舱!$B$3,AC18&lt;&gt;"已关闭")),"是","否"))</x:f>
        <x:v>#NAME?</x:v>
      </x:c>
      <x:c r="AQ18" s="8" t="e">
        <x:f>IF(B18="","",IF(W18="","缺风险责任人",IF(AND(OR(V18="重大",V18="高"),Y18=""),"高风险缺应对策略",IF(AND(AJ18="是",AK18=""),"已发生未关联问题",IF(AND(AC18="已关闭",AO18=""),"关闭缺证据",IF(AND(AM18&lt;&gt;"",AM18&lt;项目驾驶舱!$B$3),"评审逾期",""))))))</x:f>
        <x:v>#NAME?</x:v>
      </x:c>
      <x:c r="AR18" s="8" t="e">
        <x:f>IF(AP18="是",COUNTIFS($AP$9:AP18,"是"),"")</x:f>
        <x:v>#NAME?</x:v>
      </x:c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1"/>
      <x:c r="K19" s="10"/>
      <x:c r="L19" s="10"/>
      <x:c r="M19" s="10"/>
      <x:c r="N19" s="10"/>
      <x:c r="O19" s="10"/>
      <x:c r="P19" s="10"/>
      <x:c r="Q19" s="10"/>
      <x:c r="R19" s="10"/>
      <x:c r="S19" s="10"/>
      <x:c r="T19" s="8" t="str">
        <x:f t="shared" si="1"/>
      </x:c>
      <x:c r="U19" s="8" t="str">
        <x:f t="shared" si="2"/>
      </x:c>
      <x:c r="V19" s="8" t="str">
        <x:f t="shared" si="3"/>
      </x:c>
      <x:c r="W19" s="10"/>
      <x:c r="X19" s="10"/>
      <x:c r="Y19" s="10"/>
      <x:c r="Z19" s="10"/>
      <x:c r="AA19" s="10"/>
      <x:c r="AB19" s="11"/>
      <x:c r="AC19" s="10"/>
      <x:c r="AD19" s="47"/>
      <x:c r="AE19" s="10"/>
      <x:c r="AF19" s="10"/>
      <x:c r="AG19" s="8" t="str">
        <x:f t="shared" si="4"/>
      </x:c>
      <x:c r="AH19" s="8" t="str">
        <x:f t="shared" si="5"/>
      </x:c>
      <x:c r="AI19" s="10"/>
      <x:c r="AJ19" s="10"/>
      <x:c r="AK19" s="10"/>
      <x:c r="AL19" s="11"/>
      <x:c r="AM19" s="11"/>
      <x:c r="AN19" s="11"/>
      <x:c r="AO19" s="10"/>
      <x:c r="AP19" s="8" t="e">
        <x:f>IF(B19="","",IF(OR(V19="重大",AH19="重大",AH19="高",AI19="上升",AJ19="是",AND(AB19&lt;&gt;"",AB19&lt;项目驾驶舱!$B$3,AC19&lt;&gt;"已关闭")),"是","否"))</x:f>
        <x:v>#NAME?</x:v>
      </x:c>
      <x:c r="AQ19" s="8" t="e">
        <x:f>IF(B19="","",IF(W19="","缺风险责任人",IF(AND(OR(V19="重大",V19="高"),Y19=""),"高风险缺应对策略",IF(AND(AJ19="是",AK19=""),"已发生未关联问题",IF(AND(AC19="已关闭",AO19=""),"关闭缺证据",IF(AND(AM19&lt;&gt;"",AM19&lt;项目驾驶舱!$B$3),"评审逾期",""))))))</x:f>
        <x:v>#NAME?</x:v>
      </x:c>
      <x:c r="AR19" s="8" t="e">
        <x:f>IF(AP19="是",COUNTIFS($AP$9:AP19,"是"),"")</x:f>
        <x:v>#NAME?</x:v>
      </x:c>
    </x:row>
    <x:row r="20">
      <x:c r="A20" s="8" t="str">
        <x:f t="shared" si="0"/>
      </x:c>
      <x:c r="B20" s="10"/>
      <x:c r="C20" s="10"/>
      <x:c r="D20" s="10"/>
      <x:c r="E20" s="10"/>
      <x:c r="F20" s="10"/>
      <x:c r="G20" s="10"/>
      <x:c r="H20" s="10"/>
      <x:c r="I20" s="10"/>
      <x:c r="J20" s="11"/>
      <x:c r="K20" s="10"/>
      <x:c r="L20" s="10"/>
      <x:c r="M20" s="10"/>
      <x:c r="N20" s="10"/>
      <x:c r="O20" s="10"/>
      <x:c r="P20" s="10"/>
      <x:c r="Q20" s="10"/>
      <x:c r="R20" s="10"/>
      <x:c r="S20" s="10"/>
      <x:c r="T20" s="8" t="str">
        <x:f t="shared" si="1"/>
      </x:c>
      <x:c r="U20" s="8" t="str">
        <x:f t="shared" si="2"/>
      </x:c>
      <x:c r="V20" s="8" t="str">
        <x:f t="shared" si="3"/>
      </x:c>
      <x:c r="W20" s="10"/>
      <x:c r="X20" s="10"/>
      <x:c r="Y20" s="10"/>
      <x:c r="Z20" s="10"/>
      <x:c r="AA20" s="10"/>
      <x:c r="AB20" s="11"/>
      <x:c r="AC20" s="10"/>
      <x:c r="AD20" s="47"/>
      <x:c r="AE20" s="10"/>
      <x:c r="AF20" s="10"/>
      <x:c r="AG20" s="8" t="str">
        <x:f t="shared" si="4"/>
      </x:c>
      <x:c r="AH20" s="8" t="str">
        <x:f t="shared" si="5"/>
      </x:c>
      <x:c r="AI20" s="10"/>
      <x:c r="AJ20" s="10"/>
      <x:c r="AK20" s="10"/>
      <x:c r="AL20" s="11"/>
      <x:c r="AM20" s="11"/>
      <x:c r="AN20" s="11"/>
      <x:c r="AO20" s="10"/>
      <x:c r="AP20" s="8" t="e">
        <x:f>IF(B20="","",IF(OR(V20="重大",AH20="重大",AH20="高",AI20="上升",AJ20="是",AND(AB20&lt;&gt;"",AB20&lt;项目驾驶舱!$B$3,AC20&lt;&gt;"已关闭")),"是","否"))</x:f>
        <x:v>#NAME?</x:v>
      </x:c>
      <x:c r="AQ20" s="8" t="e">
        <x:f>IF(B20="","",IF(W20="","缺风险责任人",IF(AND(OR(V20="重大",V20="高"),Y20=""),"高风险缺应对策略",IF(AND(AJ20="是",AK20=""),"已发生未关联问题",IF(AND(AC20="已关闭",AO20=""),"关闭缺证据",IF(AND(AM20&lt;&gt;"",AM20&lt;项目驾驶舱!$B$3),"评审逾期",""))))))</x:f>
        <x:v>#NAME?</x:v>
      </x:c>
      <x:c r="AR20" s="8" t="e">
        <x:f>IF(AP20="是",COUNTIFS($AP$9:AP20,"是"),"")</x:f>
        <x:v>#NAME?</x:v>
      </x:c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1"/>
      <x:c r="K21" s="10"/>
      <x:c r="L21" s="10"/>
      <x:c r="M21" s="10"/>
      <x:c r="N21" s="10"/>
      <x:c r="O21" s="10"/>
      <x:c r="P21" s="10"/>
      <x:c r="Q21" s="10"/>
      <x:c r="R21" s="10"/>
      <x:c r="S21" s="10"/>
      <x:c r="T21" s="8" t="str">
        <x:f t="shared" si="1"/>
      </x:c>
      <x:c r="U21" s="8" t="str">
        <x:f t="shared" si="2"/>
      </x:c>
      <x:c r="V21" s="8" t="str">
        <x:f t="shared" si="3"/>
      </x:c>
      <x:c r="W21" s="10"/>
      <x:c r="X21" s="10"/>
      <x:c r="Y21" s="10"/>
      <x:c r="Z21" s="10"/>
      <x:c r="AA21" s="10"/>
      <x:c r="AB21" s="11"/>
      <x:c r="AC21" s="10"/>
      <x:c r="AD21" s="47"/>
      <x:c r="AE21" s="10"/>
      <x:c r="AF21" s="10"/>
      <x:c r="AG21" s="8" t="str">
        <x:f t="shared" si="4"/>
      </x:c>
      <x:c r="AH21" s="8" t="str">
        <x:f t="shared" si="5"/>
      </x:c>
      <x:c r="AI21" s="10"/>
      <x:c r="AJ21" s="10"/>
      <x:c r="AK21" s="10"/>
      <x:c r="AL21" s="11"/>
      <x:c r="AM21" s="11"/>
      <x:c r="AN21" s="11"/>
      <x:c r="AO21" s="10"/>
      <x:c r="AP21" s="8" t="e">
        <x:f>IF(B21="","",IF(OR(V21="重大",AH21="重大",AH21="高",AI21="上升",AJ21="是",AND(AB21&lt;&gt;"",AB21&lt;项目驾驶舱!$B$3,AC21&lt;&gt;"已关闭")),"是","否"))</x:f>
        <x:v>#NAME?</x:v>
      </x:c>
      <x:c r="AQ21" s="8" t="e">
        <x:f>IF(B21="","",IF(W21="","缺风险责任人",IF(AND(OR(V21="重大",V21="高"),Y21=""),"高风险缺应对策略",IF(AND(AJ21="是",AK21=""),"已发生未关联问题",IF(AND(AC21="已关闭",AO21=""),"关闭缺证据",IF(AND(AM21&lt;&gt;"",AM21&lt;项目驾驶舱!$B$3),"评审逾期",""))))))</x:f>
        <x:v>#NAME?</x:v>
      </x:c>
      <x:c r="AR21" s="8" t="e">
        <x:f>IF(AP21="是",COUNTIFS($AP$9:AP21,"是"),"")</x:f>
        <x:v>#NAME?</x:v>
      </x:c>
    </x:row>
    <x:row r="22">
      <x:c r="A22" s="8" t="str">
        <x:f t="shared" si="0"/>
      </x:c>
      <x:c r="B22" s="10"/>
      <x:c r="C22" s="10"/>
      <x:c r="D22" s="10"/>
      <x:c r="E22" s="10"/>
      <x:c r="F22" s="10"/>
      <x:c r="G22" s="10"/>
      <x:c r="H22" s="10"/>
      <x:c r="I22" s="10"/>
      <x:c r="J22" s="11"/>
      <x:c r="K22" s="10"/>
      <x:c r="L22" s="10"/>
      <x:c r="M22" s="10"/>
      <x:c r="N22" s="10"/>
      <x:c r="O22" s="10"/>
      <x:c r="P22" s="10"/>
      <x:c r="Q22" s="10"/>
      <x:c r="R22" s="10"/>
      <x:c r="S22" s="10"/>
      <x:c r="T22" s="8" t="str">
        <x:f t="shared" si="1"/>
      </x:c>
      <x:c r="U22" s="8" t="str">
        <x:f t="shared" si="2"/>
      </x:c>
      <x:c r="V22" s="8" t="str">
        <x:f t="shared" si="3"/>
      </x:c>
      <x:c r="W22" s="10"/>
      <x:c r="X22" s="10"/>
      <x:c r="Y22" s="10"/>
      <x:c r="Z22" s="10"/>
      <x:c r="AA22" s="10"/>
      <x:c r="AB22" s="11"/>
      <x:c r="AC22" s="10"/>
      <x:c r="AD22" s="47"/>
      <x:c r="AE22" s="10"/>
      <x:c r="AF22" s="10"/>
      <x:c r="AG22" s="8" t="str">
        <x:f t="shared" si="4"/>
      </x:c>
      <x:c r="AH22" s="8" t="str">
        <x:f t="shared" si="5"/>
      </x:c>
      <x:c r="AI22" s="10"/>
      <x:c r="AJ22" s="10"/>
      <x:c r="AK22" s="10"/>
      <x:c r="AL22" s="11"/>
      <x:c r="AM22" s="11"/>
      <x:c r="AN22" s="11"/>
      <x:c r="AO22" s="10"/>
      <x:c r="AP22" s="8" t="e">
        <x:f>IF(B22="","",IF(OR(V22="重大",AH22="重大",AH22="高",AI22="上升",AJ22="是",AND(AB22&lt;&gt;"",AB22&lt;项目驾驶舱!$B$3,AC22&lt;&gt;"已关闭")),"是","否"))</x:f>
        <x:v>#NAME?</x:v>
      </x:c>
      <x:c r="AQ22" s="8" t="e">
        <x:f>IF(B22="","",IF(W22="","缺风险责任人",IF(AND(OR(V22="重大",V22="高"),Y22=""),"高风险缺应对策略",IF(AND(AJ22="是",AK22=""),"已发生未关联问题",IF(AND(AC22="已关闭",AO22=""),"关闭缺证据",IF(AND(AM22&lt;&gt;"",AM22&lt;项目驾驶舱!$B$3),"评审逾期",""))))))</x:f>
        <x:v>#NAME?</x:v>
      </x:c>
      <x:c r="AR22" s="8" t="e">
        <x:f>IF(AP22="是",COUNTIFS($AP$9:AP22,"是"),"")</x:f>
        <x:v>#NAME?</x:v>
      </x:c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1"/>
      <x:c r="K23" s="10"/>
      <x:c r="L23" s="10"/>
      <x:c r="M23" s="10"/>
      <x:c r="N23" s="10"/>
      <x:c r="O23" s="10"/>
      <x:c r="P23" s="10"/>
      <x:c r="Q23" s="10"/>
      <x:c r="R23" s="10"/>
      <x:c r="S23" s="10"/>
      <x:c r="T23" s="8" t="str">
        <x:f t="shared" si="1"/>
      </x:c>
      <x:c r="U23" s="8" t="str">
        <x:f t="shared" si="2"/>
      </x:c>
      <x:c r="V23" s="8" t="str">
        <x:f t="shared" si="3"/>
      </x:c>
      <x:c r="W23" s="10"/>
      <x:c r="X23" s="10"/>
      <x:c r="Y23" s="10"/>
      <x:c r="Z23" s="10"/>
      <x:c r="AA23" s="10"/>
      <x:c r="AB23" s="11"/>
      <x:c r="AC23" s="10"/>
      <x:c r="AD23" s="47"/>
      <x:c r="AE23" s="10"/>
      <x:c r="AF23" s="10"/>
      <x:c r="AG23" s="8" t="str">
        <x:f t="shared" si="4"/>
      </x:c>
      <x:c r="AH23" s="8" t="str">
        <x:f t="shared" si="5"/>
      </x:c>
      <x:c r="AI23" s="10"/>
      <x:c r="AJ23" s="10"/>
      <x:c r="AK23" s="10"/>
      <x:c r="AL23" s="11"/>
      <x:c r="AM23" s="11"/>
      <x:c r="AN23" s="11"/>
      <x:c r="AO23" s="10"/>
      <x:c r="AP23" s="8" t="e">
        <x:f>IF(B23="","",IF(OR(V23="重大",AH23="重大",AH23="高",AI23="上升",AJ23="是",AND(AB23&lt;&gt;"",AB23&lt;项目驾驶舱!$B$3,AC23&lt;&gt;"已关闭")),"是","否"))</x:f>
        <x:v>#NAME?</x:v>
      </x:c>
      <x:c r="AQ23" s="8" t="e">
        <x:f>IF(B23="","",IF(W23="","缺风险责任人",IF(AND(OR(V23="重大",V23="高"),Y23=""),"高风险缺应对策略",IF(AND(AJ23="是",AK23=""),"已发生未关联问题",IF(AND(AC23="已关闭",AO23=""),"关闭缺证据",IF(AND(AM23&lt;&gt;"",AM23&lt;项目驾驶舱!$B$3),"评审逾期",""))))))</x:f>
        <x:v>#NAME?</x:v>
      </x:c>
      <x:c r="AR23" s="8" t="e">
        <x:f>IF(AP23="是",COUNTIFS($AP$9:AP23,"是"),"")</x:f>
        <x:v>#NAME?</x:v>
      </x:c>
    </x:row>
    <x:row r="24">
      <x:c r="A24" s="8" t="str">
        <x:f t="shared" si="0"/>
      </x:c>
      <x:c r="B24" s="10"/>
      <x:c r="C24" s="10"/>
      <x:c r="D24" s="10"/>
      <x:c r="E24" s="10"/>
      <x:c r="F24" s="10"/>
      <x:c r="G24" s="10"/>
      <x:c r="H24" s="10"/>
      <x:c r="I24" s="10"/>
      <x:c r="J24" s="11"/>
      <x:c r="K24" s="10"/>
      <x:c r="L24" s="10"/>
      <x:c r="M24" s="10"/>
      <x:c r="N24" s="10"/>
      <x:c r="O24" s="10"/>
      <x:c r="P24" s="10"/>
      <x:c r="Q24" s="10"/>
      <x:c r="R24" s="10"/>
      <x:c r="S24" s="10"/>
      <x:c r="T24" s="8" t="str">
        <x:f t="shared" si="1"/>
      </x:c>
      <x:c r="U24" s="8" t="str">
        <x:f t="shared" si="2"/>
      </x:c>
      <x:c r="V24" s="8" t="str">
        <x:f t="shared" si="3"/>
      </x:c>
      <x:c r="W24" s="10"/>
      <x:c r="X24" s="10"/>
      <x:c r="Y24" s="10"/>
      <x:c r="Z24" s="10"/>
      <x:c r="AA24" s="10"/>
      <x:c r="AB24" s="11"/>
      <x:c r="AC24" s="10"/>
      <x:c r="AD24" s="47"/>
      <x:c r="AE24" s="10"/>
      <x:c r="AF24" s="10"/>
      <x:c r="AG24" s="8" t="str">
        <x:f t="shared" si="4"/>
      </x:c>
      <x:c r="AH24" s="8" t="str">
        <x:f t="shared" si="5"/>
      </x:c>
      <x:c r="AI24" s="10"/>
      <x:c r="AJ24" s="10"/>
      <x:c r="AK24" s="10"/>
      <x:c r="AL24" s="11"/>
      <x:c r="AM24" s="11"/>
      <x:c r="AN24" s="11"/>
      <x:c r="AO24" s="10"/>
      <x:c r="AP24" s="8" t="e">
        <x:f>IF(B24="","",IF(OR(V24="重大",AH24="重大",AH24="高",AI24="上升",AJ24="是",AND(AB24&lt;&gt;"",AB24&lt;项目驾驶舱!$B$3,AC24&lt;&gt;"已关闭")),"是","否"))</x:f>
        <x:v>#NAME?</x:v>
      </x:c>
      <x:c r="AQ24" s="8" t="e">
        <x:f>IF(B24="","",IF(W24="","缺风险责任人",IF(AND(OR(V24="重大",V24="高"),Y24=""),"高风险缺应对策略",IF(AND(AJ24="是",AK24=""),"已发生未关联问题",IF(AND(AC24="已关闭",AO24=""),"关闭缺证据",IF(AND(AM24&lt;&gt;"",AM24&lt;项目驾驶舱!$B$3),"评审逾期",""))))))</x:f>
        <x:v>#NAME?</x:v>
      </x:c>
      <x:c r="AR24" s="8" t="e">
        <x:f>IF(AP24="是",COUNTIFS($AP$9:AP24,"是"),"")</x:f>
        <x:v>#NAME?</x:v>
      </x:c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1"/>
      <x:c r="K25" s="10"/>
      <x:c r="L25" s="10"/>
      <x:c r="M25" s="10"/>
      <x:c r="N25" s="10"/>
      <x:c r="O25" s="10"/>
      <x:c r="P25" s="10"/>
      <x:c r="Q25" s="10"/>
      <x:c r="R25" s="10"/>
      <x:c r="S25" s="10"/>
      <x:c r="T25" s="8" t="str">
        <x:f t="shared" si="1"/>
      </x:c>
      <x:c r="U25" s="8" t="str">
        <x:f t="shared" si="2"/>
      </x:c>
      <x:c r="V25" s="8" t="str">
        <x:f t="shared" si="3"/>
      </x:c>
      <x:c r="W25" s="10"/>
      <x:c r="X25" s="10"/>
      <x:c r="Y25" s="10"/>
      <x:c r="Z25" s="10"/>
      <x:c r="AA25" s="10"/>
      <x:c r="AB25" s="11"/>
      <x:c r="AC25" s="10"/>
      <x:c r="AD25" s="47"/>
      <x:c r="AE25" s="10"/>
      <x:c r="AF25" s="10"/>
      <x:c r="AG25" s="8" t="str">
        <x:f t="shared" si="4"/>
      </x:c>
      <x:c r="AH25" s="8" t="str">
        <x:f t="shared" si="5"/>
      </x:c>
      <x:c r="AI25" s="10"/>
      <x:c r="AJ25" s="10"/>
      <x:c r="AK25" s="10"/>
      <x:c r="AL25" s="11"/>
      <x:c r="AM25" s="11"/>
      <x:c r="AN25" s="11"/>
      <x:c r="AO25" s="10"/>
      <x:c r="AP25" s="8" t="e">
        <x:f>IF(B25="","",IF(OR(V25="重大",AH25="重大",AH25="高",AI25="上升",AJ25="是",AND(AB25&lt;&gt;"",AB25&lt;项目驾驶舱!$B$3,AC25&lt;&gt;"已关闭")),"是","否"))</x:f>
        <x:v>#NAME?</x:v>
      </x:c>
      <x:c r="AQ25" s="8" t="e">
        <x:f>IF(B25="","",IF(W25="","缺风险责任人",IF(AND(OR(V25="重大",V25="高"),Y25=""),"高风险缺应对策略",IF(AND(AJ25="是",AK25=""),"已发生未关联问题",IF(AND(AC25="已关闭",AO25=""),"关闭缺证据",IF(AND(AM25&lt;&gt;"",AM25&lt;项目驾驶舱!$B$3),"评审逾期",""))))))</x:f>
        <x:v>#NAME?</x:v>
      </x:c>
      <x:c r="AR25" s="8" t="e">
        <x:f>IF(AP25="是",COUNTIFS($AP$9:AP25,"是"),"")</x:f>
        <x:v>#NAME?</x:v>
      </x:c>
    </x:row>
    <x:row r="26">
      <x:c r="A26" s="8" t="str">
        <x:f t="shared" si="0"/>
      </x:c>
      <x:c r="B26" s="10"/>
      <x:c r="C26" s="10"/>
      <x:c r="D26" s="10"/>
      <x:c r="E26" s="10"/>
      <x:c r="F26" s="10"/>
      <x:c r="G26" s="10"/>
      <x:c r="H26" s="10"/>
      <x:c r="I26" s="10"/>
      <x:c r="J26" s="11"/>
      <x:c r="K26" s="10"/>
      <x:c r="L26" s="10"/>
      <x:c r="M26" s="10"/>
      <x:c r="N26" s="10"/>
      <x:c r="O26" s="10"/>
      <x:c r="P26" s="10"/>
      <x:c r="Q26" s="10"/>
      <x:c r="R26" s="10"/>
      <x:c r="S26" s="10"/>
      <x:c r="T26" s="8" t="str">
        <x:f t="shared" si="1"/>
      </x:c>
      <x:c r="U26" s="8" t="str">
        <x:f t="shared" si="2"/>
      </x:c>
      <x:c r="V26" s="8" t="str">
        <x:f t="shared" si="3"/>
      </x:c>
      <x:c r="W26" s="10"/>
      <x:c r="X26" s="10"/>
      <x:c r="Y26" s="10"/>
      <x:c r="Z26" s="10"/>
      <x:c r="AA26" s="10"/>
      <x:c r="AB26" s="11"/>
      <x:c r="AC26" s="10"/>
      <x:c r="AD26" s="47"/>
      <x:c r="AE26" s="10"/>
      <x:c r="AF26" s="10"/>
      <x:c r="AG26" s="8" t="str">
        <x:f t="shared" si="4"/>
      </x:c>
      <x:c r="AH26" s="8" t="str">
        <x:f t="shared" si="5"/>
      </x:c>
      <x:c r="AI26" s="10"/>
      <x:c r="AJ26" s="10"/>
      <x:c r="AK26" s="10"/>
      <x:c r="AL26" s="11"/>
      <x:c r="AM26" s="11"/>
      <x:c r="AN26" s="11"/>
      <x:c r="AO26" s="10"/>
      <x:c r="AP26" s="8" t="e">
        <x:f>IF(B26="","",IF(OR(V26="重大",AH26="重大",AH26="高",AI26="上升",AJ26="是",AND(AB26&lt;&gt;"",AB26&lt;项目驾驶舱!$B$3,AC26&lt;&gt;"已关闭")),"是","否"))</x:f>
        <x:v>#NAME?</x:v>
      </x:c>
      <x:c r="AQ26" s="8" t="e">
        <x:f>IF(B26="","",IF(W26="","缺风险责任人",IF(AND(OR(V26="重大",V26="高"),Y26=""),"高风险缺应对策略",IF(AND(AJ26="是",AK26=""),"已发生未关联问题",IF(AND(AC26="已关闭",AO26=""),"关闭缺证据",IF(AND(AM26&lt;&gt;"",AM26&lt;项目驾驶舱!$B$3),"评审逾期",""))))))</x:f>
        <x:v>#NAME?</x:v>
      </x:c>
      <x:c r="AR26" s="8" t="e">
        <x:f>IF(AP26="是",COUNTIFS($AP$9:AP26,"是"),"")</x:f>
        <x:v>#NAME?</x:v>
      </x:c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1"/>
      <x:c r="K27" s="10"/>
      <x:c r="L27" s="10"/>
      <x:c r="M27" s="10"/>
      <x:c r="N27" s="10"/>
      <x:c r="O27" s="10"/>
      <x:c r="P27" s="10"/>
      <x:c r="Q27" s="10"/>
      <x:c r="R27" s="10"/>
      <x:c r="S27" s="10"/>
      <x:c r="T27" s="8" t="str">
        <x:f t="shared" si="1"/>
      </x:c>
      <x:c r="U27" s="8" t="str">
        <x:f t="shared" si="2"/>
      </x:c>
      <x:c r="V27" s="8" t="str">
        <x:f t="shared" si="3"/>
      </x:c>
      <x:c r="W27" s="10"/>
      <x:c r="X27" s="10"/>
      <x:c r="Y27" s="10"/>
      <x:c r="Z27" s="10"/>
      <x:c r="AA27" s="10"/>
      <x:c r="AB27" s="11"/>
      <x:c r="AC27" s="10"/>
      <x:c r="AD27" s="47"/>
      <x:c r="AE27" s="10"/>
      <x:c r="AF27" s="10"/>
      <x:c r="AG27" s="8" t="str">
        <x:f t="shared" si="4"/>
      </x:c>
      <x:c r="AH27" s="8" t="str">
        <x:f t="shared" si="5"/>
      </x:c>
      <x:c r="AI27" s="10"/>
      <x:c r="AJ27" s="10"/>
      <x:c r="AK27" s="10"/>
      <x:c r="AL27" s="11"/>
      <x:c r="AM27" s="11"/>
      <x:c r="AN27" s="11"/>
      <x:c r="AO27" s="10"/>
      <x:c r="AP27" s="8" t="e">
        <x:f>IF(B27="","",IF(OR(V27="重大",AH27="重大",AH27="高",AI27="上升",AJ27="是",AND(AB27&lt;&gt;"",AB27&lt;项目驾驶舱!$B$3,AC27&lt;&gt;"已关闭")),"是","否"))</x:f>
        <x:v>#NAME?</x:v>
      </x:c>
      <x:c r="AQ27" s="8" t="e">
        <x:f>IF(B27="","",IF(W27="","缺风险责任人",IF(AND(OR(V27="重大",V27="高"),Y27=""),"高风险缺应对策略",IF(AND(AJ27="是",AK27=""),"已发生未关联问题",IF(AND(AC27="已关闭",AO27=""),"关闭缺证据",IF(AND(AM27&lt;&gt;"",AM27&lt;项目驾驶舱!$B$3),"评审逾期",""))))))</x:f>
        <x:v>#NAME?</x:v>
      </x:c>
      <x:c r="AR27" s="8" t="e">
        <x:f>IF(AP27="是",COUNTIFS($AP$9:AP27,"是"),"")</x:f>
        <x:v>#NAME?</x:v>
      </x:c>
    </x:row>
    <x:row r="28">
      <x:c r="A28" s="8" t="str">
        <x:f t="shared" si="0"/>
      </x:c>
      <x:c r="B28" s="10"/>
      <x:c r="C28" s="10"/>
      <x:c r="D28" s="10"/>
      <x:c r="E28" s="10"/>
      <x:c r="F28" s="10"/>
      <x:c r="G28" s="10"/>
      <x:c r="H28" s="10"/>
      <x:c r="I28" s="10"/>
      <x:c r="J28" s="11"/>
      <x:c r="K28" s="10"/>
      <x:c r="L28" s="10"/>
      <x:c r="M28" s="10"/>
      <x:c r="N28" s="10"/>
      <x:c r="O28" s="10"/>
      <x:c r="P28" s="10"/>
      <x:c r="Q28" s="10"/>
      <x:c r="R28" s="10"/>
      <x:c r="S28" s="10"/>
      <x:c r="T28" s="8" t="str">
        <x:f t="shared" si="1"/>
      </x:c>
      <x:c r="U28" s="8" t="str">
        <x:f t="shared" si="2"/>
      </x:c>
      <x:c r="V28" s="8" t="str">
        <x:f t="shared" si="3"/>
      </x:c>
      <x:c r="W28" s="10"/>
      <x:c r="X28" s="10"/>
      <x:c r="Y28" s="10"/>
      <x:c r="Z28" s="10"/>
      <x:c r="AA28" s="10"/>
      <x:c r="AB28" s="11"/>
      <x:c r="AC28" s="10"/>
      <x:c r="AD28" s="47"/>
      <x:c r="AE28" s="10"/>
      <x:c r="AF28" s="10"/>
      <x:c r="AG28" s="8" t="str">
        <x:f t="shared" si="4"/>
      </x:c>
      <x:c r="AH28" s="8" t="str">
        <x:f t="shared" si="5"/>
      </x:c>
      <x:c r="AI28" s="10"/>
      <x:c r="AJ28" s="10"/>
      <x:c r="AK28" s="10"/>
      <x:c r="AL28" s="11"/>
      <x:c r="AM28" s="11"/>
      <x:c r="AN28" s="11"/>
      <x:c r="AO28" s="10"/>
      <x:c r="AP28" s="8" t="e">
        <x:f>IF(B28="","",IF(OR(V28="重大",AH28="重大",AH28="高",AI28="上升",AJ28="是",AND(AB28&lt;&gt;"",AB28&lt;项目驾驶舱!$B$3,AC28&lt;&gt;"已关闭")),"是","否"))</x:f>
        <x:v>#NAME?</x:v>
      </x:c>
      <x:c r="AQ28" s="8" t="e">
        <x:f>IF(B28="","",IF(W28="","缺风险责任人",IF(AND(OR(V28="重大",V28="高"),Y28=""),"高风险缺应对策略",IF(AND(AJ28="是",AK28=""),"已发生未关联问题",IF(AND(AC28="已关闭",AO28=""),"关闭缺证据",IF(AND(AM28&lt;&gt;"",AM28&lt;项目驾驶舱!$B$3),"评审逾期",""))))))</x:f>
        <x:v>#NAME?</x:v>
      </x:c>
      <x:c r="AR28" s="8" t="e">
        <x:f>IF(AP28="是",COUNTIFS($AP$9:AP28,"是"),"")</x:f>
        <x:v>#NAME?</x:v>
      </x:c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1"/>
      <x:c r="K29" s="10"/>
      <x:c r="L29" s="10"/>
      <x:c r="M29" s="10"/>
      <x:c r="N29" s="10"/>
      <x:c r="O29" s="10"/>
      <x:c r="P29" s="10"/>
      <x:c r="Q29" s="10"/>
      <x:c r="R29" s="10"/>
      <x:c r="S29" s="10"/>
      <x:c r="T29" s="8" t="str">
        <x:f t="shared" si="1"/>
      </x:c>
      <x:c r="U29" s="8" t="str">
        <x:f t="shared" si="2"/>
      </x:c>
      <x:c r="V29" s="8" t="str">
        <x:f t="shared" si="3"/>
      </x:c>
      <x:c r="W29" s="10"/>
      <x:c r="X29" s="10"/>
      <x:c r="Y29" s="10"/>
      <x:c r="Z29" s="10"/>
      <x:c r="AA29" s="10"/>
      <x:c r="AB29" s="11"/>
      <x:c r="AC29" s="10"/>
      <x:c r="AD29" s="47"/>
      <x:c r="AE29" s="10"/>
      <x:c r="AF29" s="10"/>
      <x:c r="AG29" s="8" t="str">
        <x:f t="shared" si="4"/>
      </x:c>
      <x:c r="AH29" s="8" t="str">
        <x:f t="shared" si="5"/>
      </x:c>
      <x:c r="AI29" s="10"/>
      <x:c r="AJ29" s="10"/>
      <x:c r="AK29" s="10"/>
      <x:c r="AL29" s="11"/>
      <x:c r="AM29" s="11"/>
      <x:c r="AN29" s="11"/>
      <x:c r="AO29" s="10"/>
      <x:c r="AP29" s="8" t="e">
        <x:f>IF(B29="","",IF(OR(V29="重大",AH29="重大",AH29="高",AI29="上升",AJ29="是",AND(AB29&lt;&gt;"",AB29&lt;项目驾驶舱!$B$3,AC29&lt;&gt;"已关闭")),"是","否"))</x:f>
        <x:v>#NAME?</x:v>
      </x:c>
      <x:c r="AQ29" s="8" t="e">
        <x:f>IF(B29="","",IF(W29="","缺风险责任人",IF(AND(OR(V29="重大",V29="高"),Y29=""),"高风险缺应对策略",IF(AND(AJ29="是",AK29=""),"已发生未关联问题",IF(AND(AC29="已关闭",AO29=""),"关闭缺证据",IF(AND(AM29&lt;&gt;"",AM29&lt;项目驾驶舱!$B$3),"评审逾期",""))))))</x:f>
        <x:v>#NAME?</x:v>
      </x:c>
      <x:c r="AR29" s="8" t="e">
        <x:f>IF(AP29="是",COUNTIFS($AP$9:AP29,"是"),"")</x:f>
        <x:v>#NAME?</x:v>
      </x:c>
    </x:row>
    <x:row r="30">
      <x:c r="A30" s="8" t="str">
        <x:f t="shared" si="0"/>
      </x:c>
      <x:c r="B30" s="10"/>
      <x:c r="C30" s="10"/>
      <x:c r="D30" s="10"/>
      <x:c r="E30" s="10"/>
      <x:c r="F30" s="10"/>
      <x:c r="G30" s="10"/>
      <x:c r="H30" s="10"/>
      <x:c r="I30" s="10"/>
      <x:c r="J30" s="11"/>
      <x:c r="K30" s="10"/>
      <x:c r="L30" s="10"/>
      <x:c r="M30" s="10"/>
      <x:c r="N30" s="10"/>
      <x:c r="O30" s="10"/>
      <x:c r="P30" s="10"/>
      <x:c r="Q30" s="10"/>
      <x:c r="R30" s="10"/>
      <x:c r="S30" s="10"/>
      <x:c r="T30" s="8" t="str">
        <x:f t="shared" si="1"/>
      </x:c>
      <x:c r="U30" s="8" t="str">
        <x:f t="shared" si="2"/>
      </x:c>
      <x:c r="V30" s="8" t="str">
        <x:f t="shared" si="3"/>
      </x:c>
      <x:c r="W30" s="10"/>
      <x:c r="X30" s="10"/>
      <x:c r="Y30" s="10"/>
      <x:c r="Z30" s="10"/>
      <x:c r="AA30" s="10"/>
      <x:c r="AB30" s="11"/>
      <x:c r="AC30" s="10"/>
      <x:c r="AD30" s="47"/>
      <x:c r="AE30" s="10"/>
      <x:c r="AF30" s="10"/>
      <x:c r="AG30" s="8" t="str">
        <x:f t="shared" si="4"/>
      </x:c>
      <x:c r="AH30" s="8" t="str">
        <x:f t="shared" si="5"/>
      </x:c>
      <x:c r="AI30" s="10"/>
      <x:c r="AJ30" s="10"/>
      <x:c r="AK30" s="10"/>
      <x:c r="AL30" s="11"/>
      <x:c r="AM30" s="11"/>
      <x:c r="AN30" s="11"/>
      <x:c r="AO30" s="10"/>
      <x:c r="AP30" s="8" t="e">
        <x:f>IF(B30="","",IF(OR(V30="重大",AH30="重大",AH30="高",AI30="上升",AJ30="是",AND(AB30&lt;&gt;"",AB30&lt;项目驾驶舱!$B$3,AC30&lt;&gt;"已关闭")),"是","否"))</x:f>
        <x:v>#NAME?</x:v>
      </x:c>
      <x:c r="AQ30" s="8" t="e">
        <x:f>IF(B30="","",IF(W30="","缺风险责任人",IF(AND(OR(V30="重大",V30="高"),Y30=""),"高风险缺应对策略",IF(AND(AJ30="是",AK30=""),"已发生未关联问题",IF(AND(AC30="已关闭",AO30=""),"关闭缺证据",IF(AND(AM30&lt;&gt;"",AM30&lt;项目驾驶舱!$B$3),"评审逾期",""))))))</x:f>
        <x:v>#NAME?</x:v>
      </x:c>
      <x:c r="AR30" s="8" t="e">
        <x:f>IF(AP30="是",COUNTIFS($AP$9:AP30,"是"),"")</x:f>
        <x:v>#NAME?</x:v>
      </x:c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1"/>
      <x:c r="K31" s="10"/>
      <x:c r="L31" s="10"/>
      <x:c r="M31" s="10"/>
      <x:c r="N31" s="10"/>
      <x:c r="O31" s="10"/>
      <x:c r="P31" s="10"/>
      <x:c r="Q31" s="10"/>
      <x:c r="R31" s="10"/>
      <x:c r="S31" s="10"/>
      <x:c r="T31" s="8" t="str">
        <x:f t="shared" si="1"/>
      </x:c>
      <x:c r="U31" s="8" t="str">
        <x:f t="shared" si="2"/>
      </x:c>
      <x:c r="V31" s="8" t="str">
        <x:f t="shared" si="3"/>
      </x:c>
      <x:c r="W31" s="10"/>
      <x:c r="X31" s="10"/>
      <x:c r="Y31" s="10"/>
      <x:c r="Z31" s="10"/>
      <x:c r="AA31" s="10"/>
      <x:c r="AB31" s="11"/>
      <x:c r="AC31" s="10"/>
      <x:c r="AD31" s="47"/>
      <x:c r="AE31" s="10"/>
      <x:c r="AF31" s="10"/>
      <x:c r="AG31" s="8" t="str">
        <x:f t="shared" si="4"/>
      </x:c>
      <x:c r="AH31" s="8" t="str">
        <x:f t="shared" si="5"/>
      </x:c>
      <x:c r="AI31" s="10"/>
      <x:c r="AJ31" s="10"/>
      <x:c r="AK31" s="10"/>
      <x:c r="AL31" s="11"/>
      <x:c r="AM31" s="11"/>
      <x:c r="AN31" s="11"/>
      <x:c r="AO31" s="10"/>
      <x:c r="AP31" s="8" t="e">
        <x:f>IF(B31="","",IF(OR(V31="重大",AH31="重大",AH31="高",AI31="上升",AJ31="是",AND(AB31&lt;&gt;"",AB31&lt;项目驾驶舱!$B$3,AC31&lt;&gt;"已关闭")),"是","否"))</x:f>
        <x:v>#NAME?</x:v>
      </x:c>
      <x:c r="AQ31" s="8" t="e">
        <x:f>IF(B31="","",IF(W31="","缺风险责任人",IF(AND(OR(V31="重大",V31="高"),Y31=""),"高风险缺应对策略",IF(AND(AJ31="是",AK31=""),"已发生未关联问题",IF(AND(AC31="已关闭",AO31=""),"关闭缺证据",IF(AND(AM31&lt;&gt;"",AM31&lt;项目驾驶舱!$B$3),"评审逾期",""))))))</x:f>
        <x:v>#NAME?</x:v>
      </x:c>
      <x:c r="AR31" s="8" t="e">
        <x:f>IF(AP31="是",COUNTIFS($AP$9:AP31,"是"),"")</x:f>
        <x:v>#NAME?</x:v>
      </x:c>
    </x:row>
    <x:row r="32">
      <x:c r="A32" s="8" t="str">
        <x:f t="shared" si="0"/>
      </x:c>
      <x:c r="B32" s="10"/>
      <x:c r="C32" s="10"/>
      <x:c r="D32" s="10"/>
      <x:c r="E32" s="10"/>
      <x:c r="F32" s="10"/>
      <x:c r="G32" s="10"/>
      <x:c r="H32" s="10"/>
      <x:c r="I32" s="10"/>
      <x:c r="J32" s="11"/>
      <x:c r="K32" s="10"/>
      <x:c r="L32" s="10"/>
      <x:c r="M32" s="10"/>
      <x:c r="N32" s="10"/>
      <x:c r="O32" s="10"/>
      <x:c r="P32" s="10"/>
      <x:c r="Q32" s="10"/>
      <x:c r="R32" s="10"/>
      <x:c r="S32" s="10"/>
      <x:c r="T32" s="8" t="str">
        <x:f t="shared" si="1"/>
      </x:c>
      <x:c r="U32" s="8" t="str">
        <x:f t="shared" si="2"/>
      </x:c>
      <x:c r="V32" s="8" t="str">
        <x:f t="shared" si="3"/>
      </x:c>
      <x:c r="W32" s="10"/>
      <x:c r="X32" s="10"/>
      <x:c r="Y32" s="10"/>
      <x:c r="Z32" s="10"/>
      <x:c r="AA32" s="10"/>
      <x:c r="AB32" s="11"/>
      <x:c r="AC32" s="10"/>
      <x:c r="AD32" s="47"/>
      <x:c r="AE32" s="10"/>
      <x:c r="AF32" s="10"/>
      <x:c r="AG32" s="8" t="str">
        <x:f t="shared" si="4"/>
      </x:c>
      <x:c r="AH32" s="8" t="str">
        <x:f t="shared" si="5"/>
      </x:c>
      <x:c r="AI32" s="10"/>
      <x:c r="AJ32" s="10"/>
      <x:c r="AK32" s="10"/>
      <x:c r="AL32" s="11"/>
      <x:c r="AM32" s="11"/>
      <x:c r="AN32" s="11"/>
      <x:c r="AO32" s="10"/>
      <x:c r="AP32" s="8" t="e">
        <x:f>IF(B32="","",IF(OR(V32="重大",AH32="重大",AH32="高",AI32="上升",AJ32="是",AND(AB32&lt;&gt;"",AB32&lt;项目驾驶舱!$B$3,AC32&lt;&gt;"已关闭")),"是","否"))</x:f>
        <x:v>#NAME?</x:v>
      </x:c>
      <x:c r="AQ32" s="8" t="e">
        <x:f>IF(B32="","",IF(W32="","缺风险责任人",IF(AND(OR(V32="重大",V32="高"),Y32=""),"高风险缺应对策略",IF(AND(AJ32="是",AK32=""),"已发生未关联问题",IF(AND(AC32="已关闭",AO32=""),"关闭缺证据",IF(AND(AM32&lt;&gt;"",AM32&lt;项目驾驶舱!$B$3),"评审逾期",""))))))</x:f>
        <x:v>#NAME?</x:v>
      </x:c>
      <x:c r="AR32" s="8" t="e">
        <x:f>IF(AP32="是",COUNTIFS($AP$9:AP32,"是"),"")</x:f>
        <x:v>#NAME?</x:v>
      </x:c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1"/>
      <x:c r="K33" s="10"/>
      <x:c r="L33" s="10"/>
      <x:c r="M33" s="10"/>
      <x:c r="N33" s="10"/>
      <x:c r="O33" s="10"/>
      <x:c r="P33" s="10"/>
      <x:c r="Q33" s="10"/>
      <x:c r="R33" s="10"/>
      <x:c r="S33" s="10"/>
      <x:c r="T33" s="8" t="str">
        <x:f t="shared" si="1"/>
      </x:c>
      <x:c r="U33" s="8" t="str">
        <x:f t="shared" si="2"/>
      </x:c>
      <x:c r="V33" s="8" t="str">
        <x:f t="shared" si="3"/>
      </x:c>
      <x:c r="W33" s="10"/>
      <x:c r="X33" s="10"/>
      <x:c r="Y33" s="10"/>
      <x:c r="Z33" s="10"/>
      <x:c r="AA33" s="10"/>
      <x:c r="AB33" s="11"/>
      <x:c r="AC33" s="10"/>
      <x:c r="AD33" s="47"/>
      <x:c r="AE33" s="10"/>
      <x:c r="AF33" s="10"/>
      <x:c r="AG33" s="8" t="str">
        <x:f t="shared" si="4"/>
      </x:c>
      <x:c r="AH33" s="8" t="str">
        <x:f t="shared" si="5"/>
      </x:c>
      <x:c r="AI33" s="10"/>
      <x:c r="AJ33" s="10"/>
      <x:c r="AK33" s="10"/>
      <x:c r="AL33" s="11"/>
      <x:c r="AM33" s="11"/>
      <x:c r="AN33" s="11"/>
      <x:c r="AO33" s="10"/>
      <x:c r="AP33" s="8" t="e">
        <x:f>IF(B33="","",IF(OR(V33="重大",AH33="重大",AH33="高",AI33="上升",AJ33="是",AND(AB33&lt;&gt;"",AB33&lt;项目驾驶舱!$B$3,AC33&lt;&gt;"已关闭")),"是","否"))</x:f>
        <x:v>#NAME?</x:v>
      </x:c>
      <x:c r="AQ33" s="8" t="e">
        <x:f>IF(B33="","",IF(W33="","缺风险责任人",IF(AND(OR(V33="重大",V33="高"),Y33=""),"高风险缺应对策略",IF(AND(AJ33="是",AK33=""),"已发生未关联问题",IF(AND(AC33="已关闭",AO33=""),"关闭缺证据",IF(AND(AM33&lt;&gt;"",AM33&lt;项目驾驶舱!$B$3),"评审逾期",""))))))</x:f>
        <x:v>#NAME?</x:v>
      </x:c>
      <x:c r="AR33" s="8" t="e">
        <x:f>IF(AP33="是",COUNTIFS($AP$9:AP33,"是"),"")</x:f>
        <x:v>#NAME?</x:v>
      </x:c>
    </x:row>
    <x:row r="34">
      <x:c r="A34" s="8" t="str">
        <x:f t="shared" si="0"/>
      </x:c>
      <x:c r="B34" s="10"/>
      <x:c r="C34" s="10"/>
      <x:c r="D34" s="10"/>
      <x:c r="E34" s="10"/>
      <x:c r="F34" s="10"/>
      <x:c r="G34" s="10"/>
      <x:c r="H34" s="10"/>
      <x:c r="I34" s="10"/>
      <x:c r="J34" s="11"/>
      <x:c r="K34" s="10"/>
      <x:c r="L34" s="10"/>
      <x:c r="M34" s="10"/>
      <x:c r="N34" s="10"/>
      <x:c r="O34" s="10"/>
      <x:c r="P34" s="10"/>
      <x:c r="Q34" s="10"/>
      <x:c r="R34" s="10"/>
      <x:c r="S34" s="10"/>
      <x:c r="T34" s="8" t="str">
        <x:f t="shared" si="1"/>
      </x:c>
      <x:c r="U34" s="8" t="str">
        <x:f t="shared" si="2"/>
      </x:c>
      <x:c r="V34" s="8" t="str">
        <x:f t="shared" si="3"/>
      </x:c>
      <x:c r="W34" s="10"/>
      <x:c r="X34" s="10"/>
      <x:c r="Y34" s="10"/>
      <x:c r="Z34" s="10"/>
      <x:c r="AA34" s="10"/>
      <x:c r="AB34" s="11"/>
      <x:c r="AC34" s="10"/>
      <x:c r="AD34" s="47"/>
      <x:c r="AE34" s="10"/>
      <x:c r="AF34" s="10"/>
      <x:c r="AG34" s="8" t="str">
        <x:f t="shared" si="4"/>
      </x:c>
      <x:c r="AH34" s="8" t="str">
        <x:f t="shared" si="5"/>
      </x:c>
      <x:c r="AI34" s="10"/>
      <x:c r="AJ34" s="10"/>
      <x:c r="AK34" s="10"/>
      <x:c r="AL34" s="11"/>
      <x:c r="AM34" s="11"/>
      <x:c r="AN34" s="11"/>
      <x:c r="AO34" s="10"/>
      <x:c r="AP34" s="8" t="e">
        <x:f>IF(B34="","",IF(OR(V34="重大",AH34="重大",AH34="高",AI34="上升",AJ34="是",AND(AB34&lt;&gt;"",AB34&lt;项目驾驶舱!$B$3,AC34&lt;&gt;"已关闭")),"是","否"))</x:f>
        <x:v>#NAME?</x:v>
      </x:c>
      <x:c r="AQ34" s="8" t="e">
        <x:f>IF(B34="","",IF(W34="","缺风险责任人",IF(AND(OR(V34="重大",V34="高"),Y34=""),"高风险缺应对策略",IF(AND(AJ34="是",AK34=""),"已发生未关联问题",IF(AND(AC34="已关闭",AO34=""),"关闭缺证据",IF(AND(AM34&lt;&gt;"",AM34&lt;项目驾驶舱!$B$3),"评审逾期",""))))))</x:f>
        <x:v>#NAME?</x:v>
      </x:c>
      <x:c r="AR34" s="8" t="e">
        <x:f>IF(AP34="是",COUNTIFS($AP$9:AP34,"是"),"")</x:f>
        <x:v>#NAME?</x:v>
      </x:c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1"/>
      <x:c r="K35" s="10"/>
      <x:c r="L35" s="10"/>
      <x:c r="M35" s="10"/>
      <x:c r="N35" s="10"/>
      <x:c r="O35" s="10"/>
      <x:c r="P35" s="10"/>
      <x:c r="Q35" s="10"/>
      <x:c r="R35" s="10"/>
      <x:c r="S35" s="10"/>
      <x:c r="T35" s="8" t="str">
        <x:f t="shared" si="1"/>
      </x:c>
      <x:c r="U35" s="8" t="str">
        <x:f t="shared" si="2"/>
      </x:c>
      <x:c r="V35" s="8" t="str">
        <x:f t="shared" si="3"/>
      </x:c>
      <x:c r="W35" s="10"/>
      <x:c r="X35" s="10"/>
      <x:c r="Y35" s="10"/>
      <x:c r="Z35" s="10"/>
      <x:c r="AA35" s="10"/>
      <x:c r="AB35" s="11"/>
      <x:c r="AC35" s="10"/>
      <x:c r="AD35" s="47"/>
      <x:c r="AE35" s="10"/>
      <x:c r="AF35" s="10"/>
      <x:c r="AG35" s="8" t="str">
        <x:f t="shared" si="4"/>
      </x:c>
      <x:c r="AH35" s="8" t="str">
        <x:f t="shared" si="5"/>
      </x:c>
      <x:c r="AI35" s="10"/>
      <x:c r="AJ35" s="10"/>
      <x:c r="AK35" s="10"/>
      <x:c r="AL35" s="11"/>
      <x:c r="AM35" s="11"/>
      <x:c r="AN35" s="11"/>
      <x:c r="AO35" s="10"/>
      <x:c r="AP35" s="8" t="e">
        <x:f>IF(B35="","",IF(OR(V35="重大",AH35="重大",AH35="高",AI35="上升",AJ35="是",AND(AB35&lt;&gt;"",AB35&lt;项目驾驶舱!$B$3,AC35&lt;&gt;"已关闭")),"是","否"))</x:f>
        <x:v>#NAME?</x:v>
      </x:c>
      <x:c r="AQ35" s="8" t="e">
        <x:f>IF(B35="","",IF(W35="","缺风险责任人",IF(AND(OR(V35="重大",V35="高"),Y35=""),"高风险缺应对策略",IF(AND(AJ35="是",AK35=""),"已发生未关联问题",IF(AND(AC35="已关闭",AO35=""),"关闭缺证据",IF(AND(AM35&lt;&gt;"",AM35&lt;项目驾驶舱!$B$3),"评审逾期",""))))))</x:f>
        <x:v>#NAME?</x:v>
      </x:c>
      <x:c r="AR35" s="8" t="e">
        <x:f>IF(AP35="是",COUNTIFS($AP$9:AP35,"是"),"")</x:f>
        <x:v>#NAME?</x:v>
      </x:c>
    </x:row>
    <x:row r="36">
      <x:c r="A36" s="8" t="str">
        <x:f t="shared" si="0"/>
      </x:c>
      <x:c r="B36" s="10"/>
      <x:c r="C36" s="10"/>
      <x:c r="D36" s="10"/>
      <x:c r="E36" s="10"/>
      <x:c r="F36" s="10"/>
      <x:c r="G36" s="10"/>
      <x:c r="H36" s="10"/>
      <x:c r="I36" s="10"/>
      <x:c r="J36" s="11"/>
      <x:c r="K36" s="10"/>
      <x:c r="L36" s="10"/>
      <x:c r="M36" s="10"/>
      <x:c r="N36" s="10"/>
      <x:c r="O36" s="10"/>
      <x:c r="P36" s="10"/>
      <x:c r="Q36" s="10"/>
      <x:c r="R36" s="10"/>
      <x:c r="S36" s="10"/>
      <x:c r="T36" s="8" t="str">
        <x:f t="shared" si="1"/>
      </x:c>
      <x:c r="U36" s="8" t="str">
        <x:f t="shared" si="2"/>
      </x:c>
      <x:c r="V36" s="8" t="str">
        <x:f t="shared" si="3"/>
      </x:c>
      <x:c r="W36" s="10"/>
      <x:c r="X36" s="10"/>
      <x:c r="Y36" s="10"/>
      <x:c r="Z36" s="10"/>
      <x:c r="AA36" s="10"/>
      <x:c r="AB36" s="11"/>
      <x:c r="AC36" s="10"/>
      <x:c r="AD36" s="47"/>
      <x:c r="AE36" s="10"/>
      <x:c r="AF36" s="10"/>
      <x:c r="AG36" s="8" t="str">
        <x:f t="shared" si="4"/>
      </x:c>
      <x:c r="AH36" s="8" t="str">
        <x:f t="shared" si="5"/>
      </x:c>
      <x:c r="AI36" s="10"/>
      <x:c r="AJ36" s="10"/>
      <x:c r="AK36" s="10"/>
      <x:c r="AL36" s="11"/>
      <x:c r="AM36" s="11"/>
      <x:c r="AN36" s="11"/>
      <x:c r="AO36" s="10"/>
      <x:c r="AP36" s="8" t="e">
        <x:f>IF(B36="","",IF(OR(V36="重大",AH36="重大",AH36="高",AI36="上升",AJ36="是",AND(AB36&lt;&gt;"",AB36&lt;项目驾驶舱!$B$3,AC36&lt;&gt;"已关闭")),"是","否"))</x:f>
        <x:v>#NAME?</x:v>
      </x:c>
      <x:c r="AQ36" s="8" t="e">
        <x:f>IF(B36="","",IF(W36="","缺风险责任人",IF(AND(OR(V36="重大",V36="高"),Y36=""),"高风险缺应对策略",IF(AND(AJ36="是",AK36=""),"已发生未关联问题",IF(AND(AC36="已关闭",AO36=""),"关闭缺证据",IF(AND(AM36&lt;&gt;"",AM36&lt;项目驾驶舱!$B$3),"评审逾期",""))))))</x:f>
        <x:v>#NAME?</x:v>
      </x:c>
      <x:c r="AR36" s="8" t="e">
        <x:f>IF(AP36="是",COUNTIFS($AP$9:AP36,"是"),"")</x:f>
        <x:v>#NAME?</x:v>
      </x:c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1"/>
      <x:c r="K37" s="10"/>
      <x:c r="L37" s="10"/>
      <x:c r="M37" s="10"/>
      <x:c r="N37" s="10"/>
      <x:c r="O37" s="10"/>
      <x:c r="P37" s="10"/>
      <x:c r="Q37" s="10"/>
      <x:c r="R37" s="10"/>
      <x:c r="S37" s="10"/>
      <x:c r="T37" s="8" t="str">
        <x:f t="shared" si="1"/>
      </x:c>
      <x:c r="U37" s="8" t="str">
        <x:f t="shared" si="2"/>
      </x:c>
      <x:c r="V37" s="8" t="str">
        <x:f t="shared" si="3"/>
      </x:c>
      <x:c r="W37" s="10"/>
      <x:c r="X37" s="10"/>
      <x:c r="Y37" s="10"/>
      <x:c r="Z37" s="10"/>
      <x:c r="AA37" s="10"/>
      <x:c r="AB37" s="11"/>
      <x:c r="AC37" s="10"/>
      <x:c r="AD37" s="47"/>
      <x:c r="AE37" s="10"/>
      <x:c r="AF37" s="10"/>
      <x:c r="AG37" s="8" t="str">
        <x:f t="shared" si="4"/>
      </x:c>
      <x:c r="AH37" s="8" t="str">
        <x:f t="shared" si="5"/>
      </x:c>
      <x:c r="AI37" s="10"/>
      <x:c r="AJ37" s="10"/>
      <x:c r="AK37" s="10"/>
      <x:c r="AL37" s="11"/>
      <x:c r="AM37" s="11"/>
      <x:c r="AN37" s="11"/>
      <x:c r="AO37" s="10"/>
      <x:c r="AP37" s="8" t="e">
        <x:f>IF(B37="","",IF(OR(V37="重大",AH37="重大",AH37="高",AI37="上升",AJ37="是",AND(AB37&lt;&gt;"",AB37&lt;项目驾驶舱!$B$3,AC37&lt;&gt;"已关闭")),"是","否"))</x:f>
        <x:v>#NAME?</x:v>
      </x:c>
      <x:c r="AQ37" s="8" t="e">
        <x:f>IF(B37="","",IF(W37="","缺风险责任人",IF(AND(OR(V37="重大",V37="高"),Y37=""),"高风险缺应对策略",IF(AND(AJ37="是",AK37=""),"已发生未关联问题",IF(AND(AC37="已关闭",AO37=""),"关闭缺证据",IF(AND(AM37&lt;&gt;"",AM37&lt;项目驾驶舱!$B$3),"评审逾期",""))))))</x:f>
        <x:v>#NAME?</x:v>
      </x:c>
      <x:c r="AR37" s="8" t="e">
        <x:f>IF(AP37="是",COUNTIFS($AP$9:AP37,"是"),"")</x:f>
        <x:v>#NAME?</x:v>
      </x:c>
    </x:row>
    <x:row r="38">
      <x:c r="A38" s="8" t="str">
        <x:f t="shared" si="0"/>
      </x:c>
      <x:c r="B38" s="10"/>
      <x:c r="C38" s="10"/>
      <x:c r="D38" s="10"/>
      <x:c r="E38" s="10"/>
      <x:c r="F38" s="10"/>
      <x:c r="G38" s="10"/>
      <x:c r="H38" s="10"/>
      <x:c r="I38" s="10"/>
      <x:c r="J38" s="11"/>
      <x:c r="K38" s="10"/>
      <x:c r="L38" s="10"/>
      <x:c r="M38" s="10"/>
      <x:c r="N38" s="10"/>
      <x:c r="O38" s="10"/>
      <x:c r="P38" s="10"/>
      <x:c r="Q38" s="10"/>
      <x:c r="R38" s="10"/>
      <x:c r="S38" s="10"/>
      <x:c r="T38" s="8" t="str">
        <x:f t="shared" si="1"/>
      </x:c>
      <x:c r="U38" s="8" t="str">
        <x:f t="shared" si="2"/>
      </x:c>
      <x:c r="V38" s="8" t="str">
        <x:f t="shared" si="3"/>
      </x:c>
      <x:c r="W38" s="10"/>
      <x:c r="X38" s="10"/>
      <x:c r="Y38" s="10"/>
      <x:c r="Z38" s="10"/>
      <x:c r="AA38" s="10"/>
      <x:c r="AB38" s="11"/>
      <x:c r="AC38" s="10"/>
      <x:c r="AD38" s="47"/>
      <x:c r="AE38" s="10"/>
      <x:c r="AF38" s="10"/>
      <x:c r="AG38" s="8" t="str">
        <x:f t="shared" si="4"/>
      </x:c>
      <x:c r="AH38" s="8" t="str">
        <x:f t="shared" si="5"/>
      </x:c>
      <x:c r="AI38" s="10"/>
      <x:c r="AJ38" s="10"/>
      <x:c r="AK38" s="10"/>
      <x:c r="AL38" s="11"/>
      <x:c r="AM38" s="11"/>
      <x:c r="AN38" s="11"/>
      <x:c r="AO38" s="10"/>
      <x:c r="AP38" s="8" t="e">
        <x:f>IF(B38="","",IF(OR(V38="重大",AH38="重大",AH38="高",AI38="上升",AJ38="是",AND(AB38&lt;&gt;"",AB38&lt;项目驾驶舱!$B$3,AC38&lt;&gt;"已关闭")),"是","否"))</x:f>
        <x:v>#NAME?</x:v>
      </x:c>
      <x:c r="AQ38" s="8" t="e">
        <x:f>IF(B38="","",IF(W38="","缺风险责任人",IF(AND(OR(V38="重大",V38="高"),Y38=""),"高风险缺应对策略",IF(AND(AJ38="是",AK38=""),"已发生未关联问题",IF(AND(AC38="已关闭",AO38=""),"关闭缺证据",IF(AND(AM38&lt;&gt;"",AM38&lt;项目驾驶舱!$B$3),"评审逾期",""))))))</x:f>
        <x:v>#NAME?</x:v>
      </x:c>
      <x:c r="AR38" s="8" t="e">
        <x:f>IF(AP38="是",COUNTIFS($AP$9:AP38,"是"),"")</x:f>
        <x:v>#NAME?</x:v>
      </x:c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1"/>
      <x:c r="K39" s="10"/>
      <x:c r="L39" s="10"/>
      <x:c r="M39" s="10"/>
      <x:c r="N39" s="10"/>
      <x:c r="O39" s="10"/>
      <x:c r="P39" s="10"/>
      <x:c r="Q39" s="10"/>
      <x:c r="R39" s="10"/>
      <x:c r="S39" s="10"/>
      <x:c r="T39" s="8" t="str">
        <x:f t="shared" si="1"/>
      </x:c>
      <x:c r="U39" s="8" t="str">
        <x:f t="shared" si="2"/>
      </x:c>
      <x:c r="V39" s="8" t="str">
        <x:f t="shared" si="3"/>
      </x:c>
      <x:c r="W39" s="10"/>
      <x:c r="X39" s="10"/>
      <x:c r="Y39" s="10"/>
      <x:c r="Z39" s="10"/>
      <x:c r="AA39" s="10"/>
      <x:c r="AB39" s="11"/>
      <x:c r="AC39" s="10"/>
      <x:c r="AD39" s="47"/>
      <x:c r="AE39" s="10"/>
      <x:c r="AF39" s="10"/>
      <x:c r="AG39" s="8" t="str">
        <x:f t="shared" si="4"/>
      </x:c>
      <x:c r="AH39" s="8" t="str">
        <x:f t="shared" si="5"/>
      </x:c>
      <x:c r="AI39" s="10"/>
      <x:c r="AJ39" s="10"/>
      <x:c r="AK39" s="10"/>
      <x:c r="AL39" s="11"/>
      <x:c r="AM39" s="11"/>
      <x:c r="AN39" s="11"/>
      <x:c r="AO39" s="10"/>
      <x:c r="AP39" s="8" t="e">
        <x:f>IF(B39="","",IF(OR(V39="重大",AH39="重大",AH39="高",AI39="上升",AJ39="是",AND(AB39&lt;&gt;"",AB39&lt;项目驾驶舱!$B$3,AC39&lt;&gt;"已关闭")),"是","否"))</x:f>
        <x:v>#NAME?</x:v>
      </x:c>
      <x:c r="AQ39" s="8" t="e">
        <x:f>IF(B39="","",IF(W39="","缺风险责任人",IF(AND(OR(V39="重大",V39="高"),Y39=""),"高风险缺应对策略",IF(AND(AJ39="是",AK39=""),"已发生未关联问题",IF(AND(AC39="已关闭",AO39=""),"关闭缺证据",IF(AND(AM39&lt;&gt;"",AM39&lt;项目驾驶舱!$B$3),"评审逾期",""))))))</x:f>
        <x:v>#NAME?</x:v>
      </x:c>
      <x:c r="AR39" s="8" t="e">
        <x:f>IF(AP39="是",COUNTIFS($AP$9:AP39,"是"),"")</x:f>
        <x:v>#NAME?</x:v>
      </x:c>
    </x:row>
    <x:row r="40">
      <x:c r="A40" s="8" t="str">
        <x:f t="shared" si="0"/>
      </x:c>
      <x:c r="B40" s="10"/>
      <x:c r="C40" s="10"/>
      <x:c r="D40" s="10"/>
      <x:c r="E40" s="10"/>
      <x:c r="F40" s="10"/>
      <x:c r="G40" s="10"/>
      <x:c r="H40" s="10"/>
      <x:c r="I40" s="10"/>
      <x:c r="J40" s="11"/>
      <x:c r="K40" s="10"/>
      <x:c r="L40" s="10"/>
      <x:c r="M40" s="10"/>
      <x:c r="N40" s="10"/>
      <x:c r="O40" s="10"/>
      <x:c r="P40" s="10"/>
      <x:c r="Q40" s="10"/>
      <x:c r="R40" s="10"/>
      <x:c r="S40" s="10"/>
      <x:c r="T40" s="8" t="str">
        <x:f t="shared" si="1"/>
      </x:c>
      <x:c r="U40" s="8" t="str">
        <x:f t="shared" si="2"/>
      </x:c>
      <x:c r="V40" s="8" t="str">
        <x:f t="shared" si="3"/>
      </x:c>
      <x:c r="W40" s="10"/>
      <x:c r="X40" s="10"/>
      <x:c r="Y40" s="10"/>
      <x:c r="Z40" s="10"/>
      <x:c r="AA40" s="10"/>
      <x:c r="AB40" s="11"/>
      <x:c r="AC40" s="10"/>
      <x:c r="AD40" s="47"/>
      <x:c r="AE40" s="10"/>
      <x:c r="AF40" s="10"/>
      <x:c r="AG40" s="8" t="str">
        <x:f t="shared" si="4"/>
      </x:c>
      <x:c r="AH40" s="8" t="str">
        <x:f t="shared" si="5"/>
      </x:c>
      <x:c r="AI40" s="10"/>
      <x:c r="AJ40" s="10"/>
      <x:c r="AK40" s="10"/>
      <x:c r="AL40" s="11"/>
      <x:c r="AM40" s="11"/>
      <x:c r="AN40" s="11"/>
      <x:c r="AO40" s="10"/>
      <x:c r="AP40" s="8" t="e">
        <x:f>IF(B40="","",IF(OR(V40="重大",AH40="重大",AH40="高",AI40="上升",AJ40="是",AND(AB40&lt;&gt;"",AB40&lt;项目驾驶舱!$B$3,AC40&lt;&gt;"已关闭")),"是","否"))</x:f>
        <x:v>#NAME?</x:v>
      </x:c>
      <x:c r="AQ40" s="8" t="e">
        <x:f>IF(B40="","",IF(W40="","缺风险责任人",IF(AND(OR(V40="重大",V40="高"),Y40=""),"高风险缺应对策略",IF(AND(AJ40="是",AK40=""),"已发生未关联问题",IF(AND(AC40="已关闭",AO40=""),"关闭缺证据",IF(AND(AM40&lt;&gt;"",AM40&lt;项目驾驶舱!$B$3),"评审逾期",""))))))</x:f>
        <x:v>#NAME?</x:v>
      </x:c>
      <x:c r="AR40" s="8" t="e">
        <x:f>IF(AP40="是",COUNTIFS($AP$9:AP40,"是"),"")</x:f>
        <x:v>#NAME?</x:v>
      </x:c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1"/>
      <x:c r="K41" s="10"/>
      <x:c r="L41" s="10"/>
      <x:c r="M41" s="10"/>
      <x:c r="N41" s="10"/>
      <x:c r="O41" s="10"/>
      <x:c r="P41" s="10"/>
      <x:c r="Q41" s="10"/>
      <x:c r="R41" s="10"/>
      <x:c r="S41" s="10"/>
      <x:c r="T41" s="8" t="str">
        <x:f t="shared" si="1"/>
      </x:c>
      <x:c r="U41" s="8" t="str">
        <x:f t="shared" si="2"/>
      </x:c>
      <x:c r="V41" s="8" t="str">
        <x:f t="shared" si="3"/>
      </x:c>
      <x:c r="W41" s="10"/>
      <x:c r="X41" s="10"/>
      <x:c r="Y41" s="10"/>
      <x:c r="Z41" s="10"/>
      <x:c r="AA41" s="10"/>
      <x:c r="AB41" s="11"/>
      <x:c r="AC41" s="10"/>
      <x:c r="AD41" s="47"/>
      <x:c r="AE41" s="10"/>
      <x:c r="AF41" s="10"/>
      <x:c r="AG41" s="8" t="str">
        <x:f t="shared" si="4"/>
      </x:c>
      <x:c r="AH41" s="8" t="str">
        <x:f t="shared" si="5"/>
      </x:c>
      <x:c r="AI41" s="10"/>
      <x:c r="AJ41" s="10"/>
      <x:c r="AK41" s="10"/>
      <x:c r="AL41" s="11"/>
      <x:c r="AM41" s="11"/>
      <x:c r="AN41" s="11"/>
      <x:c r="AO41" s="10"/>
      <x:c r="AP41" s="8" t="e">
        <x:f>IF(B41="","",IF(OR(V41="重大",AH41="重大",AH41="高",AI41="上升",AJ41="是",AND(AB41&lt;&gt;"",AB41&lt;项目驾驶舱!$B$3,AC41&lt;&gt;"已关闭")),"是","否"))</x:f>
        <x:v>#NAME?</x:v>
      </x:c>
      <x:c r="AQ41" s="8" t="e">
        <x:f>IF(B41="","",IF(W41="","缺风险责任人",IF(AND(OR(V41="重大",V41="高"),Y41=""),"高风险缺应对策略",IF(AND(AJ41="是",AK41=""),"已发生未关联问题",IF(AND(AC41="已关闭",AO41=""),"关闭缺证据",IF(AND(AM41&lt;&gt;"",AM41&lt;项目驾驶舱!$B$3),"评审逾期",""))))))</x:f>
        <x:v>#NAME?</x:v>
      </x:c>
      <x:c r="AR41" s="8" t="e">
        <x:f>IF(AP41="是",COUNTIFS($AP$9:AP41,"是"),"")</x:f>
        <x:v>#NAME?</x:v>
      </x:c>
    </x:row>
    <x:row r="42">
      <x:c r="A42" s="8" t="str">
        <x:f t="shared" si="0"/>
      </x:c>
      <x:c r="B42" s="10"/>
      <x:c r="C42" s="10"/>
      <x:c r="D42" s="10"/>
      <x:c r="E42" s="10"/>
      <x:c r="F42" s="10"/>
      <x:c r="G42" s="10"/>
      <x:c r="H42" s="10"/>
      <x:c r="I42" s="10"/>
      <x:c r="J42" s="11"/>
      <x:c r="K42" s="10"/>
      <x:c r="L42" s="10"/>
      <x:c r="M42" s="10"/>
      <x:c r="N42" s="10"/>
      <x:c r="O42" s="10"/>
      <x:c r="P42" s="10"/>
      <x:c r="Q42" s="10"/>
      <x:c r="R42" s="10"/>
      <x:c r="S42" s="10"/>
      <x:c r="T42" s="8" t="str">
        <x:f t="shared" si="1"/>
      </x:c>
      <x:c r="U42" s="8" t="str">
        <x:f t="shared" si="2"/>
      </x:c>
      <x:c r="V42" s="8" t="str">
        <x:f t="shared" si="3"/>
      </x:c>
      <x:c r="W42" s="10"/>
      <x:c r="X42" s="10"/>
      <x:c r="Y42" s="10"/>
      <x:c r="Z42" s="10"/>
      <x:c r="AA42" s="10"/>
      <x:c r="AB42" s="11"/>
      <x:c r="AC42" s="10"/>
      <x:c r="AD42" s="47"/>
      <x:c r="AE42" s="10"/>
      <x:c r="AF42" s="10"/>
      <x:c r="AG42" s="8" t="str">
        <x:f t="shared" si="4"/>
      </x:c>
      <x:c r="AH42" s="8" t="str">
        <x:f t="shared" si="5"/>
      </x:c>
      <x:c r="AI42" s="10"/>
      <x:c r="AJ42" s="10"/>
      <x:c r="AK42" s="10"/>
      <x:c r="AL42" s="11"/>
      <x:c r="AM42" s="11"/>
      <x:c r="AN42" s="11"/>
      <x:c r="AO42" s="10"/>
      <x:c r="AP42" s="8" t="e">
        <x:f>IF(B42="","",IF(OR(V42="重大",AH42="重大",AH42="高",AI42="上升",AJ42="是",AND(AB42&lt;&gt;"",AB42&lt;项目驾驶舱!$B$3,AC42&lt;&gt;"已关闭")),"是","否"))</x:f>
        <x:v>#NAME?</x:v>
      </x:c>
      <x:c r="AQ42" s="8" t="e">
        <x:f>IF(B42="","",IF(W42="","缺风险责任人",IF(AND(OR(V42="重大",V42="高"),Y42=""),"高风险缺应对策略",IF(AND(AJ42="是",AK42=""),"已发生未关联问题",IF(AND(AC42="已关闭",AO42=""),"关闭缺证据",IF(AND(AM42&lt;&gt;"",AM42&lt;项目驾驶舱!$B$3),"评审逾期",""))))))</x:f>
        <x:v>#NAME?</x:v>
      </x:c>
      <x:c r="AR42" s="8" t="e">
        <x:f>IF(AP42="是",COUNTIFS($AP$9:AP42,"是"),"")</x:f>
        <x:v>#NAME?</x:v>
      </x:c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1"/>
      <x:c r="K43" s="10"/>
      <x:c r="L43" s="10"/>
      <x:c r="M43" s="10"/>
      <x:c r="N43" s="10"/>
      <x:c r="O43" s="10"/>
      <x:c r="P43" s="10"/>
      <x:c r="Q43" s="10"/>
      <x:c r="R43" s="10"/>
      <x:c r="S43" s="10"/>
      <x:c r="T43" s="8" t="str">
        <x:f t="shared" si="1"/>
      </x:c>
      <x:c r="U43" s="8" t="str">
        <x:f t="shared" si="2"/>
      </x:c>
      <x:c r="V43" s="8" t="str">
        <x:f t="shared" si="3"/>
      </x:c>
      <x:c r="W43" s="10"/>
      <x:c r="X43" s="10"/>
      <x:c r="Y43" s="10"/>
      <x:c r="Z43" s="10"/>
      <x:c r="AA43" s="10"/>
      <x:c r="AB43" s="11"/>
      <x:c r="AC43" s="10"/>
      <x:c r="AD43" s="47"/>
      <x:c r="AE43" s="10"/>
      <x:c r="AF43" s="10"/>
      <x:c r="AG43" s="8" t="str">
        <x:f t="shared" si="4"/>
      </x:c>
      <x:c r="AH43" s="8" t="str">
        <x:f t="shared" si="5"/>
      </x:c>
      <x:c r="AI43" s="10"/>
      <x:c r="AJ43" s="10"/>
      <x:c r="AK43" s="10"/>
      <x:c r="AL43" s="11"/>
      <x:c r="AM43" s="11"/>
      <x:c r="AN43" s="11"/>
      <x:c r="AO43" s="10"/>
      <x:c r="AP43" s="8" t="e">
        <x:f>IF(B43="","",IF(OR(V43="重大",AH43="重大",AH43="高",AI43="上升",AJ43="是",AND(AB43&lt;&gt;"",AB43&lt;项目驾驶舱!$B$3,AC43&lt;&gt;"已关闭")),"是","否"))</x:f>
        <x:v>#NAME?</x:v>
      </x:c>
      <x:c r="AQ43" s="8" t="e">
        <x:f>IF(B43="","",IF(W43="","缺风险责任人",IF(AND(OR(V43="重大",V43="高"),Y43=""),"高风险缺应对策略",IF(AND(AJ43="是",AK43=""),"已发生未关联问题",IF(AND(AC43="已关闭",AO43=""),"关闭缺证据",IF(AND(AM43&lt;&gt;"",AM43&lt;项目驾驶舱!$B$3),"评审逾期",""))))))</x:f>
        <x:v>#NAME?</x:v>
      </x:c>
      <x:c r="AR43" s="8" t="e">
        <x:f>IF(AP43="是",COUNTIFS($AP$9:AP43,"是"),"")</x:f>
        <x:v>#NAME?</x:v>
      </x:c>
    </x:row>
    <x:row r="44">
      <x:c r="A44" s="8" t="str">
        <x:f t="shared" si="0"/>
      </x:c>
      <x:c r="B44" s="10"/>
      <x:c r="C44" s="10"/>
      <x:c r="D44" s="10"/>
      <x:c r="E44" s="10"/>
      <x:c r="F44" s="10"/>
      <x:c r="G44" s="10"/>
      <x:c r="H44" s="10"/>
      <x:c r="I44" s="10"/>
      <x:c r="J44" s="11"/>
      <x:c r="K44" s="10"/>
      <x:c r="L44" s="10"/>
      <x:c r="M44" s="10"/>
      <x:c r="N44" s="10"/>
      <x:c r="O44" s="10"/>
      <x:c r="P44" s="10"/>
      <x:c r="Q44" s="10"/>
      <x:c r="R44" s="10"/>
      <x:c r="S44" s="10"/>
      <x:c r="T44" s="8" t="str">
        <x:f t="shared" si="1"/>
      </x:c>
      <x:c r="U44" s="8" t="str">
        <x:f t="shared" si="2"/>
      </x:c>
      <x:c r="V44" s="8" t="str">
        <x:f t="shared" si="3"/>
      </x:c>
      <x:c r="W44" s="10"/>
      <x:c r="X44" s="10"/>
      <x:c r="Y44" s="10"/>
      <x:c r="Z44" s="10"/>
      <x:c r="AA44" s="10"/>
      <x:c r="AB44" s="11"/>
      <x:c r="AC44" s="10"/>
      <x:c r="AD44" s="47"/>
      <x:c r="AE44" s="10"/>
      <x:c r="AF44" s="10"/>
      <x:c r="AG44" s="8" t="str">
        <x:f t="shared" si="4"/>
      </x:c>
      <x:c r="AH44" s="8" t="str">
        <x:f t="shared" si="5"/>
      </x:c>
      <x:c r="AI44" s="10"/>
      <x:c r="AJ44" s="10"/>
      <x:c r="AK44" s="10"/>
      <x:c r="AL44" s="11"/>
      <x:c r="AM44" s="11"/>
      <x:c r="AN44" s="11"/>
      <x:c r="AO44" s="10"/>
      <x:c r="AP44" s="8" t="e">
        <x:f>IF(B44="","",IF(OR(V44="重大",AH44="重大",AH44="高",AI44="上升",AJ44="是",AND(AB44&lt;&gt;"",AB44&lt;项目驾驶舱!$B$3,AC44&lt;&gt;"已关闭")),"是","否"))</x:f>
        <x:v>#NAME?</x:v>
      </x:c>
      <x:c r="AQ44" s="8" t="e">
        <x:f>IF(B44="","",IF(W44="","缺风险责任人",IF(AND(OR(V44="重大",V44="高"),Y44=""),"高风险缺应对策略",IF(AND(AJ44="是",AK44=""),"已发生未关联问题",IF(AND(AC44="已关闭",AO44=""),"关闭缺证据",IF(AND(AM44&lt;&gt;"",AM44&lt;项目驾驶舱!$B$3),"评审逾期",""))))))</x:f>
        <x:v>#NAME?</x:v>
      </x:c>
      <x:c r="AR44" s="8" t="e">
        <x:f>IF(AP44="是",COUNTIFS($AP$9:AP44,"是"),"")</x:f>
        <x:v>#NAME?</x:v>
      </x:c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1"/>
      <x:c r="K45" s="10"/>
      <x:c r="L45" s="10"/>
      <x:c r="M45" s="10"/>
      <x:c r="N45" s="10"/>
      <x:c r="O45" s="10"/>
      <x:c r="P45" s="10"/>
      <x:c r="Q45" s="10"/>
      <x:c r="R45" s="10"/>
      <x:c r="S45" s="10"/>
      <x:c r="T45" s="8" t="str">
        <x:f t="shared" si="1"/>
      </x:c>
      <x:c r="U45" s="8" t="str">
        <x:f t="shared" si="2"/>
      </x:c>
      <x:c r="V45" s="8" t="str">
        <x:f t="shared" si="3"/>
      </x:c>
      <x:c r="W45" s="10"/>
      <x:c r="X45" s="10"/>
      <x:c r="Y45" s="10"/>
      <x:c r="Z45" s="10"/>
      <x:c r="AA45" s="10"/>
      <x:c r="AB45" s="11"/>
      <x:c r="AC45" s="10"/>
      <x:c r="AD45" s="47"/>
      <x:c r="AE45" s="10"/>
      <x:c r="AF45" s="10"/>
      <x:c r="AG45" s="8" t="str">
        <x:f t="shared" si="4"/>
      </x:c>
      <x:c r="AH45" s="8" t="str">
        <x:f t="shared" si="5"/>
      </x:c>
      <x:c r="AI45" s="10"/>
      <x:c r="AJ45" s="10"/>
      <x:c r="AK45" s="10"/>
      <x:c r="AL45" s="11"/>
      <x:c r="AM45" s="11"/>
      <x:c r="AN45" s="11"/>
      <x:c r="AO45" s="10"/>
      <x:c r="AP45" s="8" t="e">
        <x:f>IF(B45="","",IF(OR(V45="重大",AH45="重大",AH45="高",AI45="上升",AJ45="是",AND(AB45&lt;&gt;"",AB45&lt;项目驾驶舱!$B$3,AC45&lt;&gt;"已关闭")),"是","否"))</x:f>
        <x:v>#NAME?</x:v>
      </x:c>
      <x:c r="AQ45" s="8" t="e">
        <x:f>IF(B45="","",IF(W45="","缺风险责任人",IF(AND(OR(V45="重大",V45="高"),Y45=""),"高风险缺应对策略",IF(AND(AJ45="是",AK45=""),"已发生未关联问题",IF(AND(AC45="已关闭",AO45=""),"关闭缺证据",IF(AND(AM45&lt;&gt;"",AM45&lt;项目驾驶舱!$B$3),"评审逾期",""))))))</x:f>
        <x:v>#NAME?</x:v>
      </x:c>
      <x:c r="AR45" s="8" t="e">
        <x:f>IF(AP45="是",COUNTIFS($AP$9:AP45,"是"),"")</x:f>
        <x:v>#NAME?</x:v>
      </x:c>
    </x:row>
    <x:row r="46">
      <x:c r="A46" s="8" t="str">
        <x:f t="shared" si="0"/>
      </x:c>
      <x:c r="B46" s="10"/>
      <x:c r="C46" s="10"/>
      <x:c r="D46" s="10"/>
      <x:c r="E46" s="10"/>
      <x:c r="F46" s="10"/>
      <x:c r="G46" s="10"/>
      <x:c r="H46" s="10"/>
      <x:c r="I46" s="10"/>
      <x:c r="J46" s="11"/>
      <x:c r="K46" s="10"/>
      <x:c r="L46" s="10"/>
      <x:c r="M46" s="10"/>
      <x:c r="N46" s="10"/>
      <x:c r="O46" s="10"/>
      <x:c r="P46" s="10"/>
      <x:c r="Q46" s="10"/>
      <x:c r="R46" s="10"/>
      <x:c r="S46" s="10"/>
      <x:c r="T46" s="8" t="str">
        <x:f t="shared" si="1"/>
      </x:c>
      <x:c r="U46" s="8" t="str">
        <x:f t="shared" si="2"/>
      </x:c>
      <x:c r="V46" s="8" t="str">
        <x:f t="shared" si="3"/>
      </x:c>
      <x:c r="W46" s="10"/>
      <x:c r="X46" s="10"/>
      <x:c r="Y46" s="10"/>
      <x:c r="Z46" s="10"/>
      <x:c r="AA46" s="10"/>
      <x:c r="AB46" s="11"/>
      <x:c r="AC46" s="10"/>
      <x:c r="AD46" s="47"/>
      <x:c r="AE46" s="10"/>
      <x:c r="AF46" s="10"/>
      <x:c r="AG46" s="8" t="str">
        <x:f t="shared" si="4"/>
      </x:c>
      <x:c r="AH46" s="8" t="str">
        <x:f t="shared" si="5"/>
      </x:c>
      <x:c r="AI46" s="10"/>
      <x:c r="AJ46" s="10"/>
      <x:c r="AK46" s="10"/>
      <x:c r="AL46" s="11"/>
      <x:c r="AM46" s="11"/>
      <x:c r="AN46" s="11"/>
      <x:c r="AO46" s="10"/>
      <x:c r="AP46" s="8" t="e">
        <x:f>IF(B46="","",IF(OR(V46="重大",AH46="重大",AH46="高",AI46="上升",AJ46="是",AND(AB46&lt;&gt;"",AB46&lt;项目驾驶舱!$B$3,AC46&lt;&gt;"已关闭")),"是","否"))</x:f>
        <x:v>#NAME?</x:v>
      </x:c>
      <x:c r="AQ46" s="8" t="e">
        <x:f>IF(B46="","",IF(W46="","缺风险责任人",IF(AND(OR(V46="重大",V46="高"),Y46=""),"高风险缺应对策略",IF(AND(AJ46="是",AK46=""),"已发生未关联问题",IF(AND(AC46="已关闭",AO46=""),"关闭缺证据",IF(AND(AM46&lt;&gt;"",AM46&lt;项目驾驶舱!$B$3),"评审逾期",""))))))</x:f>
        <x:v>#NAME?</x:v>
      </x:c>
      <x:c r="AR46" s="8" t="e">
        <x:f>IF(AP46="是",COUNTIFS($AP$9:AP46,"是"),"")</x:f>
        <x:v>#NAME?</x:v>
      </x:c>
    </x:row>
    <x:row r="47">
      <x:c r="A47" s="8" t="str">
        <x:f t="shared" si="0"/>
      </x:c>
      <x:c r="B47" s="10"/>
      <x:c r="C47" s="10"/>
      <x:c r="D47" s="10"/>
      <x:c r="E47" s="10"/>
      <x:c r="F47" s="10"/>
      <x:c r="G47" s="10"/>
      <x:c r="H47" s="10"/>
      <x:c r="I47" s="10"/>
      <x:c r="J47" s="11"/>
      <x:c r="K47" s="10"/>
      <x:c r="L47" s="10"/>
      <x:c r="M47" s="10"/>
      <x:c r="N47" s="10"/>
      <x:c r="O47" s="10"/>
      <x:c r="P47" s="10"/>
      <x:c r="Q47" s="10"/>
      <x:c r="R47" s="10"/>
      <x:c r="S47" s="10"/>
      <x:c r="T47" s="8" t="str">
        <x:f t="shared" si="1"/>
      </x:c>
      <x:c r="U47" s="8" t="str">
        <x:f t="shared" si="2"/>
      </x:c>
      <x:c r="V47" s="8" t="str">
        <x:f t="shared" si="3"/>
      </x:c>
      <x:c r="W47" s="10"/>
      <x:c r="X47" s="10"/>
      <x:c r="Y47" s="10"/>
      <x:c r="Z47" s="10"/>
      <x:c r="AA47" s="10"/>
      <x:c r="AB47" s="11"/>
      <x:c r="AC47" s="10"/>
      <x:c r="AD47" s="47"/>
      <x:c r="AE47" s="10"/>
      <x:c r="AF47" s="10"/>
      <x:c r="AG47" s="8" t="str">
        <x:f t="shared" si="4"/>
      </x:c>
      <x:c r="AH47" s="8" t="str">
        <x:f t="shared" si="5"/>
      </x:c>
      <x:c r="AI47" s="10"/>
      <x:c r="AJ47" s="10"/>
      <x:c r="AK47" s="10"/>
      <x:c r="AL47" s="11"/>
      <x:c r="AM47" s="11"/>
      <x:c r="AN47" s="11"/>
      <x:c r="AO47" s="10"/>
      <x:c r="AP47" s="8" t="e">
        <x:f>IF(B47="","",IF(OR(V47="重大",AH47="重大",AH47="高",AI47="上升",AJ47="是",AND(AB47&lt;&gt;"",AB47&lt;项目驾驶舱!$B$3,AC47&lt;&gt;"已关闭")),"是","否"))</x:f>
        <x:v>#NAME?</x:v>
      </x:c>
      <x:c r="AQ47" s="8" t="e">
        <x:f>IF(B47="","",IF(W47="","缺风险责任人",IF(AND(OR(V47="重大",V47="高"),Y47=""),"高风险缺应对策略",IF(AND(AJ47="是",AK47=""),"已发生未关联问题",IF(AND(AC47="已关闭",AO47=""),"关闭缺证据",IF(AND(AM47&lt;&gt;"",AM47&lt;项目驾驶舱!$B$3),"评审逾期",""))))))</x:f>
        <x:v>#NAME?</x:v>
      </x:c>
      <x:c r="AR47" s="8" t="e">
        <x:f>IF(AP47="是",COUNTIFS($AP$9:AP47,"是"),"")</x:f>
        <x:v>#NAME?</x:v>
      </x:c>
    </x:row>
    <x:row r="48">
      <x:c r="A48" s="8" t="str">
        <x:f t="shared" si="0"/>
      </x:c>
      <x:c r="B48" s="10"/>
      <x:c r="C48" s="10"/>
      <x:c r="D48" s="10"/>
      <x:c r="E48" s="10"/>
      <x:c r="F48" s="10"/>
      <x:c r="G48" s="10"/>
      <x:c r="H48" s="10"/>
      <x:c r="I48" s="10"/>
      <x:c r="J48" s="11"/>
      <x:c r="K48" s="10"/>
      <x:c r="L48" s="10"/>
      <x:c r="M48" s="10"/>
      <x:c r="N48" s="10"/>
      <x:c r="O48" s="10"/>
      <x:c r="P48" s="10"/>
      <x:c r="Q48" s="10"/>
      <x:c r="R48" s="10"/>
      <x:c r="S48" s="10"/>
      <x:c r="T48" s="8" t="str">
        <x:f t="shared" si="1"/>
      </x:c>
      <x:c r="U48" s="8" t="str">
        <x:f t="shared" si="2"/>
      </x:c>
      <x:c r="V48" s="8" t="str">
        <x:f t="shared" si="3"/>
      </x:c>
      <x:c r="W48" s="10"/>
      <x:c r="X48" s="10"/>
      <x:c r="Y48" s="10"/>
      <x:c r="Z48" s="10"/>
      <x:c r="AA48" s="10"/>
      <x:c r="AB48" s="11"/>
      <x:c r="AC48" s="10"/>
      <x:c r="AD48" s="47"/>
      <x:c r="AE48" s="10"/>
      <x:c r="AF48" s="10"/>
      <x:c r="AG48" s="8" t="str">
        <x:f t="shared" si="4"/>
      </x:c>
      <x:c r="AH48" s="8" t="str">
        <x:f t="shared" si="5"/>
      </x:c>
      <x:c r="AI48" s="10"/>
      <x:c r="AJ48" s="10"/>
      <x:c r="AK48" s="10"/>
      <x:c r="AL48" s="11"/>
      <x:c r="AM48" s="11"/>
      <x:c r="AN48" s="11"/>
      <x:c r="AO48" s="10"/>
      <x:c r="AP48" s="8" t="e">
        <x:f>IF(B48="","",IF(OR(V48="重大",AH48="重大",AH48="高",AI48="上升",AJ48="是",AND(AB48&lt;&gt;"",AB48&lt;项目驾驶舱!$B$3,AC48&lt;&gt;"已关闭")),"是","否"))</x:f>
        <x:v>#NAME?</x:v>
      </x:c>
      <x:c r="AQ48" s="8" t="e">
        <x:f>IF(B48="","",IF(W48="","缺风险责任人",IF(AND(OR(V48="重大",V48="高"),Y48=""),"高风险缺应对策略",IF(AND(AJ48="是",AK48=""),"已发生未关联问题",IF(AND(AC48="已关闭",AO48=""),"关闭缺证据",IF(AND(AM48&lt;&gt;"",AM48&lt;项目驾驶舱!$B$3),"评审逾期",""))))))</x:f>
        <x:v>#NAME?</x:v>
      </x:c>
      <x:c r="AR48" s="8" t="e">
        <x:f>IF(AP48="是",COUNTIFS($AP$9:AP48,"是"),"")</x:f>
        <x:v>#NAME?</x:v>
      </x:c>
    </x:row>
    <x:row r="49">
      <x:c r="A49" s="8" t="str">
        <x:f t="shared" si="0"/>
      </x:c>
      <x:c r="B49" s="10"/>
      <x:c r="C49" s="10"/>
      <x:c r="D49" s="10"/>
      <x:c r="E49" s="10"/>
      <x:c r="F49" s="10"/>
      <x:c r="G49" s="10"/>
      <x:c r="H49" s="10"/>
      <x:c r="I49" s="10"/>
      <x:c r="J49" s="11"/>
      <x:c r="K49" s="10"/>
      <x:c r="L49" s="10"/>
      <x:c r="M49" s="10"/>
      <x:c r="N49" s="10"/>
      <x:c r="O49" s="10"/>
      <x:c r="P49" s="10"/>
      <x:c r="Q49" s="10"/>
      <x:c r="R49" s="10"/>
      <x:c r="S49" s="10"/>
      <x:c r="T49" s="8" t="str">
        <x:f t="shared" si="1"/>
      </x:c>
      <x:c r="U49" s="8" t="str">
        <x:f t="shared" si="2"/>
      </x:c>
      <x:c r="V49" s="8" t="str">
        <x:f t="shared" si="3"/>
      </x:c>
      <x:c r="W49" s="10"/>
      <x:c r="X49" s="10"/>
      <x:c r="Y49" s="10"/>
      <x:c r="Z49" s="10"/>
      <x:c r="AA49" s="10"/>
      <x:c r="AB49" s="11"/>
      <x:c r="AC49" s="10"/>
      <x:c r="AD49" s="47"/>
      <x:c r="AE49" s="10"/>
      <x:c r="AF49" s="10"/>
      <x:c r="AG49" s="8" t="str">
        <x:f t="shared" si="4"/>
      </x:c>
      <x:c r="AH49" s="8" t="str">
        <x:f t="shared" si="5"/>
      </x:c>
      <x:c r="AI49" s="10"/>
      <x:c r="AJ49" s="10"/>
      <x:c r="AK49" s="10"/>
      <x:c r="AL49" s="11"/>
      <x:c r="AM49" s="11"/>
      <x:c r="AN49" s="11"/>
      <x:c r="AO49" s="10"/>
      <x:c r="AP49" s="8" t="e">
        <x:f>IF(B49="","",IF(OR(V49="重大",AH49="重大",AH49="高",AI49="上升",AJ49="是",AND(AB49&lt;&gt;"",AB49&lt;项目驾驶舱!$B$3,AC49&lt;&gt;"已关闭")),"是","否"))</x:f>
        <x:v>#NAME?</x:v>
      </x:c>
      <x:c r="AQ49" s="8" t="e">
        <x:f>IF(B49="","",IF(W49="","缺风险责任人",IF(AND(OR(V49="重大",V49="高"),Y49=""),"高风险缺应对策略",IF(AND(AJ49="是",AK49=""),"已发生未关联问题",IF(AND(AC49="已关闭",AO49=""),"关闭缺证据",IF(AND(AM49&lt;&gt;"",AM49&lt;项目驾驶舱!$B$3),"评审逾期",""))))))</x:f>
        <x:v>#NAME?</x:v>
      </x:c>
      <x:c r="AR49" s="8" t="e">
        <x:f>IF(AP49="是",COUNTIFS($AP$9:AP49,"是"),"")</x:f>
        <x:v>#NAME?</x:v>
      </x:c>
    </x:row>
    <x:row r="50">
      <x:c r="A50" s="8" t="str">
        <x:f t="shared" si="0"/>
      </x:c>
      <x:c r="B50" s="10"/>
      <x:c r="C50" s="10"/>
      <x:c r="D50" s="10"/>
      <x:c r="E50" s="10"/>
      <x:c r="F50" s="10"/>
      <x:c r="G50" s="10"/>
      <x:c r="H50" s="10"/>
      <x:c r="I50" s="10"/>
      <x:c r="J50" s="11"/>
      <x:c r="K50" s="10"/>
      <x:c r="L50" s="10"/>
      <x:c r="M50" s="10"/>
      <x:c r="N50" s="10"/>
      <x:c r="O50" s="10"/>
      <x:c r="P50" s="10"/>
      <x:c r="Q50" s="10"/>
      <x:c r="R50" s="10"/>
      <x:c r="S50" s="10"/>
      <x:c r="T50" s="8" t="str">
        <x:f t="shared" si="1"/>
      </x:c>
      <x:c r="U50" s="8" t="str">
        <x:f t="shared" si="2"/>
      </x:c>
      <x:c r="V50" s="8" t="str">
        <x:f t="shared" si="3"/>
      </x:c>
      <x:c r="W50" s="10"/>
      <x:c r="X50" s="10"/>
      <x:c r="Y50" s="10"/>
      <x:c r="Z50" s="10"/>
      <x:c r="AA50" s="10"/>
      <x:c r="AB50" s="11"/>
      <x:c r="AC50" s="10"/>
      <x:c r="AD50" s="47"/>
      <x:c r="AE50" s="10"/>
      <x:c r="AF50" s="10"/>
      <x:c r="AG50" s="8" t="str">
        <x:f t="shared" si="4"/>
      </x:c>
      <x:c r="AH50" s="8" t="str">
        <x:f t="shared" si="5"/>
      </x:c>
      <x:c r="AI50" s="10"/>
      <x:c r="AJ50" s="10"/>
      <x:c r="AK50" s="10"/>
      <x:c r="AL50" s="11"/>
      <x:c r="AM50" s="11"/>
      <x:c r="AN50" s="11"/>
      <x:c r="AO50" s="10"/>
      <x:c r="AP50" s="8" t="e">
        <x:f>IF(B50="","",IF(OR(V50="重大",AH50="重大",AH50="高",AI50="上升",AJ50="是",AND(AB50&lt;&gt;"",AB50&lt;项目驾驶舱!$B$3,AC50&lt;&gt;"已关闭")),"是","否"))</x:f>
        <x:v>#NAME?</x:v>
      </x:c>
      <x:c r="AQ50" s="8" t="e">
        <x:f>IF(B50="","",IF(W50="","缺风险责任人",IF(AND(OR(V50="重大",V50="高"),Y50=""),"高风险缺应对策略",IF(AND(AJ50="是",AK50=""),"已发生未关联问题",IF(AND(AC50="已关闭",AO50=""),"关闭缺证据",IF(AND(AM50&lt;&gt;"",AM50&lt;项目驾驶舱!$B$3),"评审逾期",""))))))</x:f>
        <x:v>#NAME?</x:v>
      </x:c>
      <x:c r="AR50" s="8" t="e">
        <x:f>IF(AP50="是",COUNTIFS($AP$9:AP50,"是"),"")</x:f>
        <x:v>#NAME?</x:v>
      </x:c>
    </x:row>
    <x:row r="51">
      <x:c r="A51" s="8" t="str">
        <x:f t="shared" si="0"/>
      </x:c>
      <x:c r="B51" s="10"/>
      <x:c r="C51" s="10"/>
      <x:c r="D51" s="10"/>
      <x:c r="E51" s="10"/>
      <x:c r="F51" s="10"/>
      <x:c r="G51" s="10"/>
      <x:c r="H51" s="10"/>
      <x:c r="I51" s="10"/>
      <x:c r="J51" s="11"/>
      <x:c r="K51" s="10"/>
      <x:c r="L51" s="10"/>
      <x:c r="M51" s="10"/>
      <x:c r="N51" s="10"/>
      <x:c r="O51" s="10"/>
      <x:c r="P51" s="10"/>
      <x:c r="Q51" s="10"/>
      <x:c r="R51" s="10"/>
      <x:c r="S51" s="10"/>
      <x:c r="T51" s="8" t="str">
        <x:f t="shared" si="1"/>
      </x:c>
      <x:c r="U51" s="8" t="str">
        <x:f t="shared" si="2"/>
      </x:c>
      <x:c r="V51" s="8" t="str">
        <x:f t="shared" si="3"/>
      </x:c>
      <x:c r="W51" s="10"/>
      <x:c r="X51" s="10"/>
      <x:c r="Y51" s="10"/>
      <x:c r="Z51" s="10"/>
      <x:c r="AA51" s="10"/>
      <x:c r="AB51" s="11"/>
      <x:c r="AC51" s="10"/>
      <x:c r="AD51" s="47"/>
      <x:c r="AE51" s="10"/>
      <x:c r="AF51" s="10"/>
      <x:c r="AG51" s="8" t="str">
        <x:f t="shared" si="4"/>
      </x:c>
      <x:c r="AH51" s="8" t="str">
        <x:f t="shared" si="5"/>
      </x:c>
      <x:c r="AI51" s="10"/>
      <x:c r="AJ51" s="10"/>
      <x:c r="AK51" s="10"/>
      <x:c r="AL51" s="11"/>
      <x:c r="AM51" s="11"/>
      <x:c r="AN51" s="11"/>
      <x:c r="AO51" s="10"/>
      <x:c r="AP51" s="8" t="e">
        <x:f>IF(B51="","",IF(OR(V51="重大",AH51="重大",AH51="高",AI51="上升",AJ51="是",AND(AB51&lt;&gt;"",AB51&lt;项目驾驶舱!$B$3,AC51&lt;&gt;"已关闭")),"是","否"))</x:f>
        <x:v>#NAME?</x:v>
      </x:c>
      <x:c r="AQ51" s="8" t="e">
        <x:f>IF(B51="","",IF(W51="","缺风险责任人",IF(AND(OR(V51="重大",V51="高"),Y51=""),"高风险缺应对策略",IF(AND(AJ51="是",AK51=""),"已发生未关联问题",IF(AND(AC51="已关闭",AO51=""),"关闭缺证据",IF(AND(AM51&lt;&gt;"",AM51&lt;项目驾驶舱!$B$3),"评审逾期",""))))))</x:f>
        <x:v>#NAME?</x:v>
      </x:c>
      <x:c r="AR51" s="8" t="e">
        <x:f>IF(AP51="是",COUNTIFS($AP$9:AP51,"是"),"")</x:f>
        <x:v>#NAME?</x:v>
      </x:c>
    </x:row>
    <x:row r="52">
      <x:c r="A52" s="8" t="str">
        <x:f t="shared" si="0"/>
      </x:c>
      <x:c r="B52" s="10"/>
      <x:c r="C52" s="10"/>
      <x:c r="D52" s="10"/>
      <x:c r="E52" s="10"/>
      <x:c r="F52" s="10"/>
      <x:c r="G52" s="10"/>
      <x:c r="H52" s="10"/>
      <x:c r="I52" s="10"/>
      <x:c r="J52" s="11"/>
      <x:c r="K52" s="10"/>
      <x:c r="L52" s="10"/>
      <x:c r="M52" s="10"/>
      <x:c r="N52" s="10"/>
      <x:c r="O52" s="10"/>
      <x:c r="P52" s="10"/>
      <x:c r="Q52" s="10"/>
      <x:c r="R52" s="10"/>
      <x:c r="S52" s="10"/>
      <x:c r="T52" s="8" t="str">
        <x:f t="shared" si="1"/>
      </x:c>
      <x:c r="U52" s="8" t="str">
        <x:f t="shared" si="2"/>
      </x:c>
      <x:c r="V52" s="8" t="str">
        <x:f t="shared" si="3"/>
      </x:c>
      <x:c r="W52" s="10"/>
      <x:c r="X52" s="10"/>
      <x:c r="Y52" s="10"/>
      <x:c r="Z52" s="10"/>
      <x:c r="AA52" s="10"/>
      <x:c r="AB52" s="11"/>
      <x:c r="AC52" s="10"/>
      <x:c r="AD52" s="47"/>
      <x:c r="AE52" s="10"/>
      <x:c r="AF52" s="10"/>
      <x:c r="AG52" s="8" t="str">
        <x:f t="shared" si="4"/>
      </x:c>
      <x:c r="AH52" s="8" t="str">
        <x:f t="shared" si="5"/>
      </x:c>
      <x:c r="AI52" s="10"/>
      <x:c r="AJ52" s="10"/>
      <x:c r="AK52" s="10"/>
      <x:c r="AL52" s="11"/>
      <x:c r="AM52" s="11"/>
      <x:c r="AN52" s="11"/>
      <x:c r="AO52" s="10"/>
      <x:c r="AP52" s="8" t="e">
        <x:f>IF(B52="","",IF(OR(V52="重大",AH52="重大",AH52="高",AI52="上升",AJ52="是",AND(AB52&lt;&gt;"",AB52&lt;项目驾驶舱!$B$3,AC52&lt;&gt;"已关闭")),"是","否"))</x:f>
        <x:v>#NAME?</x:v>
      </x:c>
      <x:c r="AQ52" s="8" t="e">
        <x:f>IF(B52="","",IF(W52="","缺风险责任人",IF(AND(OR(V52="重大",V52="高"),Y52=""),"高风险缺应对策略",IF(AND(AJ52="是",AK52=""),"已发生未关联问题",IF(AND(AC52="已关闭",AO52=""),"关闭缺证据",IF(AND(AM52&lt;&gt;"",AM52&lt;项目驾驶舱!$B$3),"评审逾期",""))))))</x:f>
        <x:v>#NAME?</x:v>
      </x:c>
      <x:c r="AR52" s="8" t="e">
        <x:f>IF(AP52="是",COUNTIFS($AP$9:AP52,"是"),"")</x:f>
        <x:v>#NAME?</x:v>
      </x:c>
    </x:row>
    <x:row r="53">
      <x:c r="A53" s="8" t="str">
        <x:f t="shared" si="0"/>
      </x:c>
      <x:c r="B53" s="10"/>
      <x:c r="C53" s="10"/>
      <x:c r="D53" s="10"/>
      <x:c r="E53" s="10"/>
      <x:c r="F53" s="10"/>
      <x:c r="G53" s="10"/>
      <x:c r="H53" s="10"/>
      <x:c r="I53" s="10"/>
      <x:c r="J53" s="11"/>
      <x:c r="K53" s="10"/>
      <x:c r="L53" s="10"/>
      <x:c r="M53" s="10"/>
      <x:c r="N53" s="10"/>
      <x:c r="O53" s="10"/>
      <x:c r="P53" s="10"/>
      <x:c r="Q53" s="10"/>
      <x:c r="R53" s="10"/>
      <x:c r="S53" s="10"/>
      <x:c r="T53" s="8" t="str">
        <x:f t="shared" si="1"/>
      </x:c>
      <x:c r="U53" s="8" t="str">
        <x:f t="shared" si="2"/>
      </x:c>
      <x:c r="V53" s="8" t="str">
        <x:f t="shared" si="3"/>
      </x:c>
      <x:c r="W53" s="10"/>
      <x:c r="X53" s="10"/>
      <x:c r="Y53" s="10"/>
      <x:c r="Z53" s="10"/>
      <x:c r="AA53" s="10"/>
      <x:c r="AB53" s="11"/>
      <x:c r="AC53" s="10"/>
      <x:c r="AD53" s="47"/>
      <x:c r="AE53" s="10"/>
      <x:c r="AF53" s="10"/>
      <x:c r="AG53" s="8" t="str">
        <x:f t="shared" si="4"/>
      </x:c>
      <x:c r="AH53" s="8" t="str">
        <x:f t="shared" si="5"/>
      </x:c>
      <x:c r="AI53" s="10"/>
      <x:c r="AJ53" s="10"/>
      <x:c r="AK53" s="10"/>
      <x:c r="AL53" s="11"/>
      <x:c r="AM53" s="11"/>
      <x:c r="AN53" s="11"/>
      <x:c r="AO53" s="10"/>
      <x:c r="AP53" s="8" t="e">
        <x:f>IF(B53="","",IF(OR(V53="重大",AH53="重大",AH53="高",AI53="上升",AJ53="是",AND(AB53&lt;&gt;"",AB53&lt;项目驾驶舱!$B$3,AC53&lt;&gt;"已关闭")),"是","否"))</x:f>
        <x:v>#NAME?</x:v>
      </x:c>
      <x:c r="AQ53" s="8" t="e">
        <x:f>IF(B53="","",IF(W53="","缺风险责任人",IF(AND(OR(V53="重大",V53="高"),Y53=""),"高风险缺应对策略",IF(AND(AJ53="是",AK53=""),"已发生未关联问题",IF(AND(AC53="已关闭",AO53=""),"关闭缺证据",IF(AND(AM53&lt;&gt;"",AM53&lt;项目驾驶舱!$B$3),"评审逾期",""))))))</x:f>
        <x:v>#NAME?</x:v>
      </x:c>
      <x:c r="AR53" s="8" t="e">
        <x:f>IF(AP53="是",COUNTIFS($AP$9:AP53,"是"),"")</x:f>
        <x:v>#NAME?</x:v>
      </x:c>
    </x:row>
    <x:row r="54">
      <x:c r="A54" s="8" t="str">
        <x:f t="shared" si="0"/>
      </x:c>
      <x:c r="B54" s="10"/>
      <x:c r="C54" s="10"/>
      <x:c r="D54" s="10"/>
      <x:c r="E54" s="10"/>
      <x:c r="F54" s="10"/>
      <x:c r="G54" s="10"/>
      <x:c r="H54" s="10"/>
      <x:c r="I54" s="10"/>
      <x:c r="J54" s="11"/>
      <x:c r="K54" s="10"/>
      <x:c r="L54" s="10"/>
      <x:c r="M54" s="10"/>
      <x:c r="N54" s="10"/>
      <x:c r="O54" s="10"/>
      <x:c r="P54" s="10"/>
      <x:c r="Q54" s="10"/>
      <x:c r="R54" s="10"/>
      <x:c r="S54" s="10"/>
      <x:c r="T54" s="8" t="str">
        <x:f t="shared" si="1"/>
      </x:c>
      <x:c r="U54" s="8" t="str">
        <x:f t="shared" si="2"/>
      </x:c>
      <x:c r="V54" s="8" t="str">
        <x:f t="shared" si="3"/>
      </x:c>
      <x:c r="W54" s="10"/>
      <x:c r="X54" s="10"/>
      <x:c r="Y54" s="10"/>
      <x:c r="Z54" s="10"/>
      <x:c r="AA54" s="10"/>
      <x:c r="AB54" s="11"/>
      <x:c r="AC54" s="10"/>
      <x:c r="AD54" s="47"/>
      <x:c r="AE54" s="10"/>
      <x:c r="AF54" s="10"/>
      <x:c r="AG54" s="8" t="str">
        <x:f t="shared" si="4"/>
      </x:c>
      <x:c r="AH54" s="8" t="str">
        <x:f t="shared" si="5"/>
      </x:c>
      <x:c r="AI54" s="10"/>
      <x:c r="AJ54" s="10"/>
      <x:c r="AK54" s="10"/>
      <x:c r="AL54" s="11"/>
      <x:c r="AM54" s="11"/>
      <x:c r="AN54" s="11"/>
      <x:c r="AO54" s="10"/>
      <x:c r="AP54" s="8" t="e">
        <x:f>IF(B54="","",IF(OR(V54="重大",AH54="重大",AH54="高",AI54="上升",AJ54="是",AND(AB54&lt;&gt;"",AB54&lt;项目驾驶舱!$B$3,AC54&lt;&gt;"已关闭")),"是","否"))</x:f>
        <x:v>#NAME?</x:v>
      </x:c>
      <x:c r="AQ54" s="8" t="e">
        <x:f>IF(B54="","",IF(W54="","缺风险责任人",IF(AND(OR(V54="重大",V54="高"),Y54=""),"高风险缺应对策略",IF(AND(AJ54="是",AK54=""),"已发生未关联问题",IF(AND(AC54="已关闭",AO54=""),"关闭缺证据",IF(AND(AM54&lt;&gt;"",AM54&lt;项目驾驶舱!$B$3),"评审逾期",""))))))</x:f>
        <x:v>#NAME?</x:v>
      </x:c>
      <x:c r="AR54" s="8" t="e">
        <x:f>IF(AP54="是",COUNTIFS($AP$9:AP54,"是"),"")</x:f>
        <x:v>#NAME?</x:v>
      </x:c>
    </x:row>
    <x:row r="55">
      <x:c r="A55" s="8" t="str">
        <x:f t="shared" si="0"/>
      </x:c>
      <x:c r="B55" s="10"/>
      <x:c r="C55" s="10"/>
      <x:c r="D55" s="10"/>
      <x:c r="E55" s="10"/>
      <x:c r="F55" s="10"/>
      <x:c r="G55" s="10"/>
      <x:c r="H55" s="10"/>
      <x:c r="I55" s="10"/>
      <x:c r="J55" s="11"/>
      <x:c r="K55" s="10"/>
      <x:c r="L55" s="10"/>
      <x:c r="M55" s="10"/>
      <x:c r="N55" s="10"/>
      <x:c r="O55" s="10"/>
      <x:c r="P55" s="10"/>
      <x:c r="Q55" s="10"/>
      <x:c r="R55" s="10"/>
      <x:c r="S55" s="10"/>
      <x:c r="T55" s="8" t="str">
        <x:f t="shared" si="1"/>
      </x:c>
      <x:c r="U55" s="8" t="str">
        <x:f t="shared" si="2"/>
      </x:c>
      <x:c r="V55" s="8" t="str">
        <x:f t="shared" si="3"/>
      </x:c>
      <x:c r="W55" s="10"/>
      <x:c r="X55" s="10"/>
      <x:c r="Y55" s="10"/>
      <x:c r="Z55" s="10"/>
      <x:c r="AA55" s="10"/>
      <x:c r="AB55" s="11"/>
      <x:c r="AC55" s="10"/>
      <x:c r="AD55" s="47"/>
      <x:c r="AE55" s="10"/>
      <x:c r="AF55" s="10"/>
      <x:c r="AG55" s="8" t="str">
        <x:f t="shared" si="4"/>
      </x:c>
      <x:c r="AH55" s="8" t="str">
        <x:f t="shared" si="5"/>
      </x:c>
      <x:c r="AI55" s="10"/>
      <x:c r="AJ55" s="10"/>
      <x:c r="AK55" s="10"/>
      <x:c r="AL55" s="11"/>
      <x:c r="AM55" s="11"/>
      <x:c r="AN55" s="11"/>
      <x:c r="AO55" s="10"/>
      <x:c r="AP55" s="8" t="e">
        <x:f>IF(B55="","",IF(OR(V55="重大",AH55="重大",AH55="高",AI55="上升",AJ55="是",AND(AB55&lt;&gt;"",AB55&lt;项目驾驶舱!$B$3,AC55&lt;&gt;"已关闭")),"是","否"))</x:f>
        <x:v>#NAME?</x:v>
      </x:c>
      <x:c r="AQ55" s="8" t="e">
        <x:f>IF(B55="","",IF(W55="","缺风险责任人",IF(AND(OR(V55="重大",V55="高"),Y55=""),"高风险缺应对策略",IF(AND(AJ55="是",AK55=""),"已发生未关联问题",IF(AND(AC55="已关闭",AO55=""),"关闭缺证据",IF(AND(AM55&lt;&gt;"",AM55&lt;项目驾驶舱!$B$3),"评审逾期",""))))))</x:f>
        <x:v>#NAME?</x:v>
      </x:c>
      <x:c r="AR55" s="8" t="e">
        <x:f>IF(AP55="是",COUNTIFS($AP$9:AP55,"是"),"")</x:f>
        <x:v>#NAME?</x:v>
      </x:c>
    </x:row>
    <x:row r="56">
      <x:c r="A56" s="8" t="str">
        <x:f t="shared" si="0"/>
      </x:c>
      <x:c r="B56" s="10"/>
      <x:c r="C56" s="10"/>
      <x:c r="D56" s="10"/>
      <x:c r="E56" s="10"/>
      <x:c r="F56" s="10"/>
      <x:c r="G56" s="10"/>
      <x:c r="H56" s="10"/>
      <x:c r="I56" s="10"/>
      <x:c r="J56" s="11"/>
      <x:c r="K56" s="10"/>
      <x:c r="L56" s="10"/>
      <x:c r="M56" s="10"/>
      <x:c r="N56" s="10"/>
      <x:c r="O56" s="10"/>
      <x:c r="P56" s="10"/>
      <x:c r="Q56" s="10"/>
      <x:c r="R56" s="10"/>
      <x:c r="S56" s="10"/>
      <x:c r="T56" s="8" t="str">
        <x:f t="shared" si="1"/>
      </x:c>
      <x:c r="U56" s="8" t="str">
        <x:f t="shared" si="2"/>
      </x:c>
      <x:c r="V56" s="8" t="str">
        <x:f t="shared" si="3"/>
      </x:c>
      <x:c r="W56" s="10"/>
      <x:c r="X56" s="10"/>
      <x:c r="Y56" s="10"/>
      <x:c r="Z56" s="10"/>
      <x:c r="AA56" s="10"/>
      <x:c r="AB56" s="11"/>
      <x:c r="AC56" s="10"/>
      <x:c r="AD56" s="47"/>
      <x:c r="AE56" s="10"/>
      <x:c r="AF56" s="10"/>
      <x:c r="AG56" s="8" t="str">
        <x:f t="shared" si="4"/>
      </x:c>
      <x:c r="AH56" s="8" t="str">
        <x:f t="shared" si="5"/>
      </x:c>
      <x:c r="AI56" s="10"/>
      <x:c r="AJ56" s="10"/>
      <x:c r="AK56" s="10"/>
      <x:c r="AL56" s="11"/>
      <x:c r="AM56" s="11"/>
      <x:c r="AN56" s="11"/>
      <x:c r="AO56" s="10"/>
      <x:c r="AP56" s="8" t="e">
        <x:f>IF(B56="","",IF(OR(V56="重大",AH56="重大",AH56="高",AI56="上升",AJ56="是",AND(AB56&lt;&gt;"",AB56&lt;项目驾驶舱!$B$3,AC56&lt;&gt;"已关闭")),"是","否"))</x:f>
        <x:v>#NAME?</x:v>
      </x:c>
      <x:c r="AQ56" s="8" t="e">
        <x:f>IF(B56="","",IF(W56="","缺风险责任人",IF(AND(OR(V56="重大",V56="高"),Y56=""),"高风险缺应对策略",IF(AND(AJ56="是",AK56=""),"已发生未关联问题",IF(AND(AC56="已关闭",AO56=""),"关闭缺证据",IF(AND(AM56&lt;&gt;"",AM56&lt;项目驾驶舱!$B$3),"评审逾期",""))))))</x:f>
        <x:v>#NAME?</x:v>
      </x:c>
      <x:c r="AR56" s="8" t="e">
        <x:f>IF(AP56="是",COUNTIFS($AP$9:AP56,"是"),"")</x:f>
        <x:v>#NAME?</x:v>
      </x:c>
    </x:row>
    <x:row r="57">
      <x:c r="A57" s="8" t="str">
        <x:f t="shared" si="0"/>
      </x:c>
      <x:c r="B57" s="10"/>
      <x:c r="C57" s="10"/>
      <x:c r="D57" s="10"/>
      <x:c r="E57" s="10"/>
      <x:c r="F57" s="10"/>
      <x:c r="G57" s="10"/>
      <x:c r="H57" s="10"/>
      <x:c r="I57" s="10"/>
      <x:c r="J57" s="11"/>
      <x:c r="K57" s="10"/>
      <x:c r="L57" s="10"/>
      <x:c r="M57" s="10"/>
      <x:c r="N57" s="10"/>
      <x:c r="O57" s="10"/>
      <x:c r="P57" s="10"/>
      <x:c r="Q57" s="10"/>
      <x:c r="R57" s="10"/>
      <x:c r="S57" s="10"/>
      <x:c r="T57" s="8" t="str">
        <x:f t="shared" si="1"/>
      </x:c>
      <x:c r="U57" s="8" t="str">
        <x:f t="shared" si="2"/>
      </x:c>
      <x:c r="V57" s="8" t="str">
        <x:f t="shared" si="3"/>
      </x:c>
      <x:c r="W57" s="10"/>
      <x:c r="X57" s="10"/>
      <x:c r="Y57" s="10"/>
      <x:c r="Z57" s="10"/>
      <x:c r="AA57" s="10"/>
      <x:c r="AB57" s="11"/>
      <x:c r="AC57" s="10"/>
      <x:c r="AD57" s="47"/>
      <x:c r="AE57" s="10"/>
      <x:c r="AF57" s="10"/>
      <x:c r="AG57" s="8" t="str">
        <x:f t="shared" si="4"/>
      </x:c>
      <x:c r="AH57" s="8" t="str">
        <x:f t="shared" si="5"/>
      </x:c>
      <x:c r="AI57" s="10"/>
      <x:c r="AJ57" s="10"/>
      <x:c r="AK57" s="10"/>
      <x:c r="AL57" s="11"/>
      <x:c r="AM57" s="11"/>
      <x:c r="AN57" s="11"/>
      <x:c r="AO57" s="10"/>
      <x:c r="AP57" s="8" t="e">
        <x:f>IF(B57="","",IF(OR(V57="重大",AH57="重大",AH57="高",AI57="上升",AJ57="是",AND(AB57&lt;&gt;"",AB57&lt;项目驾驶舱!$B$3,AC57&lt;&gt;"已关闭")),"是","否"))</x:f>
        <x:v>#NAME?</x:v>
      </x:c>
      <x:c r="AQ57" s="8" t="e">
        <x:f>IF(B57="","",IF(W57="","缺风险责任人",IF(AND(OR(V57="重大",V57="高"),Y57=""),"高风险缺应对策略",IF(AND(AJ57="是",AK57=""),"已发生未关联问题",IF(AND(AC57="已关闭",AO57=""),"关闭缺证据",IF(AND(AM57&lt;&gt;"",AM57&lt;项目驾驶舱!$B$3),"评审逾期",""))))))</x:f>
        <x:v>#NAME?</x:v>
      </x:c>
      <x:c r="AR57" s="8" t="e">
        <x:f>IF(AP57="是",COUNTIFS($AP$9:AP57,"是"),"")</x:f>
        <x:v>#NAME?</x:v>
      </x:c>
    </x:row>
    <x:row r="58">
      <x:c r="A58" s="8" t="str">
        <x:f t="shared" si="0"/>
      </x:c>
      <x:c r="B58" s="10"/>
      <x:c r="C58" s="10"/>
      <x:c r="D58" s="10"/>
      <x:c r="E58" s="10"/>
      <x:c r="F58" s="10"/>
      <x:c r="G58" s="10"/>
      <x:c r="H58" s="10"/>
      <x:c r="I58" s="10"/>
      <x:c r="J58" s="11"/>
      <x:c r="K58" s="10"/>
      <x:c r="L58" s="10"/>
      <x:c r="M58" s="10"/>
      <x:c r="N58" s="10"/>
      <x:c r="O58" s="10"/>
      <x:c r="P58" s="10"/>
      <x:c r="Q58" s="10"/>
      <x:c r="R58" s="10"/>
      <x:c r="S58" s="10"/>
      <x:c r="T58" s="8" t="str">
        <x:f t="shared" si="1"/>
      </x:c>
      <x:c r="U58" s="8" t="str">
        <x:f t="shared" si="2"/>
      </x:c>
      <x:c r="V58" s="8" t="str">
        <x:f t="shared" si="3"/>
      </x:c>
      <x:c r="W58" s="10"/>
      <x:c r="X58" s="10"/>
      <x:c r="Y58" s="10"/>
      <x:c r="Z58" s="10"/>
      <x:c r="AA58" s="10"/>
      <x:c r="AB58" s="11"/>
      <x:c r="AC58" s="10"/>
      <x:c r="AD58" s="47"/>
      <x:c r="AE58" s="10"/>
      <x:c r="AF58" s="10"/>
      <x:c r="AG58" s="8" t="str">
        <x:f t="shared" si="4"/>
      </x:c>
      <x:c r="AH58" s="8" t="str">
        <x:f t="shared" si="5"/>
      </x:c>
      <x:c r="AI58" s="10"/>
      <x:c r="AJ58" s="10"/>
      <x:c r="AK58" s="10"/>
      <x:c r="AL58" s="11"/>
      <x:c r="AM58" s="11"/>
      <x:c r="AN58" s="11"/>
      <x:c r="AO58" s="10"/>
      <x:c r="AP58" s="8" t="e">
        <x:f>IF(B58="","",IF(OR(V58="重大",AH58="重大",AH58="高",AI58="上升",AJ58="是",AND(AB58&lt;&gt;"",AB58&lt;项目驾驶舱!$B$3,AC58&lt;&gt;"已关闭")),"是","否"))</x:f>
        <x:v>#NAME?</x:v>
      </x:c>
      <x:c r="AQ58" s="8" t="e">
        <x:f>IF(B58="","",IF(W58="","缺风险责任人",IF(AND(OR(V58="重大",V58="高"),Y58=""),"高风险缺应对策略",IF(AND(AJ58="是",AK58=""),"已发生未关联问题",IF(AND(AC58="已关闭",AO58=""),"关闭缺证据",IF(AND(AM58&lt;&gt;"",AM58&lt;项目驾驶舱!$B$3),"评审逾期",""))))))</x:f>
        <x:v>#NAME?</x:v>
      </x:c>
      <x:c r="AR58" s="8" t="e">
        <x:f>IF(AP58="是",COUNTIFS($AP$9:AP58,"是"),"")</x:f>
        <x:v>#NAME?</x:v>
      </x:c>
    </x:row>
    <x:row r="59">
      <x:c r="A59" s="8" t="str">
        <x:f t="shared" si="0"/>
      </x:c>
      <x:c r="B59" s="10"/>
      <x:c r="C59" s="10"/>
      <x:c r="D59" s="10"/>
      <x:c r="E59" s="10"/>
      <x:c r="F59" s="10"/>
      <x:c r="G59" s="10"/>
      <x:c r="H59" s="10"/>
      <x:c r="I59" s="10"/>
      <x:c r="J59" s="11"/>
      <x:c r="K59" s="10"/>
      <x:c r="L59" s="10"/>
      <x:c r="M59" s="10"/>
      <x:c r="N59" s="10"/>
      <x:c r="O59" s="10"/>
      <x:c r="P59" s="10"/>
      <x:c r="Q59" s="10"/>
      <x:c r="R59" s="10"/>
      <x:c r="S59" s="10"/>
      <x:c r="T59" s="8" t="str">
        <x:f t="shared" si="1"/>
      </x:c>
      <x:c r="U59" s="8" t="str">
        <x:f t="shared" si="2"/>
      </x:c>
      <x:c r="V59" s="8" t="str">
        <x:f t="shared" si="3"/>
      </x:c>
      <x:c r="W59" s="10"/>
      <x:c r="X59" s="10"/>
      <x:c r="Y59" s="10"/>
      <x:c r="Z59" s="10"/>
      <x:c r="AA59" s="10"/>
      <x:c r="AB59" s="11"/>
      <x:c r="AC59" s="10"/>
      <x:c r="AD59" s="47"/>
      <x:c r="AE59" s="10"/>
      <x:c r="AF59" s="10"/>
      <x:c r="AG59" s="8" t="str">
        <x:f t="shared" si="4"/>
      </x:c>
      <x:c r="AH59" s="8" t="str">
        <x:f t="shared" si="5"/>
      </x:c>
      <x:c r="AI59" s="10"/>
      <x:c r="AJ59" s="10"/>
      <x:c r="AK59" s="10"/>
      <x:c r="AL59" s="11"/>
      <x:c r="AM59" s="11"/>
      <x:c r="AN59" s="11"/>
      <x:c r="AO59" s="10"/>
      <x:c r="AP59" s="8" t="e">
        <x:f>IF(B59="","",IF(OR(V59="重大",AH59="重大",AH59="高",AI59="上升",AJ59="是",AND(AB59&lt;&gt;"",AB59&lt;项目驾驶舱!$B$3,AC59&lt;&gt;"已关闭")),"是","否"))</x:f>
        <x:v>#NAME?</x:v>
      </x:c>
      <x:c r="AQ59" s="8" t="e">
        <x:f>IF(B59="","",IF(W59="","缺风险责任人",IF(AND(OR(V59="重大",V59="高"),Y59=""),"高风险缺应对策略",IF(AND(AJ59="是",AK59=""),"已发生未关联问题",IF(AND(AC59="已关闭",AO59=""),"关闭缺证据",IF(AND(AM59&lt;&gt;"",AM59&lt;项目驾驶舱!$B$3),"评审逾期",""))))))</x:f>
        <x:v>#NAME?</x:v>
      </x:c>
      <x:c r="AR59" s="8" t="e">
        <x:f>IF(AP59="是",COUNTIFS($AP$9:AP59,"是"),"")</x:f>
        <x:v>#NAME?</x:v>
      </x:c>
    </x:row>
    <x:row r="60">
      <x:c r="A60" s="8" t="str">
        <x:f t="shared" si="0"/>
      </x:c>
      <x:c r="B60" s="10"/>
      <x:c r="C60" s="10"/>
      <x:c r="D60" s="10"/>
      <x:c r="E60" s="10"/>
      <x:c r="F60" s="10"/>
      <x:c r="G60" s="10"/>
      <x:c r="H60" s="10"/>
      <x:c r="I60" s="10"/>
      <x:c r="J60" s="11"/>
      <x:c r="K60" s="10"/>
      <x:c r="L60" s="10"/>
      <x:c r="M60" s="10"/>
      <x:c r="N60" s="10"/>
      <x:c r="O60" s="10"/>
      <x:c r="P60" s="10"/>
      <x:c r="Q60" s="10"/>
      <x:c r="R60" s="10"/>
      <x:c r="S60" s="10"/>
      <x:c r="T60" s="8" t="str">
        <x:f t="shared" si="1"/>
      </x:c>
      <x:c r="U60" s="8" t="str">
        <x:f t="shared" si="2"/>
      </x:c>
      <x:c r="V60" s="8" t="str">
        <x:f t="shared" si="3"/>
      </x:c>
      <x:c r="W60" s="10"/>
      <x:c r="X60" s="10"/>
      <x:c r="Y60" s="10"/>
      <x:c r="Z60" s="10"/>
      <x:c r="AA60" s="10"/>
      <x:c r="AB60" s="11"/>
      <x:c r="AC60" s="10"/>
      <x:c r="AD60" s="47"/>
      <x:c r="AE60" s="10"/>
      <x:c r="AF60" s="10"/>
      <x:c r="AG60" s="8" t="str">
        <x:f t="shared" si="4"/>
      </x:c>
      <x:c r="AH60" s="8" t="str">
        <x:f t="shared" si="5"/>
      </x:c>
      <x:c r="AI60" s="10"/>
      <x:c r="AJ60" s="10"/>
      <x:c r="AK60" s="10"/>
      <x:c r="AL60" s="11"/>
      <x:c r="AM60" s="11"/>
      <x:c r="AN60" s="11"/>
      <x:c r="AO60" s="10"/>
      <x:c r="AP60" s="8" t="e">
        <x:f>IF(B60="","",IF(OR(V60="重大",AH60="重大",AH60="高",AI60="上升",AJ60="是",AND(AB60&lt;&gt;"",AB60&lt;项目驾驶舱!$B$3,AC60&lt;&gt;"已关闭")),"是","否"))</x:f>
        <x:v>#NAME?</x:v>
      </x:c>
      <x:c r="AQ60" s="8" t="e">
        <x:f>IF(B60="","",IF(W60="","缺风险责任人",IF(AND(OR(V60="重大",V60="高"),Y60=""),"高风险缺应对策略",IF(AND(AJ60="是",AK60=""),"已发生未关联问题",IF(AND(AC60="已关闭",AO60=""),"关闭缺证据",IF(AND(AM60&lt;&gt;"",AM60&lt;项目驾驶舱!$B$3),"评审逾期",""))))))</x:f>
        <x:v>#NAME?</x:v>
      </x:c>
      <x:c r="AR60" s="8" t="e">
        <x:f>IF(AP60="是",COUNTIFS($AP$9:AP60,"是"),"")</x:f>
        <x:v>#NAME?</x:v>
      </x:c>
    </x:row>
    <x:row r="61">
      <x:c r="A61" s="8" t="str">
        <x:f t="shared" si="0"/>
      </x:c>
      <x:c r="B61" s="10"/>
      <x:c r="C61" s="10"/>
      <x:c r="D61" s="10"/>
      <x:c r="E61" s="10"/>
      <x:c r="F61" s="10"/>
      <x:c r="G61" s="10"/>
      <x:c r="H61" s="10"/>
      <x:c r="I61" s="10"/>
      <x:c r="J61" s="11"/>
      <x:c r="K61" s="10"/>
      <x:c r="L61" s="10"/>
      <x:c r="M61" s="10"/>
      <x:c r="N61" s="10"/>
      <x:c r="O61" s="10"/>
      <x:c r="P61" s="10"/>
      <x:c r="Q61" s="10"/>
      <x:c r="R61" s="10"/>
      <x:c r="S61" s="10"/>
      <x:c r="T61" s="8" t="str">
        <x:f t="shared" si="1"/>
      </x:c>
      <x:c r="U61" s="8" t="str">
        <x:f t="shared" si="2"/>
      </x:c>
      <x:c r="V61" s="8" t="str">
        <x:f t="shared" si="3"/>
      </x:c>
      <x:c r="W61" s="10"/>
      <x:c r="X61" s="10"/>
      <x:c r="Y61" s="10"/>
      <x:c r="Z61" s="10"/>
      <x:c r="AA61" s="10"/>
      <x:c r="AB61" s="11"/>
      <x:c r="AC61" s="10"/>
      <x:c r="AD61" s="47"/>
      <x:c r="AE61" s="10"/>
      <x:c r="AF61" s="10"/>
      <x:c r="AG61" s="8" t="str">
        <x:f t="shared" si="4"/>
      </x:c>
      <x:c r="AH61" s="8" t="str">
        <x:f t="shared" si="5"/>
      </x:c>
      <x:c r="AI61" s="10"/>
      <x:c r="AJ61" s="10"/>
      <x:c r="AK61" s="10"/>
      <x:c r="AL61" s="11"/>
      <x:c r="AM61" s="11"/>
      <x:c r="AN61" s="11"/>
      <x:c r="AO61" s="10"/>
      <x:c r="AP61" s="8" t="e">
        <x:f>IF(B61="","",IF(OR(V61="重大",AH61="重大",AH61="高",AI61="上升",AJ61="是",AND(AB61&lt;&gt;"",AB61&lt;项目驾驶舱!$B$3,AC61&lt;&gt;"已关闭")),"是","否"))</x:f>
        <x:v>#NAME?</x:v>
      </x:c>
      <x:c r="AQ61" s="8" t="e">
        <x:f>IF(B61="","",IF(W61="","缺风险责任人",IF(AND(OR(V61="重大",V61="高"),Y61=""),"高风险缺应对策略",IF(AND(AJ61="是",AK61=""),"已发生未关联问题",IF(AND(AC61="已关闭",AO61=""),"关闭缺证据",IF(AND(AM61&lt;&gt;"",AM61&lt;项目驾驶舱!$B$3),"评审逾期",""))))))</x:f>
        <x:v>#NAME?</x:v>
      </x:c>
      <x:c r="AR61" s="8" t="e">
        <x:f>IF(AP61="是",COUNTIFS($AP$9:AP61,"是"),"")</x:f>
        <x:v>#NAME?</x:v>
      </x:c>
    </x:row>
    <x:row r="62">
      <x:c r="A62" s="8" t="str">
        <x:f t="shared" si="0"/>
      </x:c>
      <x:c r="B62" s="10"/>
      <x:c r="C62" s="10"/>
      <x:c r="D62" s="10"/>
      <x:c r="E62" s="10"/>
      <x:c r="F62" s="10"/>
      <x:c r="G62" s="10"/>
      <x:c r="H62" s="10"/>
      <x:c r="I62" s="10"/>
      <x:c r="J62" s="11"/>
      <x:c r="K62" s="10"/>
      <x:c r="L62" s="10"/>
      <x:c r="M62" s="10"/>
      <x:c r="N62" s="10"/>
      <x:c r="O62" s="10"/>
      <x:c r="P62" s="10"/>
      <x:c r="Q62" s="10"/>
      <x:c r="R62" s="10"/>
      <x:c r="S62" s="10"/>
      <x:c r="T62" s="8" t="str">
        <x:f t="shared" si="1"/>
      </x:c>
      <x:c r="U62" s="8" t="str">
        <x:f t="shared" si="2"/>
      </x:c>
      <x:c r="V62" s="8" t="str">
        <x:f t="shared" si="3"/>
      </x:c>
      <x:c r="W62" s="10"/>
      <x:c r="X62" s="10"/>
      <x:c r="Y62" s="10"/>
      <x:c r="Z62" s="10"/>
      <x:c r="AA62" s="10"/>
      <x:c r="AB62" s="11"/>
      <x:c r="AC62" s="10"/>
      <x:c r="AD62" s="47"/>
      <x:c r="AE62" s="10"/>
      <x:c r="AF62" s="10"/>
      <x:c r="AG62" s="8" t="str">
        <x:f t="shared" si="4"/>
      </x:c>
      <x:c r="AH62" s="8" t="str">
        <x:f t="shared" si="5"/>
      </x:c>
      <x:c r="AI62" s="10"/>
      <x:c r="AJ62" s="10"/>
      <x:c r="AK62" s="10"/>
      <x:c r="AL62" s="11"/>
      <x:c r="AM62" s="11"/>
      <x:c r="AN62" s="11"/>
      <x:c r="AO62" s="10"/>
      <x:c r="AP62" s="8" t="e">
        <x:f>IF(B62="","",IF(OR(V62="重大",AH62="重大",AH62="高",AI62="上升",AJ62="是",AND(AB62&lt;&gt;"",AB62&lt;项目驾驶舱!$B$3,AC62&lt;&gt;"已关闭")),"是","否"))</x:f>
        <x:v>#NAME?</x:v>
      </x:c>
      <x:c r="AQ62" s="8" t="e">
        <x:f>IF(B62="","",IF(W62="","缺风险责任人",IF(AND(OR(V62="重大",V62="高"),Y62=""),"高风险缺应对策略",IF(AND(AJ62="是",AK62=""),"已发生未关联问题",IF(AND(AC62="已关闭",AO62=""),"关闭缺证据",IF(AND(AM62&lt;&gt;"",AM62&lt;项目驾驶舱!$B$3),"评审逾期",""))))))</x:f>
        <x:v>#NAME?</x:v>
      </x:c>
      <x:c r="AR62" s="8" t="e">
        <x:f>IF(AP62="是",COUNTIFS($AP$9:AP62,"是"),"")</x:f>
        <x:v>#NAME?</x:v>
      </x:c>
    </x:row>
    <x:row r="63">
      <x:c r="A63" s="8" t="str">
        <x:f t="shared" si="0"/>
      </x:c>
      <x:c r="B63" s="10"/>
      <x:c r="C63" s="10"/>
      <x:c r="D63" s="10"/>
      <x:c r="E63" s="10"/>
      <x:c r="F63" s="10"/>
      <x:c r="G63" s="10"/>
      <x:c r="H63" s="10"/>
      <x:c r="I63" s="10"/>
      <x:c r="J63" s="11"/>
      <x:c r="K63" s="10"/>
      <x:c r="L63" s="10"/>
      <x:c r="M63" s="10"/>
      <x:c r="N63" s="10"/>
      <x:c r="O63" s="10"/>
      <x:c r="P63" s="10"/>
      <x:c r="Q63" s="10"/>
      <x:c r="R63" s="10"/>
      <x:c r="S63" s="10"/>
      <x:c r="T63" s="8" t="str">
        <x:f t="shared" si="1"/>
      </x:c>
      <x:c r="U63" s="8" t="str">
        <x:f t="shared" si="2"/>
      </x:c>
      <x:c r="V63" s="8" t="str">
        <x:f t="shared" si="3"/>
      </x:c>
      <x:c r="W63" s="10"/>
      <x:c r="X63" s="10"/>
      <x:c r="Y63" s="10"/>
      <x:c r="Z63" s="10"/>
      <x:c r="AA63" s="10"/>
      <x:c r="AB63" s="11"/>
      <x:c r="AC63" s="10"/>
      <x:c r="AD63" s="47"/>
      <x:c r="AE63" s="10"/>
      <x:c r="AF63" s="10"/>
      <x:c r="AG63" s="8" t="str">
        <x:f t="shared" si="4"/>
      </x:c>
      <x:c r="AH63" s="8" t="str">
        <x:f t="shared" si="5"/>
      </x:c>
      <x:c r="AI63" s="10"/>
      <x:c r="AJ63" s="10"/>
      <x:c r="AK63" s="10"/>
      <x:c r="AL63" s="11"/>
      <x:c r="AM63" s="11"/>
      <x:c r="AN63" s="11"/>
      <x:c r="AO63" s="10"/>
      <x:c r="AP63" s="8" t="e">
        <x:f>IF(B63="","",IF(OR(V63="重大",AH63="重大",AH63="高",AI63="上升",AJ63="是",AND(AB63&lt;&gt;"",AB63&lt;项目驾驶舱!$B$3,AC63&lt;&gt;"已关闭")),"是","否"))</x:f>
        <x:v>#NAME?</x:v>
      </x:c>
      <x:c r="AQ63" s="8" t="e">
        <x:f>IF(B63="","",IF(W63="","缺风险责任人",IF(AND(OR(V63="重大",V63="高"),Y63=""),"高风险缺应对策略",IF(AND(AJ63="是",AK63=""),"已发生未关联问题",IF(AND(AC63="已关闭",AO63=""),"关闭缺证据",IF(AND(AM63&lt;&gt;"",AM63&lt;项目驾驶舱!$B$3),"评审逾期",""))))))</x:f>
        <x:v>#NAME?</x:v>
      </x:c>
      <x:c r="AR63" s="8" t="e">
        <x:f>IF(AP63="是",COUNTIFS($AP$9:AP63,"是"),"")</x:f>
        <x:v>#NAME?</x:v>
      </x:c>
    </x:row>
    <x:row r="64">
      <x:c r="A64" s="8" t="str">
        <x:f t="shared" si="0"/>
      </x:c>
      <x:c r="B64" s="10"/>
      <x:c r="C64" s="10"/>
      <x:c r="D64" s="10"/>
      <x:c r="E64" s="10"/>
      <x:c r="F64" s="10"/>
      <x:c r="G64" s="10"/>
      <x:c r="H64" s="10"/>
      <x:c r="I64" s="10"/>
      <x:c r="J64" s="11"/>
      <x:c r="K64" s="10"/>
      <x:c r="L64" s="10"/>
      <x:c r="M64" s="10"/>
      <x:c r="N64" s="10"/>
      <x:c r="O64" s="10"/>
      <x:c r="P64" s="10"/>
      <x:c r="Q64" s="10"/>
      <x:c r="R64" s="10"/>
      <x:c r="S64" s="10"/>
      <x:c r="T64" s="8" t="str">
        <x:f t="shared" si="1"/>
      </x:c>
      <x:c r="U64" s="8" t="str">
        <x:f t="shared" si="2"/>
      </x:c>
      <x:c r="V64" s="8" t="str">
        <x:f t="shared" si="3"/>
      </x:c>
      <x:c r="W64" s="10"/>
      <x:c r="X64" s="10"/>
      <x:c r="Y64" s="10"/>
      <x:c r="Z64" s="10"/>
      <x:c r="AA64" s="10"/>
      <x:c r="AB64" s="11"/>
      <x:c r="AC64" s="10"/>
      <x:c r="AD64" s="47"/>
      <x:c r="AE64" s="10"/>
      <x:c r="AF64" s="10"/>
      <x:c r="AG64" s="8" t="str">
        <x:f t="shared" si="4"/>
      </x:c>
      <x:c r="AH64" s="8" t="str">
        <x:f t="shared" si="5"/>
      </x:c>
      <x:c r="AI64" s="10"/>
      <x:c r="AJ64" s="10"/>
      <x:c r="AK64" s="10"/>
      <x:c r="AL64" s="11"/>
      <x:c r="AM64" s="11"/>
      <x:c r="AN64" s="11"/>
      <x:c r="AO64" s="10"/>
      <x:c r="AP64" s="8" t="e">
        <x:f>IF(B64="","",IF(OR(V64="重大",AH64="重大",AH64="高",AI64="上升",AJ64="是",AND(AB64&lt;&gt;"",AB64&lt;项目驾驶舱!$B$3,AC64&lt;&gt;"已关闭")),"是","否"))</x:f>
        <x:v>#NAME?</x:v>
      </x:c>
      <x:c r="AQ64" s="8" t="e">
        <x:f>IF(B64="","",IF(W64="","缺风险责任人",IF(AND(OR(V64="重大",V64="高"),Y64=""),"高风险缺应对策略",IF(AND(AJ64="是",AK64=""),"已发生未关联问题",IF(AND(AC64="已关闭",AO64=""),"关闭缺证据",IF(AND(AM64&lt;&gt;"",AM64&lt;项目驾驶舱!$B$3),"评审逾期",""))))))</x:f>
        <x:v>#NAME?</x:v>
      </x:c>
      <x:c r="AR64" s="8" t="e">
        <x:f>IF(AP64="是",COUNTIFS($AP$9:AP64,"是"),"")</x:f>
        <x:v>#NAME?</x:v>
      </x:c>
    </x:row>
    <x:row r="65">
      <x:c r="A65" s="8" t="str">
        <x:f t="shared" si="0"/>
      </x:c>
      <x:c r="B65" s="10"/>
      <x:c r="C65" s="10"/>
      <x:c r="D65" s="10"/>
      <x:c r="E65" s="10"/>
      <x:c r="F65" s="10"/>
      <x:c r="G65" s="10"/>
      <x:c r="H65" s="10"/>
      <x:c r="I65" s="10"/>
      <x:c r="J65" s="11"/>
      <x:c r="K65" s="10"/>
      <x:c r="L65" s="10"/>
      <x:c r="M65" s="10"/>
      <x:c r="N65" s="10"/>
      <x:c r="O65" s="10"/>
      <x:c r="P65" s="10"/>
      <x:c r="Q65" s="10"/>
      <x:c r="R65" s="10"/>
      <x:c r="S65" s="10"/>
      <x:c r="T65" s="8" t="str">
        <x:f t="shared" si="1"/>
      </x:c>
      <x:c r="U65" s="8" t="str">
        <x:f t="shared" si="2"/>
      </x:c>
      <x:c r="V65" s="8" t="str">
        <x:f t="shared" si="3"/>
      </x:c>
      <x:c r="W65" s="10"/>
      <x:c r="X65" s="10"/>
      <x:c r="Y65" s="10"/>
      <x:c r="Z65" s="10"/>
      <x:c r="AA65" s="10"/>
      <x:c r="AB65" s="11"/>
      <x:c r="AC65" s="10"/>
      <x:c r="AD65" s="47"/>
      <x:c r="AE65" s="10"/>
      <x:c r="AF65" s="10"/>
      <x:c r="AG65" s="8" t="str">
        <x:f t="shared" si="4"/>
      </x:c>
      <x:c r="AH65" s="8" t="str">
        <x:f t="shared" si="5"/>
      </x:c>
      <x:c r="AI65" s="10"/>
      <x:c r="AJ65" s="10"/>
      <x:c r="AK65" s="10"/>
      <x:c r="AL65" s="11"/>
      <x:c r="AM65" s="11"/>
      <x:c r="AN65" s="11"/>
      <x:c r="AO65" s="10"/>
      <x:c r="AP65" s="8" t="e">
        <x:f>IF(B65="","",IF(OR(V65="重大",AH65="重大",AH65="高",AI65="上升",AJ65="是",AND(AB65&lt;&gt;"",AB65&lt;项目驾驶舱!$B$3,AC65&lt;&gt;"已关闭")),"是","否"))</x:f>
        <x:v>#NAME?</x:v>
      </x:c>
      <x:c r="AQ65" s="8" t="e">
        <x:f>IF(B65="","",IF(W65="","缺风险责任人",IF(AND(OR(V65="重大",V65="高"),Y65=""),"高风险缺应对策略",IF(AND(AJ65="是",AK65=""),"已发生未关联问题",IF(AND(AC65="已关闭",AO65=""),"关闭缺证据",IF(AND(AM65&lt;&gt;"",AM65&lt;项目驾驶舱!$B$3),"评审逾期",""))))))</x:f>
        <x:v>#NAME?</x:v>
      </x:c>
      <x:c r="AR65" s="8" t="e">
        <x:f>IF(AP65="是",COUNTIFS($AP$9:AP65,"是"),"")</x:f>
        <x:v>#NAME?</x:v>
      </x:c>
    </x:row>
    <x:row r="66">
      <x:c r="A66" s="8" t="str">
        <x:f t="shared" si="0"/>
      </x:c>
      <x:c r="B66" s="10"/>
      <x:c r="C66" s="10"/>
      <x:c r="D66" s="10"/>
      <x:c r="E66" s="10"/>
      <x:c r="F66" s="10"/>
      <x:c r="G66" s="10"/>
      <x:c r="H66" s="10"/>
      <x:c r="I66" s="10"/>
      <x:c r="J66" s="11"/>
      <x:c r="K66" s="10"/>
      <x:c r="L66" s="10"/>
      <x:c r="M66" s="10"/>
      <x:c r="N66" s="10"/>
      <x:c r="O66" s="10"/>
      <x:c r="P66" s="10"/>
      <x:c r="Q66" s="10"/>
      <x:c r="R66" s="10"/>
      <x:c r="S66" s="10"/>
      <x:c r="T66" s="8" t="str">
        <x:f t="shared" si="1"/>
      </x:c>
      <x:c r="U66" s="8" t="str">
        <x:f t="shared" si="2"/>
      </x:c>
      <x:c r="V66" s="8" t="str">
        <x:f t="shared" si="3"/>
      </x:c>
      <x:c r="W66" s="10"/>
      <x:c r="X66" s="10"/>
      <x:c r="Y66" s="10"/>
      <x:c r="Z66" s="10"/>
      <x:c r="AA66" s="10"/>
      <x:c r="AB66" s="11"/>
      <x:c r="AC66" s="10"/>
      <x:c r="AD66" s="47"/>
      <x:c r="AE66" s="10"/>
      <x:c r="AF66" s="10"/>
      <x:c r="AG66" s="8" t="str">
        <x:f t="shared" si="4"/>
      </x:c>
      <x:c r="AH66" s="8" t="str">
        <x:f t="shared" si="5"/>
      </x:c>
      <x:c r="AI66" s="10"/>
      <x:c r="AJ66" s="10"/>
      <x:c r="AK66" s="10"/>
      <x:c r="AL66" s="11"/>
      <x:c r="AM66" s="11"/>
      <x:c r="AN66" s="11"/>
      <x:c r="AO66" s="10"/>
      <x:c r="AP66" s="8" t="e">
        <x:f>IF(B66="","",IF(OR(V66="重大",AH66="重大",AH66="高",AI66="上升",AJ66="是",AND(AB66&lt;&gt;"",AB66&lt;项目驾驶舱!$B$3,AC66&lt;&gt;"已关闭")),"是","否"))</x:f>
        <x:v>#NAME?</x:v>
      </x:c>
      <x:c r="AQ66" s="8" t="e">
        <x:f>IF(B66="","",IF(W66="","缺风险责任人",IF(AND(OR(V66="重大",V66="高"),Y66=""),"高风险缺应对策略",IF(AND(AJ66="是",AK66=""),"已发生未关联问题",IF(AND(AC66="已关闭",AO66=""),"关闭缺证据",IF(AND(AM66&lt;&gt;"",AM66&lt;项目驾驶舱!$B$3),"评审逾期",""))))))</x:f>
        <x:v>#NAME?</x:v>
      </x:c>
      <x:c r="AR66" s="8" t="e">
        <x:f>IF(AP66="是",COUNTIFS($AP$9:AP66,"是"),"")</x:f>
        <x:v>#NAME?</x:v>
      </x:c>
    </x:row>
    <x:row r="67">
      <x:c r="A67" s="8" t="str">
        <x:f t="shared" si="0"/>
      </x:c>
      <x:c r="B67" s="10"/>
      <x:c r="C67" s="10"/>
      <x:c r="D67" s="10"/>
      <x:c r="E67" s="10"/>
      <x:c r="F67" s="10"/>
      <x:c r="G67" s="10"/>
      <x:c r="H67" s="10"/>
      <x:c r="I67" s="10"/>
      <x:c r="J67" s="11"/>
      <x:c r="K67" s="10"/>
      <x:c r="L67" s="10"/>
      <x:c r="M67" s="10"/>
      <x:c r="N67" s="10"/>
      <x:c r="O67" s="10"/>
      <x:c r="P67" s="10"/>
      <x:c r="Q67" s="10"/>
      <x:c r="R67" s="10"/>
      <x:c r="S67" s="10"/>
      <x:c r="T67" s="8" t="str">
        <x:f t="shared" si="1"/>
      </x:c>
      <x:c r="U67" s="8" t="str">
        <x:f t="shared" si="2"/>
      </x:c>
      <x:c r="V67" s="8" t="str">
        <x:f t="shared" si="3"/>
      </x:c>
      <x:c r="W67" s="10"/>
      <x:c r="X67" s="10"/>
      <x:c r="Y67" s="10"/>
      <x:c r="Z67" s="10"/>
      <x:c r="AA67" s="10"/>
      <x:c r="AB67" s="11"/>
      <x:c r="AC67" s="10"/>
      <x:c r="AD67" s="47"/>
      <x:c r="AE67" s="10"/>
      <x:c r="AF67" s="10"/>
      <x:c r="AG67" s="8" t="str">
        <x:f t="shared" si="4"/>
      </x:c>
      <x:c r="AH67" s="8" t="str">
        <x:f t="shared" si="5"/>
      </x:c>
      <x:c r="AI67" s="10"/>
      <x:c r="AJ67" s="10"/>
      <x:c r="AK67" s="10"/>
      <x:c r="AL67" s="11"/>
      <x:c r="AM67" s="11"/>
      <x:c r="AN67" s="11"/>
      <x:c r="AO67" s="10"/>
      <x:c r="AP67" s="8" t="e">
        <x:f>IF(B67="","",IF(OR(V67="重大",AH67="重大",AH67="高",AI67="上升",AJ67="是",AND(AB67&lt;&gt;"",AB67&lt;项目驾驶舱!$B$3,AC67&lt;&gt;"已关闭")),"是","否"))</x:f>
        <x:v>#NAME?</x:v>
      </x:c>
      <x:c r="AQ67" s="8" t="e">
        <x:f>IF(B67="","",IF(W67="","缺风险责任人",IF(AND(OR(V67="重大",V67="高"),Y67=""),"高风险缺应对策略",IF(AND(AJ67="是",AK67=""),"已发生未关联问题",IF(AND(AC67="已关闭",AO67=""),"关闭缺证据",IF(AND(AM67&lt;&gt;"",AM67&lt;项目驾驶舱!$B$3),"评审逾期",""))))))</x:f>
        <x:v>#NAME?</x:v>
      </x:c>
      <x:c r="AR67" s="8" t="e">
        <x:f>IF(AP67="是",COUNTIFS($AP$9:AP67,"是"),"")</x:f>
        <x:v>#NAME?</x:v>
      </x:c>
    </x:row>
    <x:row r="68">
      <x:c r="A68" s="8" t="str">
        <x:f t="shared" si="0"/>
      </x:c>
      <x:c r="B68" s="10"/>
      <x:c r="C68" s="10"/>
      <x:c r="D68" s="10"/>
      <x:c r="E68" s="10"/>
      <x:c r="F68" s="10"/>
      <x:c r="G68" s="10"/>
      <x:c r="H68" s="10"/>
      <x:c r="I68" s="10"/>
      <x:c r="J68" s="11"/>
      <x:c r="K68" s="10"/>
      <x:c r="L68" s="10"/>
      <x:c r="M68" s="10"/>
      <x:c r="N68" s="10"/>
      <x:c r="O68" s="10"/>
      <x:c r="P68" s="10"/>
      <x:c r="Q68" s="10"/>
      <x:c r="R68" s="10"/>
      <x:c r="S68" s="10"/>
      <x:c r="T68" s="8" t="str">
        <x:f t="shared" si="1"/>
      </x:c>
      <x:c r="U68" s="8" t="str">
        <x:f t="shared" si="2"/>
      </x:c>
      <x:c r="V68" s="8" t="str">
        <x:f t="shared" si="3"/>
      </x:c>
      <x:c r="W68" s="10"/>
      <x:c r="X68" s="10"/>
      <x:c r="Y68" s="10"/>
      <x:c r="Z68" s="10"/>
      <x:c r="AA68" s="10"/>
      <x:c r="AB68" s="11"/>
      <x:c r="AC68" s="10"/>
      <x:c r="AD68" s="47"/>
      <x:c r="AE68" s="10"/>
      <x:c r="AF68" s="10"/>
      <x:c r="AG68" s="8" t="str">
        <x:f t="shared" si="4"/>
      </x:c>
      <x:c r="AH68" s="8" t="str">
        <x:f t="shared" si="5"/>
      </x:c>
      <x:c r="AI68" s="10"/>
      <x:c r="AJ68" s="10"/>
      <x:c r="AK68" s="10"/>
      <x:c r="AL68" s="11"/>
      <x:c r="AM68" s="11"/>
      <x:c r="AN68" s="11"/>
      <x:c r="AO68" s="10"/>
      <x:c r="AP68" s="8" t="e">
        <x:f>IF(B68="","",IF(OR(V68="重大",AH68="重大",AH68="高",AI68="上升",AJ68="是",AND(AB68&lt;&gt;"",AB68&lt;项目驾驶舱!$B$3,AC68&lt;&gt;"已关闭")),"是","否"))</x:f>
        <x:v>#NAME?</x:v>
      </x:c>
      <x:c r="AQ68" s="8" t="e">
        <x:f>IF(B68="","",IF(W68="","缺风险责任人",IF(AND(OR(V68="重大",V68="高"),Y68=""),"高风险缺应对策略",IF(AND(AJ68="是",AK68=""),"已发生未关联问题",IF(AND(AC68="已关闭",AO68=""),"关闭缺证据",IF(AND(AM68&lt;&gt;"",AM68&lt;项目驾驶舱!$B$3),"评审逾期",""))))))</x:f>
        <x:v>#NAME?</x:v>
      </x:c>
      <x:c r="AR68" s="8" t="e">
        <x:f>IF(AP68="是",COUNTIFS($AP$9:AP68,"是"),"")</x:f>
        <x:v>#NAME?</x:v>
      </x:c>
    </x:row>
    <x:row r="69">
      <x:c r="A69" s="8" t="str">
        <x:f t="shared" si="0"/>
      </x:c>
      <x:c r="B69" s="10"/>
      <x:c r="C69" s="10"/>
      <x:c r="D69" s="10"/>
      <x:c r="E69" s="10"/>
      <x:c r="F69" s="10"/>
      <x:c r="G69" s="10"/>
      <x:c r="H69" s="10"/>
      <x:c r="I69" s="10"/>
      <x:c r="J69" s="11"/>
      <x:c r="K69" s="10"/>
      <x:c r="L69" s="10"/>
      <x:c r="M69" s="10"/>
      <x:c r="N69" s="10"/>
      <x:c r="O69" s="10"/>
      <x:c r="P69" s="10"/>
      <x:c r="Q69" s="10"/>
      <x:c r="R69" s="10"/>
      <x:c r="S69" s="10"/>
      <x:c r="T69" s="8" t="str">
        <x:f t="shared" si="1"/>
      </x:c>
      <x:c r="U69" s="8" t="str">
        <x:f t="shared" si="2"/>
      </x:c>
      <x:c r="V69" s="8" t="str">
        <x:f t="shared" si="3"/>
      </x:c>
      <x:c r="W69" s="10"/>
      <x:c r="X69" s="10"/>
      <x:c r="Y69" s="10"/>
      <x:c r="Z69" s="10"/>
      <x:c r="AA69" s="10"/>
      <x:c r="AB69" s="11"/>
      <x:c r="AC69" s="10"/>
      <x:c r="AD69" s="47"/>
      <x:c r="AE69" s="10"/>
      <x:c r="AF69" s="10"/>
      <x:c r="AG69" s="8" t="str">
        <x:f t="shared" si="4"/>
      </x:c>
      <x:c r="AH69" s="8" t="str">
        <x:f t="shared" si="5"/>
      </x:c>
      <x:c r="AI69" s="10"/>
      <x:c r="AJ69" s="10"/>
      <x:c r="AK69" s="10"/>
      <x:c r="AL69" s="11"/>
      <x:c r="AM69" s="11"/>
      <x:c r="AN69" s="11"/>
      <x:c r="AO69" s="10"/>
      <x:c r="AP69" s="8" t="e">
        <x:f>IF(B69="","",IF(OR(V69="重大",AH69="重大",AH69="高",AI69="上升",AJ69="是",AND(AB69&lt;&gt;"",AB69&lt;项目驾驶舱!$B$3,AC69&lt;&gt;"已关闭")),"是","否"))</x:f>
        <x:v>#NAME?</x:v>
      </x:c>
      <x:c r="AQ69" s="8" t="e">
        <x:f>IF(B69="","",IF(W69="","缺风险责任人",IF(AND(OR(V69="重大",V69="高"),Y69=""),"高风险缺应对策略",IF(AND(AJ69="是",AK69=""),"已发生未关联问题",IF(AND(AC69="已关闭",AO69=""),"关闭缺证据",IF(AND(AM69&lt;&gt;"",AM69&lt;项目驾驶舱!$B$3),"评审逾期",""))))))</x:f>
        <x:v>#NAME?</x:v>
      </x:c>
      <x:c r="AR69" s="8" t="e">
        <x:f>IF(AP69="是",COUNTIFS($AP$9:AP69,"是"),"")</x:f>
        <x:v>#NAME?</x:v>
      </x:c>
    </x:row>
    <x:row r="70">
      <x:c r="A70" s="8" t="str">
        <x:f t="shared" si="0"/>
      </x:c>
      <x:c r="B70" s="10"/>
      <x:c r="C70" s="10"/>
      <x:c r="D70" s="10"/>
      <x:c r="E70" s="10"/>
      <x:c r="F70" s="10"/>
      <x:c r="G70" s="10"/>
      <x:c r="H70" s="10"/>
      <x:c r="I70" s="10"/>
      <x:c r="J70" s="11"/>
      <x:c r="K70" s="10"/>
      <x:c r="L70" s="10"/>
      <x:c r="M70" s="10"/>
      <x:c r="N70" s="10"/>
      <x:c r="O70" s="10"/>
      <x:c r="P70" s="10"/>
      <x:c r="Q70" s="10"/>
      <x:c r="R70" s="10"/>
      <x:c r="S70" s="10"/>
      <x:c r="T70" s="8" t="str">
        <x:f t="shared" si="1"/>
      </x:c>
      <x:c r="U70" s="8" t="str">
        <x:f t="shared" si="2"/>
      </x:c>
      <x:c r="V70" s="8" t="str">
        <x:f t="shared" si="3"/>
      </x:c>
      <x:c r="W70" s="10"/>
      <x:c r="X70" s="10"/>
      <x:c r="Y70" s="10"/>
      <x:c r="Z70" s="10"/>
      <x:c r="AA70" s="10"/>
      <x:c r="AB70" s="11"/>
      <x:c r="AC70" s="10"/>
      <x:c r="AD70" s="47"/>
      <x:c r="AE70" s="10"/>
      <x:c r="AF70" s="10"/>
      <x:c r="AG70" s="8" t="str">
        <x:f t="shared" si="4"/>
      </x:c>
      <x:c r="AH70" s="8" t="str">
        <x:f t="shared" si="5"/>
      </x:c>
      <x:c r="AI70" s="10"/>
      <x:c r="AJ70" s="10"/>
      <x:c r="AK70" s="10"/>
      <x:c r="AL70" s="11"/>
      <x:c r="AM70" s="11"/>
      <x:c r="AN70" s="11"/>
      <x:c r="AO70" s="10"/>
      <x:c r="AP70" s="8" t="e">
        <x:f>IF(B70="","",IF(OR(V70="重大",AH70="重大",AH70="高",AI70="上升",AJ70="是",AND(AB70&lt;&gt;"",AB70&lt;项目驾驶舱!$B$3,AC70&lt;&gt;"已关闭")),"是","否"))</x:f>
        <x:v>#NAME?</x:v>
      </x:c>
      <x:c r="AQ70" s="8" t="e">
        <x:f>IF(B70="","",IF(W70="","缺风险责任人",IF(AND(OR(V70="重大",V70="高"),Y70=""),"高风险缺应对策略",IF(AND(AJ70="是",AK70=""),"已发生未关联问题",IF(AND(AC70="已关闭",AO70=""),"关闭缺证据",IF(AND(AM70&lt;&gt;"",AM70&lt;项目驾驶舱!$B$3),"评审逾期",""))))))</x:f>
        <x:v>#NAME?</x:v>
      </x:c>
      <x:c r="AR70" s="8" t="e">
        <x:f>IF(AP70="是",COUNTIFS($AP$9:AP70,"是"),"")</x:f>
        <x:v>#NAME?</x:v>
      </x:c>
    </x:row>
    <x:row r="71">
      <x:c r="A71" s="8" t="str">
        <x:f t="shared" si="0"/>
      </x:c>
      <x:c r="B71" s="10"/>
      <x:c r="C71" s="10"/>
      <x:c r="D71" s="10"/>
      <x:c r="E71" s="10"/>
      <x:c r="F71" s="10"/>
      <x:c r="G71" s="10"/>
      <x:c r="H71" s="10"/>
      <x:c r="I71" s="10"/>
      <x:c r="J71" s="11"/>
      <x:c r="K71" s="10"/>
      <x:c r="L71" s="10"/>
      <x:c r="M71" s="10"/>
      <x:c r="N71" s="10"/>
      <x:c r="O71" s="10"/>
      <x:c r="P71" s="10"/>
      <x:c r="Q71" s="10"/>
      <x:c r="R71" s="10"/>
      <x:c r="S71" s="10"/>
      <x:c r="T71" s="8" t="str">
        <x:f t="shared" si="1"/>
      </x:c>
      <x:c r="U71" s="8" t="str">
        <x:f t="shared" si="2"/>
      </x:c>
      <x:c r="V71" s="8" t="str">
        <x:f t="shared" si="3"/>
      </x:c>
      <x:c r="W71" s="10"/>
      <x:c r="X71" s="10"/>
      <x:c r="Y71" s="10"/>
      <x:c r="Z71" s="10"/>
      <x:c r="AA71" s="10"/>
      <x:c r="AB71" s="11"/>
      <x:c r="AC71" s="10"/>
      <x:c r="AD71" s="47"/>
      <x:c r="AE71" s="10"/>
      <x:c r="AF71" s="10"/>
      <x:c r="AG71" s="8" t="str">
        <x:f t="shared" si="4"/>
      </x:c>
      <x:c r="AH71" s="8" t="str">
        <x:f t="shared" si="5"/>
      </x:c>
      <x:c r="AI71" s="10"/>
      <x:c r="AJ71" s="10"/>
      <x:c r="AK71" s="10"/>
      <x:c r="AL71" s="11"/>
      <x:c r="AM71" s="11"/>
      <x:c r="AN71" s="11"/>
      <x:c r="AO71" s="10"/>
      <x:c r="AP71" s="8" t="e">
        <x:f>IF(B71="","",IF(OR(V71="重大",AH71="重大",AH71="高",AI71="上升",AJ71="是",AND(AB71&lt;&gt;"",AB71&lt;项目驾驶舱!$B$3,AC71&lt;&gt;"已关闭")),"是","否"))</x:f>
        <x:v>#NAME?</x:v>
      </x:c>
      <x:c r="AQ71" s="8" t="e">
        <x:f>IF(B71="","",IF(W71="","缺风险责任人",IF(AND(OR(V71="重大",V71="高"),Y71=""),"高风险缺应对策略",IF(AND(AJ71="是",AK71=""),"已发生未关联问题",IF(AND(AC71="已关闭",AO71=""),"关闭缺证据",IF(AND(AM71&lt;&gt;"",AM71&lt;项目驾驶舱!$B$3),"评审逾期",""))))))</x:f>
        <x:v>#NAME?</x:v>
      </x:c>
      <x:c r="AR71" s="8" t="e">
        <x:f>IF(AP71="是",COUNTIFS($AP$9:AP71,"是"),"")</x:f>
        <x:v>#NAME?</x:v>
      </x:c>
    </x:row>
    <x:row r="72">
      <x:c r="A72" s="8" t="str">
        <x:f t="shared" si="0"/>
      </x:c>
      <x:c r="B72" s="10"/>
      <x:c r="C72" s="10"/>
      <x:c r="D72" s="10"/>
      <x:c r="E72" s="10"/>
      <x:c r="F72" s="10"/>
      <x:c r="G72" s="10"/>
      <x:c r="H72" s="10"/>
      <x:c r="I72" s="10"/>
      <x:c r="J72" s="11"/>
      <x:c r="K72" s="10"/>
      <x:c r="L72" s="10"/>
      <x:c r="M72" s="10"/>
      <x:c r="N72" s="10"/>
      <x:c r="O72" s="10"/>
      <x:c r="P72" s="10"/>
      <x:c r="Q72" s="10"/>
      <x:c r="R72" s="10"/>
      <x:c r="S72" s="10"/>
      <x:c r="T72" s="8" t="str">
        <x:f t="shared" si="1"/>
      </x:c>
      <x:c r="U72" s="8" t="str">
        <x:f t="shared" si="2"/>
      </x:c>
      <x:c r="V72" s="8" t="str">
        <x:f t="shared" si="3"/>
      </x:c>
      <x:c r="W72" s="10"/>
      <x:c r="X72" s="10"/>
      <x:c r="Y72" s="10"/>
      <x:c r="Z72" s="10"/>
      <x:c r="AA72" s="10"/>
      <x:c r="AB72" s="11"/>
      <x:c r="AC72" s="10"/>
      <x:c r="AD72" s="47"/>
      <x:c r="AE72" s="10"/>
      <x:c r="AF72" s="10"/>
      <x:c r="AG72" s="8" t="str">
        <x:f t="shared" si="4"/>
      </x:c>
      <x:c r="AH72" s="8" t="str">
        <x:f t="shared" si="5"/>
      </x:c>
      <x:c r="AI72" s="10"/>
      <x:c r="AJ72" s="10"/>
      <x:c r="AK72" s="10"/>
      <x:c r="AL72" s="11"/>
      <x:c r="AM72" s="11"/>
      <x:c r="AN72" s="11"/>
      <x:c r="AO72" s="10"/>
      <x:c r="AP72" s="8" t="e">
        <x:f>IF(B72="","",IF(OR(V72="重大",AH72="重大",AH72="高",AI72="上升",AJ72="是",AND(AB72&lt;&gt;"",AB72&lt;项目驾驶舱!$B$3,AC72&lt;&gt;"已关闭")),"是","否"))</x:f>
        <x:v>#NAME?</x:v>
      </x:c>
      <x:c r="AQ72" s="8" t="e">
        <x:f>IF(B72="","",IF(W72="","缺风险责任人",IF(AND(OR(V72="重大",V72="高"),Y72=""),"高风险缺应对策略",IF(AND(AJ72="是",AK72=""),"已发生未关联问题",IF(AND(AC72="已关闭",AO72=""),"关闭缺证据",IF(AND(AM72&lt;&gt;"",AM72&lt;项目驾驶舱!$B$3),"评审逾期",""))))))</x:f>
        <x:v>#NAME?</x:v>
      </x:c>
      <x:c r="AR72" s="8" t="e">
        <x:f>IF(AP72="是",COUNTIFS($AP$9:AP72,"是"),"")</x:f>
        <x:v>#NAME?</x:v>
      </x:c>
    </x:row>
    <x:row r="73">
      <x:c r="A73" s="8" t="str">
        <x:f t="shared" ref="A73:A108" si="6">IF(B73="","","RSK-"&amp;TEXT(ROW()-8,"000"))</x:f>
      </x:c>
      <x:c r="B73" s="10"/>
      <x:c r="C73" s="10"/>
      <x:c r="D73" s="10"/>
      <x:c r="E73" s="10"/>
      <x:c r="F73" s="10"/>
      <x:c r="G73" s="10"/>
      <x:c r="H73" s="10"/>
      <x:c r="I73" s="10"/>
      <x:c r="J73" s="11"/>
      <x:c r="K73" s="10"/>
      <x:c r="L73" s="10"/>
      <x:c r="M73" s="10"/>
      <x:c r="N73" s="10"/>
      <x:c r="O73" s="10"/>
      <x:c r="P73" s="10"/>
      <x:c r="Q73" s="10"/>
      <x:c r="R73" s="10"/>
      <x:c r="S73" s="10"/>
      <x:c r="T73" s="8" t="str">
        <x:f t="shared" ref="T73:T108" si="7">IF(B73="","",MAX(M73:S73))</x:f>
      </x:c>
      <x:c r="U73" s="8" t="str">
        <x:f t="shared" ref="U73:U108" si="8">IF(OR(L73="",T73=""),"",L73*T73)</x:f>
      </x:c>
      <x:c r="V73" s="8" t="str">
        <x:f t="shared" ref="V73:V108" si="9">IF(U73="","",IF(OR(U73&gt;=17,T73=5),"重大",IF(U73&gt;=10,"高",IF(U73&gt;=5,"中","低"))))</x:f>
      </x:c>
      <x:c r="W73" s="10"/>
      <x:c r="X73" s="10"/>
      <x:c r="Y73" s="10"/>
      <x:c r="Z73" s="10"/>
      <x:c r="AA73" s="10"/>
      <x:c r="AB73" s="11"/>
      <x:c r="AC73" s="10"/>
      <x:c r="AD73" s="47"/>
      <x:c r="AE73" s="10"/>
      <x:c r="AF73" s="10"/>
      <x:c r="AG73" s="8" t="str">
        <x:f t="shared" ref="AG73:AG108" si="10">IF(OR(AE73="",AF73=""),"",AE73*AF73)</x:f>
      </x:c>
      <x:c r="AH73" s="8" t="str">
        <x:f t="shared" ref="AH73:AH108" si="11">IF(AG73="","",IF(OR(AG73&gt;=17,AF73=5),"重大",IF(AG73&gt;=10,"高",IF(AG73&gt;=5,"中","低"))))</x:f>
      </x:c>
      <x:c r="AI73" s="10"/>
      <x:c r="AJ73" s="10"/>
      <x:c r="AK73" s="10"/>
      <x:c r="AL73" s="11"/>
      <x:c r="AM73" s="11"/>
      <x:c r="AN73" s="11"/>
      <x:c r="AO73" s="10"/>
      <x:c r="AP73" s="8" t="e">
        <x:f>IF(B73="","",IF(OR(V73="重大",AH73="重大",AH73="高",AI73="上升",AJ73="是",AND(AB73&lt;&gt;"",AB73&lt;项目驾驶舱!$B$3,AC73&lt;&gt;"已关闭")),"是","否"))</x:f>
        <x:v>#NAME?</x:v>
      </x:c>
      <x:c r="AQ73" s="8" t="e">
        <x:f>IF(B73="","",IF(W73="","缺风险责任人",IF(AND(OR(V73="重大",V73="高"),Y73=""),"高风险缺应对策略",IF(AND(AJ73="是",AK73=""),"已发生未关联问题",IF(AND(AC73="已关闭",AO73=""),"关闭缺证据",IF(AND(AM73&lt;&gt;"",AM73&lt;项目驾驶舱!$B$3),"评审逾期",""))))))</x:f>
        <x:v>#NAME?</x:v>
      </x:c>
      <x:c r="AR73" s="8" t="e">
        <x:f>IF(AP73="是",COUNTIFS($AP$9:AP73,"是"),"")</x:f>
        <x:v>#NAME?</x:v>
      </x:c>
    </x:row>
    <x:row r="74">
      <x:c r="A74" s="8" t="str">
        <x:f t="shared" si="6"/>
      </x:c>
      <x:c r="B74" s="10"/>
      <x:c r="C74" s="10"/>
      <x:c r="D74" s="10"/>
      <x:c r="E74" s="10"/>
      <x:c r="F74" s="10"/>
      <x:c r="G74" s="10"/>
      <x:c r="H74" s="10"/>
      <x:c r="I74" s="10"/>
      <x:c r="J74" s="11"/>
      <x:c r="K74" s="10"/>
      <x:c r="L74" s="10"/>
      <x:c r="M74" s="10"/>
      <x:c r="N74" s="10"/>
      <x:c r="O74" s="10"/>
      <x:c r="P74" s="10"/>
      <x:c r="Q74" s="10"/>
      <x:c r="R74" s="10"/>
      <x:c r="S74" s="10"/>
      <x:c r="T74" s="8" t="str">
        <x:f t="shared" si="7"/>
      </x:c>
      <x:c r="U74" s="8" t="str">
        <x:f t="shared" si="8"/>
      </x:c>
      <x:c r="V74" s="8" t="str">
        <x:f t="shared" si="9"/>
      </x:c>
      <x:c r="W74" s="10"/>
      <x:c r="X74" s="10"/>
      <x:c r="Y74" s="10"/>
      <x:c r="Z74" s="10"/>
      <x:c r="AA74" s="10"/>
      <x:c r="AB74" s="11"/>
      <x:c r="AC74" s="10"/>
      <x:c r="AD74" s="47"/>
      <x:c r="AE74" s="10"/>
      <x:c r="AF74" s="10"/>
      <x:c r="AG74" s="8" t="str">
        <x:f t="shared" si="10"/>
      </x:c>
      <x:c r="AH74" s="8" t="str">
        <x:f t="shared" si="11"/>
      </x:c>
      <x:c r="AI74" s="10"/>
      <x:c r="AJ74" s="10"/>
      <x:c r="AK74" s="10"/>
      <x:c r="AL74" s="11"/>
      <x:c r="AM74" s="11"/>
      <x:c r="AN74" s="11"/>
      <x:c r="AO74" s="10"/>
      <x:c r="AP74" s="8" t="e">
        <x:f>IF(B74="","",IF(OR(V74="重大",AH74="重大",AH74="高",AI74="上升",AJ74="是",AND(AB74&lt;&gt;"",AB74&lt;项目驾驶舱!$B$3,AC74&lt;&gt;"已关闭")),"是","否"))</x:f>
        <x:v>#NAME?</x:v>
      </x:c>
      <x:c r="AQ74" s="8" t="e">
        <x:f>IF(B74="","",IF(W74="","缺风险责任人",IF(AND(OR(V74="重大",V74="高"),Y74=""),"高风险缺应对策略",IF(AND(AJ74="是",AK74=""),"已发生未关联问题",IF(AND(AC74="已关闭",AO74=""),"关闭缺证据",IF(AND(AM74&lt;&gt;"",AM74&lt;项目驾驶舱!$B$3),"评审逾期",""))))))</x:f>
        <x:v>#NAME?</x:v>
      </x:c>
      <x:c r="AR74" s="8" t="e">
        <x:f>IF(AP74="是",COUNTIFS($AP$9:AP74,"是"),"")</x:f>
        <x:v>#NAME?</x:v>
      </x:c>
    </x:row>
    <x:row r="75">
      <x:c r="A75" s="8" t="str">
        <x:f t="shared" si="6"/>
      </x:c>
      <x:c r="B75" s="10"/>
      <x:c r="C75" s="10"/>
      <x:c r="D75" s="10"/>
      <x:c r="E75" s="10"/>
      <x:c r="F75" s="10"/>
      <x:c r="G75" s="10"/>
      <x:c r="H75" s="10"/>
      <x:c r="I75" s="10"/>
      <x:c r="J75" s="11"/>
      <x:c r="K75" s="10"/>
      <x:c r="L75" s="10"/>
      <x:c r="M75" s="10"/>
      <x:c r="N75" s="10"/>
      <x:c r="O75" s="10"/>
      <x:c r="P75" s="10"/>
      <x:c r="Q75" s="10"/>
      <x:c r="R75" s="10"/>
      <x:c r="S75" s="10"/>
      <x:c r="T75" s="8" t="str">
        <x:f t="shared" si="7"/>
      </x:c>
      <x:c r="U75" s="8" t="str">
        <x:f t="shared" si="8"/>
      </x:c>
      <x:c r="V75" s="8" t="str">
        <x:f t="shared" si="9"/>
      </x:c>
      <x:c r="W75" s="10"/>
      <x:c r="X75" s="10"/>
      <x:c r="Y75" s="10"/>
      <x:c r="Z75" s="10"/>
      <x:c r="AA75" s="10"/>
      <x:c r="AB75" s="11"/>
      <x:c r="AC75" s="10"/>
      <x:c r="AD75" s="47"/>
      <x:c r="AE75" s="10"/>
      <x:c r="AF75" s="10"/>
      <x:c r="AG75" s="8" t="str">
        <x:f t="shared" si="10"/>
      </x:c>
      <x:c r="AH75" s="8" t="str">
        <x:f t="shared" si="11"/>
      </x:c>
      <x:c r="AI75" s="10"/>
      <x:c r="AJ75" s="10"/>
      <x:c r="AK75" s="10"/>
      <x:c r="AL75" s="11"/>
      <x:c r="AM75" s="11"/>
      <x:c r="AN75" s="11"/>
      <x:c r="AO75" s="10"/>
      <x:c r="AP75" s="8" t="e">
        <x:f>IF(B75="","",IF(OR(V75="重大",AH75="重大",AH75="高",AI75="上升",AJ75="是",AND(AB75&lt;&gt;"",AB75&lt;项目驾驶舱!$B$3,AC75&lt;&gt;"已关闭")),"是","否"))</x:f>
        <x:v>#NAME?</x:v>
      </x:c>
      <x:c r="AQ75" s="8" t="e">
        <x:f>IF(B75="","",IF(W75="","缺风险责任人",IF(AND(OR(V75="重大",V75="高"),Y75=""),"高风险缺应对策略",IF(AND(AJ75="是",AK75=""),"已发生未关联问题",IF(AND(AC75="已关闭",AO75=""),"关闭缺证据",IF(AND(AM75&lt;&gt;"",AM75&lt;项目驾驶舱!$B$3),"评审逾期",""))))))</x:f>
        <x:v>#NAME?</x:v>
      </x:c>
      <x:c r="AR75" s="8" t="e">
        <x:f>IF(AP75="是",COUNTIFS($AP$9:AP75,"是"),"")</x:f>
        <x:v>#NAME?</x:v>
      </x:c>
    </x:row>
    <x:row r="76">
      <x:c r="A76" s="8" t="str">
        <x:f t="shared" si="6"/>
      </x:c>
      <x:c r="B76" s="10"/>
      <x:c r="C76" s="10"/>
      <x:c r="D76" s="10"/>
      <x:c r="E76" s="10"/>
      <x:c r="F76" s="10"/>
      <x:c r="G76" s="10"/>
      <x:c r="H76" s="10"/>
      <x:c r="I76" s="10"/>
      <x:c r="J76" s="11"/>
      <x:c r="K76" s="10"/>
      <x:c r="L76" s="10"/>
      <x:c r="M76" s="10"/>
      <x:c r="N76" s="10"/>
      <x:c r="O76" s="10"/>
      <x:c r="P76" s="10"/>
      <x:c r="Q76" s="10"/>
      <x:c r="R76" s="10"/>
      <x:c r="S76" s="10"/>
      <x:c r="T76" s="8" t="str">
        <x:f t="shared" si="7"/>
      </x:c>
      <x:c r="U76" s="8" t="str">
        <x:f t="shared" si="8"/>
      </x:c>
      <x:c r="V76" s="8" t="str">
        <x:f t="shared" si="9"/>
      </x:c>
      <x:c r="W76" s="10"/>
      <x:c r="X76" s="10"/>
      <x:c r="Y76" s="10"/>
      <x:c r="Z76" s="10"/>
      <x:c r="AA76" s="10"/>
      <x:c r="AB76" s="11"/>
      <x:c r="AC76" s="10"/>
      <x:c r="AD76" s="47"/>
      <x:c r="AE76" s="10"/>
      <x:c r="AF76" s="10"/>
      <x:c r="AG76" s="8" t="str">
        <x:f t="shared" si="10"/>
      </x:c>
      <x:c r="AH76" s="8" t="str">
        <x:f t="shared" si="11"/>
      </x:c>
      <x:c r="AI76" s="10"/>
      <x:c r="AJ76" s="10"/>
      <x:c r="AK76" s="10"/>
      <x:c r="AL76" s="11"/>
      <x:c r="AM76" s="11"/>
      <x:c r="AN76" s="11"/>
      <x:c r="AO76" s="10"/>
      <x:c r="AP76" s="8" t="e">
        <x:f>IF(B76="","",IF(OR(V76="重大",AH76="重大",AH76="高",AI76="上升",AJ76="是",AND(AB76&lt;&gt;"",AB76&lt;项目驾驶舱!$B$3,AC76&lt;&gt;"已关闭")),"是","否"))</x:f>
        <x:v>#NAME?</x:v>
      </x:c>
      <x:c r="AQ76" s="8" t="e">
        <x:f>IF(B76="","",IF(W76="","缺风险责任人",IF(AND(OR(V76="重大",V76="高"),Y76=""),"高风险缺应对策略",IF(AND(AJ76="是",AK76=""),"已发生未关联问题",IF(AND(AC76="已关闭",AO76=""),"关闭缺证据",IF(AND(AM76&lt;&gt;"",AM76&lt;项目驾驶舱!$B$3),"评审逾期",""))))))</x:f>
        <x:v>#NAME?</x:v>
      </x:c>
      <x:c r="AR76" s="8" t="e">
        <x:f>IF(AP76="是",COUNTIFS($AP$9:AP76,"是"),"")</x:f>
        <x:v>#NAME?</x:v>
      </x:c>
    </x:row>
    <x:row r="77">
      <x:c r="A77" s="8" t="str">
        <x:f t="shared" si="6"/>
      </x:c>
      <x:c r="B77" s="10"/>
      <x:c r="C77" s="10"/>
      <x:c r="D77" s="10"/>
      <x:c r="E77" s="10"/>
      <x:c r="F77" s="10"/>
      <x:c r="G77" s="10"/>
      <x:c r="H77" s="10"/>
      <x:c r="I77" s="10"/>
      <x:c r="J77" s="11"/>
      <x:c r="K77" s="10"/>
      <x:c r="L77" s="10"/>
      <x:c r="M77" s="10"/>
      <x:c r="N77" s="10"/>
      <x:c r="O77" s="10"/>
      <x:c r="P77" s="10"/>
      <x:c r="Q77" s="10"/>
      <x:c r="R77" s="10"/>
      <x:c r="S77" s="10"/>
      <x:c r="T77" s="8" t="str">
        <x:f t="shared" si="7"/>
      </x:c>
      <x:c r="U77" s="8" t="str">
        <x:f t="shared" si="8"/>
      </x:c>
      <x:c r="V77" s="8" t="str">
        <x:f t="shared" si="9"/>
      </x:c>
      <x:c r="W77" s="10"/>
      <x:c r="X77" s="10"/>
      <x:c r="Y77" s="10"/>
      <x:c r="Z77" s="10"/>
      <x:c r="AA77" s="10"/>
      <x:c r="AB77" s="11"/>
      <x:c r="AC77" s="10"/>
      <x:c r="AD77" s="47"/>
      <x:c r="AE77" s="10"/>
      <x:c r="AF77" s="10"/>
      <x:c r="AG77" s="8" t="str">
        <x:f t="shared" si="10"/>
      </x:c>
      <x:c r="AH77" s="8" t="str">
        <x:f t="shared" si="11"/>
      </x:c>
      <x:c r="AI77" s="10"/>
      <x:c r="AJ77" s="10"/>
      <x:c r="AK77" s="10"/>
      <x:c r="AL77" s="11"/>
      <x:c r="AM77" s="11"/>
      <x:c r="AN77" s="11"/>
      <x:c r="AO77" s="10"/>
      <x:c r="AP77" s="8" t="e">
        <x:f>IF(B77="","",IF(OR(V77="重大",AH77="重大",AH77="高",AI77="上升",AJ77="是",AND(AB77&lt;&gt;"",AB77&lt;项目驾驶舱!$B$3,AC77&lt;&gt;"已关闭")),"是","否"))</x:f>
        <x:v>#NAME?</x:v>
      </x:c>
      <x:c r="AQ77" s="8" t="e">
        <x:f>IF(B77="","",IF(W77="","缺风险责任人",IF(AND(OR(V77="重大",V77="高"),Y77=""),"高风险缺应对策略",IF(AND(AJ77="是",AK77=""),"已发生未关联问题",IF(AND(AC77="已关闭",AO77=""),"关闭缺证据",IF(AND(AM77&lt;&gt;"",AM77&lt;项目驾驶舱!$B$3),"评审逾期",""))))))</x:f>
        <x:v>#NAME?</x:v>
      </x:c>
      <x:c r="AR77" s="8" t="e">
        <x:f>IF(AP77="是",COUNTIFS($AP$9:AP77,"是"),"")</x:f>
        <x:v>#NAME?</x:v>
      </x:c>
    </x:row>
    <x:row r="78">
      <x:c r="A78" s="8" t="str">
        <x:f t="shared" si="6"/>
      </x:c>
      <x:c r="B78" s="10"/>
      <x:c r="C78" s="10"/>
      <x:c r="D78" s="10"/>
      <x:c r="E78" s="10"/>
      <x:c r="F78" s="10"/>
      <x:c r="G78" s="10"/>
      <x:c r="H78" s="10"/>
      <x:c r="I78" s="10"/>
      <x:c r="J78" s="11"/>
      <x:c r="K78" s="10"/>
      <x:c r="L78" s="10"/>
      <x:c r="M78" s="10"/>
      <x:c r="N78" s="10"/>
      <x:c r="O78" s="10"/>
      <x:c r="P78" s="10"/>
      <x:c r="Q78" s="10"/>
      <x:c r="R78" s="10"/>
      <x:c r="S78" s="10"/>
      <x:c r="T78" s="8" t="str">
        <x:f t="shared" si="7"/>
      </x:c>
      <x:c r="U78" s="8" t="str">
        <x:f t="shared" si="8"/>
      </x:c>
      <x:c r="V78" s="8" t="str">
        <x:f t="shared" si="9"/>
      </x:c>
      <x:c r="W78" s="10"/>
      <x:c r="X78" s="10"/>
      <x:c r="Y78" s="10"/>
      <x:c r="Z78" s="10"/>
      <x:c r="AA78" s="10"/>
      <x:c r="AB78" s="11"/>
      <x:c r="AC78" s="10"/>
      <x:c r="AD78" s="47"/>
      <x:c r="AE78" s="10"/>
      <x:c r="AF78" s="10"/>
      <x:c r="AG78" s="8" t="str">
        <x:f t="shared" si="10"/>
      </x:c>
      <x:c r="AH78" s="8" t="str">
        <x:f t="shared" si="11"/>
      </x:c>
      <x:c r="AI78" s="10"/>
      <x:c r="AJ78" s="10"/>
      <x:c r="AK78" s="10"/>
      <x:c r="AL78" s="11"/>
      <x:c r="AM78" s="11"/>
      <x:c r="AN78" s="11"/>
      <x:c r="AO78" s="10"/>
      <x:c r="AP78" s="8" t="e">
        <x:f>IF(B78="","",IF(OR(V78="重大",AH78="重大",AH78="高",AI78="上升",AJ78="是",AND(AB78&lt;&gt;"",AB78&lt;项目驾驶舱!$B$3,AC78&lt;&gt;"已关闭")),"是","否"))</x:f>
        <x:v>#NAME?</x:v>
      </x:c>
      <x:c r="AQ78" s="8" t="e">
        <x:f>IF(B78="","",IF(W78="","缺风险责任人",IF(AND(OR(V78="重大",V78="高"),Y78=""),"高风险缺应对策略",IF(AND(AJ78="是",AK78=""),"已发生未关联问题",IF(AND(AC78="已关闭",AO78=""),"关闭缺证据",IF(AND(AM78&lt;&gt;"",AM78&lt;项目驾驶舱!$B$3),"评审逾期",""))))))</x:f>
        <x:v>#NAME?</x:v>
      </x:c>
      <x:c r="AR78" s="8" t="e">
        <x:f>IF(AP78="是",COUNTIFS($AP$9:AP78,"是"),"")</x:f>
        <x:v>#NAME?</x:v>
      </x:c>
    </x:row>
    <x:row r="79">
      <x:c r="A79" s="8" t="str">
        <x:f t="shared" si="6"/>
      </x:c>
      <x:c r="B79" s="10"/>
      <x:c r="C79" s="10"/>
      <x:c r="D79" s="10"/>
      <x:c r="E79" s="10"/>
      <x:c r="F79" s="10"/>
      <x:c r="G79" s="10"/>
      <x:c r="H79" s="10"/>
      <x:c r="I79" s="10"/>
      <x:c r="J79" s="11"/>
      <x:c r="K79" s="10"/>
      <x:c r="L79" s="10"/>
      <x:c r="M79" s="10"/>
      <x:c r="N79" s="10"/>
      <x:c r="O79" s="10"/>
      <x:c r="P79" s="10"/>
      <x:c r="Q79" s="10"/>
      <x:c r="R79" s="10"/>
      <x:c r="S79" s="10"/>
      <x:c r="T79" s="8" t="str">
        <x:f t="shared" si="7"/>
      </x:c>
      <x:c r="U79" s="8" t="str">
        <x:f t="shared" si="8"/>
      </x:c>
      <x:c r="V79" s="8" t="str">
        <x:f t="shared" si="9"/>
      </x:c>
      <x:c r="W79" s="10"/>
      <x:c r="X79" s="10"/>
      <x:c r="Y79" s="10"/>
      <x:c r="Z79" s="10"/>
      <x:c r="AA79" s="10"/>
      <x:c r="AB79" s="11"/>
      <x:c r="AC79" s="10"/>
      <x:c r="AD79" s="47"/>
      <x:c r="AE79" s="10"/>
      <x:c r="AF79" s="10"/>
      <x:c r="AG79" s="8" t="str">
        <x:f t="shared" si="10"/>
      </x:c>
      <x:c r="AH79" s="8" t="str">
        <x:f t="shared" si="11"/>
      </x:c>
      <x:c r="AI79" s="10"/>
      <x:c r="AJ79" s="10"/>
      <x:c r="AK79" s="10"/>
      <x:c r="AL79" s="11"/>
      <x:c r="AM79" s="11"/>
      <x:c r="AN79" s="11"/>
      <x:c r="AO79" s="10"/>
      <x:c r="AP79" s="8" t="e">
        <x:f>IF(B79="","",IF(OR(V79="重大",AH79="重大",AH79="高",AI79="上升",AJ79="是",AND(AB79&lt;&gt;"",AB79&lt;项目驾驶舱!$B$3,AC79&lt;&gt;"已关闭")),"是","否"))</x:f>
        <x:v>#NAME?</x:v>
      </x:c>
      <x:c r="AQ79" s="8" t="e">
        <x:f>IF(B79="","",IF(W79="","缺风险责任人",IF(AND(OR(V79="重大",V79="高"),Y79=""),"高风险缺应对策略",IF(AND(AJ79="是",AK79=""),"已发生未关联问题",IF(AND(AC79="已关闭",AO79=""),"关闭缺证据",IF(AND(AM79&lt;&gt;"",AM79&lt;项目驾驶舱!$B$3),"评审逾期",""))))))</x:f>
        <x:v>#NAME?</x:v>
      </x:c>
      <x:c r="AR79" s="8" t="e">
        <x:f>IF(AP79="是",COUNTIFS($AP$9:AP79,"是"),"")</x:f>
        <x:v>#NAME?</x:v>
      </x:c>
    </x:row>
    <x:row r="80">
      <x:c r="A80" s="8" t="str">
        <x:f t="shared" si="6"/>
      </x:c>
      <x:c r="B80" s="10"/>
      <x:c r="C80" s="10"/>
      <x:c r="D80" s="10"/>
      <x:c r="E80" s="10"/>
      <x:c r="F80" s="10"/>
      <x:c r="G80" s="10"/>
      <x:c r="H80" s="10"/>
      <x:c r="I80" s="10"/>
      <x:c r="J80" s="11"/>
      <x:c r="K80" s="10"/>
      <x:c r="L80" s="10"/>
      <x:c r="M80" s="10"/>
      <x:c r="N80" s="10"/>
      <x:c r="O80" s="10"/>
      <x:c r="P80" s="10"/>
      <x:c r="Q80" s="10"/>
      <x:c r="R80" s="10"/>
      <x:c r="S80" s="10"/>
      <x:c r="T80" s="8" t="str">
        <x:f t="shared" si="7"/>
      </x:c>
      <x:c r="U80" s="8" t="str">
        <x:f t="shared" si="8"/>
      </x:c>
      <x:c r="V80" s="8" t="str">
        <x:f t="shared" si="9"/>
      </x:c>
      <x:c r="W80" s="10"/>
      <x:c r="X80" s="10"/>
      <x:c r="Y80" s="10"/>
      <x:c r="Z80" s="10"/>
      <x:c r="AA80" s="10"/>
      <x:c r="AB80" s="11"/>
      <x:c r="AC80" s="10"/>
      <x:c r="AD80" s="47"/>
      <x:c r="AE80" s="10"/>
      <x:c r="AF80" s="10"/>
      <x:c r="AG80" s="8" t="str">
        <x:f t="shared" si="10"/>
      </x:c>
      <x:c r="AH80" s="8" t="str">
        <x:f t="shared" si="11"/>
      </x:c>
      <x:c r="AI80" s="10"/>
      <x:c r="AJ80" s="10"/>
      <x:c r="AK80" s="10"/>
      <x:c r="AL80" s="11"/>
      <x:c r="AM80" s="11"/>
      <x:c r="AN80" s="11"/>
      <x:c r="AO80" s="10"/>
      <x:c r="AP80" s="8" t="e">
        <x:f>IF(B80="","",IF(OR(V80="重大",AH80="重大",AH80="高",AI80="上升",AJ80="是",AND(AB80&lt;&gt;"",AB80&lt;项目驾驶舱!$B$3,AC80&lt;&gt;"已关闭")),"是","否"))</x:f>
        <x:v>#NAME?</x:v>
      </x:c>
      <x:c r="AQ80" s="8" t="e">
        <x:f>IF(B80="","",IF(W80="","缺风险责任人",IF(AND(OR(V80="重大",V80="高"),Y80=""),"高风险缺应对策略",IF(AND(AJ80="是",AK80=""),"已发生未关联问题",IF(AND(AC80="已关闭",AO80=""),"关闭缺证据",IF(AND(AM80&lt;&gt;"",AM80&lt;项目驾驶舱!$B$3),"评审逾期",""))))))</x:f>
        <x:v>#NAME?</x:v>
      </x:c>
      <x:c r="AR80" s="8" t="e">
        <x:f>IF(AP80="是",COUNTIFS($AP$9:AP80,"是"),"")</x:f>
        <x:v>#NAME?</x:v>
      </x:c>
    </x:row>
    <x:row r="81">
      <x:c r="A81" s="8" t="str">
        <x:f t="shared" si="6"/>
      </x:c>
      <x:c r="B81" s="10"/>
      <x:c r="C81" s="10"/>
      <x:c r="D81" s="10"/>
      <x:c r="E81" s="10"/>
      <x:c r="F81" s="10"/>
      <x:c r="G81" s="10"/>
      <x:c r="H81" s="10"/>
      <x:c r="I81" s="10"/>
      <x:c r="J81" s="11"/>
      <x:c r="K81" s="10"/>
      <x:c r="L81" s="10"/>
      <x:c r="M81" s="10"/>
      <x:c r="N81" s="10"/>
      <x:c r="O81" s="10"/>
      <x:c r="P81" s="10"/>
      <x:c r="Q81" s="10"/>
      <x:c r="R81" s="10"/>
      <x:c r="S81" s="10"/>
      <x:c r="T81" s="8" t="str">
        <x:f t="shared" si="7"/>
      </x:c>
      <x:c r="U81" s="8" t="str">
        <x:f t="shared" si="8"/>
      </x:c>
      <x:c r="V81" s="8" t="str">
        <x:f t="shared" si="9"/>
      </x:c>
      <x:c r="W81" s="10"/>
      <x:c r="X81" s="10"/>
      <x:c r="Y81" s="10"/>
      <x:c r="Z81" s="10"/>
      <x:c r="AA81" s="10"/>
      <x:c r="AB81" s="11"/>
      <x:c r="AC81" s="10"/>
      <x:c r="AD81" s="47"/>
      <x:c r="AE81" s="10"/>
      <x:c r="AF81" s="10"/>
      <x:c r="AG81" s="8" t="str">
        <x:f t="shared" si="10"/>
      </x:c>
      <x:c r="AH81" s="8" t="str">
        <x:f t="shared" si="11"/>
      </x:c>
      <x:c r="AI81" s="10"/>
      <x:c r="AJ81" s="10"/>
      <x:c r="AK81" s="10"/>
      <x:c r="AL81" s="11"/>
      <x:c r="AM81" s="11"/>
      <x:c r="AN81" s="11"/>
      <x:c r="AO81" s="10"/>
      <x:c r="AP81" s="8" t="e">
        <x:f>IF(B81="","",IF(OR(V81="重大",AH81="重大",AH81="高",AI81="上升",AJ81="是",AND(AB81&lt;&gt;"",AB81&lt;项目驾驶舱!$B$3,AC81&lt;&gt;"已关闭")),"是","否"))</x:f>
        <x:v>#NAME?</x:v>
      </x:c>
      <x:c r="AQ81" s="8" t="e">
        <x:f>IF(B81="","",IF(W81="","缺风险责任人",IF(AND(OR(V81="重大",V81="高"),Y81=""),"高风险缺应对策略",IF(AND(AJ81="是",AK81=""),"已发生未关联问题",IF(AND(AC81="已关闭",AO81=""),"关闭缺证据",IF(AND(AM81&lt;&gt;"",AM81&lt;项目驾驶舱!$B$3),"评审逾期",""))))))</x:f>
        <x:v>#NAME?</x:v>
      </x:c>
      <x:c r="AR81" s="8" t="e">
        <x:f>IF(AP81="是",COUNTIFS($AP$9:AP81,"是"),"")</x:f>
        <x:v>#NAME?</x:v>
      </x:c>
    </x:row>
    <x:row r="82">
      <x:c r="A82" s="8" t="str">
        <x:f t="shared" si="6"/>
      </x:c>
      <x:c r="B82" s="10"/>
      <x:c r="C82" s="10"/>
      <x:c r="D82" s="10"/>
      <x:c r="E82" s="10"/>
      <x:c r="F82" s="10"/>
      <x:c r="G82" s="10"/>
      <x:c r="H82" s="10"/>
      <x:c r="I82" s="10"/>
      <x:c r="J82" s="11"/>
      <x:c r="K82" s="10"/>
      <x:c r="L82" s="10"/>
      <x:c r="M82" s="10"/>
      <x:c r="N82" s="10"/>
      <x:c r="O82" s="10"/>
      <x:c r="P82" s="10"/>
      <x:c r="Q82" s="10"/>
      <x:c r="R82" s="10"/>
      <x:c r="S82" s="10"/>
      <x:c r="T82" s="8" t="str">
        <x:f t="shared" si="7"/>
      </x:c>
      <x:c r="U82" s="8" t="str">
        <x:f t="shared" si="8"/>
      </x:c>
      <x:c r="V82" s="8" t="str">
        <x:f t="shared" si="9"/>
      </x:c>
      <x:c r="W82" s="10"/>
      <x:c r="X82" s="10"/>
      <x:c r="Y82" s="10"/>
      <x:c r="Z82" s="10"/>
      <x:c r="AA82" s="10"/>
      <x:c r="AB82" s="11"/>
      <x:c r="AC82" s="10"/>
      <x:c r="AD82" s="47"/>
      <x:c r="AE82" s="10"/>
      <x:c r="AF82" s="10"/>
      <x:c r="AG82" s="8" t="str">
        <x:f t="shared" si="10"/>
      </x:c>
      <x:c r="AH82" s="8" t="str">
        <x:f t="shared" si="11"/>
      </x:c>
      <x:c r="AI82" s="10"/>
      <x:c r="AJ82" s="10"/>
      <x:c r="AK82" s="10"/>
      <x:c r="AL82" s="11"/>
      <x:c r="AM82" s="11"/>
      <x:c r="AN82" s="11"/>
      <x:c r="AO82" s="10"/>
      <x:c r="AP82" s="8" t="e">
        <x:f>IF(B82="","",IF(OR(V82="重大",AH82="重大",AH82="高",AI82="上升",AJ82="是",AND(AB82&lt;&gt;"",AB82&lt;项目驾驶舱!$B$3,AC82&lt;&gt;"已关闭")),"是","否"))</x:f>
        <x:v>#NAME?</x:v>
      </x:c>
      <x:c r="AQ82" s="8" t="e">
        <x:f>IF(B82="","",IF(W82="","缺风险责任人",IF(AND(OR(V82="重大",V82="高"),Y82=""),"高风险缺应对策略",IF(AND(AJ82="是",AK82=""),"已发生未关联问题",IF(AND(AC82="已关闭",AO82=""),"关闭缺证据",IF(AND(AM82&lt;&gt;"",AM82&lt;项目驾驶舱!$B$3),"评审逾期",""))))))</x:f>
        <x:v>#NAME?</x:v>
      </x:c>
      <x:c r="AR82" s="8" t="e">
        <x:f>IF(AP82="是",COUNTIFS($AP$9:AP82,"是"),"")</x:f>
        <x:v>#NAME?</x:v>
      </x:c>
    </x:row>
    <x:row r="83">
      <x:c r="A83" s="8" t="str">
        <x:f t="shared" si="6"/>
      </x:c>
      <x:c r="B83" s="10"/>
      <x:c r="C83" s="10"/>
      <x:c r="D83" s="10"/>
      <x:c r="E83" s="10"/>
      <x:c r="F83" s="10"/>
      <x:c r="G83" s="10"/>
      <x:c r="H83" s="10"/>
      <x:c r="I83" s="10"/>
      <x:c r="J83" s="11"/>
      <x:c r="K83" s="10"/>
      <x:c r="L83" s="10"/>
      <x:c r="M83" s="10"/>
      <x:c r="N83" s="10"/>
      <x:c r="O83" s="10"/>
      <x:c r="P83" s="10"/>
      <x:c r="Q83" s="10"/>
      <x:c r="R83" s="10"/>
      <x:c r="S83" s="10"/>
      <x:c r="T83" s="8" t="str">
        <x:f t="shared" si="7"/>
      </x:c>
      <x:c r="U83" s="8" t="str">
        <x:f t="shared" si="8"/>
      </x:c>
      <x:c r="V83" s="8" t="str">
        <x:f t="shared" si="9"/>
      </x:c>
      <x:c r="W83" s="10"/>
      <x:c r="X83" s="10"/>
      <x:c r="Y83" s="10"/>
      <x:c r="Z83" s="10"/>
      <x:c r="AA83" s="10"/>
      <x:c r="AB83" s="11"/>
      <x:c r="AC83" s="10"/>
      <x:c r="AD83" s="47"/>
      <x:c r="AE83" s="10"/>
      <x:c r="AF83" s="10"/>
      <x:c r="AG83" s="8" t="str">
        <x:f t="shared" si="10"/>
      </x:c>
      <x:c r="AH83" s="8" t="str">
        <x:f t="shared" si="11"/>
      </x:c>
      <x:c r="AI83" s="10"/>
      <x:c r="AJ83" s="10"/>
      <x:c r="AK83" s="10"/>
      <x:c r="AL83" s="11"/>
      <x:c r="AM83" s="11"/>
      <x:c r="AN83" s="11"/>
      <x:c r="AO83" s="10"/>
      <x:c r="AP83" s="8" t="e">
        <x:f>IF(B83="","",IF(OR(V83="重大",AH83="重大",AH83="高",AI83="上升",AJ83="是",AND(AB83&lt;&gt;"",AB83&lt;项目驾驶舱!$B$3,AC83&lt;&gt;"已关闭")),"是","否"))</x:f>
        <x:v>#NAME?</x:v>
      </x:c>
      <x:c r="AQ83" s="8" t="e">
        <x:f>IF(B83="","",IF(W83="","缺风险责任人",IF(AND(OR(V83="重大",V83="高"),Y83=""),"高风险缺应对策略",IF(AND(AJ83="是",AK83=""),"已发生未关联问题",IF(AND(AC83="已关闭",AO83=""),"关闭缺证据",IF(AND(AM83&lt;&gt;"",AM83&lt;项目驾驶舱!$B$3),"评审逾期",""))))))</x:f>
        <x:v>#NAME?</x:v>
      </x:c>
      <x:c r="AR83" s="8" t="e">
        <x:f>IF(AP83="是",COUNTIFS($AP$9:AP83,"是"),"")</x:f>
        <x:v>#NAME?</x:v>
      </x:c>
    </x:row>
    <x:row r="84">
      <x:c r="A84" s="8" t="str">
        <x:f t="shared" si="6"/>
      </x:c>
      <x:c r="B84" s="10"/>
      <x:c r="C84" s="10"/>
      <x:c r="D84" s="10"/>
      <x:c r="E84" s="10"/>
      <x:c r="F84" s="10"/>
      <x:c r="G84" s="10"/>
      <x:c r="H84" s="10"/>
      <x:c r="I84" s="10"/>
      <x:c r="J84" s="11"/>
      <x:c r="K84" s="10"/>
      <x:c r="L84" s="10"/>
      <x:c r="M84" s="10"/>
      <x:c r="N84" s="10"/>
      <x:c r="O84" s="10"/>
      <x:c r="P84" s="10"/>
      <x:c r="Q84" s="10"/>
      <x:c r="R84" s="10"/>
      <x:c r="S84" s="10"/>
      <x:c r="T84" s="8" t="str">
        <x:f t="shared" si="7"/>
      </x:c>
      <x:c r="U84" s="8" t="str">
        <x:f t="shared" si="8"/>
      </x:c>
      <x:c r="V84" s="8" t="str">
        <x:f t="shared" si="9"/>
      </x:c>
      <x:c r="W84" s="10"/>
      <x:c r="X84" s="10"/>
      <x:c r="Y84" s="10"/>
      <x:c r="Z84" s="10"/>
      <x:c r="AA84" s="10"/>
      <x:c r="AB84" s="11"/>
      <x:c r="AC84" s="10"/>
      <x:c r="AD84" s="47"/>
      <x:c r="AE84" s="10"/>
      <x:c r="AF84" s="10"/>
      <x:c r="AG84" s="8" t="str">
        <x:f t="shared" si="10"/>
      </x:c>
      <x:c r="AH84" s="8" t="str">
        <x:f t="shared" si="11"/>
      </x:c>
      <x:c r="AI84" s="10"/>
      <x:c r="AJ84" s="10"/>
      <x:c r="AK84" s="10"/>
      <x:c r="AL84" s="11"/>
      <x:c r="AM84" s="11"/>
      <x:c r="AN84" s="11"/>
      <x:c r="AO84" s="10"/>
      <x:c r="AP84" s="8" t="e">
        <x:f>IF(B84="","",IF(OR(V84="重大",AH84="重大",AH84="高",AI84="上升",AJ84="是",AND(AB84&lt;&gt;"",AB84&lt;项目驾驶舱!$B$3,AC84&lt;&gt;"已关闭")),"是","否"))</x:f>
        <x:v>#NAME?</x:v>
      </x:c>
      <x:c r="AQ84" s="8" t="e">
        <x:f>IF(B84="","",IF(W84="","缺风险责任人",IF(AND(OR(V84="重大",V84="高"),Y84=""),"高风险缺应对策略",IF(AND(AJ84="是",AK84=""),"已发生未关联问题",IF(AND(AC84="已关闭",AO84=""),"关闭缺证据",IF(AND(AM84&lt;&gt;"",AM84&lt;项目驾驶舱!$B$3),"评审逾期",""))))))</x:f>
        <x:v>#NAME?</x:v>
      </x:c>
      <x:c r="AR84" s="8" t="e">
        <x:f>IF(AP84="是",COUNTIFS($AP$9:AP84,"是"),"")</x:f>
        <x:v>#NAME?</x:v>
      </x:c>
    </x:row>
    <x:row r="85">
      <x:c r="A85" s="8" t="str">
        <x:f t="shared" si="6"/>
      </x:c>
      <x:c r="B85" s="10"/>
      <x:c r="C85" s="10"/>
      <x:c r="D85" s="10"/>
      <x:c r="E85" s="10"/>
      <x:c r="F85" s="10"/>
      <x:c r="G85" s="10"/>
      <x:c r="H85" s="10"/>
      <x:c r="I85" s="10"/>
      <x:c r="J85" s="11"/>
      <x:c r="K85" s="10"/>
      <x:c r="L85" s="10"/>
      <x:c r="M85" s="10"/>
      <x:c r="N85" s="10"/>
      <x:c r="O85" s="10"/>
      <x:c r="P85" s="10"/>
      <x:c r="Q85" s="10"/>
      <x:c r="R85" s="10"/>
      <x:c r="S85" s="10"/>
      <x:c r="T85" s="8" t="str">
        <x:f t="shared" si="7"/>
      </x:c>
      <x:c r="U85" s="8" t="str">
        <x:f t="shared" si="8"/>
      </x:c>
      <x:c r="V85" s="8" t="str">
        <x:f t="shared" si="9"/>
      </x:c>
      <x:c r="W85" s="10"/>
      <x:c r="X85" s="10"/>
      <x:c r="Y85" s="10"/>
      <x:c r="Z85" s="10"/>
      <x:c r="AA85" s="10"/>
      <x:c r="AB85" s="11"/>
      <x:c r="AC85" s="10"/>
      <x:c r="AD85" s="47"/>
      <x:c r="AE85" s="10"/>
      <x:c r="AF85" s="10"/>
      <x:c r="AG85" s="8" t="str">
        <x:f t="shared" si="10"/>
      </x:c>
      <x:c r="AH85" s="8" t="str">
        <x:f t="shared" si="11"/>
      </x:c>
      <x:c r="AI85" s="10"/>
      <x:c r="AJ85" s="10"/>
      <x:c r="AK85" s="10"/>
      <x:c r="AL85" s="11"/>
      <x:c r="AM85" s="11"/>
      <x:c r="AN85" s="11"/>
      <x:c r="AO85" s="10"/>
      <x:c r="AP85" s="8" t="e">
        <x:f>IF(B85="","",IF(OR(V85="重大",AH85="重大",AH85="高",AI85="上升",AJ85="是",AND(AB85&lt;&gt;"",AB85&lt;项目驾驶舱!$B$3,AC85&lt;&gt;"已关闭")),"是","否"))</x:f>
        <x:v>#NAME?</x:v>
      </x:c>
      <x:c r="AQ85" s="8" t="e">
        <x:f>IF(B85="","",IF(W85="","缺风险责任人",IF(AND(OR(V85="重大",V85="高"),Y85=""),"高风险缺应对策略",IF(AND(AJ85="是",AK85=""),"已发生未关联问题",IF(AND(AC85="已关闭",AO85=""),"关闭缺证据",IF(AND(AM85&lt;&gt;"",AM85&lt;项目驾驶舱!$B$3),"评审逾期",""))))))</x:f>
        <x:v>#NAME?</x:v>
      </x:c>
      <x:c r="AR85" s="8" t="e">
        <x:f>IF(AP85="是",COUNTIFS($AP$9:AP85,"是"),"")</x:f>
        <x:v>#NAME?</x:v>
      </x:c>
    </x:row>
    <x:row r="86">
      <x:c r="A86" s="8" t="str">
        <x:f t="shared" si="6"/>
      </x:c>
      <x:c r="B86" s="10"/>
      <x:c r="C86" s="10"/>
      <x:c r="D86" s="10"/>
      <x:c r="E86" s="10"/>
      <x:c r="F86" s="10"/>
      <x:c r="G86" s="10"/>
      <x:c r="H86" s="10"/>
      <x:c r="I86" s="10"/>
      <x:c r="J86" s="11"/>
      <x:c r="K86" s="10"/>
      <x:c r="L86" s="10"/>
      <x:c r="M86" s="10"/>
      <x:c r="N86" s="10"/>
      <x:c r="O86" s="10"/>
      <x:c r="P86" s="10"/>
      <x:c r="Q86" s="10"/>
      <x:c r="R86" s="10"/>
      <x:c r="S86" s="10"/>
      <x:c r="T86" s="8" t="str">
        <x:f t="shared" si="7"/>
      </x:c>
      <x:c r="U86" s="8" t="str">
        <x:f t="shared" si="8"/>
      </x:c>
      <x:c r="V86" s="8" t="str">
        <x:f t="shared" si="9"/>
      </x:c>
      <x:c r="W86" s="10"/>
      <x:c r="X86" s="10"/>
      <x:c r="Y86" s="10"/>
      <x:c r="Z86" s="10"/>
      <x:c r="AA86" s="10"/>
      <x:c r="AB86" s="11"/>
      <x:c r="AC86" s="10"/>
      <x:c r="AD86" s="47"/>
      <x:c r="AE86" s="10"/>
      <x:c r="AF86" s="10"/>
      <x:c r="AG86" s="8" t="str">
        <x:f t="shared" si="10"/>
      </x:c>
      <x:c r="AH86" s="8" t="str">
        <x:f t="shared" si="11"/>
      </x:c>
      <x:c r="AI86" s="10"/>
      <x:c r="AJ86" s="10"/>
      <x:c r="AK86" s="10"/>
      <x:c r="AL86" s="11"/>
      <x:c r="AM86" s="11"/>
      <x:c r="AN86" s="11"/>
      <x:c r="AO86" s="10"/>
      <x:c r="AP86" s="8" t="e">
        <x:f>IF(B86="","",IF(OR(V86="重大",AH86="重大",AH86="高",AI86="上升",AJ86="是",AND(AB86&lt;&gt;"",AB86&lt;项目驾驶舱!$B$3,AC86&lt;&gt;"已关闭")),"是","否"))</x:f>
        <x:v>#NAME?</x:v>
      </x:c>
      <x:c r="AQ86" s="8" t="e">
        <x:f>IF(B86="","",IF(W86="","缺风险责任人",IF(AND(OR(V86="重大",V86="高"),Y86=""),"高风险缺应对策略",IF(AND(AJ86="是",AK86=""),"已发生未关联问题",IF(AND(AC86="已关闭",AO86=""),"关闭缺证据",IF(AND(AM86&lt;&gt;"",AM86&lt;项目驾驶舱!$B$3),"评审逾期",""))))))</x:f>
        <x:v>#NAME?</x:v>
      </x:c>
      <x:c r="AR86" s="8" t="e">
        <x:f>IF(AP86="是",COUNTIFS($AP$9:AP86,"是"),"")</x:f>
        <x:v>#NAME?</x:v>
      </x:c>
    </x:row>
    <x:row r="87">
      <x:c r="A87" s="8" t="str">
        <x:f t="shared" si="6"/>
      </x:c>
      <x:c r="B87" s="10"/>
      <x:c r="C87" s="10"/>
      <x:c r="D87" s="10"/>
      <x:c r="E87" s="10"/>
      <x:c r="F87" s="10"/>
      <x:c r="G87" s="10"/>
      <x:c r="H87" s="10"/>
      <x:c r="I87" s="10"/>
      <x:c r="J87" s="11"/>
      <x:c r="K87" s="10"/>
      <x:c r="L87" s="10"/>
      <x:c r="M87" s="10"/>
      <x:c r="N87" s="10"/>
      <x:c r="O87" s="10"/>
      <x:c r="P87" s="10"/>
      <x:c r="Q87" s="10"/>
      <x:c r="R87" s="10"/>
      <x:c r="S87" s="10"/>
      <x:c r="T87" s="8" t="str">
        <x:f t="shared" si="7"/>
      </x:c>
      <x:c r="U87" s="8" t="str">
        <x:f t="shared" si="8"/>
      </x:c>
      <x:c r="V87" s="8" t="str">
        <x:f t="shared" si="9"/>
      </x:c>
      <x:c r="W87" s="10"/>
      <x:c r="X87" s="10"/>
      <x:c r="Y87" s="10"/>
      <x:c r="Z87" s="10"/>
      <x:c r="AA87" s="10"/>
      <x:c r="AB87" s="11"/>
      <x:c r="AC87" s="10"/>
      <x:c r="AD87" s="47"/>
      <x:c r="AE87" s="10"/>
      <x:c r="AF87" s="10"/>
      <x:c r="AG87" s="8" t="str">
        <x:f t="shared" si="10"/>
      </x:c>
      <x:c r="AH87" s="8" t="str">
        <x:f t="shared" si="11"/>
      </x:c>
      <x:c r="AI87" s="10"/>
      <x:c r="AJ87" s="10"/>
      <x:c r="AK87" s="10"/>
      <x:c r="AL87" s="11"/>
      <x:c r="AM87" s="11"/>
      <x:c r="AN87" s="11"/>
      <x:c r="AO87" s="10"/>
      <x:c r="AP87" s="8" t="e">
        <x:f>IF(B87="","",IF(OR(V87="重大",AH87="重大",AH87="高",AI87="上升",AJ87="是",AND(AB87&lt;&gt;"",AB87&lt;项目驾驶舱!$B$3,AC87&lt;&gt;"已关闭")),"是","否"))</x:f>
        <x:v>#NAME?</x:v>
      </x:c>
      <x:c r="AQ87" s="8" t="e">
        <x:f>IF(B87="","",IF(W87="","缺风险责任人",IF(AND(OR(V87="重大",V87="高"),Y87=""),"高风险缺应对策略",IF(AND(AJ87="是",AK87=""),"已发生未关联问题",IF(AND(AC87="已关闭",AO87=""),"关闭缺证据",IF(AND(AM87&lt;&gt;"",AM87&lt;项目驾驶舱!$B$3),"评审逾期",""))))))</x:f>
        <x:v>#NAME?</x:v>
      </x:c>
      <x:c r="AR87" s="8" t="e">
        <x:f>IF(AP87="是",COUNTIFS($AP$9:AP87,"是"),"")</x:f>
        <x:v>#NAME?</x:v>
      </x:c>
    </x:row>
    <x:row r="88">
      <x:c r="A88" s="8" t="str">
        <x:f t="shared" si="6"/>
      </x:c>
      <x:c r="B88" s="10"/>
      <x:c r="C88" s="10"/>
      <x:c r="D88" s="10"/>
      <x:c r="E88" s="10"/>
      <x:c r="F88" s="10"/>
      <x:c r="G88" s="10"/>
      <x:c r="H88" s="10"/>
      <x:c r="I88" s="10"/>
      <x:c r="J88" s="11"/>
      <x:c r="K88" s="10"/>
      <x:c r="L88" s="10"/>
      <x:c r="M88" s="10"/>
      <x:c r="N88" s="10"/>
      <x:c r="O88" s="10"/>
      <x:c r="P88" s="10"/>
      <x:c r="Q88" s="10"/>
      <x:c r="R88" s="10"/>
      <x:c r="S88" s="10"/>
      <x:c r="T88" s="8" t="str">
        <x:f t="shared" si="7"/>
      </x:c>
      <x:c r="U88" s="8" t="str">
        <x:f t="shared" si="8"/>
      </x:c>
      <x:c r="V88" s="8" t="str">
        <x:f t="shared" si="9"/>
      </x:c>
      <x:c r="W88" s="10"/>
      <x:c r="X88" s="10"/>
      <x:c r="Y88" s="10"/>
      <x:c r="Z88" s="10"/>
      <x:c r="AA88" s="10"/>
      <x:c r="AB88" s="11"/>
      <x:c r="AC88" s="10"/>
      <x:c r="AD88" s="47"/>
      <x:c r="AE88" s="10"/>
      <x:c r="AF88" s="10"/>
      <x:c r="AG88" s="8" t="str">
        <x:f t="shared" si="10"/>
      </x:c>
      <x:c r="AH88" s="8" t="str">
        <x:f t="shared" si="11"/>
      </x:c>
      <x:c r="AI88" s="10"/>
      <x:c r="AJ88" s="10"/>
      <x:c r="AK88" s="10"/>
      <x:c r="AL88" s="11"/>
      <x:c r="AM88" s="11"/>
      <x:c r="AN88" s="11"/>
      <x:c r="AO88" s="10"/>
      <x:c r="AP88" s="8" t="e">
        <x:f>IF(B88="","",IF(OR(V88="重大",AH88="重大",AH88="高",AI88="上升",AJ88="是",AND(AB88&lt;&gt;"",AB88&lt;项目驾驶舱!$B$3,AC88&lt;&gt;"已关闭")),"是","否"))</x:f>
        <x:v>#NAME?</x:v>
      </x:c>
      <x:c r="AQ88" s="8" t="e">
        <x:f>IF(B88="","",IF(W88="","缺风险责任人",IF(AND(OR(V88="重大",V88="高"),Y88=""),"高风险缺应对策略",IF(AND(AJ88="是",AK88=""),"已发生未关联问题",IF(AND(AC88="已关闭",AO88=""),"关闭缺证据",IF(AND(AM88&lt;&gt;"",AM88&lt;项目驾驶舱!$B$3),"评审逾期",""))))))</x:f>
        <x:v>#NAME?</x:v>
      </x:c>
      <x:c r="AR88" s="8" t="e">
        <x:f>IF(AP88="是",COUNTIFS($AP$9:AP88,"是"),"")</x:f>
        <x:v>#NAME?</x:v>
      </x:c>
    </x:row>
    <x:row r="89">
      <x:c r="A89" s="8" t="str">
        <x:f t="shared" si="6"/>
      </x:c>
      <x:c r="B89" s="10"/>
      <x:c r="C89" s="10"/>
      <x:c r="D89" s="10"/>
      <x:c r="E89" s="10"/>
      <x:c r="F89" s="10"/>
      <x:c r="G89" s="10"/>
      <x:c r="H89" s="10"/>
      <x:c r="I89" s="10"/>
      <x:c r="J89" s="11"/>
      <x:c r="K89" s="10"/>
      <x:c r="L89" s="10"/>
      <x:c r="M89" s="10"/>
      <x:c r="N89" s="10"/>
      <x:c r="O89" s="10"/>
      <x:c r="P89" s="10"/>
      <x:c r="Q89" s="10"/>
      <x:c r="R89" s="10"/>
      <x:c r="S89" s="10"/>
      <x:c r="T89" s="8" t="str">
        <x:f t="shared" si="7"/>
      </x:c>
      <x:c r="U89" s="8" t="str">
        <x:f t="shared" si="8"/>
      </x:c>
      <x:c r="V89" s="8" t="str">
        <x:f t="shared" si="9"/>
      </x:c>
      <x:c r="W89" s="10"/>
      <x:c r="X89" s="10"/>
      <x:c r="Y89" s="10"/>
      <x:c r="Z89" s="10"/>
      <x:c r="AA89" s="10"/>
      <x:c r="AB89" s="11"/>
      <x:c r="AC89" s="10"/>
      <x:c r="AD89" s="47"/>
      <x:c r="AE89" s="10"/>
      <x:c r="AF89" s="10"/>
      <x:c r="AG89" s="8" t="str">
        <x:f t="shared" si="10"/>
      </x:c>
      <x:c r="AH89" s="8" t="str">
        <x:f t="shared" si="11"/>
      </x:c>
      <x:c r="AI89" s="10"/>
      <x:c r="AJ89" s="10"/>
      <x:c r="AK89" s="10"/>
      <x:c r="AL89" s="11"/>
      <x:c r="AM89" s="11"/>
      <x:c r="AN89" s="11"/>
      <x:c r="AO89" s="10"/>
      <x:c r="AP89" s="8" t="e">
        <x:f>IF(B89="","",IF(OR(V89="重大",AH89="重大",AH89="高",AI89="上升",AJ89="是",AND(AB89&lt;&gt;"",AB89&lt;项目驾驶舱!$B$3,AC89&lt;&gt;"已关闭")),"是","否"))</x:f>
        <x:v>#NAME?</x:v>
      </x:c>
      <x:c r="AQ89" s="8" t="e">
        <x:f>IF(B89="","",IF(W89="","缺风险责任人",IF(AND(OR(V89="重大",V89="高"),Y89=""),"高风险缺应对策略",IF(AND(AJ89="是",AK89=""),"已发生未关联问题",IF(AND(AC89="已关闭",AO89=""),"关闭缺证据",IF(AND(AM89&lt;&gt;"",AM89&lt;项目驾驶舱!$B$3),"评审逾期",""))))))</x:f>
        <x:v>#NAME?</x:v>
      </x:c>
      <x:c r="AR89" s="8" t="e">
        <x:f>IF(AP89="是",COUNTIFS($AP$9:AP89,"是"),"")</x:f>
        <x:v>#NAME?</x:v>
      </x:c>
    </x:row>
    <x:row r="90">
      <x:c r="A90" s="8" t="str">
        <x:f t="shared" si="6"/>
      </x:c>
      <x:c r="B90" s="10"/>
      <x:c r="C90" s="10"/>
      <x:c r="D90" s="10"/>
      <x:c r="E90" s="10"/>
      <x:c r="F90" s="10"/>
      <x:c r="G90" s="10"/>
      <x:c r="H90" s="10"/>
      <x:c r="I90" s="10"/>
      <x:c r="J90" s="11"/>
      <x:c r="K90" s="10"/>
      <x:c r="L90" s="10"/>
      <x:c r="M90" s="10"/>
      <x:c r="N90" s="10"/>
      <x:c r="O90" s="10"/>
      <x:c r="P90" s="10"/>
      <x:c r="Q90" s="10"/>
      <x:c r="R90" s="10"/>
      <x:c r="S90" s="10"/>
      <x:c r="T90" s="8" t="str">
        <x:f t="shared" si="7"/>
      </x:c>
      <x:c r="U90" s="8" t="str">
        <x:f t="shared" si="8"/>
      </x:c>
      <x:c r="V90" s="8" t="str">
        <x:f t="shared" si="9"/>
      </x:c>
      <x:c r="W90" s="10"/>
      <x:c r="X90" s="10"/>
      <x:c r="Y90" s="10"/>
      <x:c r="Z90" s="10"/>
      <x:c r="AA90" s="10"/>
      <x:c r="AB90" s="11"/>
      <x:c r="AC90" s="10"/>
      <x:c r="AD90" s="47"/>
      <x:c r="AE90" s="10"/>
      <x:c r="AF90" s="10"/>
      <x:c r="AG90" s="8" t="str">
        <x:f t="shared" si="10"/>
      </x:c>
      <x:c r="AH90" s="8" t="str">
        <x:f t="shared" si="11"/>
      </x:c>
      <x:c r="AI90" s="10"/>
      <x:c r="AJ90" s="10"/>
      <x:c r="AK90" s="10"/>
      <x:c r="AL90" s="11"/>
      <x:c r="AM90" s="11"/>
      <x:c r="AN90" s="11"/>
      <x:c r="AO90" s="10"/>
      <x:c r="AP90" s="8" t="e">
        <x:f>IF(B90="","",IF(OR(V90="重大",AH90="重大",AH90="高",AI90="上升",AJ90="是",AND(AB90&lt;&gt;"",AB90&lt;项目驾驶舱!$B$3,AC90&lt;&gt;"已关闭")),"是","否"))</x:f>
        <x:v>#NAME?</x:v>
      </x:c>
      <x:c r="AQ90" s="8" t="e">
        <x:f>IF(B90="","",IF(W90="","缺风险责任人",IF(AND(OR(V90="重大",V90="高"),Y90=""),"高风险缺应对策略",IF(AND(AJ90="是",AK90=""),"已发生未关联问题",IF(AND(AC90="已关闭",AO90=""),"关闭缺证据",IF(AND(AM90&lt;&gt;"",AM90&lt;项目驾驶舱!$B$3),"评审逾期",""))))))</x:f>
        <x:v>#NAME?</x:v>
      </x:c>
      <x:c r="AR90" s="8" t="e">
        <x:f>IF(AP90="是",COUNTIFS($AP$9:AP90,"是"),"")</x:f>
        <x:v>#NAME?</x:v>
      </x:c>
    </x:row>
    <x:row r="91">
      <x:c r="A91" s="8" t="str">
        <x:f t="shared" si="6"/>
      </x:c>
      <x:c r="B91" s="10"/>
      <x:c r="C91" s="10"/>
      <x:c r="D91" s="10"/>
      <x:c r="E91" s="10"/>
      <x:c r="F91" s="10"/>
      <x:c r="G91" s="10"/>
      <x:c r="H91" s="10"/>
      <x:c r="I91" s="10"/>
      <x:c r="J91" s="11"/>
      <x:c r="K91" s="10"/>
      <x:c r="L91" s="10"/>
      <x:c r="M91" s="10"/>
      <x:c r="N91" s="10"/>
      <x:c r="O91" s="10"/>
      <x:c r="P91" s="10"/>
      <x:c r="Q91" s="10"/>
      <x:c r="R91" s="10"/>
      <x:c r="S91" s="10"/>
      <x:c r="T91" s="8" t="str">
        <x:f t="shared" si="7"/>
      </x:c>
      <x:c r="U91" s="8" t="str">
        <x:f t="shared" si="8"/>
      </x:c>
      <x:c r="V91" s="8" t="str">
        <x:f t="shared" si="9"/>
      </x:c>
      <x:c r="W91" s="10"/>
      <x:c r="X91" s="10"/>
      <x:c r="Y91" s="10"/>
      <x:c r="Z91" s="10"/>
      <x:c r="AA91" s="10"/>
      <x:c r="AB91" s="11"/>
      <x:c r="AC91" s="10"/>
      <x:c r="AD91" s="47"/>
      <x:c r="AE91" s="10"/>
      <x:c r="AF91" s="10"/>
      <x:c r="AG91" s="8" t="str">
        <x:f t="shared" si="10"/>
      </x:c>
      <x:c r="AH91" s="8" t="str">
        <x:f t="shared" si="11"/>
      </x:c>
      <x:c r="AI91" s="10"/>
      <x:c r="AJ91" s="10"/>
      <x:c r="AK91" s="10"/>
      <x:c r="AL91" s="11"/>
      <x:c r="AM91" s="11"/>
      <x:c r="AN91" s="11"/>
      <x:c r="AO91" s="10"/>
      <x:c r="AP91" s="8" t="e">
        <x:f>IF(B91="","",IF(OR(V91="重大",AH91="重大",AH91="高",AI91="上升",AJ91="是",AND(AB91&lt;&gt;"",AB91&lt;项目驾驶舱!$B$3,AC91&lt;&gt;"已关闭")),"是","否"))</x:f>
        <x:v>#NAME?</x:v>
      </x:c>
      <x:c r="AQ91" s="8" t="e">
        <x:f>IF(B91="","",IF(W91="","缺风险责任人",IF(AND(OR(V91="重大",V91="高"),Y91=""),"高风险缺应对策略",IF(AND(AJ91="是",AK91=""),"已发生未关联问题",IF(AND(AC91="已关闭",AO91=""),"关闭缺证据",IF(AND(AM91&lt;&gt;"",AM91&lt;项目驾驶舱!$B$3),"评审逾期",""))))))</x:f>
        <x:v>#NAME?</x:v>
      </x:c>
      <x:c r="AR91" s="8" t="e">
        <x:f>IF(AP91="是",COUNTIFS($AP$9:AP91,"是"),"")</x:f>
        <x:v>#NAME?</x:v>
      </x:c>
    </x:row>
    <x:row r="92">
      <x:c r="A92" s="8" t="str">
        <x:f t="shared" si="6"/>
      </x:c>
      <x:c r="B92" s="10"/>
      <x:c r="C92" s="10"/>
      <x:c r="D92" s="10"/>
      <x:c r="E92" s="10"/>
      <x:c r="F92" s="10"/>
      <x:c r="G92" s="10"/>
      <x:c r="H92" s="10"/>
      <x:c r="I92" s="10"/>
      <x:c r="J92" s="11"/>
      <x:c r="K92" s="10"/>
      <x:c r="L92" s="10"/>
      <x:c r="M92" s="10"/>
      <x:c r="N92" s="10"/>
      <x:c r="O92" s="10"/>
      <x:c r="P92" s="10"/>
      <x:c r="Q92" s="10"/>
      <x:c r="R92" s="10"/>
      <x:c r="S92" s="10"/>
      <x:c r="T92" s="8" t="str">
        <x:f t="shared" si="7"/>
      </x:c>
      <x:c r="U92" s="8" t="str">
        <x:f t="shared" si="8"/>
      </x:c>
      <x:c r="V92" s="8" t="str">
        <x:f t="shared" si="9"/>
      </x:c>
      <x:c r="W92" s="10"/>
      <x:c r="X92" s="10"/>
      <x:c r="Y92" s="10"/>
      <x:c r="Z92" s="10"/>
      <x:c r="AA92" s="10"/>
      <x:c r="AB92" s="11"/>
      <x:c r="AC92" s="10"/>
      <x:c r="AD92" s="47"/>
      <x:c r="AE92" s="10"/>
      <x:c r="AF92" s="10"/>
      <x:c r="AG92" s="8" t="str">
        <x:f t="shared" si="10"/>
      </x:c>
      <x:c r="AH92" s="8" t="str">
        <x:f t="shared" si="11"/>
      </x:c>
      <x:c r="AI92" s="10"/>
      <x:c r="AJ92" s="10"/>
      <x:c r="AK92" s="10"/>
      <x:c r="AL92" s="11"/>
      <x:c r="AM92" s="11"/>
      <x:c r="AN92" s="11"/>
      <x:c r="AO92" s="10"/>
      <x:c r="AP92" s="8" t="e">
        <x:f>IF(B92="","",IF(OR(V92="重大",AH92="重大",AH92="高",AI92="上升",AJ92="是",AND(AB92&lt;&gt;"",AB92&lt;项目驾驶舱!$B$3,AC92&lt;&gt;"已关闭")),"是","否"))</x:f>
        <x:v>#NAME?</x:v>
      </x:c>
      <x:c r="AQ92" s="8" t="e">
        <x:f>IF(B92="","",IF(W92="","缺风险责任人",IF(AND(OR(V92="重大",V92="高"),Y92=""),"高风险缺应对策略",IF(AND(AJ92="是",AK92=""),"已发生未关联问题",IF(AND(AC92="已关闭",AO92=""),"关闭缺证据",IF(AND(AM92&lt;&gt;"",AM92&lt;项目驾驶舱!$B$3),"评审逾期",""))))))</x:f>
        <x:v>#NAME?</x:v>
      </x:c>
      <x:c r="AR92" s="8" t="e">
        <x:f>IF(AP92="是",COUNTIFS($AP$9:AP92,"是"),"")</x:f>
        <x:v>#NAME?</x:v>
      </x:c>
    </x:row>
    <x:row r="93">
      <x:c r="A93" s="8" t="str">
        <x:f t="shared" si="6"/>
      </x:c>
      <x:c r="B93" s="10"/>
      <x:c r="C93" s="10"/>
      <x:c r="D93" s="10"/>
      <x:c r="E93" s="10"/>
      <x:c r="F93" s="10"/>
      <x:c r="G93" s="10"/>
      <x:c r="H93" s="10"/>
      <x:c r="I93" s="10"/>
      <x:c r="J93" s="11"/>
      <x:c r="K93" s="10"/>
      <x:c r="L93" s="10"/>
      <x:c r="M93" s="10"/>
      <x:c r="N93" s="10"/>
      <x:c r="O93" s="10"/>
      <x:c r="P93" s="10"/>
      <x:c r="Q93" s="10"/>
      <x:c r="R93" s="10"/>
      <x:c r="S93" s="10"/>
      <x:c r="T93" s="8" t="str">
        <x:f t="shared" si="7"/>
      </x:c>
      <x:c r="U93" s="8" t="str">
        <x:f t="shared" si="8"/>
      </x:c>
      <x:c r="V93" s="8" t="str">
        <x:f t="shared" si="9"/>
      </x:c>
      <x:c r="W93" s="10"/>
      <x:c r="X93" s="10"/>
      <x:c r="Y93" s="10"/>
      <x:c r="Z93" s="10"/>
      <x:c r="AA93" s="10"/>
      <x:c r="AB93" s="11"/>
      <x:c r="AC93" s="10"/>
      <x:c r="AD93" s="47"/>
      <x:c r="AE93" s="10"/>
      <x:c r="AF93" s="10"/>
      <x:c r="AG93" s="8" t="str">
        <x:f t="shared" si="10"/>
      </x:c>
      <x:c r="AH93" s="8" t="str">
        <x:f t="shared" si="11"/>
      </x:c>
      <x:c r="AI93" s="10"/>
      <x:c r="AJ93" s="10"/>
      <x:c r="AK93" s="10"/>
      <x:c r="AL93" s="11"/>
      <x:c r="AM93" s="11"/>
      <x:c r="AN93" s="11"/>
      <x:c r="AO93" s="10"/>
      <x:c r="AP93" s="8" t="e">
        <x:f>IF(B93="","",IF(OR(V93="重大",AH93="重大",AH93="高",AI93="上升",AJ93="是",AND(AB93&lt;&gt;"",AB93&lt;项目驾驶舱!$B$3,AC93&lt;&gt;"已关闭")),"是","否"))</x:f>
        <x:v>#NAME?</x:v>
      </x:c>
      <x:c r="AQ93" s="8" t="e">
        <x:f>IF(B93="","",IF(W93="","缺风险责任人",IF(AND(OR(V93="重大",V93="高"),Y93=""),"高风险缺应对策略",IF(AND(AJ93="是",AK93=""),"已发生未关联问题",IF(AND(AC93="已关闭",AO93=""),"关闭缺证据",IF(AND(AM93&lt;&gt;"",AM93&lt;项目驾驶舱!$B$3),"评审逾期",""))))))</x:f>
        <x:v>#NAME?</x:v>
      </x:c>
      <x:c r="AR93" s="8" t="e">
        <x:f>IF(AP93="是",COUNTIFS($AP$9:AP93,"是"),"")</x:f>
        <x:v>#NAME?</x:v>
      </x:c>
    </x:row>
    <x:row r="94">
      <x:c r="A94" s="8" t="str">
        <x:f t="shared" si="6"/>
      </x:c>
      <x:c r="B94" s="10"/>
      <x:c r="C94" s="10"/>
      <x:c r="D94" s="10"/>
      <x:c r="E94" s="10"/>
      <x:c r="F94" s="10"/>
      <x:c r="G94" s="10"/>
      <x:c r="H94" s="10"/>
      <x:c r="I94" s="10"/>
      <x:c r="J94" s="11"/>
      <x:c r="K94" s="10"/>
      <x:c r="L94" s="10"/>
      <x:c r="M94" s="10"/>
      <x:c r="N94" s="10"/>
      <x:c r="O94" s="10"/>
      <x:c r="P94" s="10"/>
      <x:c r="Q94" s="10"/>
      <x:c r="R94" s="10"/>
      <x:c r="S94" s="10"/>
      <x:c r="T94" s="8" t="str">
        <x:f t="shared" si="7"/>
      </x:c>
      <x:c r="U94" s="8" t="str">
        <x:f t="shared" si="8"/>
      </x:c>
      <x:c r="V94" s="8" t="str">
        <x:f t="shared" si="9"/>
      </x:c>
      <x:c r="W94" s="10"/>
      <x:c r="X94" s="10"/>
      <x:c r="Y94" s="10"/>
      <x:c r="Z94" s="10"/>
      <x:c r="AA94" s="10"/>
      <x:c r="AB94" s="11"/>
      <x:c r="AC94" s="10"/>
      <x:c r="AD94" s="47"/>
      <x:c r="AE94" s="10"/>
      <x:c r="AF94" s="10"/>
      <x:c r="AG94" s="8" t="str">
        <x:f t="shared" si="10"/>
      </x:c>
      <x:c r="AH94" s="8" t="str">
        <x:f t="shared" si="11"/>
      </x:c>
      <x:c r="AI94" s="10"/>
      <x:c r="AJ94" s="10"/>
      <x:c r="AK94" s="10"/>
      <x:c r="AL94" s="11"/>
      <x:c r="AM94" s="11"/>
      <x:c r="AN94" s="11"/>
      <x:c r="AO94" s="10"/>
      <x:c r="AP94" s="8" t="e">
        <x:f>IF(B94="","",IF(OR(V94="重大",AH94="重大",AH94="高",AI94="上升",AJ94="是",AND(AB94&lt;&gt;"",AB94&lt;项目驾驶舱!$B$3,AC94&lt;&gt;"已关闭")),"是","否"))</x:f>
        <x:v>#NAME?</x:v>
      </x:c>
      <x:c r="AQ94" s="8" t="e">
        <x:f>IF(B94="","",IF(W94="","缺风险责任人",IF(AND(OR(V94="重大",V94="高"),Y94=""),"高风险缺应对策略",IF(AND(AJ94="是",AK94=""),"已发生未关联问题",IF(AND(AC94="已关闭",AO94=""),"关闭缺证据",IF(AND(AM94&lt;&gt;"",AM94&lt;项目驾驶舱!$B$3),"评审逾期",""))))))</x:f>
        <x:v>#NAME?</x:v>
      </x:c>
      <x:c r="AR94" s="8" t="e">
        <x:f>IF(AP94="是",COUNTIFS($AP$9:AP94,"是"),"")</x:f>
        <x:v>#NAME?</x:v>
      </x:c>
    </x:row>
    <x:row r="95">
      <x:c r="A95" s="8" t="str">
        <x:f t="shared" si="6"/>
      </x:c>
      <x:c r="B95" s="10"/>
      <x:c r="C95" s="10"/>
      <x:c r="D95" s="10"/>
      <x:c r="E95" s="10"/>
      <x:c r="F95" s="10"/>
      <x:c r="G95" s="10"/>
      <x:c r="H95" s="10"/>
      <x:c r="I95" s="10"/>
      <x:c r="J95" s="11"/>
      <x:c r="K95" s="10"/>
      <x:c r="L95" s="10"/>
      <x:c r="M95" s="10"/>
      <x:c r="N95" s="10"/>
      <x:c r="O95" s="10"/>
      <x:c r="P95" s="10"/>
      <x:c r="Q95" s="10"/>
      <x:c r="R95" s="10"/>
      <x:c r="S95" s="10"/>
      <x:c r="T95" s="8" t="str">
        <x:f t="shared" si="7"/>
      </x:c>
      <x:c r="U95" s="8" t="str">
        <x:f t="shared" si="8"/>
      </x:c>
      <x:c r="V95" s="8" t="str">
        <x:f t="shared" si="9"/>
      </x:c>
      <x:c r="W95" s="10"/>
      <x:c r="X95" s="10"/>
      <x:c r="Y95" s="10"/>
      <x:c r="Z95" s="10"/>
      <x:c r="AA95" s="10"/>
      <x:c r="AB95" s="11"/>
      <x:c r="AC95" s="10"/>
      <x:c r="AD95" s="47"/>
      <x:c r="AE95" s="10"/>
      <x:c r="AF95" s="10"/>
      <x:c r="AG95" s="8" t="str">
        <x:f t="shared" si="10"/>
      </x:c>
      <x:c r="AH95" s="8" t="str">
        <x:f t="shared" si="11"/>
      </x:c>
      <x:c r="AI95" s="10"/>
      <x:c r="AJ95" s="10"/>
      <x:c r="AK95" s="10"/>
      <x:c r="AL95" s="11"/>
      <x:c r="AM95" s="11"/>
      <x:c r="AN95" s="11"/>
      <x:c r="AO95" s="10"/>
      <x:c r="AP95" s="8" t="e">
        <x:f>IF(B95="","",IF(OR(V95="重大",AH95="重大",AH95="高",AI95="上升",AJ95="是",AND(AB95&lt;&gt;"",AB95&lt;项目驾驶舱!$B$3,AC95&lt;&gt;"已关闭")),"是","否"))</x:f>
        <x:v>#NAME?</x:v>
      </x:c>
      <x:c r="AQ95" s="8" t="e">
        <x:f>IF(B95="","",IF(W95="","缺风险责任人",IF(AND(OR(V95="重大",V95="高"),Y95=""),"高风险缺应对策略",IF(AND(AJ95="是",AK95=""),"已发生未关联问题",IF(AND(AC95="已关闭",AO95=""),"关闭缺证据",IF(AND(AM95&lt;&gt;"",AM95&lt;项目驾驶舱!$B$3),"评审逾期",""))))))</x:f>
        <x:v>#NAME?</x:v>
      </x:c>
      <x:c r="AR95" s="8" t="e">
        <x:f>IF(AP95="是",COUNTIFS($AP$9:AP95,"是"),"")</x:f>
        <x:v>#NAME?</x:v>
      </x:c>
    </x:row>
    <x:row r="96">
      <x:c r="A96" s="8" t="str">
        <x:f t="shared" si="6"/>
      </x:c>
      <x:c r="B96" s="10"/>
      <x:c r="C96" s="10"/>
      <x:c r="D96" s="10"/>
      <x:c r="E96" s="10"/>
      <x:c r="F96" s="10"/>
      <x:c r="G96" s="10"/>
      <x:c r="H96" s="10"/>
      <x:c r="I96" s="10"/>
      <x:c r="J96" s="11"/>
      <x:c r="K96" s="10"/>
      <x:c r="L96" s="10"/>
      <x:c r="M96" s="10"/>
      <x:c r="N96" s="10"/>
      <x:c r="O96" s="10"/>
      <x:c r="P96" s="10"/>
      <x:c r="Q96" s="10"/>
      <x:c r="R96" s="10"/>
      <x:c r="S96" s="10"/>
      <x:c r="T96" s="8" t="str">
        <x:f t="shared" si="7"/>
      </x:c>
      <x:c r="U96" s="8" t="str">
        <x:f t="shared" si="8"/>
      </x:c>
      <x:c r="V96" s="8" t="str">
        <x:f t="shared" si="9"/>
      </x:c>
      <x:c r="W96" s="10"/>
      <x:c r="X96" s="10"/>
      <x:c r="Y96" s="10"/>
      <x:c r="Z96" s="10"/>
      <x:c r="AA96" s="10"/>
      <x:c r="AB96" s="11"/>
      <x:c r="AC96" s="10"/>
      <x:c r="AD96" s="47"/>
      <x:c r="AE96" s="10"/>
      <x:c r="AF96" s="10"/>
      <x:c r="AG96" s="8" t="str">
        <x:f t="shared" si="10"/>
      </x:c>
      <x:c r="AH96" s="8" t="str">
        <x:f t="shared" si="11"/>
      </x:c>
      <x:c r="AI96" s="10"/>
      <x:c r="AJ96" s="10"/>
      <x:c r="AK96" s="10"/>
      <x:c r="AL96" s="11"/>
      <x:c r="AM96" s="11"/>
      <x:c r="AN96" s="11"/>
      <x:c r="AO96" s="10"/>
      <x:c r="AP96" s="8" t="e">
        <x:f>IF(B96="","",IF(OR(V96="重大",AH96="重大",AH96="高",AI96="上升",AJ96="是",AND(AB96&lt;&gt;"",AB96&lt;项目驾驶舱!$B$3,AC96&lt;&gt;"已关闭")),"是","否"))</x:f>
        <x:v>#NAME?</x:v>
      </x:c>
      <x:c r="AQ96" s="8" t="e">
        <x:f>IF(B96="","",IF(W96="","缺风险责任人",IF(AND(OR(V96="重大",V96="高"),Y96=""),"高风险缺应对策略",IF(AND(AJ96="是",AK96=""),"已发生未关联问题",IF(AND(AC96="已关闭",AO96=""),"关闭缺证据",IF(AND(AM96&lt;&gt;"",AM96&lt;项目驾驶舱!$B$3),"评审逾期",""))))))</x:f>
        <x:v>#NAME?</x:v>
      </x:c>
      <x:c r="AR96" s="8" t="e">
        <x:f>IF(AP96="是",COUNTIFS($AP$9:AP96,"是"),"")</x:f>
        <x:v>#NAME?</x:v>
      </x:c>
    </x:row>
    <x:row r="97">
      <x:c r="A97" s="8" t="str">
        <x:f t="shared" si="6"/>
      </x:c>
      <x:c r="B97" s="10"/>
      <x:c r="C97" s="10"/>
      <x:c r="D97" s="10"/>
      <x:c r="E97" s="10"/>
      <x:c r="F97" s="10"/>
      <x:c r="G97" s="10"/>
      <x:c r="H97" s="10"/>
      <x:c r="I97" s="10"/>
      <x:c r="J97" s="11"/>
      <x:c r="K97" s="10"/>
      <x:c r="L97" s="10"/>
      <x:c r="M97" s="10"/>
      <x:c r="N97" s="10"/>
      <x:c r="O97" s="10"/>
      <x:c r="P97" s="10"/>
      <x:c r="Q97" s="10"/>
      <x:c r="R97" s="10"/>
      <x:c r="S97" s="10"/>
      <x:c r="T97" s="8" t="str">
        <x:f t="shared" si="7"/>
      </x:c>
      <x:c r="U97" s="8" t="str">
        <x:f t="shared" si="8"/>
      </x:c>
      <x:c r="V97" s="8" t="str">
        <x:f t="shared" si="9"/>
      </x:c>
      <x:c r="W97" s="10"/>
      <x:c r="X97" s="10"/>
      <x:c r="Y97" s="10"/>
      <x:c r="Z97" s="10"/>
      <x:c r="AA97" s="10"/>
      <x:c r="AB97" s="11"/>
      <x:c r="AC97" s="10"/>
      <x:c r="AD97" s="47"/>
      <x:c r="AE97" s="10"/>
      <x:c r="AF97" s="10"/>
      <x:c r="AG97" s="8" t="str">
        <x:f t="shared" si="10"/>
      </x:c>
      <x:c r="AH97" s="8" t="str">
        <x:f t="shared" si="11"/>
      </x:c>
      <x:c r="AI97" s="10"/>
      <x:c r="AJ97" s="10"/>
      <x:c r="AK97" s="10"/>
      <x:c r="AL97" s="11"/>
      <x:c r="AM97" s="11"/>
      <x:c r="AN97" s="11"/>
      <x:c r="AO97" s="10"/>
      <x:c r="AP97" s="8" t="e">
        <x:f>IF(B97="","",IF(OR(V97="重大",AH97="重大",AH97="高",AI97="上升",AJ97="是",AND(AB97&lt;&gt;"",AB97&lt;项目驾驶舱!$B$3,AC97&lt;&gt;"已关闭")),"是","否"))</x:f>
        <x:v>#NAME?</x:v>
      </x:c>
      <x:c r="AQ97" s="8" t="e">
        <x:f>IF(B97="","",IF(W97="","缺风险责任人",IF(AND(OR(V97="重大",V97="高"),Y97=""),"高风险缺应对策略",IF(AND(AJ97="是",AK97=""),"已发生未关联问题",IF(AND(AC97="已关闭",AO97=""),"关闭缺证据",IF(AND(AM97&lt;&gt;"",AM97&lt;项目驾驶舱!$B$3),"评审逾期",""))))))</x:f>
        <x:v>#NAME?</x:v>
      </x:c>
      <x:c r="AR97" s="8" t="e">
        <x:f>IF(AP97="是",COUNTIFS($AP$9:AP97,"是"),"")</x:f>
        <x:v>#NAME?</x:v>
      </x:c>
    </x:row>
    <x:row r="98">
      <x:c r="A98" s="8" t="str">
        <x:f t="shared" si="6"/>
      </x:c>
      <x:c r="B98" s="10"/>
      <x:c r="C98" s="10"/>
      <x:c r="D98" s="10"/>
      <x:c r="E98" s="10"/>
      <x:c r="F98" s="10"/>
      <x:c r="G98" s="10"/>
      <x:c r="H98" s="10"/>
      <x:c r="I98" s="10"/>
      <x:c r="J98" s="11"/>
      <x:c r="K98" s="10"/>
      <x:c r="L98" s="10"/>
      <x:c r="M98" s="10"/>
      <x:c r="N98" s="10"/>
      <x:c r="O98" s="10"/>
      <x:c r="P98" s="10"/>
      <x:c r="Q98" s="10"/>
      <x:c r="R98" s="10"/>
      <x:c r="S98" s="10"/>
      <x:c r="T98" s="8" t="str">
        <x:f t="shared" si="7"/>
      </x:c>
      <x:c r="U98" s="8" t="str">
        <x:f t="shared" si="8"/>
      </x:c>
      <x:c r="V98" s="8" t="str">
        <x:f t="shared" si="9"/>
      </x:c>
      <x:c r="W98" s="10"/>
      <x:c r="X98" s="10"/>
      <x:c r="Y98" s="10"/>
      <x:c r="Z98" s="10"/>
      <x:c r="AA98" s="10"/>
      <x:c r="AB98" s="11"/>
      <x:c r="AC98" s="10"/>
      <x:c r="AD98" s="47"/>
      <x:c r="AE98" s="10"/>
      <x:c r="AF98" s="10"/>
      <x:c r="AG98" s="8" t="str">
        <x:f t="shared" si="10"/>
      </x:c>
      <x:c r="AH98" s="8" t="str">
        <x:f t="shared" si="11"/>
      </x:c>
      <x:c r="AI98" s="10"/>
      <x:c r="AJ98" s="10"/>
      <x:c r="AK98" s="10"/>
      <x:c r="AL98" s="11"/>
      <x:c r="AM98" s="11"/>
      <x:c r="AN98" s="11"/>
      <x:c r="AO98" s="10"/>
      <x:c r="AP98" s="8" t="e">
        <x:f>IF(B98="","",IF(OR(V98="重大",AH98="重大",AH98="高",AI98="上升",AJ98="是",AND(AB98&lt;&gt;"",AB98&lt;项目驾驶舱!$B$3,AC98&lt;&gt;"已关闭")),"是","否"))</x:f>
        <x:v>#NAME?</x:v>
      </x:c>
      <x:c r="AQ98" s="8" t="e">
        <x:f>IF(B98="","",IF(W98="","缺风险责任人",IF(AND(OR(V98="重大",V98="高"),Y98=""),"高风险缺应对策略",IF(AND(AJ98="是",AK98=""),"已发生未关联问题",IF(AND(AC98="已关闭",AO98=""),"关闭缺证据",IF(AND(AM98&lt;&gt;"",AM98&lt;项目驾驶舱!$B$3),"评审逾期",""))))))</x:f>
        <x:v>#NAME?</x:v>
      </x:c>
      <x:c r="AR98" s="8" t="e">
        <x:f>IF(AP98="是",COUNTIFS($AP$9:AP98,"是"),"")</x:f>
        <x:v>#NAME?</x:v>
      </x:c>
    </x:row>
    <x:row r="99">
      <x:c r="A99" s="8" t="str">
        <x:f t="shared" si="6"/>
      </x:c>
      <x:c r="B99" s="10"/>
      <x:c r="C99" s="10"/>
      <x:c r="D99" s="10"/>
      <x:c r="E99" s="10"/>
      <x:c r="F99" s="10"/>
      <x:c r="G99" s="10"/>
      <x:c r="H99" s="10"/>
      <x:c r="I99" s="10"/>
      <x:c r="J99" s="11"/>
      <x:c r="K99" s="10"/>
      <x:c r="L99" s="10"/>
      <x:c r="M99" s="10"/>
      <x:c r="N99" s="10"/>
      <x:c r="O99" s="10"/>
      <x:c r="P99" s="10"/>
      <x:c r="Q99" s="10"/>
      <x:c r="R99" s="10"/>
      <x:c r="S99" s="10"/>
      <x:c r="T99" s="8" t="str">
        <x:f t="shared" si="7"/>
      </x:c>
      <x:c r="U99" s="8" t="str">
        <x:f t="shared" si="8"/>
      </x:c>
      <x:c r="V99" s="8" t="str">
        <x:f t="shared" si="9"/>
      </x:c>
      <x:c r="W99" s="10"/>
      <x:c r="X99" s="10"/>
      <x:c r="Y99" s="10"/>
      <x:c r="Z99" s="10"/>
      <x:c r="AA99" s="10"/>
      <x:c r="AB99" s="11"/>
      <x:c r="AC99" s="10"/>
      <x:c r="AD99" s="47"/>
      <x:c r="AE99" s="10"/>
      <x:c r="AF99" s="10"/>
      <x:c r="AG99" s="8" t="str">
        <x:f t="shared" si="10"/>
      </x:c>
      <x:c r="AH99" s="8" t="str">
        <x:f t="shared" si="11"/>
      </x:c>
      <x:c r="AI99" s="10"/>
      <x:c r="AJ99" s="10"/>
      <x:c r="AK99" s="10"/>
      <x:c r="AL99" s="11"/>
      <x:c r="AM99" s="11"/>
      <x:c r="AN99" s="11"/>
      <x:c r="AO99" s="10"/>
      <x:c r="AP99" s="8" t="e">
        <x:f>IF(B99="","",IF(OR(V99="重大",AH99="重大",AH99="高",AI99="上升",AJ99="是",AND(AB99&lt;&gt;"",AB99&lt;项目驾驶舱!$B$3,AC99&lt;&gt;"已关闭")),"是","否"))</x:f>
        <x:v>#NAME?</x:v>
      </x:c>
      <x:c r="AQ99" s="8" t="e">
        <x:f>IF(B99="","",IF(W99="","缺风险责任人",IF(AND(OR(V99="重大",V99="高"),Y99=""),"高风险缺应对策略",IF(AND(AJ99="是",AK99=""),"已发生未关联问题",IF(AND(AC99="已关闭",AO99=""),"关闭缺证据",IF(AND(AM99&lt;&gt;"",AM99&lt;项目驾驶舱!$B$3),"评审逾期",""))))))</x:f>
        <x:v>#NAME?</x:v>
      </x:c>
      <x:c r="AR99" s="8" t="e">
        <x:f>IF(AP99="是",COUNTIFS($AP$9:AP99,"是"),"")</x:f>
        <x:v>#NAME?</x:v>
      </x:c>
    </x:row>
    <x:row r="100">
      <x:c r="A100" s="8" t="str">
        <x:f t="shared" si="6"/>
      </x:c>
      <x:c r="B100" s="10"/>
      <x:c r="C100" s="10"/>
      <x:c r="D100" s="10"/>
      <x:c r="E100" s="10"/>
      <x:c r="F100" s="10"/>
      <x:c r="G100" s="10"/>
      <x:c r="H100" s="10"/>
      <x:c r="I100" s="10"/>
      <x:c r="J100" s="11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8" t="str">
        <x:f t="shared" si="7"/>
      </x:c>
      <x:c r="U100" s="8" t="str">
        <x:f t="shared" si="8"/>
      </x:c>
      <x:c r="V100" s="8" t="str">
        <x:f t="shared" si="9"/>
      </x:c>
      <x:c r="W100" s="10"/>
      <x:c r="X100" s="10"/>
      <x:c r="Y100" s="10"/>
      <x:c r="Z100" s="10"/>
      <x:c r="AA100" s="10"/>
      <x:c r="AB100" s="11"/>
      <x:c r="AC100" s="10"/>
      <x:c r="AD100" s="47"/>
      <x:c r="AE100" s="10"/>
      <x:c r="AF100" s="10"/>
      <x:c r="AG100" s="8" t="str">
        <x:f t="shared" si="10"/>
      </x:c>
      <x:c r="AH100" s="8" t="str">
        <x:f t="shared" si="11"/>
      </x:c>
      <x:c r="AI100" s="10"/>
      <x:c r="AJ100" s="10"/>
      <x:c r="AK100" s="10"/>
      <x:c r="AL100" s="11"/>
      <x:c r="AM100" s="11"/>
      <x:c r="AN100" s="11"/>
      <x:c r="AO100" s="10"/>
      <x:c r="AP100" s="8" t="e">
        <x:f>IF(B100="","",IF(OR(V100="重大",AH100="重大",AH100="高",AI100="上升",AJ100="是",AND(AB100&lt;&gt;"",AB100&lt;项目驾驶舱!$B$3,AC100&lt;&gt;"已关闭")),"是","否"))</x:f>
        <x:v>#NAME?</x:v>
      </x:c>
      <x:c r="AQ100" s="8" t="e">
        <x:f>IF(B100="","",IF(W100="","缺风险责任人",IF(AND(OR(V100="重大",V100="高"),Y100=""),"高风险缺应对策略",IF(AND(AJ100="是",AK100=""),"已发生未关联问题",IF(AND(AC100="已关闭",AO100=""),"关闭缺证据",IF(AND(AM100&lt;&gt;"",AM100&lt;项目驾驶舱!$B$3),"评审逾期",""))))))</x:f>
        <x:v>#NAME?</x:v>
      </x:c>
      <x:c r="AR100" s="8" t="e">
        <x:f>IF(AP100="是",COUNTIFS($AP$9:AP100,"是"),"")</x:f>
        <x:v>#NAME?</x:v>
      </x:c>
    </x:row>
    <x:row r="101">
      <x:c r="A101" s="8" t="str">
        <x:f t="shared" si="6"/>
      </x:c>
      <x:c r="B101" s="10"/>
      <x:c r="C101" s="10"/>
      <x:c r="D101" s="10"/>
      <x:c r="E101" s="10"/>
      <x:c r="F101" s="10"/>
      <x:c r="G101" s="10"/>
      <x:c r="H101" s="10"/>
      <x:c r="I101" s="10"/>
      <x:c r="J101" s="11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8" t="str">
        <x:f t="shared" si="7"/>
      </x:c>
      <x:c r="U101" s="8" t="str">
        <x:f t="shared" si="8"/>
      </x:c>
      <x:c r="V101" s="8" t="str">
        <x:f t="shared" si="9"/>
      </x:c>
      <x:c r="W101" s="10"/>
      <x:c r="X101" s="10"/>
      <x:c r="Y101" s="10"/>
      <x:c r="Z101" s="10"/>
      <x:c r="AA101" s="10"/>
      <x:c r="AB101" s="11"/>
      <x:c r="AC101" s="10"/>
      <x:c r="AD101" s="47"/>
      <x:c r="AE101" s="10"/>
      <x:c r="AF101" s="10"/>
      <x:c r="AG101" s="8" t="str">
        <x:f t="shared" si="10"/>
      </x:c>
      <x:c r="AH101" s="8" t="str">
        <x:f t="shared" si="11"/>
      </x:c>
      <x:c r="AI101" s="10"/>
      <x:c r="AJ101" s="10"/>
      <x:c r="AK101" s="10"/>
      <x:c r="AL101" s="11"/>
      <x:c r="AM101" s="11"/>
      <x:c r="AN101" s="11"/>
      <x:c r="AO101" s="10"/>
      <x:c r="AP101" s="8" t="e">
        <x:f>IF(B101="","",IF(OR(V101="重大",AH101="重大",AH101="高",AI101="上升",AJ101="是",AND(AB101&lt;&gt;"",AB101&lt;项目驾驶舱!$B$3,AC101&lt;&gt;"已关闭")),"是","否"))</x:f>
        <x:v>#NAME?</x:v>
      </x:c>
      <x:c r="AQ101" s="8" t="e">
        <x:f>IF(B101="","",IF(W101="","缺风险责任人",IF(AND(OR(V101="重大",V101="高"),Y101=""),"高风险缺应对策略",IF(AND(AJ101="是",AK101=""),"已发生未关联问题",IF(AND(AC101="已关闭",AO101=""),"关闭缺证据",IF(AND(AM101&lt;&gt;"",AM101&lt;项目驾驶舱!$B$3),"评审逾期",""))))))</x:f>
        <x:v>#NAME?</x:v>
      </x:c>
      <x:c r="AR101" s="8" t="e">
        <x:f>IF(AP101="是",COUNTIFS($AP$9:AP101,"是"),"")</x:f>
        <x:v>#NAME?</x:v>
      </x:c>
    </x:row>
    <x:row r="102">
      <x:c r="A102" s="8" t="str">
        <x:f t="shared" si="6"/>
      </x:c>
      <x:c r="B102" s="10"/>
      <x:c r="C102" s="10"/>
      <x:c r="D102" s="10"/>
      <x:c r="E102" s="10"/>
      <x:c r="F102" s="10"/>
      <x:c r="G102" s="10"/>
      <x:c r="H102" s="10"/>
      <x:c r="I102" s="10"/>
      <x:c r="J102" s="11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8" t="str">
        <x:f t="shared" si="7"/>
      </x:c>
      <x:c r="U102" s="8" t="str">
        <x:f t="shared" si="8"/>
      </x:c>
      <x:c r="V102" s="8" t="str">
        <x:f t="shared" si="9"/>
      </x:c>
      <x:c r="W102" s="10"/>
      <x:c r="X102" s="10"/>
      <x:c r="Y102" s="10"/>
      <x:c r="Z102" s="10"/>
      <x:c r="AA102" s="10"/>
      <x:c r="AB102" s="11"/>
      <x:c r="AC102" s="10"/>
      <x:c r="AD102" s="47"/>
      <x:c r="AE102" s="10"/>
      <x:c r="AF102" s="10"/>
      <x:c r="AG102" s="8" t="str">
        <x:f t="shared" si="10"/>
      </x:c>
      <x:c r="AH102" s="8" t="str">
        <x:f t="shared" si="11"/>
      </x:c>
      <x:c r="AI102" s="10"/>
      <x:c r="AJ102" s="10"/>
      <x:c r="AK102" s="10"/>
      <x:c r="AL102" s="11"/>
      <x:c r="AM102" s="11"/>
      <x:c r="AN102" s="11"/>
      <x:c r="AO102" s="10"/>
      <x:c r="AP102" s="8" t="e">
        <x:f>IF(B102="","",IF(OR(V102="重大",AH102="重大",AH102="高",AI102="上升",AJ102="是",AND(AB102&lt;&gt;"",AB102&lt;项目驾驶舱!$B$3,AC102&lt;&gt;"已关闭")),"是","否"))</x:f>
        <x:v>#NAME?</x:v>
      </x:c>
      <x:c r="AQ102" s="8" t="e">
        <x:f>IF(B102="","",IF(W102="","缺风险责任人",IF(AND(OR(V102="重大",V102="高"),Y102=""),"高风险缺应对策略",IF(AND(AJ102="是",AK102=""),"已发生未关联问题",IF(AND(AC102="已关闭",AO102=""),"关闭缺证据",IF(AND(AM102&lt;&gt;"",AM102&lt;项目驾驶舱!$B$3),"评审逾期",""))))))</x:f>
        <x:v>#NAME?</x:v>
      </x:c>
      <x:c r="AR102" s="8" t="e">
        <x:f>IF(AP102="是",COUNTIFS($AP$9:AP102,"是"),"")</x:f>
        <x:v>#NAME?</x:v>
      </x:c>
    </x:row>
    <x:row r="103">
      <x:c r="A103" s="8" t="str">
        <x:f t="shared" si="6"/>
      </x:c>
      <x:c r="B103" s="10"/>
      <x:c r="C103" s="10"/>
      <x:c r="D103" s="10"/>
      <x:c r="E103" s="10"/>
      <x:c r="F103" s="10"/>
      <x:c r="G103" s="10"/>
      <x:c r="H103" s="10"/>
      <x:c r="I103" s="10"/>
      <x:c r="J103" s="11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8" t="str">
        <x:f t="shared" si="7"/>
      </x:c>
      <x:c r="U103" s="8" t="str">
        <x:f t="shared" si="8"/>
      </x:c>
      <x:c r="V103" s="8" t="str">
        <x:f t="shared" si="9"/>
      </x:c>
      <x:c r="W103" s="10"/>
      <x:c r="X103" s="10"/>
      <x:c r="Y103" s="10"/>
      <x:c r="Z103" s="10"/>
      <x:c r="AA103" s="10"/>
      <x:c r="AB103" s="11"/>
      <x:c r="AC103" s="10"/>
      <x:c r="AD103" s="47"/>
      <x:c r="AE103" s="10"/>
      <x:c r="AF103" s="10"/>
      <x:c r="AG103" s="8" t="str">
        <x:f t="shared" si="10"/>
      </x:c>
      <x:c r="AH103" s="8" t="str">
        <x:f t="shared" si="11"/>
      </x:c>
      <x:c r="AI103" s="10"/>
      <x:c r="AJ103" s="10"/>
      <x:c r="AK103" s="10"/>
      <x:c r="AL103" s="11"/>
      <x:c r="AM103" s="11"/>
      <x:c r="AN103" s="11"/>
      <x:c r="AO103" s="10"/>
      <x:c r="AP103" s="8" t="e">
        <x:f>IF(B103="","",IF(OR(V103="重大",AH103="重大",AH103="高",AI103="上升",AJ103="是",AND(AB103&lt;&gt;"",AB103&lt;项目驾驶舱!$B$3,AC103&lt;&gt;"已关闭")),"是","否"))</x:f>
        <x:v>#NAME?</x:v>
      </x:c>
      <x:c r="AQ103" s="8" t="e">
        <x:f>IF(B103="","",IF(W103="","缺风险责任人",IF(AND(OR(V103="重大",V103="高"),Y103=""),"高风险缺应对策略",IF(AND(AJ103="是",AK103=""),"已发生未关联问题",IF(AND(AC103="已关闭",AO103=""),"关闭缺证据",IF(AND(AM103&lt;&gt;"",AM103&lt;项目驾驶舱!$B$3),"评审逾期",""))))))</x:f>
        <x:v>#NAME?</x:v>
      </x:c>
      <x:c r="AR103" s="8" t="e">
        <x:f>IF(AP103="是",COUNTIFS($AP$9:AP103,"是"),"")</x:f>
        <x:v>#NAME?</x:v>
      </x:c>
    </x:row>
    <x:row r="104">
      <x:c r="A104" s="8" t="str">
        <x:f t="shared" si="6"/>
      </x:c>
      <x:c r="B104" s="10"/>
      <x:c r="C104" s="10"/>
      <x:c r="D104" s="10"/>
      <x:c r="E104" s="10"/>
      <x:c r="F104" s="10"/>
      <x:c r="G104" s="10"/>
      <x:c r="H104" s="10"/>
      <x:c r="I104" s="10"/>
      <x:c r="J104" s="11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8" t="str">
        <x:f t="shared" si="7"/>
      </x:c>
      <x:c r="U104" s="8" t="str">
        <x:f t="shared" si="8"/>
      </x:c>
      <x:c r="V104" s="8" t="str">
        <x:f t="shared" si="9"/>
      </x:c>
      <x:c r="W104" s="10"/>
      <x:c r="X104" s="10"/>
      <x:c r="Y104" s="10"/>
      <x:c r="Z104" s="10"/>
      <x:c r="AA104" s="10"/>
      <x:c r="AB104" s="11"/>
      <x:c r="AC104" s="10"/>
      <x:c r="AD104" s="47"/>
      <x:c r="AE104" s="10"/>
      <x:c r="AF104" s="10"/>
      <x:c r="AG104" s="8" t="str">
        <x:f t="shared" si="10"/>
      </x:c>
      <x:c r="AH104" s="8" t="str">
        <x:f t="shared" si="11"/>
      </x:c>
      <x:c r="AI104" s="10"/>
      <x:c r="AJ104" s="10"/>
      <x:c r="AK104" s="10"/>
      <x:c r="AL104" s="11"/>
      <x:c r="AM104" s="11"/>
      <x:c r="AN104" s="11"/>
      <x:c r="AO104" s="10"/>
      <x:c r="AP104" s="8" t="e">
        <x:f>IF(B104="","",IF(OR(V104="重大",AH104="重大",AH104="高",AI104="上升",AJ104="是",AND(AB104&lt;&gt;"",AB104&lt;项目驾驶舱!$B$3,AC104&lt;&gt;"已关闭")),"是","否"))</x:f>
        <x:v>#NAME?</x:v>
      </x:c>
      <x:c r="AQ104" s="8" t="e">
        <x:f>IF(B104="","",IF(W104="","缺风险责任人",IF(AND(OR(V104="重大",V104="高"),Y104=""),"高风险缺应对策略",IF(AND(AJ104="是",AK104=""),"已发生未关联问题",IF(AND(AC104="已关闭",AO104=""),"关闭缺证据",IF(AND(AM104&lt;&gt;"",AM104&lt;项目驾驶舱!$B$3),"评审逾期",""))))))</x:f>
        <x:v>#NAME?</x:v>
      </x:c>
      <x:c r="AR104" s="8" t="e">
        <x:f>IF(AP104="是",COUNTIFS($AP$9:AP104,"是"),"")</x:f>
        <x:v>#NAME?</x:v>
      </x:c>
    </x:row>
    <x:row r="105">
      <x:c r="A105" s="8" t="str">
        <x:f t="shared" si="6"/>
      </x:c>
      <x:c r="B105" s="10"/>
      <x:c r="C105" s="10"/>
      <x:c r="D105" s="10"/>
      <x:c r="E105" s="10"/>
      <x:c r="F105" s="10"/>
      <x:c r="G105" s="10"/>
      <x:c r="H105" s="10"/>
      <x:c r="I105" s="10"/>
      <x:c r="J105" s="11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8" t="str">
        <x:f t="shared" si="7"/>
      </x:c>
      <x:c r="U105" s="8" t="str">
        <x:f t="shared" si="8"/>
      </x:c>
      <x:c r="V105" s="8" t="str">
        <x:f t="shared" si="9"/>
      </x:c>
      <x:c r="W105" s="10"/>
      <x:c r="X105" s="10"/>
      <x:c r="Y105" s="10"/>
      <x:c r="Z105" s="10"/>
      <x:c r="AA105" s="10"/>
      <x:c r="AB105" s="11"/>
      <x:c r="AC105" s="10"/>
      <x:c r="AD105" s="47"/>
      <x:c r="AE105" s="10"/>
      <x:c r="AF105" s="10"/>
      <x:c r="AG105" s="8" t="str">
        <x:f t="shared" si="10"/>
      </x:c>
      <x:c r="AH105" s="8" t="str">
        <x:f t="shared" si="11"/>
      </x:c>
      <x:c r="AI105" s="10"/>
      <x:c r="AJ105" s="10"/>
      <x:c r="AK105" s="10"/>
      <x:c r="AL105" s="11"/>
      <x:c r="AM105" s="11"/>
      <x:c r="AN105" s="11"/>
      <x:c r="AO105" s="10"/>
      <x:c r="AP105" s="8" t="e">
        <x:f>IF(B105="","",IF(OR(V105="重大",AH105="重大",AH105="高",AI105="上升",AJ105="是",AND(AB105&lt;&gt;"",AB105&lt;项目驾驶舱!$B$3,AC105&lt;&gt;"已关闭")),"是","否"))</x:f>
        <x:v>#NAME?</x:v>
      </x:c>
      <x:c r="AQ105" s="8" t="e">
        <x:f>IF(B105="","",IF(W105="","缺风险责任人",IF(AND(OR(V105="重大",V105="高"),Y105=""),"高风险缺应对策略",IF(AND(AJ105="是",AK105=""),"已发生未关联问题",IF(AND(AC105="已关闭",AO105=""),"关闭缺证据",IF(AND(AM105&lt;&gt;"",AM105&lt;项目驾驶舱!$B$3),"评审逾期",""))))))</x:f>
        <x:v>#NAME?</x:v>
      </x:c>
      <x:c r="AR105" s="8" t="e">
        <x:f>IF(AP105="是",COUNTIFS($AP$9:AP105,"是"),"")</x:f>
        <x:v>#NAME?</x:v>
      </x:c>
    </x:row>
    <x:row r="106">
      <x:c r="A106" s="8" t="str">
        <x:f t="shared" si="6"/>
      </x:c>
      <x:c r="B106" s="10"/>
      <x:c r="C106" s="10"/>
      <x:c r="D106" s="10"/>
      <x:c r="E106" s="10"/>
      <x:c r="F106" s="10"/>
      <x:c r="G106" s="10"/>
      <x:c r="H106" s="10"/>
      <x:c r="I106" s="10"/>
      <x:c r="J106" s="11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8" t="str">
        <x:f t="shared" si="7"/>
      </x:c>
      <x:c r="U106" s="8" t="str">
        <x:f t="shared" si="8"/>
      </x:c>
      <x:c r="V106" s="8" t="str">
        <x:f t="shared" si="9"/>
      </x:c>
      <x:c r="W106" s="10"/>
      <x:c r="X106" s="10"/>
      <x:c r="Y106" s="10"/>
      <x:c r="Z106" s="10"/>
      <x:c r="AA106" s="10"/>
      <x:c r="AB106" s="11"/>
      <x:c r="AC106" s="10"/>
      <x:c r="AD106" s="47"/>
      <x:c r="AE106" s="10"/>
      <x:c r="AF106" s="10"/>
      <x:c r="AG106" s="8" t="str">
        <x:f t="shared" si="10"/>
      </x:c>
      <x:c r="AH106" s="8" t="str">
        <x:f t="shared" si="11"/>
      </x:c>
      <x:c r="AI106" s="10"/>
      <x:c r="AJ106" s="10"/>
      <x:c r="AK106" s="10"/>
      <x:c r="AL106" s="11"/>
      <x:c r="AM106" s="11"/>
      <x:c r="AN106" s="11"/>
      <x:c r="AO106" s="10"/>
      <x:c r="AP106" s="8" t="e">
        <x:f>IF(B106="","",IF(OR(V106="重大",AH106="重大",AH106="高",AI106="上升",AJ106="是",AND(AB106&lt;&gt;"",AB106&lt;项目驾驶舱!$B$3,AC106&lt;&gt;"已关闭")),"是","否"))</x:f>
        <x:v>#NAME?</x:v>
      </x:c>
      <x:c r="AQ106" s="8" t="e">
        <x:f>IF(B106="","",IF(W106="","缺风险责任人",IF(AND(OR(V106="重大",V106="高"),Y106=""),"高风险缺应对策略",IF(AND(AJ106="是",AK106=""),"已发生未关联问题",IF(AND(AC106="已关闭",AO106=""),"关闭缺证据",IF(AND(AM106&lt;&gt;"",AM106&lt;项目驾驶舱!$B$3),"评审逾期",""))))))</x:f>
        <x:v>#NAME?</x:v>
      </x:c>
      <x:c r="AR106" s="8" t="e">
        <x:f>IF(AP106="是",COUNTIFS($AP$9:AP106,"是"),"")</x:f>
        <x:v>#NAME?</x:v>
      </x:c>
    </x:row>
    <x:row r="107">
      <x:c r="A107" s="8" t="str">
        <x:f t="shared" si="6"/>
      </x:c>
      <x:c r="B107" s="10"/>
      <x:c r="C107" s="10"/>
      <x:c r="D107" s="10"/>
      <x:c r="E107" s="10"/>
      <x:c r="F107" s="10"/>
      <x:c r="G107" s="10"/>
      <x:c r="H107" s="10"/>
      <x:c r="I107" s="10"/>
      <x:c r="J107" s="11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8" t="str">
        <x:f t="shared" si="7"/>
      </x:c>
      <x:c r="U107" s="8" t="str">
        <x:f t="shared" si="8"/>
      </x:c>
      <x:c r="V107" s="8" t="str">
        <x:f t="shared" si="9"/>
      </x:c>
      <x:c r="W107" s="10"/>
      <x:c r="X107" s="10"/>
      <x:c r="Y107" s="10"/>
      <x:c r="Z107" s="10"/>
      <x:c r="AA107" s="10"/>
      <x:c r="AB107" s="11"/>
      <x:c r="AC107" s="10"/>
      <x:c r="AD107" s="47"/>
      <x:c r="AE107" s="10"/>
      <x:c r="AF107" s="10"/>
      <x:c r="AG107" s="8" t="str">
        <x:f t="shared" si="10"/>
      </x:c>
      <x:c r="AH107" s="8" t="str">
        <x:f t="shared" si="11"/>
      </x:c>
      <x:c r="AI107" s="10"/>
      <x:c r="AJ107" s="10"/>
      <x:c r="AK107" s="10"/>
      <x:c r="AL107" s="11"/>
      <x:c r="AM107" s="11"/>
      <x:c r="AN107" s="11"/>
      <x:c r="AO107" s="10"/>
      <x:c r="AP107" s="8" t="e">
        <x:f>IF(B107="","",IF(OR(V107="重大",AH107="重大",AH107="高",AI107="上升",AJ107="是",AND(AB107&lt;&gt;"",AB107&lt;项目驾驶舱!$B$3,AC107&lt;&gt;"已关闭")),"是","否"))</x:f>
        <x:v>#NAME?</x:v>
      </x:c>
      <x:c r="AQ107" s="8" t="e">
        <x:f>IF(B107="","",IF(W107="","缺风险责任人",IF(AND(OR(V107="重大",V107="高"),Y107=""),"高风险缺应对策略",IF(AND(AJ107="是",AK107=""),"已发生未关联问题",IF(AND(AC107="已关闭",AO107=""),"关闭缺证据",IF(AND(AM107&lt;&gt;"",AM107&lt;项目驾驶舱!$B$3),"评审逾期",""))))))</x:f>
        <x:v>#NAME?</x:v>
      </x:c>
      <x:c r="AR107" s="8" t="e">
        <x:f>IF(AP107="是",COUNTIFS($AP$9:AP107,"是"),"")</x:f>
        <x:v>#NAME?</x:v>
      </x:c>
    </x:row>
    <x:row r="108">
      <x:c r="A108" s="8" t="str">
        <x:f t="shared" si="6"/>
      </x:c>
      <x:c r="B108" s="10"/>
      <x:c r="C108" s="10"/>
      <x:c r="D108" s="10"/>
      <x:c r="E108" s="10"/>
      <x:c r="F108" s="10"/>
      <x:c r="G108" s="10"/>
      <x:c r="H108" s="10"/>
      <x:c r="I108" s="10"/>
      <x:c r="J108" s="11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8" t="str">
        <x:f t="shared" si="7"/>
      </x:c>
      <x:c r="U108" s="8" t="str">
        <x:f t="shared" si="8"/>
      </x:c>
      <x:c r="V108" s="8" t="str">
        <x:f t="shared" si="9"/>
      </x:c>
      <x:c r="W108" s="10"/>
      <x:c r="X108" s="10"/>
      <x:c r="Y108" s="10"/>
      <x:c r="Z108" s="10"/>
      <x:c r="AA108" s="10"/>
      <x:c r="AB108" s="11"/>
      <x:c r="AC108" s="10"/>
      <x:c r="AD108" s="47"/>
      <x:c r="AE108" s="10"/>
      <x:c r="AF108" s="10"/>
      <x:c r="AG108" s="8" t="str">
        <x:f t="shared" si="10"/>
      </x:c>
      <x:c r="AH108" s="8" t="str">
        <x:f t="shared" si="11"/>
      </x:c>
      <x:c r="AI108" s="10"/>
      <x:c r="AJ108" s="10"/>
      <x:c r="AK108" s="10"/>
      <x:c r="AL108" s="11"/>
      <x:c r="AM108" s="11"/>
      <x:c r="AN108" s="11"/>
      <x:c r="AO108" s="10"/>
      <x:c r="AP108" s="8" t="e">
        <x:f>IF(B108="","",IF(OR(V108="重大",AH108="重大",AH108="高",AI108="上升",AJ108="是",AND(AB108&lt;&gt;"",AB108&lt;项目驾驶舱!$B$3,AC108&lt;&gt;"已关闭")),"是","否"))</x:f>
        <x:v>#NAME?</x:v>
      </x:c>
      <x:c r="AQ108" s="8" t="e">
        <x:f>IF(B108="","",IF(W108="","缺风险责任人",IF(AND(OR(V108="重大",V108="高"),Y108=""),"高风险缺应对策略",IF(AND(AJ108="是",AK108=""),"已发生未关联问题",IF(AND(AC108="已关闭",AO108=""),"关闭缺证据",IF(AND(AM108&lt;&gt;"",AM108&lt;项目驾驶舱!$B$3),"评审逾期",""))))))</x:f>
        <x:v>#NAME?</x:v>
      </x:c>
      <x:c r="AR108" s="8" t="e">
        <x:f>IF(AP108="是",COUNTIFS($AP$9:AP108,"是"),"")</x:f>
        <x:v>#NAME?</x:v>
      </x:c>
    </x:row>
  </x:sheetData>
  <x:mergeCells>
    <x:mergeCell ref="A1:AR1"/>
    <x:mergeCell ref="A2:AR2"/>
    <x:mergeCell ref="A4:C4"/>
    <x:mergeCell ref="D4:F4"/>
    <x:mergeCell ref="G4:I4"/>
    <x:mergeCell ref="J4:L4"/>
    <x:mergeCell ref="M4:O4"/>
    <x:mergeCell ref="P4:R4"/>
    <x:mergeCell ref="S4:U4"/>
    <x:mergeCell ref="A5:C5"/>
    <x:mergeCell ref="D5:F5"/>
    <x:mergeCell ref="G5:I5"/>
    <x:mergeCell ref="J5:L5"/>
    <x:mergeCell ref="M5:O5"/>
    <x:mergeCell ref="P5:R5"/>
    <x:mergeCell ref="S5:U5"/>
  </x:mergeCells>
  <x:conditionalFormatting sqref="A9:AQ108">
    <x:cfRule type="expression" dxfId="11" priority="1">
      <x:formula>OR($AH9="重大",$V9="重大")</x:formula>
    </x:cfRule>
    <x:cfRule type="expression" dxfId="12" priority="2">
      <x:formula>AND($B9&lt;&gt;"",$AQ9&lt;&gt;"")</x:formula>
    </x:cfRule>
  </x:conditionalFormatting>
  <x:dataValidations count="7">
    <x:dataValidation type="list" allowBlank="1" sqref="C9:C108">
      <x:formula1>"威胁,机会"</x:formula1>
    </x:dataValidation>
    <x:dataValidation type="list" allowBlank="1" sqref="D9:D108">
      <x:formula1>"业务与需求,范围与变更,计划与进度,资源与关键人员,技术与架构,数据与迁移,接口与外部依赖,测试与质量,安全与合规,部署与上线,运维与服务,采购与供应商,合同与成本,相关方与决策,外部环境,机会类风险"</x:formula1>
    </x:dataValidation>
    <x:dataValidation type="list" allowBlank="1" sqref="Y9:Y108">
      <x:formula1>"规避,减轻,转移,接受,上报,开拓,提高,分享"</x:formula1>
    </x:dataValidation>
    <x:dataValidation type="list" allowBlank="1" sqref="AC9:AC108">
      <x:formula1>"已识别,分析中,应对中,监控中,已发生,已关闭"</x:formula1>
    </x:dataValidation>
    <x:dataValidation type="list" allowBlank="1" sqref="AI9:AI108">
      <x:formula1>"上升,稳定,下降"</x:formula1>
    </x:dataValidation>
    <x:dataValidation type="list" allowBlank="1" sqref="AJ9:AJ108">
      <x:formula1>"是,否"</x:formula1>
    </x:dataValidation>
    <x:dataValidation type="list" allowBlank="1" sqref="L9:S108 AE9:AF108">
      <x:formula1>"1,2,3,4,5"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ColWidth="9" defaultRowHeight="16.799999237060547"/>
  <x:cols>
    <x:col min="1" max="15" width="15" style="1" customWidth="1"/>
  </x:cols>
  <x:sheetData>
    <x:row r="1" ht="28" customHeight="1">
      <x:c r="A1" s="44" t="s">
        <x:v>261</x:v>
      </x:c>
    </x:row>
    <x:row r="2" ht="24" customHeight="1">
      <x:c r="A2" s="45" t="s">
        <x:v>262</x:v>
      </x:c>
    </x:row>
    <x:row r="4">
      <x:c r="A4" s="48" t="s">
        <x:v>214</x:v>
      </x:c>
      <x:c r="D4" s="48" t="s">
        <x:v>215</x:v>
      </x:c>
      <x:c r="G4" s="48" t="s">
        <x:v>9</x:v>
      </x:c>
      <x:c r="J4" s="48" t="s">
        <x:v>36</x:v>
      </x:c>
    </x:row>
    <x:row r="5" ht="22">
      <x:c r="A5" s="49" t="e">
        <x:f>COUNTIFS(风险登记册!$B$9:$B$108,"&lt;&gt;")</x:f>
        <x:v>#NAME?</x:v>
      </x:c>
      <x:c r="D5" s="49" t="e">
        <x:f>COUNTIFS(风险登记册!$AH$9:$AH$108,"重大")</x:f>
        <x:v>#NAME?</x:v>
      </x:c>
      <x:c r="G5" s="49" t="e">
        <x:f>COUNTIFS(风险登记册!$AH$9:$AH$108,"高")</x:f>
        <x:v>#NAME?</x:v>
      </x:c>
      <x:c r="J5" s="49" t="e">
        <x:f>COUNTIFS(风险登记册!$AB$9:$AB$108,"&lt;"&amp;项目驾驶舱!$B$3,风险登记册!$AB$9:$AB$108,"&lt;&gt;",风险登记册!$AC$9:$AC$108,"&lt;&gt;已关闭")</x:f>
        <x:v>#NAME?</x:v>
      </x:c>
    </x:row>
    <x:row r="8" ht="17.600000381469727">
      <x:c r="A8" s="50" t="s">
        <x:v>263</x:v>
      </x:c>
      <x:c r="I8" s="50" t="s">
        <x:v>264</x:v>
      </x:c>
    </x:row>
    <x:row r="9">
      <x:c r="A9" s="6" t="s">
        <x:v>265</x:v>
      </x:c>
      <x:c r="B9" s="6">
        <x:v>1</x:v>
      </x:c>
      <x:c r="C9" s="6">
        <x:v>2</x:v>
      </x:c>
      <x:c r="D9" s="6">
        <x:v>3</x:v>
      </x:c>
      <x:c r="E9" s="6">
        <x:v>4</x:v>
      </x:c>
      <x:c r="F9" s="6">
        <x:v>5</x:v>
      </x:c>
      <x:c r="I9" s="6" t="s">
        <x:v>265</x:v>
      </x:c>
      <x:c r="J9" s="6">
        <x:v>1</x:v>
      </x:c>
      <x:c r="K9" s="6">
        <x:v>2</x:v>
      </x:c>
      <x:c r="L9" s="6">
        <x:v>3</x:v>
      </x:c>
      <x:c r="M9" s="6">
        <x:v>4</x:v>
      </x:c>
      <x:c r="N9" s="6">
        <x:v>5</x:v>
      </x:c>
    </x:row>
    <x:row r="10">
      <x:c r="A10" s="6">
        <x:v>5</x:v>
      </x:c>
      <x:c r="B10" s="51" t="e">
        <x:f>COUNTIFS(风险登记册!$L$9:$L$108,1,风险登记册!$T$9:$T$108,5,风险登记册!$B$9:$B$108,"&lt;&gt;")</x:f>
        <x:v>#NAME?</x:v>
      </x:c>
      <x:c r="C10" s="52" t="e">
        <x:f>COUNTIFS(风险登记册!$L$9:$L$108,2,风险登记册!$T$9:$T$108,5,风险登记册!$B$9:$B$108,"&lt;&gt;")</x:f>
        <x:v>#NAME?</x:v>
      </x:c>
      <x:c r="D10" s="52" t="e">
        <x:f>COUNTIFS(风险登记册!$L$9:$L$108,3,风险登记册!$T$9:$T$108,5,风险登记册!$B$9:$B$108,"&lt;&gt;")</x:f>
        <x:v>#NAME?</x:v>
      </x:c>
      <x:c r="E10" s="53" t="e">
        <x:f>COUNTIFS(风险登记册!$L$9:$L$108,4,风险登记册!$T$9:$T$108,5,风险登记册!$B$9:$B$108,"&lt;&gt;")</x:f>
        <x:v>#NAME?</x:v>
      </x:c>
      <x:c r="F10" s="53" t="e">
        <x:f>COUNTIFS(风险登记册!$L$9:$L$108,5,风险登记册!$T$9:$T$108,5,风险登记册!$B$9:$B$108,"&lt;&gt;")</x:f>
        <x:v>#NAME?</x:v>
      </x:c>
      <x:c r="I10" s="6">
        <x:v>5</x:v>
      </x:c>
      <x:c r="J10" s="51" t="e">
        <x:f>COUNTIFS(风险登记册!$AE$9:$AE$108,1,风险登记册!$AF$9:$AF$108,5,风险登记册!$B$9:$B$108,"&lt;&gt;")</x:f>
        <x:v>#NAME?</x:v>
      </x:c>
      <x:c r="K10" s="52" t="e">
        <x:f>COUNTIFS(风险登记册!$AE$9:$AE$108,2,风险登记册!$AF$9:$AF$108,5,风险登记册!$B$9:$B$108,"&lt;&gt;")</x:f>
        <x:v>#NAME?</x:v>
      </x:c>
      <x:c r="L10" s="52" t="e">
        <x:f>COUNTIFS(风险登记册!$AE$9:$AE$108,3,风险登记册!$AF$9:$AF$108,5,风险登记册!$B$9:$B$108,"&lt;&gt;")</x:f>
        <x:v>#NAME?</x:v>
      </x:c>
      <x:c r="M10" s="53" t="e">
        <x:f>COUNTIFS(风险登记册!$AE$9:$AE$108,4,风险登记册!$AF$9:$AF$108,5,风险登记册!$B$9:$B$108,"&lt;&gt;")</x:f>
        <x:v>#NAME?</x:v>
      </x:c>
      <x:c r="N10" s="53" t="e">
        <x:f>COUNTIFS(风险登记册!$AE$9:$AE$108,5,风险登记册!$AF$9:$AF$108,5,风险登记册!$B$9:$B$108,"&lt;&gt;")</x:f>
        <x:v>#NAME?</x:v>
      </x:c>
    </x:row>
    <x:row r="11">
      <x:c r="A11" s="6">
        <x:v>4</x:v>
      </x:c>
      <x:c r="B11" s="54" t="e">
        <x:f>COUNTIFS(风险登记册!$L$9:$L$108,1,风险登记册!$T$9:$T$108,4,风险登记册!$B$9:$B$108,"&lt;&gt;")</x:f>
        <x:v>#NAME?</x:v>
      </x:c>
      <x:c r="C11" s="51" t="e">
        <x:f>COUNTIFS(风险登记册!$L$9:$L$108,2,风险登记册!$T$9:$T$108,4,风险登记册!$B$9:$B$108,"&lt;&gt;")</x:f>
        <x:v>#NAME?</x:v>
      </x:c>
      <x:c r="D11" s="52" t="e">
        <x:f>COUNTIFS(风险登记册!$L$9:$L$108,3,风险登记册!$T$9:$T$108,4,风险登记册!$B$9:$B$108,"&lt;&gt;")</x:f>
        <x:v>#NAME?</x:v>
      </x:c>
      <x:c r="E11" s="52" t="e">
        <x:f>COUNTIFS(风险登记册!$L$9:$L$108,4,风险登记册!$T$9:$T$108,4,风险登记册!$B$9:$B$108,"&lt;&gt;")</x:f>
        <x:v>#NAME?</x:v>
      </x:c>
      <x:c r="F11" s="53" t="e">
        <x:f>COUNTIFS(风险登记册!$L$9:$L$108,5,风险登记册!$T$9:$T$108,4,风险登记册!$B$9:$B$108,"&lt;&gt;")</x:f>
        <x:v>#NAME?</x:v>
      </x:c>
      <x:c r="I11" s="6">
        <x:v>4</x:v>
      </x:c>
      <x:c r="J11" s="54" t="e">
        <x:f>COUNTIFS(风险登记册!$AE$9:$AE$108,1,风险登记册!$AF$9:$AF$108,4,风险登记册!$B$9:$B$108,"&lt;&gt;")</x:f>
        <x:v>#NAME?</x:v>
      </x:c>
      <x:c r="K11" s="51" t="e">
        <x:f>COUNTIFS(风险登记册!$AE$9:$AE$108,2,风险登记册!$AF$9:$AF$108,4,风险登记册!$B$9:$B$108,"&lt;&gt;")</x:f>
        <x:v>#NAME?</x:v>
      </x:c>
      <x:c r="L11" s="52" t="e">
        <x:f>COUNTIFS(风险登记册!$AE$9:$AE$108,3,风险登记册!$AF$9:$AF$108,4,风险登记册!$B$9:$B$108,"&lt;&gt;")</x:f>
        <x:v>#NAME?</x:v>
      </x:c>
      <x:c r="M11" s="52" t="e">
        <x:f>COUNTIFS(风险登记册!$AE$9:$AE$108,4,风险登记册!$AF$9:$AF$108,4,风险登记册!$B$9:$B$108,"&lt;&gt;")</x:f>
        <x:v>#NAME?</x:v>
      </x:c>
      <x:c r="N11" s="53" t="e">
        <x:f>COUNTIFS(风险登记册!$AE$9:$AE$108,5,风险登记册!$AF$9:$AF$108,4,风险登记册!$B$9:$B$108,"&lt;&gt;")</x:f>
        <x:v>#NAME?</x:v>
      </x:c>
    </x:row>
    <x:row r="12">
      <x:c r="A12" s="6">
        <x:v>3</x:v>
      </x:c>
      <x:c r="B12" s="54" t="e">
        <x:f>COUNTIFS(风险登记册!$L$9:$L$108,1,风险登记册!$T$9:$T$108,3,风险登记册!$B$9:$B$108,"&lt;&gt;")</x:f>
        <x:v>#NAME?</x:v>
      </x:c>
      <x:c r="C12" s="51" t="e">
        <x:f>COUNTIFS(风险登记册!$L$9:$L$108,2,风险登记册!$T$9:$T$108,3,风险登记册!$B$9:$B$108,"&lt;&gt;")</x:f>
        <x:v>#NAME?</x:v>
      </x:c>
      <x:c r="D12" s="51" t="e">
        <x:f>COUNTIFS(风险登记册!$L$9:$L$108,3,风险登记册!$T$9:$T$108,3,风险登记册!$B$9:$B$108,"&lt;&gt;")</x:f>
        <x:v>#NAME?</x:v>
      </x:c>
      <x:c r="E12" s="52" t="e">
        <x:f>COUNTIFS(风险登记册!$L$9:$L$108,4,风险登记册!$T$9:$T$108,3,风险登记册!$B$9:$B$108,"&lt;&gt;")</x:f>
        <x:v>#NAME?</x:v>
      </x:c>
      <x:c r="F12" s="52" t="e">
        <x:f>COUNTIFS(风险登记册!$L$9:$L$108,5,风险登记册!$T$9:$T$108,3,风险登记册!$B$9:$B$108,"&lt;&gt;")</x:f>
        <x:v>#NAME?</x:v>
      </x:c>
      <x:c r="I12" s="6">
        <x:v>3</x:v>
      </x:c>
      <x:c r="J12" s="54" t="e">
        <x:f>COUNTIFS(风险登记册!$AE$9:$AE$108,1,风险登记册!$AF$9:$AF$108,3,风险登记册!$B$9:$B$108,"&lt;&gt;")</x:f>
        <x:v>#NAME?</x:v>
      </x:c>
      <x:c r="K12" s="51" t="e">
        <x:f>COUNTIFS(风险登记册!$AE$9:$AE$108,2,风险登记册!$AF$9:$AF$108,3,风险登记册!$B$9:$B$108,"&lt;&gt;")</x:f>
        <x:v>#NAME?</x:v>
      </x:c>
      <x:c r="L12" s="51" t="e">
        <x:f>COUNTIFS(风险登记册!$AE$9:$AE$108,3,风险登记册!$AF$9:$AF$108,3,风险登记册!$B$9:$B$108,"&lt;&gt;")</x:f>
        <x:v>#NAME?</x:v>
      </x:c>
      <x:c r="M12" s="52" t="e">
        <x:f>COUNTIFS(风险登记册!$AE$9:$AE$108,4,风险登记册!$AF$9:$AF$108,3,风险登记册!$B$9:$B$108,"&lt;&gt;")</x:f>
        <x:v>#NAME?</x:v>
      </x:c>
      <x:c r="N12" s="52" t="e">
        <x:f>COUNTIFS(风险登记册!$AE$9:$AE$108,5,风险登记册!$AF$9:$AF$108,3,风险登记册!$B$9:$B$108,"&lt;&gt;")</x:f>
        <x:v>#NAME?</x:v>
      </x:c>
    </x:row>
    <x:row r="13">
      <x:c r="A13" s="6">
        <x:v>2</x:v>
      </x:c>
      <x:c r="B13" s="54" t="e">
        <x:f>COUNTIFS(风险登记册!$L$9:$L$108,1,风险登记册!$T$9:$T$108,2,风险登记册!$B$9:$B$108,"&lt;&gt;")</x:f>
        <x:v>#NAME?</x:v>
      </x:c>
      <x:c r="C13" s="54" t="e">
        <x:f>COUNTIFS(风险登记册!$L$9:$L$108,2,风险登记册!$T$9:$T$108,2,风险登记册!$B$9:$B$108,"&lt;&gt;")</x:f>
        <x:v>#NAME?</x:v>
      </x:c>
      <x:c r="D13" s="51" t="e">
        <x:f>COUNTIFS(风险登记册!$L$9:$L$108,3,风险登记册!$T$9:$T$108,2,风险登记册!$B$9:$B$108,"&lt;&gt;")</x:f>
        <x:v>#NAME?</x:v>
      </x:c>
      <x:c r="E13" s="51" t="e">
        <x:f>COUNTIFS(风险登记册!$L$9:$L$108,4,风险登记册!$T$9:$T$108,2,风险登记册!$B$9:$B$108,"&lt;&gt;")</x:f>
        <x:v>#NAME?</x:v>
      </x:c>
      <x:c r="F13" s="52" t="e">
        <x:f>COUNTIFS(风险登记册!$L$9:$L$108,5,风险登记册!$T$9:$T$108,2,风险登记册!$B$9:$B$108,"&lt;&gt;")</x:f>
        <x:v>#NAME?</x:v>
      </x:c>
      <x:c r="I13" s="6">
        <x:v>2</x:v>
      </x:c>
      <x:c r="J13" s="54" t="e">
        <x:f>COUNTIFS(风险登记册!$AE$9:$AE$108,1,风险登记册!$AF$9:$AF$108,2,风险登记册!$B$9:$B$108,"&lt;&gt;")</x:f>
        <x:v>#NAME?</x:v>
      </x:c>
      <x:c r="K13" s="54" t="e">
        <x:f>COUNTIFS(风险登记册!$AE$9:$AE$108,2,风险登记册!$AF$9:$AF$108,2,风险登记册!$B$9:$B$108,"&lt;&gt;")</x:f>
        <x:v>#NAME?</x:v>
      </x:c>
      <x:c r="L13" s="51" t="e">
        <x:f>COUNTIFS(风险登记册!$AE$9:$AE$108,3,风险登记册!$AF$9:$AF$108,2,风险登记册!$B$9:$B$108,"&lt;&gt;")</x:f>
        <x:v>#NAME?</x:v>
      </x:c>
      <x:c r="M13" s="51" t="e">
        <x:f>COUNTIFS(风险登记册!$AE$9:$AE$108,4,风险登记册!$AF$9:$AF$108,2,风险登记册!$B$9:$B$108,"&lt;&gt;")</x:f>
        <x:v>#NAME?</x:v>
      </x:c>
      <x:c r="N13" s="52" t="e">
        <x:f>COUNTIFS(风险登记册!$AE$9:$AE$108,5,风险登记册!$AF$9:$AF$108,2,风险登记册!$B$9:$B$108,"&lt;&gt;")</x:f>
        <x:v>#NAME?</x:v>
      </x:c>
    </x:row>
    <x:row r="14">
      <x:c r="A14" s="6">
        <x:v>1</x:v>
      </x:c>
      <x:c r="B14" s="54" t="e">
        <x:f>COUNTIFS(风险登记册!$L$9:$L$108,1,风险登记册!$T$9:$T$108,1,风险登记册!$B$9:$B$108,"&lt;&gt;")</x:f>
        <x:v>#NAME?</x:v>
      </x:c>
      <x:c r="C14" s="54" t="e">
        <x:f>COUNTIFS(风险登记册!$L$9:$L$108,2,风险登记册!$T$9:$T$108,1,风险登记册!$B$9:$B$108,"&lt;&gt;")</x:f>
        <x:v>#NAME?</x:v>
      </x:c>
      <x:c r="D14" s="54" t="e">
        <x:f>COUNTIFS(风险登记册!$L$9:$L$108,3,风险登记册!$T$9:$T$108,1,风险登记册!$B$9:$B$108,"&lt;&gt;")</x:f>
        <x:v>#NAME?</x:v>
      </x:c>
      <x:c r="E14" s="54" t="e">
        <x:f>COUNTIFS(风险登记册!$L$9:$L$108,4,风险登记册!$T$9:$T$108,1,风险登记册!$B$9:$B$108,"&lt;&gt;")</x:f>
        <x:v>#NAME?</x:v>
      </x:c>
      <x:c r="F14" s="51" t="e">
        <x:f>COUNTIFS(风险登记册!$L$9:$L$108,5,风险登记册!$T$9:$T$108,1,风险登记册!$B$9:$B$108,"&lt;&gt;")</x:f>
        <x:v>#NAME?</x:v>
      </x:c>
      <x:c r="I14" s="6">
        <x:v>1</x:v>
      </x:c>
      <x:c r="J14" s="54" t="e">
        <x:f>COUNTIFS(风险登记册!$AE$9:$AE$108,1,风险登记册!$AF$9:$AF$108,1,风险登记册!$B$9:$B$108,"&lt;&gt;")</x:f>
        <x:v>#NAME?</x:v>
      </x:c>
      <x:c r="K14" s="54" t="e">
        <x:f>COUNTIFS(风险登记册!$AE$9:$AE$108,2,风险登记册!$AF$9:$AF$108,1,风险登记册!$B$9:$B$108,"&lt;&gt;")</x:f>
        <x:v>#NAME?</x:v>
      </x:c>
      <x:c r="L14" s="54" t="e">
        <x:f>COUNTIFS(风险登记册!$AE$9:$AE$108,3,风险登记册!$AF$9:$AF$108,1,风险登记册!$B$9:$B$108,"&lt;&gt;")</x:f>
        <x:v>#NAME?</x:v>
      </x:c>
      <x:c r="M14" s="54" t="e">
        <x:f>COUNTIFS(风险登记册!$AE$9:$AE$108,4,风险登记册!$AF$9:$AF$108,1,风险登记册!$B$9:$B$108,"&lt;&gt;")</x:f>
        <x:v>#NAME?</x:v>
      </x:c>
      <x:c r="N14" s="51" t="e">
        <x:f>COUNTIFS(风险登记册!$AE$9:$AE$108,5,风险登记册!$AF$9:$AF$108,1,风险登记册!$B$9:$B$108,"&lt;&gt;")</x:f>
        <x:v>#NAME?</x:v>
      </x:c>
    </x:row>
    <x:row r="17" ht="17.600000381469727">
      <x:c r="A17" s="50" t="s">
        <x:v>266</x:v>
      </x:c>
    </x:row>
    <x:row r="18">
      <x:c r="A18" s="55" t="s">
        <x:v>267</x:v>
      </x:c>
    </x:row>
    <x:row r="19">
      <x:c r="A19" s="27" t="s">
        <x:v>268</x:v>
      </x:c>
    </x:row>
    <x:row r="20">
      <x:c r="A20" s="56" t="s">
        <x:v>269</x:v>
      </x:c>
    </x:row>
    <x:row r="21">
      <x:c r="A21" s="57" t="s">
        <x:v>270</x:v>
      </x:c>
    </x:row>
  </x:sheetData>
  <x:mergeCells>
    <x:mergeCell ref="A1:O1"/>
    <x:mergeCell ref="A2:O2"/>
    <x:mergeCell ref="A4:C4"/>
    <x:mergeCell ref="D4:F4"/>
    <x:mergeCell ref="G4:I4"/>
    <x:mergeCell ref="J4:L4"/>
    <x:mergeCell ref="A5:C5"/>
    <x:mergeCell ref="D5:F5"/>
    <x:mergeCell ref="G5:I5"/>
    <x:mergeCell ref="J5:L5"/>
    <x:mergeCell ref="A8:F8"/>
    <x:mergeCell ref="I8:N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8" style="1" customWidth="1"/>
    <x:col min="2" max="2" width="13" style="1" customWidth="1"/>
    <x:col min="3" max="3" width="28" style="1" customWidth="1"/>
    <x:col min="4" max="4" width="20" style="1" customWidth="1"/>
    <x:col min="5" max="5" width="10" style="1" customWidth="1"/>
    <x:col min="6" max="6" width="14" style="1" customWidth="1"/>
    <x:col min="7" max="7" width="10" style="1" customWidth="1"/>
    <x:col min="8" max="8" width="28" style="1" customWidth="1"/>
    <x:col min="9" max="9" width="14" style="1" customWidth="1"/>
    <x:col min="10" max="10" width="15" style="1" customWidth="1"/>
    <x:col min="11" max="11" width="14" style="1" customWidth="1"/>
    <x:col min="12" max="12" width="32" style="1" customWidth="1"/>
    <x:col min="13" max="14" width="28" style="1" customWidth="1"/>
    <x:col min="15" max="15" width="13" style="1" hidden="1" customWidth="1"/>
  </x:cols>
  <x:sheetData>
    <x:row r="1" ht="28" customHeight="1">
      <x:c r="A1" s="44" t="s">
        <x:v>162</x:v>
      </x:c>
    </x:row>
    <x:row r="2" ht="24" customHeight="1">
      <x:c r="A2" s="45" t="s">
        <x:v>271</x:v>
      </x:c>
    </x:row>
    <x:row r="4" ht="34" customHeight="1">
      <x:c r="A4" s="7" t="s">
        <x:v>272</x:v>
      </x:c>
      <x:c r="B4" s="7" t="s">
        <x:v>220</x:v>
      </x:c>
      <x:c r="C4" s="7" t="s">
        <x:v>221</x:v>
      </x:c>
      <x:c r="D4" s="7" t="s">
        <x:v>273</x:v>
      </x:c>
      <x:c r="E4" s="7" t="s">
        <x:v>222</x:v>
      </x:c>
      <x:c r="F4" s="7" t="s">
        <x:v>274</x:v>
      </x:c>
      <x:c r="G4" s="7" t="s">
        <x:v>251</x:v>
      </x:c>
      <x:c r="H4" s="7" t="s">
        <x:v>243</x:v>
      </x:c>
      <x:c r="I4" s="7" t="s">
        <x:v>275</x:v>
      </x:c>
      <x:c r="J4" s="7" t="s">
        <x:v>149</x:v>
      </x:c>
      <x:c r="K4" s="7" t="s">
        <x:v>245</x:v>
      </x:c>
      <x:c r="L4" s="7" t="s">
        <x:v>276</x:v>
      </x:c>
      <x:c r="M4" s="7" t="s">
        <x:v>277</x:v>
      </x:c>
      <x:c r="N4" s="7" t="s">
        <x:v>278</x:v>
      </x:c>
      <x:c r="O4" s="7" t="s">
        <x:v>279</x:v>
      </x:c>
    </x:row>
    <x:row r="5">
      <x:c r="A5" s="8" t="str">
        <x:f>IF(O5="","",ROWS($A$5:A5))</x:f>
      </x:c>
      <x:c r="B5" s="8" t="e">
        <x:f>IF($O5="","",INDEX(风险登记册!$A$9:$A$108,$O5))</x:f>
        <x:v>#NAME?</x:v>
      </x:c>
      <x:c r="C5" s="8" t="e">
        <x:f>IF($O5="","",INDEX(风险登记册!$B$9:$B$108,$O5))</x:f>
        <x:v>#NAME?</x:v>
      </x:c>
      <x:c r="D5" s="8" t="e">
        <x:f>IF($O5="","",INDEX(风险登记册!$D$9:$D$108,$O5))</x:f>
        <x:v>#NAME?</x:v>
      </x:c>
      <x:c r="E5" s="8" t="e">
        <x:f>IF($O5="","",INDEX(风险登记册!$C$9:$C$108,$O5))</x:f>
        <x:v>#NAME?</x:v>
      </x:c>
      <x:c r="F5" s="8" t="e">
        <x:f>IF($O5="","",INDEX(风险登记册!$AH$9:$AH$108,$O5))</x:f>
        <x:v>#NAME?</x:v>
      </x:c>
      <x:c r="G5" s="8" t="e">
        <x:f>IF($O5="","",INDEX(风险登记册!$AI$9:$AI$108,$O5))</x:f>
        <x:v>#NAME?</x:v>
      </x:c>
      <x:c r="H5" s="8" t="e">
        <x:f>IF($O5="","",INDEX(风险登记册!$Z$9:$Z$108,$O5))</x:f>
        <x:v>#NAME?</x:v>
      </x:c>
      <x:c r="I5" s="8" t="e">
        <x:f>IF($O5="","",INDEX(风险登记册!$AC$9:$AC$108,$O5))</x:f>
        <x:v>#NAME?</x:v>
      </x:c>
      <x:c r="J5" s="8" t="e">
        <x:f>IF($O5="","",INDEX(风险登记册!$W$9:$W$108,$O5))</x:f>
        <x:v>#NAME?</x:v>
      </x:c>
      <x:c r="K5" s="25" t="e">
        <x:f>IF($O5="","",INDEX(风险登记册!$AB$9:$AB$108,$O5))</x:f>
        <x:v>#NAME?</x:v>
      </x:c>
      <x:c r="L5" s="8" t="e">
        <x:f>IF($B5="","",IFERROR(INDEX(风险应对计划!$E$9:$E$108,MATCH($B5,风险应对计划!$B$9:$B$108,0)),""))</x:f>
        <x:v>#NAME?</x:v>
      </x:c>
      <x:c r="M5" s="10"/>
      <x:c r="N5" s="10"/>
      <x:c r="O5" s="8" t="e">
        <x:f>IFERROR(MATCH(ROWS($A$5:A5),风险登记册!$AR$9:$AR$108,0),"")</x:f>
        <x:v>#NAME?</x:v>
      </x:c>
    </x:row>
    <x:row r="6">
      <x:c r="A6" s="8" t="str">
        <x:f>IF(O6="","",ROWS($A$5:A6))</x:f>
      </x:c>
      <x:c r="B6" s="8" t="e">
        <x:f>IF($O6="","",INDEX(风险登记册!$A$9:$A$108,$O6))</x:f>
        <x:v>#NAME?</x:v>
      </x:c>
      <x:c r="C6" s="8" t="e">
        <x:f>IF($O6="","",INDEX(风险登记册!$B$9:$B$108,$O6))</x:f>
        <x:v>#NAME?</x:v>
      </x:c>
      <x:c r="D6" s="8" t="e">
        <x:f>IF($O6="","",INDEX(风险登记册!$D$9:$D$108,$O6))</x:f>
        <x:v>#NAME?</x:v>
      </x:c>
      <x:c r="E6" s="8" t="e">
        <x:f>IF($O6="","",INDEX(风险登记册!$C$9:$C$108,$O6))</x:f>
        <x:v>#NAME?</x:v>
      </x:c>
      <x:c r="F6" s="8" t="e">
        <x:f>IF($O6="","",INDEX(风险登记册!$AH$9:$AH$108,$O6))</x:f>
        <x:v>#NAME?</x:v>
      </x:c>
      <x:c r="G6" s="8" t="e">
        <x:f>IF($O6="","",INDEX(风险登记册!$AI$9:$AI$108,$O6))</x:f>
        <x:v>#NAME?</x:v>
      </x:c>
      <x:c r="H6" s="8" t="e">
        <x:f>IF($O6="","",INDEX(风险登记册!$Z$9:$Z$108,$O6))</x:f>
        <x:v>#NAME?</x:v>
      </x:c>
      <x:c r="I6" s="8" t="e">
        <x:f>IF($O6="","",INDEX(风险登记册!$AC$9:$AC$108,$O6))</x:f>
        <x:v>#NAME?</x:v>
      </x:c>
      <x:c r="J6" s="8" t="e">
        <x:f>IF($O6="","",INDEX(风险登记册!$W$9:$W$108,$O6))</x:f>
        <x:v>#NAME?</x:v>
      </x:c>
      <x:c r="K6" s="25" t="e">
        <x:f>IF($O6="","",INDEX(风险登记册!$AB$9:$AB$108,$O6))</x:f>
        <x:v>#NAME?</x:v>
      </x:c>
      <x:c r="L6" s="8" t="e">
        <x:f>IF($B6="","",IFERROR(INDEX(风险应对计划!$E$9:$E$108,MATCH($B6,风险应对计划!$B$9:$B$108,0)),""))</x:f>
        <x:v>#NAME?</x:v>
      </x:c>
      <x:c r="M6" s="10"/>
      <x:c r="N6" s="10"/>
      <x:c r="O6" s="8" t="e">
        <x:f>IFERROR(MATCH(ROWS($A$5:A6),风险登记册!$AR$9:$AR$108,0),"")</x:f>
        <x:v>#NAME?</x:v>
      </x:c>
    </x:row>
    <x:row r="7">
      <x:c r="A7" s="8" t="str">
        <x:f>IF(O7="","",ROWS($A$5:A7))</x:f>
      </x:c>
      <x:c r="B7" s="8" t="e">
        <x:f>IF($O7="","",INDEX(风险登记册!$A$9:$A$108,$O7))</x:f>
        <x:v>#NAME?</x:v>
      </x:c>
      <x:c r="C7" s="8" t="e">
        <x:f>IF($O7="","",INDEX(风险登记册!$B$9:$B$108,$O7))</x:f>
        <x:v>#NAME?</x:v>
      </x:c>
      <x:c r="D7" s="8" t="e">
        <x:f>IF($O7="","",INDEX(风险登记册!$D$9:$D$108,$O7))</x:f>
        <x:v>#NAME?</x:v>
      </x:c>
      <x:c r="E7" s="8" t="e">
        <x:f>IF($O7="","",INDEX(风险登记册!$C$9:$C$108,$O7))</x:f>
        <x:v>#NAME?</x:v>
      </x:c>
      <x:c r="F7" s="8" t="e">
        <x:f>IF($O7="","",INDEX(风险登记册!$AH$9:$AH$108,$O7))</x:f>
        <x:v>#NAME?</x:v>
      </x:c>
      <x:c r="G7" s="8" t="e">
        <x:f>IF($O7="","",INDEX(风险登记册!$AI$9:$AI$108,$O7))</x:f>
        <x:v>#NAME?</x:v>
      </x:c>
      <x:c r="H7" s="8" t="e">
        <x:f>IF($O7="","",INDEX(风险登记册!$Z$9:$Z$108,$O7))</x:f>
        <x:v>#NAME?</x:v>
      </x:c>
      <x:c r="I7" s="8" t="e">
        <x:f>IF($O7="","",INDEX(风险登记册!$AC$9:$AC$108,$O7))</x:f>
        <x:v>#NAME?</x:v>
      </x:c>
      <x:c r="J7" s="8" t="e">
        <x:f>IF($O7="","",INDEX(风险登记册!$W$9:$W$108,$O7))</x:f>
        <x:v>#NAME?</x:v>
      </x:c>
      <x:c r="K7" s="25" t="e">
        <x:f>IF($O7="","",INDEX(风险登记册!$AB$9:$AB$108,$O7))</x:f>
        <x:v>#NAME?</x:v>
      </x:c>
      <x:c r="L7" s="8" t="e">
        <x:f>IF($B7="","",IFERROR(INDEX(风险应对计划!$E$9:$E$108,MATCH($B7,风险应对计划!$B$9:$B$108,0)),""))</x:f>
        <x:v>#NAME?</x:v>
      </x:c>
      <x:c r="M7" s="10"/>
      <x:c r="N7" s="10"/>
      <x:c r="O7" s="8" t="e">
        <x:f>IFERROR(MATCH(ROWS($A$5:A7),风险登记册!$AR$9:$AR$108,0),"")</x:f>
        <x:v>#NAME?</x:v>
      </x:c>
    </x:row>
    <x:row r="8">
      <x:c r="A8" s="8" t="str">
        <x:f>IF(O8="","",ROWS($A$5:A8))</x:f>
      </x:c>
      <x:c r="B8" s="8" t="e">
        <x:f>IF($O8="","",INDEX(风险登记册!$A$9:$A$108,$O8))</x:f>
        <x:v>#NAME?</x:v>
      </x:c>
      <x:c r="C8" s="8" t="e">
        <x:f>IF($O8="","",INDEX(风险登记册!$B$9:$B$108,$O8))</x:f>
        <x:v>#NAME?</x:v>
      </x:c>
      <x:c r="D8" s="8" t="e">
        <x:f>IF($O8="","",INDEX(风险登记册!$D$9:$D$108,$O8))</x:f>
        <x:v>#NAME?</x:v>
      </x:c>
      <x:c r="E8" s="8" t="e">
        <x:f>IF($O8="","",INDEX(风险登记册!$C$9:$C$108,$O8))</x:f>
        <x:v>#NAME?</x:v>
      </x:c>
      <x:c r="F8" s="8" t="e">
        <x:f>IF($O8="","",INDEX(风险登记册!$AH$9:$AH$108,$O8))</x:f>
        <x:v>#NAME?</x:v>
      </x:c>
      <x:c r="G8" s="8" t="e">
        <x:f>IF($O8="","",INDEX(风险登记册!$AI$9:$AI$108,$O8))</x:f>
        <x:v>#NAME?</x:v>
      </x:c>
      <x:c r="H8" s="8" t="e">
        <x:f>IF($O8="","",INDEX(风险登记册!$Z$9:$Z$108,$O8))</x:f>
        <x:v>#NAME?</x:v>
      </x:c>
      <x:c r="I8" s="8" t="e">
        <x:f>IF($O8="","",INDEX(风险登记册!$AC$9:$AC$108,$O8))</x:f>
        <x:v>#NAME?</x:v>
      </x:c>
      <x:c r="J8" s="8" t="e">
        <x:f>IF($O8="","",INDEX(风险登记册!$W$9:$W$108,$O8))</x:f>
        <x:v>#NAME?</x:v>
      </x:c>
      <x:c r="K8" s="25" t="e">
        <x:f>IF($O8="","",INDEX(风险登记册!$AB$9:$AB$108,$O8))</x:f>
        <x:v>#NAME?</x:v>
      </x:c>
      <x:c r="L8" s="8" t="e">
        <x:f>IF($B8="","",IFERROR(INDEX(风险应对计划!$E$9:$E$108,MATCH($B8,风险应对计划!$B$9:$B$108,0)),""))</x:f>
        <x:v>#NAME?</x:v>
      </x:c>
      <x:c r="M8" s="10"/>
      <x:c r="N8" s="10"/>
      <x:c r="O8" s="8" t="e">
        <x:f>IFERROR(MATCH(ROWS($A$5:A8),风险登记册!$AR$9:$AR$108,0),"")</x:f>
        <x:v>#NAME?</x:v>
      </x:c>
    </x:row>
    <x:row r="9">
      <x:c r="A9" s="8" t="str">
        <x:f>IF(O9="","",ROWS($A$5:A9))</x:f>
      </x:c>
      <x:c r="B9" s="8" t="e">
        <x:f>IF($O9="","",INDEX(风险登记册!$A$9:$A$108,$O9))</x:f>
        <x:v>#NAME?</x:v>
      </x:c>
      <x:c r="C9" s="8" t="e">
        <x:f>IF($O9="","",INDEX(风险登记册!$B$9:$B$108,$O9))</x:f>
        <x:v>#NAME?</x:v>
      </x:c>
      <x:c r="D9" s="8" t="e">
        <x:f>IF($O9="","",INDEX(风险登记册!$D$9:$D$108,$O9))</x:f>
        <x:v>#NAME?</x:v>
      </x:c>
      <x:c r="E9" s="8" t="e">
        <x:f>IF($O9="","",INDEX(风险登记册!$C$9:$C$108,$O9))</x:f>
        <x:v>#NAME?</x:v>
      </x:c>
      <x:c r="F9" s="8" t="e">
        <x:f>IF($O9="","",INDEX(风险登记册!$AH$9:$AH$108,$O9))</x:f>
        <x:v>#NAME?</x:v>
      </x:c>
      <x:c r="G9" s="8" t="e">
        <x:f>IF($O9="","",INDEX(风险登记册!$AI$9:$AI$108,$O9))</x:f>
        <x:v>#NAME?</x:v>
      </x:c>
      <x:c r="H9" s="8" t="e">
        <x:f>IF($O9="","",INDEX(风险登记册!$Z$9:$Z$108,$O9))</x:f>
        <x:v>#NAME?</x:v>
      </x:c>
      <x:c r="I9" s="8" t="e">
        <x:f>IF($O9="","",INDEX(风险登记册!$AC$9:$AC$108,$O9))</x:f>
        <x:v>#NAME?</x:v>
      </x:c>
      <x:c r="J9" s="8" t="e">
        <x:f>IF($O9="","",INDEX(风险登记册!$W$9:$W$108,$O9))</x:f>
        <x:v>#NAME?</x:v>
      </x:c>
      <x:c r="K9" s="25" t="e">
        <x:f>IF($O9="","",INDEX(风险登记册!$AB$9:$AB$108,$O9))</x:f>
        <x:v>#NAME?</x:v>
      </x:c>
      <x:c r="L9" s="8" t="e">
        <x:f>IF($B9="","",IFERROR(INDEX(风险应对计划!$E$9:$E$108,MATCH($B9,风险应对计划!$B$9:$B$108,0)),""))</x:f>
        <x:v>#NAME?</x:v>
      </x:c>
      <x:c r="M9" s="10"/>
      <x:c r="N9" s="10"/>
      <x:c r="O9" s="8" t="e">
        <x:f>IFERROR(MATCH(ROWS($A$5:A9),风险登记册!$AR$9:$AR$108,0),"")</x:f>
        <x:v>#NAME?</x:v>
      </x:c>
    </x:row>
    <x:row r="10">
      <x:c r="A10" s="8" t="str">
        <x:f>IF(O10="","",ROWS($A$5:A10))</x:f>
      </x:c>
      <x:c r="B10" s="8" t="e">
        <x:f>IF($O10="","",INDEX(风险登记册!$A$9:$A$108,$O10))</x:f>
        <x:v>#NAME?</x:v>
      </x:c>
      <x:c r="C10" s="8" t="e">
        <x:f>IF($O10="","",INDEX(风险登记册!$B$9:$B$108,$O10))</x:f>
        <x:v>#NAME?</x:v>
      </x:c>
      <x:c r="D10" s="8" t="e">
        <x:f>IF($O10="","",INDEX(风险登记册!$D$9:$D$108,$O10))</x:f>
        <x:v>#NAME?</x:v>
      </x:c>
      <x:c r="E10" s="8" t="e">
        <x:f>IF($O10="","",INDEX(风险登记册!$C$9:$C$108,$O10))</x:f>
        <x:v>#NAME?</x:v>
      </x:c>
      <x:c r="F10" s="8" t="e">
        <x:f>IF($O10="","",INDEX(风险登记册!$AH$9:$AH$108,$O10))</x:f>
        <x:v>#NAME?</x:v>
      </x:c>
      <x:c r="G10" s="8" t="e">
        <x:f>IF($O10="","",INDEX(风险登记册!$AI$9:$AI$108,$O10))</x:f>
        <x:v>#NAME?</x:v>
      </x:c>
      <x:c r="H10" s="8" t="e">
        <x:f>IF($O10="","",INDEX(风险登记册!$Z$9:$Z$108,$O10))</x:f>
        <x:v>#NAME?</x:v>
      </x:c>
      <x:c r="I10" s="8" t="e">
        <x:f>IF($O10="","",INDEX(风险登记册!$AC$9:$AC$108,$O10))</x:f>
        <x:v>#NAME?</x:v>
      </x:c>
      <x:c r="J10" s="8" t="e">
        <x:f>IF($O10="","",INDEX(风险登记册!$W$9:$W$108,$O10))</x:f>
        <x:v>#NAME?</x:v>
      </x:c>
      <x:c r="K10" s="25" t="e">
        <x:f>IF($O10="","",INDEX(风险登记册!$AB$9:$AB$108,$O10))</x:f>
        <x:v>#NAME?</x:v>
      </x:c>
      <x:c r="L10" s="8" t="e">
        <x:f>IF($B10="","",IFERROR(INDEX(风险应对计划!$E$9:$E$108,MATCH($B10,风险应对计划!$B$9:$B$108,0)),""))</x:f>
        <x:v>#NAME?</x:v>
      </x:c>
      <x:c r="M10" s="10"/>
      <x:c r="N10" s="10"/>
      <x:c r="O10" s="8" t="e">
        <x:f>IFERROR(MATCH(ROWS($A$5:A10),风险登记册!$AR$9:$AR$108,0),"")</x:f>
        <x:v>#NAME?</x:v>
      </x:c>
    </x:row>
    <x:row r="11">
      <x:c r="A11" s="8" t="str">
        <x:f>IF(O11="","",ROWS($A$5:A11))</x:f>
      </x:c>
      <x:c r="B11" s="8" t="e">
        <x:f>IF($O11="","",INDEX(风险登记册!$A$9:$A$108,$O11))</x:f>
        <x:v>#NAME?</x:v>
      </x:c>
      <x:c r="C11" s="8" t="e">
        <x:f>IF($O11="","",INDEX(风险登记册!$B$9:$B$108,$O11))</x:f>
        <x:v>#NAME?</x:v>
      </x:c>
      <x:c r="D11" s="8" t="e">
        <x:f>IF($O11="","",INDEX(风险登记册!$D$9:$D$108,$O11))</x:f>
        <x:v>#NAME?</x:v>
      </x:c>
      <x:c r="E11" s="8" t="e">
        <x:f>IF($O11="","",INDEX(风险登记册!$C$9:$C$108,$O11))</x:f>
        <x:v>#NAME?</x:v>
      </x:c>
      <x:c r="F11" s="8" t="e">
        <x:f>IF($O11="","",INDEX(风险登记册!$AH$9:$AH$108,$O11))</x:f>
        <x:v>#NAME?</x:v>
      </x:c>
      <x:c r="G11" s="8" t="e">
        <x:f>IF($O11="","",INDEX(风险登记册!$AI$9:$AI$108,$O11))</x:f>
        <x:v>#NAME?</x:v>
      </x:c>
      <x:c r="H11" s="8" t="e">
        <x:f>IF($O11="","",INDEX(风险登记册!$Z$9:$Z$108,$O11))</x:f>
        <x:v>#NAME?</x:v>
      </x:c>
      <x:c r="I11" s="8" t="e">
        <x:f>IF($O11="","",INDEX(风险登记册!$AC$9:$AC$108,$O11))</x:f>
        <x:v>#NAME?</x:v>
      </x:c>
      <x:c r="J11" s="8" t="e">
        <x:f>IF($O11="","",INDEX(风险登记册!$W$9:$W$108,$O11))</x:f>
        <x:v>#NAME?</x:v>
      </x:c>
      <x:c r="K11" s="25" t="e">
        <x:f>IF($O11="","",INDEX(风险登记册!$AB$9:$AB$108,$O11))</x:f>
        <x:v>#NAME?</x:v>
      </x:c>
      <x:c r="L11" s="8" t="e">
        <x:f>IF($B11="","",IFERROR(INDEX(风险应对计划!$E$9:$E$108,MATCH($B11,风险应对计划!$B$9:$B$108,0)),""))</x:f>
        <x:v>#NAME?</x:v>
      </x:c>
      <x:c r="M11" s="10"/>
      <x:c r="N11" s="10"/>
      <x:c r="O11" s="8" t="e">
        <x:f>IFERROR(MATCH(ROWS($A$5:A11),风险登记册!$AR$9:$AR$108,0),"")</x:f>
        <x:v>#NAME?</x:v>
      </x:c>
    </x:row>
    <x:row r="12">
      <x:c r="A12" s="8" t="str">
        <x:f>IF(O12="","",ROWS($A$5:A12))</x:f>
      </x:c>
      <x:c r="B12" s="8" t="e">
        <x:f>IF($O12="","",INDEX(风险登记册!$A$9:$A$108,$O12))</x:f>
        <x:v>#NAME?</x:v>
      </x:c>
      <x:c r="C12" s="8" t="e">
        <x:f>IF($O12="","",INDEX(风险登记册!$B$9:$B$108,$O12))</x:f>
        <x:v>#NAME?</x:v>
      </x:c>
      <x:c r="D12" s="8" t="e">
        <x:f>IF($O12="","",INDEX(风险登记册!$D$9:$D$108,$O12))</x:f>
        <x:v>#NAME?</x:v>
      </x:c>
      <x:c r="E12" s="8" t="e">
        <x:f>IF($O12="","",INDEX(风险登记册!$C$9:$C$108,$O12))</x:f>
        <x:v>#NAME?</x:v>
      </x:c>
      <x:c r="F12" s="8" t="e">
        <x:f>IF($O12="","",INDEX(风险登记册!$AH$9:$AH$108,$O12))</x:f>
        <x:v>#NAME?</x:v>
      </x:c>
      <x:c r="G12" s="8" t="e">
        <x:f>IF($O12="","",INDEX(风险登记册!$AI$9:$AI$108,$O12))</x:f>
        <x:v>#NAME?</x:v>
      </x:c>
      <x:c r="H12" s="8" t="e">
        <x:f>IF($O12="","",INDEX(风险登记册!$Z$9:$Z$108,$O12))</x:f>
        <x:v>#NAME?</x:v>
      </x:c>
      <x:c r="I12" s="8" t="e">
        <x:f>IF($O12="","",INDEX(风险登记册!$AC$9:$AC$108,$O12))</x:f>
        <x:v>#NAME?</x:v>
      </x:c>
      <x:c r="J12" s="8" t="e">
        <x:f>IF($O12="","",INDEX(风险登记册!$W$9:$W$108,$O12))</x:f>
        <x:v>#NAME?</x:v>
      </x:c>
      <x:c r="K12" s="25" t="e">
        <x:f>IF($O12="","",INDEX(风险登记册!$AB$9:$AB$108,$O12))</x:f>
        <x:v>#NAME?</x:v>
      </x:c>
      <x:c r="L12" s="8" t="e">
        <x:f>IF($B12="","",IFERROR(INDEX(风险应对计划!$E$9:$E$108,MATCH($B12,风险应对计划!$B$9:$B$108,0)),""))</x:f>
        <x:v>#NAME?</x:v>
      </x:c>
      <x:c r="M12" s="10"/>
      <x:c r="N12" s="10"/>
      <x:c r="O12" s="8" t="e">
        <x:f>IFERROR(MATCH(ROWS($A$5:A12),风险登记册!$AR$9:$AR$108,0),"")</x:f>
        <x:v>#NAME?</x:v>
      </x:c>
    </x:row>
    <x:row r="13">
      <x:c r="A13" s="8" t="str">
        <x:f>IF(O13="","",ROWS($A$5:A13))</x:f>
      </x:c>
      <x:c r="B13" s="8" t="e">
        <x:f>IF($O13="","",INDEX(风险登记册!$A$9:$A$108,$O13))</x:f>
        <x:v>#NAME?</x:v>
      </x:c>
      <x:c r="C13" s="8" t="e">
        <x:f>IF($O13="","",INDEX(风险登记册!$B$9:$B$108,$O13))</x:f>
        <x:v>#NAME?</x:v>
      </x:c>
      <x:c r="D13" s="8" t="e">
        <x:f>IF($O13="","",INDEX(风险登记册!$D$9:$D$108,$O13))</x:f>
        <x:v>#NAME?</x:v>
      </x:c>
      <x:c r="E13" s="8" t="e">
        <x:f>IF($O13="","",INDEX(风险登记册!$C$9:$C$108,$O13))</x:f>
        <x:v>#NAME?</x:v>
      </x:c>
      <x:c r="F13" s="8" t="e">
        <x:f>IF($O13="","",INDEX(风险登记册!$AH$9:$AH$108,$O13))</x:f>
        <x:v>#NAME?</x:v>
      </x:c>
      <x:c r="G13" s="8" t="e">
        <x:f>IF($O13="","",INDEX(风险登记册!$AI$9:$AI$108,$O13))</x:f>
        <x:v>#NAME?</x:v>
      </x:c>
      <x:c r="H13" s="8" t="e">
        <x:f>IF($O13="","",INDEX(风险登记册!$Z$9:$Z$108,$O13))</x:f>
        <x:v>#NAME?</x:v>
      </x:c>
      <x:c r="I13" s="8" t="e">
        <x:f>IF($O13="","",INDEX(风险登记册!$AC$9:$AC$108,$O13))</x:f>
        <x:v>#NAME?</x:v>
      </x:c>
      <x:c r="J13" s="8" t="e">
        <x:f>IF($O13="","",INDEX(风险登记册!$W$9:$W$108,$O13))</x:f>
        <x:v>#NAME?</x:v>
      </x:c>
      <x:c r="K13" s="25" t="e">
        <x:f>IF($O13="","",INDEX(风险登记册!$AB$9:$AB$108,$O13))</x:f>
        <x:v>#NAME?</x:v>
      </x:c>
      <x:c r="L13" s="8" t="e">
        <x:f>IF($B13="","",IFERROR(INDEX(风险应对计划!$E$9:$E$108,MATCH($B13,风险应对计划!$B$9:$B$108,0)),""))</x:f>
        <x:v>#NAME?</x:v>
      </x:c>
      <x:c r="M13" s="10"/>
      <x:c r="N13" s="10"/>
      <x:c r="O13" s="8" t="e">
        <x:f>IFERROR(MATCH(ROWS($A$5:A13),风险登记册!$AR$9:$AR$108,0),"")</x:f>
        <x:v>#NAME?</x:v>
      </x:c>
    </x:row>
    <x:row r="14">
      <x:c r="A14" s="8" t="str">
        <x:f>IF(O14="","",ROWS($A$5:A14))</x:f>
      </x:c>
      <x:c r="B14" s="8" t="e">
        <x:f>IF($O14="","",INDEX(风险登记册!$A$9:$A$108,$O14))</x:f>
        <x:v>#NAME?</x:v>
      </x:c>
      <x:c r="C14" s="8" t="e">
        <x:f>IF($O14="","",INDEX(风险登记册!$B$9:$B$108,$O14))</x:f>
        <x:v>#NAME?</x:v>
      </x:c>
      <x:c r="D14" s="8" t="e">
        <x:f>IF($O14="","",INDEX(风险登记册!$D$9:$D$108,$O14))</x:f>
        <x:v>#NAME?</x:v>
      </x:c>
      <x:c r="E14" s="8" t="e">
        <x:f>IF($O14="","",INDEX(风险登记册!$C$9:$C$108,$O14))</x:f>
        <x:v>#NAME?</x:v>
      </x:c>
      <x:c r="F14" s="8" t="e">
        <x:f>IF($O14="","",INDEX(风险登记册!$AH$9:$AH$108,$O14))</x:f>
        <x:v>#NAME?</x:v>
      </x:c>
      <x:c r="G14" s="8" t="e">
        <x:f>IF($O14="","",INDEX(风险登记册!$AI$9:$AI$108,$O14))</x:f>
        <x:v>#NAME?</x:v>
      </x:c>
      <x:c r="H14" s="8" t="e">
        <x:f>IF($O14="","",INDEX(风险登记册!$Z$9:$Z$108,$O14))</x:f>
        <x:v>#NAME?</x:v>
      </x:c>
      <x:c r="I14" s="8" t="e">
        <x:f>IF($O14="","",INDEX(风险登记册!$AC$9:$AC$108,$O14))</x:f>
        <x:v>#NAME?</x:v>
      </x:c>
      <x:c r="J14" s="8" t="e">
        <x:f>IF($O14="","",INDEX(风险登记册!$W$9:$W$108,$O14))</x:f>
        <x:v>#NAME?</x:v>
      </x:c>
      <x:c r="K14" s="25" t="e">
        <x:f>IF($O14="","",INDEX(风险登记册!$AB$9:$AB$108,$O14))</x:f>
        <x:v>#NAME?</x:v>
      </x:c>
      <x:c r="L14" s="8" t="e">
        <x:f>IF($B14="","",IFERROR(INDEX(风险应对计划!$E$9:$E$108,MATCH($B14,风险应对计划!$B$9:$B$108,0)),""))</x:f>
        <x:v>#NAME?</x:v>
      </x:c>
      <x:c r="M14" s="10"/>
      <x:c r="N14" s="10"/>
      <x:c r="O14" s="8" t="e">
        <x:f>IFERROR(MATCH(ROWS($A$5:A14),风险登记册!$AR$9:$AR$108,0),"")</x:f>
        <x:v>#NAME?</x:v>
      </x:c>
    </x:row>
    <x:row r="15">
      <x:c r="A15" s="8" t="str">
        <x:f>IF(O15="","",ROWS($A$5:A15))</x:f>
      </x:c>
      <x:c r="B15" s="8" t="e">
        <x:f>IF($O15="","",INDEX(风险登记册!$A$9:$A$108,$O15))</x:f>
        <x:v>#NAME?</x:v>
      </x:c>
      <x:c r="C15" s="8" t="e">
        <x:f>IF($O15="","",INDEX(风险登记册!$B$9:$B$108,$O15))</x:f>
        <x:v>#NAME?</x:v>
      </x:c>
      <x:c r="D15" s="8" t="e">
        <x:f>IF($O15="","",INDEX(风险登记册!$D$9:$D$108,$O15))</x:f>
        <x:v>#NAME?</x:v>
      </x:c>
      <x:c r="E15" s="8" t="e">
        <x:f>IF($O15="","",INDEX(风险登记册!$C$9:$C$108,$O15))</x:f>
        <x:v>#NAME?</x:v>
      </x:c>
      <x:c r="F15" s="8" t="e">
        <x:f>IF($O15="","",INDEX(风险登记册!$AH$9:$AH$108,$O15))</x:f>
        <x:v>#NAME?</x:v>
      </x:c>
      <x:c r="G15" s="8" t="e">
        <x:f>IF($O15="","",INDEX(风险登记册!$AI$9:$AI$108,$O15))</x:f>
        <x:v>#NAME?</x:v>
      </x:c>
      <x:c r="H15" s="8" t="e">
        <x:f>IF($O15="","",INDEX(风险登记册!$Z$9:$Z$108,$O15))</x:f>
        <x:v>#NAME?</x:v>
      </x:c>
      <x:c r="I15" s="8" t="e">
        <x:f>IF($O15="","",INDEX(风险登记册!$AC$9:$AC$108,$O15))</x:f>
        <x:v>#NAME?</x:v>
      </x:c>
      <x:c r="J15" s="8" t="e">
        <x:f>IF($O15="","",INDEX(风险登记册!$W$9:$W$108,$O15))</x:f>
        <x:v>#NAME?</x:v>
      </x:c>
      <x:c r="K15" s="25" t="e">
        <x:f>IF($O15="","",INDEX(风险登记册!$AB$9:$AB$108,$O15))</x:f>
        <x:v>#NAME?</x:v>
      </x:c>
      <x:c r="L15" s="8" t="e">
        <x:f>IF($B15="","",IFERROR(INDEX(风险应对计划!$E$9:$E$108,MATCH($B15,风险应对计划!$B$9:$B$108,0)),""))</x:f>
        <x:v>#NAME?</x:v>
      </x:c>
      <x:c r="M15" s="10"/>
      <x:c r="N15" s="10"/>
      <x:c r="O15" s="8" t="e">
        <x:f>IFERROR(MATCH(ROWS($A$5:A15),风险登记册!$AR$9:$AR$108,0),"")</x:f>
        <x:v>#NAME?</x:v>
      </x:c>
    </x:row>
    <x:row r="16">
      <x:c r="A16" s="8" t="str">
        <x:f>IF(O16="","",ROWS($A$5:A16))</x:f>
      </x:c>
      <x:c r="B16" s="8" t="e">
        <x:f>IF($O16="","",INDEX(风险登记册!$A$9:$A$108,$O16))</x:f>
        <x:v>#NAME?</x:v>
      </x:c>
      <x:c r="C16" s="8" t="e">
        <x:f>IF($O16="","",INDEX(风险登记册!$B$9:$B$108,$O16))</x:f>
        <x:v>#NAME?</x:v>
      </x:c>
      <x:c r="D16" s="8" t="e">
        <x:f>IF($O16="","",INDEX(风险登记册!$D$9:$D$108,$O16))</x:f>
        <x:v>#NAME?</x:v>
      </x:c>
      <x:c r="E16" s="8" t="e">
        <x:f>IF($O16="","",INDEX(风险登记册!$C$9:$C$108,$O16))</x:f>
        <x:v>#NAME?</x:v>
      </x:c>
      <x:c r="F16" s="8" t="e">
        <x:f>IF($O16="","",INDEX(风险登记册!$AH$9:$AH$108,$O16))</x:f>
        <x:v>#NAME?</x:v>
      </x:c>
      <x:c r="G16" s="8" t="e">
        <x:f>IF($O16="","",INDEX(风险登记册!$AI$9:$AI$108,$O16))</x:f>
        <x:v>#NAME?</x:v>
      </x:c>
      <x:c r="H16" s="8" t="e">
        <x:f>IF($O16="","",INDEX(风险登记册!$Z$9:$Z$108,$O16))</x:f>
        <x:v>#NAME?</x:v>
      </x:c>
      <x:c r="I16" s="8" t="e">
        <x:f>IF($O16="","",INDEX(风险登记册!$AC$9:$AC$108,$O16))</x:f>
        <x:v>#NAME?</x:v>
      </x:c>
      <x:c r="J16" s="8" t="e">
        <x:f>IF($O16="","",INDEX(风险登记册!$W$9:$W$108,$O16))</x:f>
        <x:v>#NAME?</x:v>
      </x:c>
      <x:c r="K16" s="25" t="e">
        <x:f>IF($O16="","",INDEX(风险登记册!$AB$9:$AB$108,$O16))</x:f>
        <x:v>#NAME?</x:v>
      </x:c>
      <x:c r="L16" s="8" t="e">
        <x:f>IF($B16="","",IFERROR(INDEX(风险应对计划!$E$9:$E$108,MATCH($B16,风险应对计划!$B$9:$B$108,0)),""))</x:f>
        <x:v>#NAME?</x:v>
      </x:c>
      <x:c r="M16" s="10"/>
      <x:c r="N16" s="10"/>
      <x:c r="O16" s="8" t="e">
        <x:f>IFERROR(MATCH(ROWS($A$5:A16),风险登记册!$AR$9:$AR$108,0),"")</x:f>
        <x:v>#NAME?</x:v>
      </x:c>
    </x:row>
    <x:row r="17">
      <x:c r="A17" s="8" t="str">
        <x:f>IF(O17="","",ROWS($A$5:A17))</x:f>
      </x:c>
      <x:c r="B17" s="8" t="e">
        <x:f>IF($O17="","",INDEX(风险登记册!$A$9:$A$108,$O17))</x:f>
        <x:v>#NAME?</x:v>
      </x:c>
      <x:c r="C17" s="8" t="e">
        <x:f>IF($O17="","",INDEX(风险登记册!$B$9:$B$108,$O17))</x:f>
        <x:v>#NAME?</x:v>
      </x:c>
      <x:c r="D17" s="8" t="e">
        <x:f>IF($O17="","",INDEX(风险登记册!$D$9:$D$108,$O17))</x:f>
        <x:v>#NAME?</x:v>
      </x:c>
      <x:c r="E17" s="8" t="e">
        <x:f>IF($O17="","",INDEX(风险登记册!$C$9:$C$108,$O17))</x:f>
        <x:v>#NAME?</x:v>
      </x:c>
      <x:c r="F17" s="8" t="e">
        <x:f>IF($O17="","",INDEX(风险登记册!$AH$9:$AH$108,$O17))</x:f>
        <x:v>#NAME?</x:v>
      </x:c>
      <x:c r="G17" s="8" t="e">
        <x:f>IF($O17="","",INDEX(风险登记册!$AI$9:$AI$108,$O17))</x:f>
        <x:v>#NAME?</x:v>
      </x:c>
      <x:c r="H17" s="8" t="e">
        <x:f>IF($O17="","",INDEX(风险登记册!$Z$9:$Z$108,$O17))</x:f>
        <x:v>#NAME?</x:v>
      </x:c>
      <x:c r="I17" s="8" t="e">
        <x:f>IF($O17="","",INDEX(风险登记册!$AC$9:$AC$108,$O17))</x:f>
        <x:v>#NAME?</x:v>
      </x:c>
      <x:c r="J17" s="8" t="e">
        <x:f>IF($O17="","",INDEX(风险登记册!$W$9:$W$108,$O17))</x:f>
        <x:v>#NAME?</x:v>
      </x:c>
      <x:c r="K17" s="25" t="e">
        <x:f>IF($O17="","",INDEX(风险登记册!$AB$9:$AB$108,$O17))</x:f>
        <x:v>#NAME?</x:v>
      </x:c>
      <x:c r="L17" s="8" t="e">
        <x:f>IF($B17="","",IFERROR(INDEX(风险应对计划!$E$9:$E$108,MATCH($B17,风险应对计划!$B$9:$B$108,0)),""))</x:f>
        <x:v>#NAME?</x:v>
      </x:c>
      <x:c r="M17" s="10"/>
      <x:c r="N17" s="10"/>
      <x:c r="O17" s="8" t="e">
        <x:f>IFERROR(MATCH(ROWS($A$5:A17),风险登记册!$AR$9:$AR$108,0),"")</x:f>
        <x:v>#NAME?</x:v>
      </x:c>
    </x:row>
    <x:row r="18">
      <x:c r="A18" s="8" t="str">
        <x:f>IF(O18="","",ROWS($A$5:A18))</x:f>
      </x:c>
      <x:c r="B18" s="8" t="e">
        <x:f>IF($O18="","",INDEX(风险登记册!$A$9:$A$108,$O18))</x:f>
        <x:v>#NAME?</x:v>
      </x:c>
      <x:c r="C18" s="8" t="e">
        <x:f>IF($O18="","",INDEX(风险登记册!$B$9:$B$108,$O18))</x:f>
        <x:v>#NAME?</x:v>
      </x:c>
      <x:c r="D18" s="8" t="e">
        <x:f>IF($O18="","",INDEX(风险登记册!$D$9:$D$108,$O18))</x:f>
        <x:v>#NAME?</x:v>
      </x:c>
      <x:c r="E18" s="8" t="e">
        <x:f>IF($O18="","",INDEX(风险登记册!$C$9:$C$108,$O18))</x:f>
        <x:v>#NAME?</x:v>
      </x:c>
      <x:c r="F18" s="8" t="e">
        <x:f>IF($O18="","",INDEX(风险登记册!$AH$9:$AH$108,$O18))</x:f>
        <x:v>#NAME?</x:v>
      </x:c>
      <x:c r="G18" s="8" t="e">
        <x:f>IF($O18="","",INDEX(风险登记册!$AI$9:$AI$108,$O18))</x:f>
        <x:v>#NAME?</x:v>
      </x:c>
      <x:c r="H18" s="8" t="e">
        <x:f>IF($O18="","",INDEX(风险登记册!$Z$9:$Z$108,$O18))</x:f>
        <x:v>#NAME?</x:v>
      </x:c>
      <x:c r="I18" s="8" t="e">
        <x:f>IF($O18="","",INDEX(风险登记册!$AC$9:$AC$108,$O18))</x:f>
        <x:v>#NAME?</x:v>
      </x:c>
      <x:c r="J18" s="8" t="e">
        <x:f>IF($O18="","",INDEX(风险登记册!$W$9:$W$108,$O18))</x:f>
        <x:v>#NAME?</x:v>
      </x:c>
      <x:c r="K18" s="25" t="e">
        <x:f>IF($O18="","",INDEX(风险登记册!$AB$9:$AB$108,$O18))</x:f>
        <x:v>#NAME?</x:v>
      </x:c>
      <x:c r="L18" s="8" t="e">
        <x:f>IF($B18="","",IFERROR(INDEX(风险应对计划!$E$9:$E$108,MATCH($B18,风险应对计划!$B$9:$B$108,0)),""))</x:f>
        <x:v>#NAME?</x:v>
      </x:c>
      <x:c r="M18" s="10"/>
      <x:c r="N18" s="10"/>
      <x:c r="O18" s="8" t="e">
        <x:f>IFERROR(MATCH(ROWS($A$5:A18),风险登记册!$AR$9:$AR$108,0),"")</x:f>
        <x:v>#NAME?</x:v>
      </x:c>
    </x:row>
    <x:row r="19">
      <x:c r="A19" s="8" t="str">
        <x:f>IF(O19="","",ROWS($A$5:A19))</x:f>
      </x:c>
      <x:c r="B19" s="8" t="e">
        <x:f>IF($O19="","",INDEX(风险登记册!$A$9:$A$108,$O19))</x:f>
        <x:v>#NAME?</x:v>
      </x:c>
      <x:c r="C19" s="8" t="e">
        <x:f>IF($O19="","",INDEX(风险登记册!$B$9:$B$108,$O19))</x:f>
        <x:v>#NAME?</x:v>
      </x:c>
      <x:c r="D19" s="8" t="e">
        <x:f>IF($O19="","",INDEX(风险登记册!$D$9:$D$108,$O19))</x:f>
        <x:v>#NAME?</x:v>
      </x:c>
      <x:c r="E19" s="8" t="e">
        <x:f>IF($O19="","",INDEX(风险登记册!$C$9:$C$108,$O19))</x:f>
        <x:v>#NAME?</x:v>
      </x:c>
      <x:c r="F19" s="8" t="e">
        <x:f>IF($O19="","",INDEX(风险登记册!$AH$9:$AH$108,$O19))</x:f>
        <x:v>#NAME?</x:v>
      </x:c>
      <x:c r="G19" s="8" t="e">
        <x:f>IF($O19="","",INDEX(风险登记册!$AI$9:$AI$108,$O19))</x:f>
        <x:v>#NAME?</x:v>
      </x:c>
      <x:c r="H19" s="8" t="e">
        <x:f>IF($O19="","",INDEX(风险登记册!$Z$9:$Z$108,$O19))</x:f>
        <x:v>#NAME?</x:v>
      </x:c>
      <x:c r="I19" s="8" t="e">
        <x:f>IF($O19="","",INDEX(风险登记册!$AC$9:$AC$108,$O19))</x:f>
        <x:v>#NAME?</x:v>
      </x:c>
      <x:c r="J19" s="8" t="e">
        <x:f>IF($O19="","",INDEX(风险登记册!$W$9:$W$108,$O19))</x:f>
        <x:v>#NAME?</x:v>
      </x:c>
      <x:c r="K19" s="25" t="e">
        <x:f>IF($O19="","",INDEX(风险登记册!$AB$9:$AB$108,$O19))</x:f>
        <x:v>#NAME?</x:v>
      </x:c>
      <x:c r="L19" s="8" t="e">
        <x:f>IF($B19="","",IFERROR(INDEX(风险应对计划!$E$9:$E$108,MATCH($B19,风险应对计划!$B$9:$B$108,0)),""))</x:f>
        <x:v>#NAME?</x:v>
      </x:c>
      <x:c r="M19" s="10"/>
      <x:c r="N19" s="10"/>
      <x:c r="O19" s="8" t="e">
        <x:f>IFERROR(MATCH(ROWS($A$5:A19),风险登记册!$AR$9:$AR$108,0),"")</x:f>
        <x:v>#NAME?</x:v>
      </x:c>
    </x:row>
    <x:row r="20">
      <x:c r="A20" s="8" t="str">
        <x:f>IF(O20="","",ROWS($A$5:A20))</x:f>
      </x:c>
      <x:c r="B20" s="8" t="e">
        <x:f>IF($O20="","",INDEX(风险登记册!$A$9:$A$108,$O20))</x:f>
        <x:v>#NAME?</x:v>
      </x:c>
      <x:c r="C20" s="8" t="e">
        <x:f>IF($O20="","",INDEX(风险登记册!$B$9:$B$108,$O20))</x:f>
        <x:v>#NAME?</x:v>
      </x:c>
      <x:c r="D20" s="8" t="e">
        <x:f>IF($O20="","",INDEX(风险登记册!$D$9:$D$108,$O20))</x:f>
        <x:v>#NAME?</x:v>
      </x:c>
      <x:c r="E20" s="8" t="e">
        <x:f>IF($O20="","",INDEX(风险登记册!$C$9:$C$108,$O20))</x:f>
        <x:v>#NAME?</x:v>
      </x:c>
      <x:c r="F20" s="8" t="e">
        <x:f>IF($O20="","",INDEX(风险登记册!$AH$9:$AH$108,$O20))</x:f>
        <x:v>#NAME?</x:v>
      </x:c>
      <x:c r="G20" s="8" t="e">
        <x:f>IF($O20="","",INDEX(风险登记册!$AI$9:$AI$108,$O20))</x:f>
        <x:v>#NAME?</x:v>
      </x:c>
      <x:c r="H20" s="8" t="e">
        <x:f>IF($O20="","",INDEX(风险登记册!$Z$9:$Z$108,$O20))</x:f>
        <x:v>#NAME?</x:v>
      </x:c>
      <x:c r="I20" s="8" t="e">
        <x:f>IF($O20="","",INDEX(风险登记册!$AC$9:$AC$108,$O20))</x:f>
        <x:v>#NAME?</x:v>
      </x:c>
      <x:c r="J20" s="8" t="e">
        <x:f>IF($O20="","",INDEX(风险登记册!$W$9:$W$108,$O20))</x:f>
        <x:v>#NAME?</x:v>
      </x:c>
      <x:c r="K20" s="25" t="e">
        <x:f>IF($O20="","",INDEX(风险登记册!$AB$9:$AB$108,$O20))</x:f>
        <x:v>#NAME?</x:v>
      </x:c>
      <x:c r="L20" s="8" t="e">
        <x:f>IF($B20="","",IFERROR(INDEX(风险应对计划!$E$9:$E$108,MATCH($B20,风险应对计划!$B$9:$B$108,0)),""))</x:f>
        <x:v>#NAME?</x:v>
      </x:c>
      <x:c r="M20" s="10"/>
      <x:c r="N20" s="10"/>
      <x:c r="O20" s="8" t="e">
        <x:f>IFERROR(MATCH(ROWS($A$5:A20),风险登记册!$AR$9:$AR$108,0),"")</x:f>
        <x:v>#NAME?</x:v>
      </x:c>
    </x:row>
    <x:row r="21">
      <x:c r="A21" s="8" t="str">
        <x:f>IF(O21="","",ROWS($A$5:A21))</x:f>
      </x:c>
      <x:c r="B21" s="8" t="e">
        <x:f>IF($O21="","",INDEX(风险登记册!$A$9:$A$108,$O21))</x:f>
        <x:v>#NAME?</x:v>
      </x:c>
      <x:c r="C21" s="8" t="e">
        <x:f>IF($O21="","",INDEX(风险登记册!$B$9:$B$108,$O21))</x:f>
        <x:v>#NAME?</x:v>
      </x:c>
      <x:c r="D21" s="8" t="e">
        <x:f>IF($O21="","",INDEX(风险登记册!$D$9:$D$108,$O21))</x:f>
        <x:v>#NAME?</x:v>
      </x:c>
      <x:c r="E21" s="8" t="e">
        <x:f>IF($O21="","",INDEX(风险登记册!$C$9:$C$108,$O21))</x:f>
        <x:v>#NAME?</x:v>
      </x:c>
      <x:c r="F21" s="8" t="e">
        <x:f>IF($O21="","",INDEX(风险登记册!$AH$9:$AH$108,$O21))</x:f>
        <x:v>#NAME?</x:v>
      </x:c>
      <x:c r="G21" s="8" t="e">
        <x:f>IF($O21="","",INDEX(风险登记册!$AI$9:$AI$108,$O21))</x:f>
        <x:v>#NAME?</x:v>
      </x:c>
      <x:c r="H21" s="8" t="e">
        <x:f>IF($O21="","",INDEX(风险登记册!$Z$9:$Z$108,$O21))</x:f>
        <x:v>#NAME?</x:v>
      </x:c>
      <x:c r="I21" s="8" t="e">
        <x:f>IF($O21="","",INDEX(风险登记册!$AC$9:$AC$108,$O21))</x:f>
        <x:v>#NAME?</x:v>
      </x:c>
      <x:c r="J21" s="8" t="e">
        <x:f>IF($O21="","",INDEX(风险登记册!$W$9:$W$108,$O21))</x:f>
        <x:v>#NAME?</x:v>
      </x:c>
      <x:c r="K21" s="25" t="e">
        <x:f>IF($O21="","",INDEX(风险登记册!$AB$9:$AB$108,$O21))</x:f>
        <x:v>#NAME?</x:v>
      </x:c>
      <x:c r="L21" s="8" t="e">
        <x:f>IF($B21="","",IFERROR(INDEX(风险应对计划!$E$9:$E$108,MATCH($B21,风险应对计划!$B$9:$B$108,0)),""))</x:f>
        <x:v>#NAME?</x:v>
      </x:c>
      <x:c r="M21" s="10"/>
      <x:c r="N21" s="10"/>
      <x:c r="O21" s="8" t="e">
        <x:f>IFERROR(MATCH(ROWS($A$5:A21),风险登记册!$AR$9:$AR$108,0),"")</x:f>
        <x:v>#NAME?</x:v>
      </x:c>
    </x:row>
    <x:row r="22">
      <x:c r="A22" s="8" t="str">
        <x:f>IF(O22="","",ROWS($A$5:A22))</x:f>
      </x:c>
      <x:c r="B22" s="8" t="e">
        <x:f>IF($O22="","",INDEX(风险登记册!$A$9:$A$108,$O22))</x:f>
        <x:v>#NAME?</x:v>
      </x:c>
      <x:c r="C22" s="8" t="e">
        <x:f>IF($O22="","",INDEX(风险登记册!$B$9:$B$108,$O22))</x:f>
        <x:v>#NAME?</x:v>
      </x:c>
      <x:c r="D22" s="8" t="e">
        <x:f>IF($O22="","",INDEX(风险登记册!$D$9:$D$108,$O22))</x:f>
        <x:v>#NAME?</x:v>
      </x:c>
      <x:c r="E22" s="8" t="e">
        <x:f>IF($O22="","",INDEX(风险登记册!$C$9:$C$108,$O22))</x:f>
        <x:v>#NAME?</x:v>
      </x:c>
      <x:c r="F22" s="8" t="e">
        <x:f>IF($O22="","",INDEX(风险登记册!$AH$9:$AH$108,$O22))</x:f>
        <x:v>#NAME?</x:v>
      </x:c>
      <x:c r="G22" s="8" t="e">
        <x:f>IF($O22="","",INDEX(风险登记册!$AI$9:$AI$108,$O22))</x:f>
        <x:v>#NAME?</x:v>
      </x:c>
      <x:c r="H22" s="8" t="e">
        <x:f>IF($O22="","",INDEX(风险登记册!$Z$9:$Z$108,$O22))</x:f>
        <x:v>#NAME?</x:v>
      </x:c>
      <x:c r="I22" s="8" t="e">
        <x:f>IF($O22="","",INDEX(风险登记册!$AC$9:$AC$108,$O22))</x:f>
        <x:v>#NAME?</x:v>
      </x:c>
      <x:c r="J22" s="8" t="e">
        <x:f>IF($O22="","",INDEX(风险登记册!$W$9:$W$108,$O22))</x:f>
        <x:v>#NAME?</x:v>
      </x:c>
      <x:c r="K22" s="25" t="e">
        <x:f>IF($O22="","",INDEX(风险登记册!$AB$9:$AB$108,$O22))</x:f>
        <x:v>#NAME?</x:v>
      </x:c>
      <x:c r="L22" s="8" t="e">
        <x:f>IF($B22="","",IFERROR(INDEX(风险应对计划!$E$9:$E$108,MATCH($B22,风险应对计划!$B$9:$B$108,0)),""))</x:f>
        <x:v>#NAME?</x:v>
      </x:c>
      <x:c r="M22" s="10"/>
      <x:c r="N22" s="10"/>
      <x:c r="O22" s="8" t="e">
        <x:f>IFERROR(MATCH(ROWS($A$5:A22),风险登记册!$AR$9:$AR$108,0),"")</x:f>
        <x:v>#NAME?</x:v>
      </x:c>
    </x:row>
    <x:row r="23">
      <x:c r="A23" s="8" t="str">
        <x:f>IF(O23="","",ROWS($A$5:A23))</x:f>
      </x:c>
      <x:c r="B23" s="8" t="e">
        <x:f>IF($O23="","",INDEX(风险登记册!$A$9:$A$108,$O23))</x:f>
        <x:v>#NAME?</x:v>
      </x:c>
      <x:c r="C23" s="8" t="e">
        <x:f>IF($O23="","",INDEX(风险登记册!$B$9:$B$108,$O23))</x:f>
        <x:v>#NAME?</x:v>
      </x:c>
      <x:c r="D23" s="8" t="e">
        <x:f>IF($O23="","",INDEX(风险登记册!$D$9:$D$108,$O23))</x:f>
        <x:v>#NAME?</x:v>
      </x:c>
      <x:c r="E23" s="8" t="e">
        <x:f>IF($O23="","",INDEX(风险登记册!$C$9:$C$108,$O23))</x:f>
        <x:v>#NAME?</x:v>
      </x:c>
      <x:c r="F23" s="8" t="e">
        <x:f>IF($O23="","",INDEX(风险登记册!$AH$9:$AH$108,$O23))</x:f>
        <x:v>#NAME?</x:v>
      </x:c>
      <x:c r="G23" s="8" t="e">
        <x:f>IF($O23="","",INDEX(风险登记册!$AI$9:$AI$108,$O23))</x:f>
        <x:v>#NAME?</x:v>
      </x:c>
      <x:c r="H23" s="8" t="e">
        <x:f>IF($O23="","",INDEX(风险登记册!$Z$9:$Z$108,$O23))</x:f>
        <x:v>#NAME?</x:v>
      </x:c>
      <x:c r="I23" s="8" t="e">
        <x:f>IF($O23="","",INDEX(风险登记册!$AC$9:$AC$108,$O23))</x:f>
        <x:v>#NAME?</x:v>
      </x:c>
      <x:c r="J23" s="8" t="e">
        <x:f>IF($O23="","",INDEX(风险登记册!$W$9:$W$108,$O23))</x:f>
        <x:v>#NAME?</x:v>
      </x:c>
      <x:c r="K23" s="25" t="e">
        <x:f>IF($O23="","",INDEX(风险登记册!$AB$9:$AB$108,$O23))</x:f>
        <x:v>#NAME?</x:v>
      </x:c>
      <x:c r="L23" s="8" t="e">
        <x:f>IF($B23="","",IFERROR(INDEX(风险应对计划!$E$9:$E$108,MATCH($B23,风险应对计划!$B$9:$B$108,0)),""))</x:f>
        <x:v>#NAME?</x:v>
      </x:c>
      <x:c r="M23" s="10"/>
      <x:c r="N23" s="10"/>
      <x:c r="O23" s="8" t="e">
        <x:f>IFERROR(MATCH(ROWS($A$5:A23),风险登记册!$AR$9:$AR$108,0),"")</x:f>
        <x:v>#NAME?</x:v>
      </x:c>
    </x:row>
    <x:row r="24">
      <x:c r="A24" s="8" t="str">
        <x:f>IF(O24="","",ROWS($A$5:A24))</x:f>
      </x:c>
      <x:c r="B24" s="8" t="e">
        <x:f>IF($O24="","",INDEX(风险登记册!$A$9:$A$108,$O24))</x:f>
        <x:v>#NAME?</x:v>
      </x:c>
      <x:c r="C24" s="8" t="e">
        <x:f>IF($O24="","",INDEX(风险登记册!$B$9:$B$108,$O24))</x:f>
        <x:v>#NAME?</x:v>
      </x:c>
      <x:c r="D24" s="8" t="e">
        <x:f>IF($O24="","",INDEX(风险登记册!$D$9:$D$108,$O24))</x:f>
        <x:v>#NAME?</x:v>
      </x:c>
      <x:c r="E24" s="8" t="e">
        <x:f>IF($O24="","",INDEX(风险登记册!$C$9:$C$108,$O24))</x:f>
        <x:v>#NAME?</x:v>
      </x:c>
      <x:c r="F24" s="8" t="e">
        <x:f>IF($O24="","",INDEX(风险登记册!$AH$9:$AH$108,$O24))</x:f>
        <x:v>#NAME?</x:v>
      </x:c>
      <x:c r="G24" s="8" t="e">
        <x:f>IF($O24="","",INDEX(风险登记册!$AI$9:$AI$108,$O24))</x:f>
        <x:v>#NAME?</x:v>
      </x:c>
      <x:c r="H24" s="8" t="e">
        <x:f>IF($O24="","",INDEX(风险登记册!$Z$9:$Z$108,$O24))</x:f>
        <x:v>#NAME?</x:v>
      </x:c>
      <x:c r="I24" s="8" t="e">
        <x:f>IF($O24="","",INDEX(风险登记册!$AC$9:$AC$108,$O24))</x:f>
        <x:v>#NAME?</x:v>
      </x:c>
      <x:c r="J24" s="8" t="e">
        <x:f>IF($O24="","",INDEX(风险登记册!$W$9:$W$108,$O24))</x:f>
        <x:v>#NAME?</x:v>
      </x:c>
      <x:c r="K24" s="25" t="e">
        <x:f>IF($O24="","",INDEX(风险登记册!$AB$9:$AB$108,$O24))</x:f>
        <x:v>#NAME?</x:v>
      </x:c>
      <x:c r="L24" s="8" t="e">
        <x:f>IF($B24="","",IFERROR(INDEX(风险应对计划!$E$9:$E$108,MATCH($B24,风险应对计划!$B$9:$B$108,0)),""))</x:f>
        <x:v>#NAME?</x:v>
      </x:c>
      <x:c r="M24" s="10"/>
      <x:c r="N24" s="10"/>
      <x:c r="O24" s="8" t="e">
        <x:f>IFERROR(MATCH(ROWS($A$5:A24),风险登记册!$AR$9:$AR$108,0),"")</x:f>
        <x:v>#NAME?</x:v>
      </x:c>
    </x:row>
    <x:row r="25">
      <x:c r="A25" s="8" t="str">
        <x:f>IF(O25="","",ROWS($A$5:A25))</x:f>
      </x:c>
      <x:c r="B25" s="8" t="e">
        <x:f>IF($O25="","",INDEX(风险登记册!$A$9:$A$108,$O25))</x:f>
        <x:v>#NAME?</x:v>
      </x:c>
      <x:c r="C25" s="8" t="e">
        <x:f>IF($O25="","",INDEX(风险登记册!$B$9:$B$108,$O25))</x:f>
        <x:v>#NAME?</x:v>
      </x:c>
      <x:c r="D25" s="8" t="e">
        <x:f>IF($O25="","",INDEX(风险登记册!$D$9:$D$108,$O25))</x:f>
        <x:v>#NAME?</x:v>
      </x:c>
      <x:c r="E25" s="8" t="e">
        <x:f>IF($O25="","",INDEX(风险登记册!$C$9:$C$108,$O25))</x:f>
        <x:v>#NAME?</x:v>
      </x:c>
      <x:c r="F25" s="8" t="e">
        <x:f>IF($O25="","",INDEX(风险登记册!$AH$9:$AH$108,$O25))</x:f>
        <x:v>#NAME?</x:v>
      </x:c>
      <x:c r="G25" s="8" t="e">
        <x:f>IF($O25="","",INDEX(风险登记册!$AI$9:$AI$108,$O25))</x:f>
        <x:v>#NAME?</x:v>
      </x:c>
      <x:c r="H25" s="8" t="e">
        <x:f>IF($O25="","",INDEX(风险登记册!$Z$9:$Z$108,$O25))</x:f>
        <x:v>#NAME?</x:v>
      </x:c>
      <x:c r="I25" s="8" t="e">
        <x:f>IF($O25="","",INDEX(风险登记册!$AC$9:$AC$108,$O25))</x:f>
        <x:v>#NAME?</x:v>
      </x:c>
      <x:c r="J25" s="8" t="e">
        <x:f>IF($O25="","",INDEX(风险登记册!$W$9:$W$108,$O25))</x:f>
        <x:v>#NAME?</x:v>
      </x:c>
      <x:c r="K25" s="25" t="e">
        <x:f>IF($O25="","",INDEX(风险登记册!$AB$9:$AB$108,$O25))</x:f>
        <x:v>#NAME?</x:v>
      </x:c>
      <x:c r="L25" s="8" t="e">
        <x:f>IF($B25="","",IFERROR(INDEX(风险应对计划!$E$9:$E$108,MATCH($B25,风险应对计划!$B$9:$B$108,0)),""))</x:f>
        <x:v>#NAME?</x:v>
      </x:c>
      <x:c r="M25" s="10"/>
      <x:c r="N25" s="10"/>
      <x:c r="O25" s="8" t="e">
        <x:f>IFERROR(MATCH(ROWS($A$5:A25),风险登记册!$AR$9:$AR$108,0),"")</x:f>
        <x:v>#NAME?</x:v>
      </x:c>
    </x:row>
    <x:row r="26">
      <x:c r="A26" s="8" t="str">
        <x:f>IF(O26="","",ROWS($A$5:A26))</x:f>
      </x:c>
      <x:c r="B26" s="8" t="e">
        <x:f>IF($O26="","",INDEX(风险登记册!$A$9:$A$108,$O26))</x:f>
        <x:v>#NAME?</x:v>
      </x:c>
      <x:c r="C26" s="8" t="e">
        <x:f>IF($O26="","",INDEX(风险登记册!$B$9:$B$108,$O26))</x:f>
        <x:v>#NAME?</x:v>
      </x:c>
      <x:c r="D26" s="8" t="e">
        <x:f>IF($O26="","",INDEX(风险登记册!$D$9:$D$108,$O26))</x:f>
        <x:v>#NAME?</x:v>
      </x:c>
      <x:c r="E26" s="8" t="e">
        <x:f>IF($O26="","",INDEX(风险登记册!$C$9:$C$108,$O26))</x:f>
        <x:v>#NAME?</x:v>
      </x:c>
      <x:c r="F26" s="8" t="e">
        <x:f>IF($O26="","",INDEX(风险登记册!$AH$9:$AH$108,$O26))</x:f>
        <x:v>#NAME?</x:v>
      </x:c>
      <x:c r="G26" s="8" t="e">
        <x:f>IF($O26="","",INDEX(风险登记册!$AI$9:$AI$108,$O26))</x:f>
        <x:v>#NAME?</x:v>
      </x:c>
      <x:c r="H26" s="8" t="e">
        <x:f>IF($O26="","",INDEX(风险登记册!$Z$9:$Z$108,$O26))</x:f>
        <x:v>#NAME?</x:v>
      </x:c>
      <x:c r="I26" s="8" t="e">
        <x:f>IF($O26="","",INDEX(风险登记册!$AC$9:$AC$108,$O26))</x:f>
        <x:v>#NAME?</x:v>
      </x:c>
      <x:c r="J26" s="8" t="e">
        <x:f>IF($O26="","",INDEX(风险登记册!$W$9:$W$108,$O26))</x:f>
        <x:v>#NAME?</x:v>
      </x:c>
      <x:c r="K26" s="25" t="e">
        <x:f>IF($O26="","",INDEX(风险登记册!$AB$9:$AB$108,$O26))</x:f>
        <x:v>#NAME?</x:v>
      </x:c>
      <x:c r="L26" s="8" t="e">
        <x:f>IF($B26="","",IFERROR(INDEX(风险应对计划!$E$9:$E$108,MATCH($B26,风险应对计划!$B$9:$B$108,0)),""))</x:f>
        <x:v>#NAME?</x:v>
      </x:c>
      <x:c r="M26" s="10"/>
      <x:c r="N26" s="10"/>
      <x:c r="O26" s="8" t="e">
        <x:f>IFERROR(MATCH(ROWS($A$5:A26),风险登记册!$AR$9:$AR$108,0),"")</x:f>
        <x:v>#NAME?</x:v>
      </x:c>
    </x:row>
    <x:row r="27">
      <x:c r="A27" s="8" t="str">
        <x:f>IF(O27="","",ROWS($A$5:A27))</x:f>
      </x:c>
      <x:c r="B27" s="8" t="e">
        <x:f>IF($O27="","",INDEX(风险登记册!$A$9:$A$108,$O27))</x:f>
        <x:v>#NAME?</x:v>
      </x:c>
      <x:c r="C27" s="8" t="e">
        <x:f>IF($O27="","",INDEX(风险登记册!$B$9:$B$108,$O27))</x:f>
        <x:v>#NAME?</x:v>
      </x:c>
      <x:c r="D27" s="8" t="e">
        <x:f>IF($O27="","",INDEX(风险登记册!$D$9:$D$108,$O27))</x:f>
        <x:v>#NAME?</x:v>
      </x:c>
      <x:c r="E27" s="8" t="e">
        <x:f>IF($O27="","",INDEX(风险登记册!$C$9:$C$108,$O27))</x:f>
        <x:v>#NAME?</x:v>
      </x:c>
      <x:c r="F27" s="8" t="e">
        <x:f>IF($O27="","",INDEX(风险登记册!$AH$9:$AH$108,$O27))</x:f>
        <x:v>#NAME?</x:v>
      </x:c>
      <x:c r="G27" s="8" t="e">
        <x:f>IF($O27="","",INDEX(风险登记册!$AI$9:$AI$108,$O27))</x:f>
        <x:v>#NAME?</x:v>
      </x:c>
      <x:c r="H27" s="8" t="e">
        <x:f>IF($O27="","",INDEX(风险登记册!$Z$9:$Z$108,$O27))</x:f>
        <x:v>#NAME?</x:v>
      </x:c>
      <x:c r="I27" s="8" t="e">
        <x:f>IF($O27="","",INDEX(风险登记册!$AC$9:$AC$108,$O27))</x:f>
        <x:v>#NAME?</x:v>
      </x:c>
      <x:c r="J27" s="8" t="e">
        <x:f>IF($O27="","",INDEX(风险登记册!$W$9:$W$108,$O27))</x:f>
        <x:v>#NAME?</x:v>
      </x:c>
      <x:c r="K27" s="25" t="e">
        <x:f>IF($O27="","",INDEX(风险登记册!$AB$9:$AB$108,$O27))</x:f>
        <x:v>#NAME?</x:v>
      </x:c>
      <x:c r="L27" s="8" t="e">
        <x:f>IF($B27="","",IFERROR(INDEX(风险应对计划!$E$9:$E$108,MATCH($B27,风险应对计划!$B$9:$B$108,0)),""))</x:f>
        <x:v>#NAME?</x:v>
      </x:c>
      <x:c r="M27" s="10"/>
      <x:c r="N27" s="10"/>
      <x:c r="O27" s="8" t="e">
        <x:f>IFERROR(MATCH(ROWS($A$5:A27),风险登记册!$AR$9:$AR$108,0),"")</x:f>
        <x:v>#NAME?</x:v>
      </x:c>
    </x:row>
    <x:row r="28">
      <x:c r="A28" s="8" t="str">
        <x:f>IF(O28="","",ROWS($A$5:A28))</x:f>
      </x:c>
      <x:c r="B28" s="8" t="e">
        <x:f>IF($O28="","",INDEX(风险登记册!$A$9:$A$108,$O28))</x:f>
        <x:v>#NAME?</x:v>
      </x:c>
      <x:c r="C28" s="8" t="e">
        <x:f>IF($O28="","",INDEX(风险登记册!$B$9:$B$108,$O28))</x:f>
        <x:v>#NAME?</x:v>
      </x:c>
      <x:c r="D28" s="8" t="e">
        <x:f>IF($O28="","",INDEX(风险登记册!$D$9:$D$108,$O28))</x:f>
        <x:v>#NAME?</x:v>
      </x:c>
      <x:c r="E28" s="8" t="e">
        <x:f>IF($O28="","",INDEX(风险登记册!$C$9:$C$108,$O28))</x:f>
        <x:v>#NAME?</x:v>
      </x:c>
      <x:c r="F28" s="8" t="e">
        <x:f>IF($O28="","",INDEX(风险登记册!$AH$9:$AH$108,$O28))</x:f>
        <x:v>#NAME?</x:v>
      </x:c>
      <x:c r="G28" s="8" t="e">
        <x:f>IF($O28="","",INDEX(风险登记册!$AI$9:$AI$108,$O28))</x:f>
        <x:v>#NAME?</x:v>
      </x:c>
      <x:c r="H28" s="8" t="e">
        <x:f>IF($O28="","",INDEX(风险登记册!$Z$9:$Z$108,$O28))</x:f>
        <x:v>#NAME?</x:v>
      </x:c>
      <x:c r="I28" s="8" t="e">
        <x:f>IF($O28="","",INDEX(风险登记册!$AC$9:$AC$108,$O28))</x:f>
        <x:v>#NAME?</x:v>
      </x:c>
      <x:c r="J28" s="8" t="e">
        <x:f>IF($O28="","",INDEX(风险登记册!$W$9:$W$108,$O28))</x:f>
        <x:v>#NAME?</x:v>
      </x:c>
      <x:c r="K28" s="25" t="e">
        <x:f>IF($O28="","",INDEX(风险登记册!$AB$9:$AB$108,$O28))</x:f>
        <x:v>#NAME?</x:v>
      </x:c>
      <x:c r="L28" s="8" t="e">
        <x:f>IF($B28="","",IFERROR(INDEX(风险应对计划!$E$9:$E$108,MATCH($B28,风险应对计划!$B$9:$B$108,0)),""))</x:f>
        <x:v>#NAME?</x:v>
      </x:c>
      <x:c r="M28" s="10"/>
      <x:c r="N28" s="10"/>
      <x:c r="O28" s="8" t="e">
        <x:f>IFERROR(MATCH(ROWS($A$5:A28),风险登记册!$AR$9:$AR$108,0),"")</x:f>
        <x:v>#NAME?</x:v>
      </x:c>
    </x:row>
    <x:row r="29">
      <x:c r="A29" s="8" t="str">
        <x:f>IF(O29="","",ROWS($A$5:A29))</x:f>
      </x:c>
      <x:c r="B29" s="8" t="e">
        <x:f>IF($O29="","",INDEX(风险登记册!$A$9:$A$108,$O29))</x:f>
        <x:v>#NAME?</x:v>
      </x:c>
      <x:c r="C29" s="8" t="e">
        <x:f>IF($O29="","",INDEX(风险登记册!$B$9:$B$108,$O29))</x:f>
        <x:v>#NAME?</x:v>
      </x:c>
      <x:c r="D29" s="8" t="e">
        <x:f>IF($O29="","",INDEX(风险登记册!$D$9:$D$108,$O29))</x:f>
        <x:v>#NAME?</x:v>
      </x:c>
      <x:c r="E29" s="8" t="e">
        <x:f>IF($O29="","",INDEX(风险登记册!$C$9:$C$108,$O29))</x:f>
        <x:v>#NAME?</x:v>
      </x:c>
      <x:c r="F29" s="8" t="e">
        <x:f>IF($O29="","",INDEX(风险登记册!$AH$9:$AH$108,$O29))</x:f>
        <x:v>#NAME?</x:v>
      </x:c>
      <x:c r="G29" s="8" t="e">
        <x:f>IF($O29="","",INDEX(风险登记册!$AI$9:$AI$108,$O29))</x:f>
        <x:v>#NAME?</x:v>
      </x:c>
      <x:c r="H29" s="8" t="e">
        <x:f>IF($O29="","",INDEX(风险登记册!$Z$9:$Z$108,$O29))</x:f>
        <x:v>#NAME?</x:v>
      </x:c>
      <x:c r="I29" s="8" t="e">
        <x:f>IF($O29="","",INDEX(风险登记册!$AC$9:$AC$108,$O29))</x:f>
        <x:v>#NAME?</x:v>
      </x:c>
      <x:c r="J29" s="8" t="e">
        <x:f>IF($O29="","",INDEX(风险登记册!$W$9:$W$108,$O29))</x:f>
        <x:v>#NAME?</x:v>
      </x:c>
      <x:c r="K29" s="25" t="e">
        <x:f>IF($O29="","",INDEX(风险登记册!$AB$9:$AB$108,$O29))</x:f>
        <x:v>#NAME?</x:v>
      </x:c>
      <x:c r="L29" s="8" t="e">
        <x:f>IF($B29="","",IFERROR(INDEX(风险应对计划!$E$9:$E$108,MATCH($B29,风险应对计划!$B$9:$B$108,0)),""))</x:f>
        <x:v>#NAME?</x:v>
      </x:c>
      <x:c r="M29" s="10"/>
      <x:c r="N29" s="10"/>
      <x:c r="O29" s="8" t="e">
        <x:f>IFERROR(MATCH(ROWS($A$5:A29),风险登记册!$AR$9:$AR$108,0),"")</x:f>
        <x:v>#NAME?</x:v>
      </x:c>
    </x:row>
    <x:row r="30">
      <x:c r="A30" s="8" t="str">
        <x:f>IF(O30="","",ROWS($A$5:A30))</x:f>
      </x:c>
      <x:c r="B30" s="8" t="e">
        <x:f>IF($O30="","",INDEX(风险登记册!$A$9:$A$108,$O30))</x:f>
        <x:v>#NAME?</x:v>
      </x:c>
      <x:c r="C30" s="8" t="e">
        <x:f>IF($O30="","",INDEX(风险登记册!$B$9:$B$108,$O30))</x:f>
        <x:v>#NAME?</x:v>
      </x:c>
      <x:c r="D30" s="8" t="e">
        <x:f>IF($O30="","",INDEX(风险登记册!$D$9:$D$108,$O30))</x:f>
        <x:v>#NAME?</x:v>
      </x:c>
      <x:c r="E30" s="8" t="e">
        <x:f>IF($O30="","",INDEX(风险登记册!$C$9:$C$108,$O30))</x:f>
        <x:v>#NAME?</x:v>
      </x:c>
      <x:c r="F30" s="8" t="e">
        <x:f>IF($O30="","",INDEX(风险登记册!$AH$9:$AH$108,$O30))</x:f>
        <x:v>#NAME?</x:v>
      </x:c>
      <x:c r="G30" s="8" t="e">
        <x:f>IF($O30="","",INDEX(风险登记册!$AI$9:$AI$108,$O30))</x:f>
        <x:v>#NAME?</x:v>
      </x:c>
      <x:c r="H30" s="8" t="e">
        <x:f>IF($O30="","",INDEX(风险登记册!$Z$9:$Z$108,$O30))</x:f>
        <x:v>#NAME?</x:v>
      </x:c>
      <x:c r="I30" s="8" t="e">
        <x:f>IF($O30="","",INDEX(风险登记册!$AC$9:$AC$108,$O30))</x:f>
        <x:v>#NAME?</x:v>
      </x:c>
      <x:c r="J30" s="8" t="e">
        <x:f>IF($O30="","",INDEX(风险登记册!$W$9:$W$108,$O30))</x:f>
        <x:v>#NAME?</x:v>
      </x:c>
      <x:c r="K30" s="25" t="e">
        <x:f>IF($O30="","",INDEX(风险登记册!$AB$9:$AB$108,$O30))</x:f>
        <x:v>#NAME?</x:v>
      </x:c>
      <x:c r="L30" s="8" t="e">
        <x:f>IF($B30="","",IFERROR(INDEX(风险应对计划!$E$9:$E$108,MATCH($B30,风险应对计划!$B$9:$B$108,0)),""))</x:f>
        <x:v>#NAME?</x:v>
      </x:c>
      <x:c r="M30" s="10"/>
      <x:c r="N30" s="10"/>
      <x:c r="O30" s="8" t="e">
        <x:f>IFERROR(MATCH(ROWS($A$5:A30),风险登记册!$AR$9:$AR$108,0),"")</x:f>
        <x:v>#NAME?</x:v>
      </x:c>
    </x:row>
    <x:row r="31">
      <x:c r="A31" s="8" t="str">
        <x:f>IF(O31="","",ROWS($A$5:A31))</x:f>
      </x:c>
      <x:c r="B31" s="8" t="e">
        <x:f>IF($O31="","",INDEX(风险登记册!$A$9:$A$108,$O31))</x:f>
        <x:v>#NAME?</x:v>
      </x:c>
      <x:c r="C31" s="8" t="e">
        <x:f>IF($O31="","",INDEX(风险登记册!$B$9:$B$108,$O31))</x:f>
        <x:v>#NAME?</x:v>
      </x:c>
      <x:c r="D31" s="8" t="e">
        <x:f>IF($O31="","",INDEX(风险登记册!$D$9:$D$108,$O31))</x:f>
        <x:v>#NAME?</x:v>
      </x:c>
      <x:c r="E31" s="8" t="e">
        <x:f>IF($O31="","",INDEX(风险登记册!$C$9:$C$108,$O31))</x:f>
        <x:v>#NAME?</x:v>
      </x:c>
      <x:c r="F31" s="8" t="e">
        <x:f>IF($O31="","",INDEX(风险登记册!$AH$9:$AH$108,$O31))</x:f>
        <x:v>#NAME?</x:v>
      </x:c>
      <x:c r="G31" s="8" t="e">
        <x:f>IF($O31="","",INDEX(风险登记册!$AI$9:$AI$108,$O31))</x:f>
        <x:v>#NAME?</x:v>
      </x:c>
      <x:c r="H31" s="8" t="e">
        <x:f>IF($O31="","",INDEX(风险登记册!$Z$9:$Z$108,$O31))</x:f>
        <x:v>#NAME?</x:v>
      </x:c>
      <x:c r="I31" s="8" t="e">
        <x:f>IF($O31="","",INDEX(风险登记册!$AC$9:$AC$108,$O31))</x:f>
        <x:v>#NAME?</x:v>
      </x:c>
      <x:c r="J31" s="8" t="e">
        <x:f>IF($O31="","",INDEX(风险登记册!$W$9:$W$108,$O31))</x:f>
        <x:v>#NAME?</x:v>
      </x:c>
      <x:c r="K31" s="25" t="e">
        <x:f>IF($O31="","",INDEX(风险登记册!$AB$9:$AB$108,$O31))</x:f>
        <x:v>#NAME?</x:v>
      </x:c>
      <x:c r="L31" s="8" t="e">
        <x:f>IF($B31="","",IFERROR(INDEX(风险应对计划!$E$9:$E$108,MATCH($B31,风险应对计划!$B$9:$B$108,0)),""))</x:f>
        <x:v>#NAME?</x:v>
      </x:c>
      <x:c r="M31" s="10"/>
      <x:c r="N31" s="10"/>
      <x:c r="O31" s="8" t="e">
        <x:f>IFERROR(MATCH(ROWS($A$5:A31),风险登记册!$AR$9:$AR$108,0),"")</x:f>
        <x:v>#NAME?</x:v>
      </x:c>
    </x:row>
    <x:row r="32">
      <x:c r="A32" s="8" t="str">
        <x:f>IF(O32="","",ROWS($A$5:A32))</x:f>
      </x:c>
      <x:c r="B32" s="8" t="e">
        <x:f>IF($O32="","",INDEX(风险登记册!$A$9:$A$108,$O32))</x:f>
        <x:v>#NAME?</x:v>
      </x:c>
      <x:c r="C32" s="8" t="e">
        <x:f>IF($O32="","",INDEX(风险登记册!$B$9:$B$108,$O32))</x:f>
        <x:v>#NAME?</x:v>
      </x:c>
      <x:c r="D32" s="8" t="e">
        <x:f>IF($O32="","",INDEX(风险登记册!$D$9:$D$108,$O32))</x:f>
        <x:v>#NAME?</x:v>
      </x:c>
      <x:c r="E32" s="8" t="e">
        <x:f>IF($O32="","",INDEX(风险登记册!$C$9:$C$108,$O32))</x:f>
        <x:v>#NAME?</x:v>
      </x:c>
      <x:c r="F32" s="8" t="e">
        <x:f>IF($O32="","",INDEX(风险登记册!$AH$9:$AH$108,$O32))</x:f>
        <x:v>#NAME?</x:v>
      </x:c>
      <x:c r="G32" s="8" t="e">
        <x:f>IF($O32="","",INDEX(风险登记册!$AI$9:$AI$108,$O32))</x:f>
        <x:v>#NAME?</x:v>
      </x:c>
      <x:c r="H32" s="8" t="e">
        <x:f>IF($O32="","",INDEX(风险登记册!$Z$9:$Z$108,$O32))</x:f>
        <x:v>#NAME?</x:v>
      </x:c>
      <x:c r="I32" s="8" t="e">
        <x:f>IF($O32="","",INDEX(风险登记册!$AC$9:$AC$108,$O32))</x:f>
        <x:v>#NAME?</x:v>
      </x:c>
      <x:c r="J32" s="8" t="e">
        <x:f>IF($O32="","",INDEX(风险登记册!$W$9:$W$108,$O32))</x:f>
        <x:v>#NAME?</x:v>
      </x:c>
      <x:c r="K32" s="25" t="e">
        <x:f>IF($O32="","",INDEX(风险登记册!$AB$9:$AB$108,$O32))</x:f>
        <x:v>#NAME?</x:v>
      </x:c>
      <x:c r="L32" s="8" t="e">
        <x:f>IF($B32="","",IFERROR(INDEX(风险应对计划!$E$9:$E$108,MATCH($B32,风险应对计划!$B$9:$B$108,0)),""))</x:f>
        <x:v>#NAME?</x:v>
      </x:c>
      <x:c r="M32" s="10"/>
      <x:c r="N32" s="10"/>
      <x:c r="O32" s="8" t="e">
        <x:f>IFERROR(MATCH(ROWS($A$5:A32),风险登记册!$AR$9:$AR$108,0),"")</x:f>
        <x:v>#NAME?</x:v>
      </x:c>
    </x:row>
    <x:row r="33">
      <x:c r="A33" s="8" t="str">
        <x:f>IF(O33="","",ROWS($A$5:A33))</x:f>
      </x:c>
      <x:c r="B33" s="8" t="e">
        <x:f>IF($O33="","",INDEX(风险登记册!$A$9:$A$108,$O33))</x:f>
        <x:v>#NAME?</x:v>
      </x:c>
      <x:c r="C33" s="8" t="e">
        <x:f>IF($O33="","",INDEX(风险登记册!$B$9:$B$108,$O33))</x:f>
        <x:v>#NAME?</x:v>
      </x:c>
      <x:c r="D33" s="8" t="e">
        <x:f>IF($O33="","",INDEX(风险登记册!$D$9:$D$108,$O33))</x:f>
        <x:v>#NAME?</x:v>
      </x:c>
      <x:c r="E33" s="8" t="e">
        <x:f>IF($O33="","",INDEX(风险登记册!$C$9:$C$108,$O33))</x:f>
        <x:v>#NAME?</x:v>
      </x:c>
      <x:c r="F33" s="8" t="e">
        <x:f>IF($O33="","",INDEX(风险登记册!$AH$9:$AH$108,$O33))</x:f>
        <x:v>#NAME?</x:v>
      </x:c>
      <x:c r="G33" s="8" t="e">
        <x:f>IF($O33="","",INDEX(风险登记册!$AI$9:$AI$108,$O33))</x:f>
        <x:v>#NAME?</x:v>
      </x:c>
      <x:c r="H33" s="8" t="e">
        <x:f>IF($O33="","",INDEX(风险登记册!$Z$9:$Z$108,$O33))</x:f>
        <x:v>#NAME?</x:v>
      </x:c>
      <x:c r="I33" s="8" t="e">
        <x:f>IF($O33="","",INDEX(风险登记册!$AC$9:$AC$108,$O33))</x:f>
        <x:v>#NAME?</x:v>
      </x:c>
      <x:c r="J33" s="8" t="e">
        <x:f>IF($O33="","",INDEX(风险登记册!$W$9:$W$108,$O33))</x:f>
        <x:v>#NAME?</x:v>
      </x:c>
      <x:c r="K33" s="25" t="e">
        <x:f>IF($O33="","",INDEX(风险登记册!$AB$9:$AB$108,$O33))</x:f>
        <x:v>#NAME?</x:v>
      </x:c>
      <x:c r="L33" s="8" t="e">
        <x:f>IF($B33="","",IFERROR(INDEX(风险应对计划!$E$9:$E$108,MATCH($B33,风险应对计划!$B$9:$B$108,0)),""))</x:f>
        <x:v>#NAME?</x:v>
      </x:c>
      <x:c r="M33" s="10"/>
      <x:c r="N33" s="10"/>
      <x:c r="O33" s="8" t="e">
        <x:f>IFERROR(MATCH(ROWS($A$5:A33),风险登记册!$AR$9:$AR$108,0),"")</x:f>
        <x:v>#NAME?</x:v>
      </x:c>
    </x:row>
    <x:row r="34">
      <x:c r="A34" s="8" t="str">
        <x:f>IF(O34="","",ROWS($A$5:A34))</x:f>
      </x:c>
      <x:c r="B34" s="8" t="e">
        <x:f>IF($O34="","",INDEX(风险登记册!$A$9:$A$108,$O34))</x:f>
        <x:v>#NAME?</x:v>
      </x:c>
      <x:c r="C34" s="8" t="e">
        <x:f>IF($O34="","",INDEX(风险登记册!$B$9:$B$108,$O34))</x:f>
        <x:v>#NAME?</x:v>
      </x:c>
      <x:c r="D34" s="8" t="e">
        <x:f>IF($O34="","",INDEX(风险登记册!$D$9:$D$108,$O34))</x:f>
        <x:v>#NAME?</x:v>
      </x:c>
      <x:c r="E34" s="8" t="e">
        <x:f>IF($O34="","",INDEX(风险登记册!$C$9:$C$108,$O34))</x:f>
        <x:v>#NAME?</x:v>
      </x:c>
      <x:c r="F34" s="8" t="e">
        <x:f>IF($O34="","",INDEX(风险登记册!$AH$9:$AH$108,$O34))</x:f>
        <x:v>#NAME?</x:v>
      </x:c>
      <x:c r="G34" s="8" t="e">
        <x:f>IF($O34="","",INDEX(风险登记册!$AI$9:$AI$108,$O34))</x:f>
        <x:v>#NAME?</x:v>
      </x:c>
      <x:c r="H34" s="8" t="e">
        <x:f>IF($O34="","",INDEX(风险登记册!$Z$9:$Z$108,$O34))</x:f>
        <x:v>#NAME?</x:v>
      </x:c>
      <x:c r="I34" s="8" t="e">
        <x:f>IF($O34="","",INDEX(风险登记册!$AC$9:$AC$108,$O34))</x:f>
        <x:v>#NAME?</x:v>
      </x:c>
      <x:c r="J34" s="8" t="e">
        <x:f>IF($O34="","",INDEX(风险登记册!$W$9:$W$108,$O34))</x:f>
        <x:v>#NAME?</x:v>
      </x:c>
      <x:c r="K34" s="25" t="e">
        <x:f>IF($O34="","",INDEX(风险登记册!$AB$9:$AB$108,$O34))</x:f>
        <x:v>#NAME?</x:v>
      </x:c>
      <x:c r="L34" s="8" t="e">
        <x:f>IF($B34="","",IFERROR(INDEX(风险应对计划!$E$9:$E$108,MATCH($B34,风险应对计划!$B$9:$B$108,0)),""))</x:f>
        <x:v>#NAME?</x:v>
      </x:c>
      <x:c r="M34" s="10"/>
      <x:c r="N34" s="10"/>
      <x:c r="O34" s="8" t="e">
        <x:f>IFERROR(MATCH(ROWS($A$5:A34),风险登记册!$AR$9:$AR$108,0),"")</x:f>
        <x:v>#NAME?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5" width="16" style="1" customWidth="1"/>
    <x:col min="6" max="8" width="28" style="1" customWidth="1"/>
    <x:col min="9" max="12" width="16" style="1" customWidth="1"/>
    <x:col min="13" max="13" width="28" style="1" customWidth="1"/>
    <x:col min="14" max="14" width="16" style="1" customWidth="1"/>
    <x:col min="15" max="16" width="28" style="1" customWidth="1"/>
    <x:col min="17" max="18" width="16" style="1" customWidth="1"/>
    <x:col min="19" max="20" width="28" style="1" customWidth="1"/>
    <x:col min="21" max="23" width="16" style="1" customWidth="1"/>
    <x:col min="24" max="24" width="28" style="1" customWidth="1"/>
    <x:col min="25" max="25" width="16" style="1" customWidth="1"/>
  </x:cols>
  <x:sheetData>
    <x:row r="1" ht="28" customHeight="1">
      <x:c r="A1" s="44" t="s">
        <x:v>280</x:v>
      </x:c>
    </x:row>
    <x:row r="2" ht="24" customHeight="1">
      <x:c r="A2" s="45" t="s">
        <x:v>281</x:v>
      </x:c>
    </x:row>
    <x:row r="4" ht="34" customHeight="1">
      <x:c r="A4" s="7" t="s">
        <x:v>282</x:v>
      </x:c>
      <x:c r="B4" s="7" t="s">
        <x:v>220</x:v>
      </x:c>
      <x:c r="C4" s="7" t="s">
        <x:v>221</x:v>
      </x:c>
      <x:c r="D4" s="7" t="s">
        <x:v>283</x:v>
      </x:c>
      <x:c r="E4" s="7" t="s">
        <x:v>284</x:v>
      </x:c>
      <x:c r="F4" s="7" t="s">
        <x:v>285</x:v>
      </x:c>
      <x:c r="G4" s="7" t="s">
        <x:v>286</x:v>
      </x:c>
      <x:c r="H4" s="7" t="s">
        <x:v>287</x:v>
      </x:c>
      <x:c r="I4" s="7" t="s">
        <x:v>288</x:v>
      </x:c>
      <x:c r="J4" s="7" t="s">
        <x:v>289</x:v>
      </x:c>
      <x:c r="K4" s="7" t="s">
        <x:v>290</x:v>
      </x:c>
      <x:c r="L4" s="7" t="s">
        <x:v>242</x:v>
      </x:c>
      <x:c r="M4" s="7" t="s">
        <x:v>291</x:v>
      </x:c>
      <x:c r="N4" s="7" t="s">
        <x:v>243</x:v>
      </x:c>
      <x:c r="O4" s="7" t="s">
        <x:v>292</x:v>
      </x:c>
      <x:c r="P4" s="7" t="s">
        <x:v>293</x:v>
      </x:c>
      <x:c r="Q4" s="7" t="s">
        <x:v>294</x:v>
      </x:c>
      <x:c r="R4" s="7" t="s">
        <x:v>295</x:v>
      </x:c>
      <x:c r="S4" s="7" t="s">
        <x:v>296</x:v>
      </x:c>
      <x:c r="T4" s="7" t="s">
        <x:v>297</x:v>
      </x:c>
      <x:c r="U4" s="7" t="s">
        <x:v>298</x:v>
      </x:c>
      <x:c r="V4" s="7" t="s">
        <x:v>299</x:v>
      </x:c>
      <x:c r="W4" s="7" t="s">
        <x:v>300</x:v>
      </x:c>
      <x:c r="X4" s="7" t="s">
        <x:v>301</x:v>
      </x:c>
      <x:c r="Y4" s="7" t="s">
        <x:v>302</x:v>
      </x:c>
    </x:row>
    <x:row r="5">
      <x:c r="A5" s="8" t="str">
        <x:f t="shared" ref="A5:A24" si="0">IF(B5="","","MR-"&amp;TEXT(ROW()-4,"000"))</x:f>
      </x:c>
      <x:c r="B5" s="10"/>
      <x:c r="C5" s="8" t="e">
        <x:f>IF(B5="","",IFERROR(INDEX(风险登记册!$B$9:$B$108,MATCH(B5,风险登记册!$A$9:$A$108,0)),""))</x:f>
        <x:v>#NAME?</x:v>
      </x:c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1"/>
      <x:c r="W5" s="10"/>
      <x:c r="X5" s="10"/>
      <x:c r="Y5" s="11"/>
    </x:row>
    <x:row r="6">
      <x:c r="A6" s="8" t="str">
        <x:f t="shared" si="0"/>
      </x:c>
      <x:c r="B6" s="10"/>
      <x:c r="C6" s="8" t="e">
        <x:f>IF(B6="","",IFERROR(INDEX(风险登记册!$B$9:$B$108,MATCH(B6,风险登记册!$A$9:$A$108,0)),""))</x:f>
        <x:v>#NAME?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1"/>
      <x:c r="W6" s="10"/>
      <x:c r="X6" s="10"/>
      <x:c r="Y6" s="11"/>
    </x:row>
    <x:row r="7">
      <x:c r="A7" s="8" t="str">
        <x:f t="shared" si="0"/>
      </x:c>
      <x:c r="B7" s="10"/>
      <x:c r="C7" s="8" t="e">
        <x:f>IF(B7="","",IFERROR(INDEX(风险登记册!$B$9:$B$108,MATCH(B7,风险登记册!$A$9:$A$108,0)),""))</x:f>
        <x:v>#NAME?</x:v>
      </x:c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1"/>
      <x:c r="W7" s="10"/>
      <x:c r="X7" s="10"/>
      <x:c r="Y7" s="11"/>
    </x:row>
    <x:row r="8">
      <x:c r="A8" s="8" t="str">
        <x:f t="shared" si="0"/>
      </x:c>
      <x:c r="B8" s="10"/>
      <x:c r="C8" s="8" t="e">
        <x:f>IF(B8="","",IFERROR(INDEX(风险登记册!$B$9:$B$108,MATCH(B8,风险登记册!$A$9:$A$108,0)),""))</x:f>
        <x:v>#NAME?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1"/>
      <x:c r="W8" s="10"/>
      <x:c r="X8" s="10"/>
      <x:c r="Y8" s="11"/>
    </x:row>
    <x:row r="9">
      <x:c r="A9" s="8" t="str">
        <x:f t="shared" si="0"/>
      </x:c>
      <x:c r="B9" s="10"/>
      <x:c r="C9" s="8" t="e">
        <x:f>IF(B9="","",IFERROR(INDEX(风险登记册!$B$9:$B$108,MATCH(B9,风险登记册!$A$9:$A$108,0)),""))</x:f>
        <x:v>#NAME?</x:v>
      </x:c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1"/>
      <x:c r="W9" s="10"/>
      <x:c r="X9" s="10"/>
      <x:c r="Y9" s="11"/>
    </x:row>
    <x:row r="10">
      <x:c r="A10" s="8" t="str">
        <x:f t="shared" si="0"/>
      </x:c>
      <x:c r="B10" s="10"/>
      <x:c r="C10" s="8" t="e">
        <x:f>IF(B10="","",IFERROR(INDEX(风险登记册!$B$9:$B$108,MATCH(B10,风险登记册!$A$9:$A$108,0)),""))</x:f>
        <x:v>#NAME?</x:v>
      </x:c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1"/>
      <x:c r="W10" s="10"/>
      <x:c r="X10" s="10"/>
      <x:c r="Y10" s="11"/>
    </x:row>
    <x:row r="11">
      <x:c r="A11" s="8" t="str">
        <x:f t="shared" si="0"/>
      </x:c>
      <x:c r="B11" s="10"/>
      <x:c r="C11" s="8" t="e">
        <x:f>IF(B11="","",IFERROR(INDEX(风险登记册!$B$9:$B$108,MATCH(B11,风险登记册!$A$9:$A$108,0)),""))</x:f>
        <x:v>#NAME?</x:v>
      </x:c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1"/>
      <x:c r="W11" s="10"/>
      <x:c r="X11" s="10"/>
      <x:c r="Y11" s="11"/>
    </x:row>
    <x:row r="12">
      <x:c r="A12" s="8" t="str">
        <x:f t="shared" si="0"/>
      </x:c>
      <x:c r="B12" s="10"/>
      <x:c r="C12" s="8" t="e">
        <x:f>IF(B12="","",IFERROR(INDEX(风险登记册!$B$9:$B$108,MATCH(B12,风险登记册!$A$9:$A$108,0)),""))</x:f>
        <x:v>#NAME?</x:v>
      </x:c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1"/>
      <x:c r="W12" s="10"/>
      <x:c r="X12" s="10"/>
      <x:c r="Y12" s="11"/>
    </x:row>
    <x:row r="13">
      <x:c r="A13" s="8" t="str">
        <x:f t="shared" si="0"/>
      </x:c>
      <x:c r="B13" s="10"/>
      <x:c r="C13" s="8" t="e">
        <x:f>IF(B13="","",IFERROR(INDEX(风险登记册!$B$9:$B$108,MATCH(B13,风险登记册!$A$9:$A$108,0)),""))</x:f>
        <x:v>#NAME?</x:v>
      </x:c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1"/>
      <x:c r="W13" s="10"/>
      <x:c r="X13" s="10"/>
      <x:c r="Y13" s="11"/>
    </x:row>
    <x:row r="14">
      <x:c r="A14" s="8" t="str">
        <x:f t="shared" si="0"/>
      </x:c>
      <x:c r="B14" s="10"/>
      <x:c r="C14" s="8" t="e">
        <x:f>IF(B14="","",IFERROR(INDEX(风险登记册!$B$9:$B$108,MATCH(B14,风险登记册!$A$9:$A$108,0)),""))</x:f>
        <x:v>#NAME?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1"/>
      <x:c r="W14" s="10"/>
      <x:c r="X14" s="10"/>
      <x:c r="Y14" s="11"/>
    </x:row>
    <x:row r="15">
      <x:c r="A15" s="8" t="str">
        <x:f t="shared" si="0"/>
      </x:c>
      <x:c r="B15" s="10"/>
      <x:c r="C15" s="8" t="e">
        <x:f>IF(B15="","",IFERROR(INDEX(风险登记册!$B$9:$B$108,MATCH(B15,风险登记册!$A$9:$A$108,0)),""))</x:f>
        <x:v>#NAME?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1"/>
      <x:c r="W15" s="10"/>
      <x:c r="X15" s="10"/>
      <x:c r="Y15" s="11"/>
    </x:row>
    <x:row r="16">
      <x:c r="A16" s="8" t="str">
        <x:f t="shared" si="0"/>
      </x:c>
      <x:c r="B16" s="10"/>
      <x:c r="C16" s="8" t="e">
        <x:f>IF(B16="","",IFERROR(INDEX(风险登记册!$B$9:$B$108,MATCH(B16,风险登记册!$A$9:$A$108,0)),""))</x:f>
        <x:v>#NAME?</x:v>
      </x:c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1"/>
      <x:c r="W16" s="10"/>
      <x:c r="X16" s="10"/>
      <x:c r="Y16" s="11"/>
    </x:row>
    <x:row r="17">
      <x:c r="A17" s="8" t="str">
        <x:f t="shared" si="0"/>
      </x:c>
      <x:c r="B17" s="10"/>
      <x:c r="C17" s="8" t="e">
        <x:f>IF(B17="","",IFERROR(INDEX(风险登记册!$B$9:$B$108,MATCH(B17,风险登记册!$A$9:$A$108,0)),""))</x:f>
        <x:v>#NAME?</x:v>
      </x:c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1"/>
      <x:c r="W17" s="10"/>
      <x:c r="X17" s="10"/>
      <x:c r="Y17" s="11"/>
    </x:row>
    <x:row r="18">
      <x:c r="A18" s="8" t="str">
        <x:f t="shared" si="0"/>
      </x:c>
      <x:c r="B18" s="10"/>
      <x:c r="C18" s="8" t="e">
        <x:f>IF(B18="","",IFERROR(INDEX(风险登记册!$B$9:$B$108,MATCH(B18,风险登记册!$A$9:$A$108,0)),""))</x:f>
        <x:v>#NAME?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1"/>
      <x:c r="W18" s="10"/>
      <x:c r="X18" s="10"/>
      <x:c r="Y18" s="11"/>
    </x:row>
    <x:row r="19">
      <x:c r="A19" s="8" t="str">
        <x:f t="shared" si="0"/>
      </x:c>
      <x:c r="B19" s="10"/>
      <x:c r="C19" s="8" t="e">
        <x:f>IF(B19="","",IFERROR(INDEX(风险登记册!$B$9:$B$108,MATCH(B19,风险登记册!$A$9:$A$108,0)),""))</x:f>
        <x:v>#NAME?</x:v>
      </x:c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1"/>
      <x:c r="W19" s="10"/>
      <x:c r="X19" s="10"/>
      <x:c r="Y19" s="11"/>
    </x:row>
    <x:row r="20">
      <x:c r="A20" s="8" t="str">
        <x:f t="shared" si="0"/>
      </x:c>
      <x:c r="B20" s="10"/>
      <x:c r="C20" s="8" t="e">
        <x:f>IF(B20="","",IFERROR(INDEX(风险登记册!$B$9:$B$108,MATCH(B20,风险登记册!$A$9:$A$108,0)),""))</x:f>
        <x:v>#NAME?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1"/>
      <x:c r="W20" s="10"/>
      <x:c r="X20" s="10"/>
      <x:c r="Y20" s="11"/>
    </x:row>
    <x:row r="21">
      <x:c r="A21" s="8" t="str">
        <x:f t="shared" si="0"/>
      </x:c>
      <x:c r="B21" s="10"/>
      <x:c r="C21" s="8" t="e">
        <x:f>IF(B21="","",IFERROR(INDEX(风险登记册!$B$9:$B$108,MATCH(B21,风险登记册!$A$9:$A$108,0)),""))</x:f>
        <x:v>#NAME?</x:v>
      </x:c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1"/>
      <x:c r="W21" s="10"/>
      <x:c r="X21" s="10"/>
      <x:c r="Y21" s="11"/>
    </x:row>
    <x:row r="22">
      <x:c r="A22" s="8" t="str">
        <x:f t="shared" si="0"/>
      </x:c>
      <x:c r="B22" s="10"/>
      <x:c r="C22" s="8" t="e">
        <x:f>IF(B22="","",IFERROR(INDEX(风险登记册!$B$9:$B$108,MATCH(B22,风险登记册!$A$9:$A$108,0)),""))</x:f>
        <x:v>#NAME?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1"/>
      <x:c r="W22" s="10"/>
      <x:c r="X22" s="10"/>
      <x:c r="Y22" s="11"/>
    </x:row>
    <x:row r="23">
      <x:c r="A23" s="8" t="str">
        <x:f t="shared" si="0"/>
      </x:c>
      <x:c r="B23" s="10"/>
      <x:c r="C23" s="8" t="e">
        <x:f>IF(B23="","",IFERROR(INDEX(风险登记册!$B$9:$B$108,MATCH(B23,风险登记册!$A$9:$A$108,0)),""))</x:f>
        <x:v>#NAME?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1"/>
      <x:c r="W23" s="10"/>
      <x:c r="X23" s="10"/>
      <x:c r="Y23" s="11"/>
    </x:row>
    <x:row r="24">
      <x:c r="A24" s="8" t="str">
        <x:f t="shared" si="0"/>
      </x:c>
      <x:c r="B24" s="10"/>
      <x:c r="C24" s="8" t="e">
        <x:f>IF(B24="","",IFERROR(INDEX(风险登记册!$B$9:$B$108,MATCH(B24,风险登记册!$A$9:$A$108,0)),""))</x:f>
        <x:v>#NAME?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1"/>
      <x:c r="W24" s="10"/>
      <x:c r="X24" s="10"/>
      <x:c r="Y24" s="11"/>
    </x:row>
  </x:sheetData>
  <x:mergeCells>
    <x:mergeCell ref="A1:Y1"/>
    <x:mergeCell ref="A2:Y2"/>
  </x:mergeCells>
  <x:dataValidations count="2">
    <x:dataValidation type="list" allowBlank="1" sqref="L5:L24">
      <x:formula1>"规避,减轻,转移,接受,上报,开拓,提高,分享"</x:formula1>
    </x:dataValidation>
    <x:dataValidation type="list" allowBlank="1" sqref="W5:W24">
      <x:formula1>"批准,调整,暂缓,接受"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3" style="1" customWidth="1"/>
    <x:col min="3" max="3" width="25" style="1" customWidth="1"/>
    <x:col min="4" max="4" width="13" style="1" customWidth="1"/>
    <x:col min="5" max="5" width="32" style="1" customWidth="1"/>
    <x:col min="6" max="6" width="12" style="1" customWidth="1"/>
    <x:col min="7" max="7" width="15" style="1" customWidth="1"/>
    <x:col min="8" max="8" width="18" style="1" customWidth="1"/>
    <x:col min="9" max="11" width="14" style="1" customWidth="1"/>
    <x:col min="12" max="12" width="12" style="1" customWidth="1"/>
    <x:col min="13" max="13" width="14" style="1" customWidth="1"/>
    <x:col min="14" max="14" width="26" style="1" customWidth="1"/>
    <x:col min="15" max="16" width="13" style="1" customWidth="1"/>
    <x:col min="17" max="17" width="11" style="1" customWidth="1"/>
    <x:col min="18" max="18" width="14" style="1" customWidth="1"/>
    <x:col min="19" max="20" width="24" style="1" customWidth="1"/>
  </x:cols>
  <x:sheetData>
    <x:row r="1" ht="28" customHeight="1">
      <x:c r="A1" s="44" t="s">
        <x:v>303</x:v>
      </x:c>
    </x:row>
    <x:row r="2" ht="24" customHeight="1">
      <x:c r="A2" s="45" t="s">
        <x:v>304</x:v>
      </x:c>
    </x:row>
    <x:row r="4" ht="34" customHeight="1">
      <x:c r="A4" s="7" t="s">
        <x:v>305</x:v>
      </x:c>
      <x:c r="B4" s="7" t="s">
        <x:v>220</x:v>
      </x:c>
      <x:c r="C4" s="7" t="s">
        <x:v>221</x:v>
      </x:c>
      <x:c r="D4" s="7" t="s">
        <x:v>242</x:v>
      </x:c>
      <x:c r="E4" s="7" t="s">
        <x:v>306</x:v>
      </x:c>
      <x:c r="F4" s="7" t="s">
        <x:v>307</x:v>
      </x:c>
      <x:c r="G4" s="7" t="s">
        <x:v>114</x:v>
      </x:c>
      <x:c r="H4" s="7" t="s">
        <x:v>308</x:v>
      </x:c>
      <x:c r="I4" s="7" t="s">
        <x:v>309</x:v>
      </x:c>
      <x:c r="J4" s="7" t="s">
        <x:v>310</x:v>
      </x:c>
      <x:c r="K4" s="7" t="s">
        <x:v>311</x:v>
      </x:c>
      <x:c r="L4" s="7" t="s">
        <x:v>312</x:v>
      </x:c>
      <x:c r="M4" s="7" t="s">
        <x:v>313</x:v>
      </x:c>
      <x:c r="N4" s="7" t="s">
        <x:v>314</x:v>
      </x:c>
      <x:c r="O4" s="7" t="s">
        <x:v>315</x:v>
      </x:c>
      <x:c r="P4" s="7" t="s">
        <x:v>116</x:v>
      </x:c>
      <x:c r="Q4" s="7" t="s">
        <x:v>316</x:v>
      </x:c>
      <x:c r="R4" s="7" t="s">
        <x:v>317</x:v>
      </x:c>
      <x:c r="S4" s="7" t="s">
        <x:v>318</x:v>
      </x:c>
      <x:c r="T4" s="7" t="s">
        <x:v>67</x:v>
      </x:c>
    </x:row>
    <x:row r="5">
      <x:c r="A5" s="8" t="str">
        <x:f t="shared" ref="A5:A68" si="0">IF(B5="","","RA-"&amp;TEXT(ROW()-4,"000"))</x:f>
      </x:c>
      <x:c r="B5" s="10"/>
      <x:c r="C5" s="8" t="e">
        <x:f>IF(B5="","",IFERROR(INDEX(风险登记册!$B$9:$B$108,MATCH(B5,风险登记册!$A$9:$A$108,0)),""))</x:f>
        <x:v>#NAME?</x:v>
      </x:c>
      <x:c r="D5" s="10"/>
      <x:c r="E5" s="10"/>
      <x:c r="F5" s="10"/>
      <x:c r="G5" s="10"/>
      <x:c r="H5" s="10"/>
      <x:c r="I5" s="11"/>
      <x:c r="J5" s="11"/>
      <x:c r="K5" s="11"/>
      <x:c r="L5" s="10"/>
      <x:c r="M5" s="46"/>
      <x:c r="N5" s="10"/>
      <x:c r="O5" s="47"/>
      <x:c r="P5" s="10"/>
      <x:c r="Q5" s="8" t="e">
        <x:f>IF(B5="","",IF(AND(J5&lt;项目驾驶舱!$B$3,P5&lt;&gt;"已完成"),"是","否"))</x:f>
        <x:v>#NAME?</x:v>
      </x:c>
      <x:c r="R5" s="10"/>
      <x:c r="S5" s="10"/>
      <x:c r="T5" s="10"/>
    </x:row>
    <x:row r="6">
      <x:c r="A6" s="8" t="str">
        <x:f t="shared" si="0"/>
      </x:c>
      <x:c r="B6" s="10"/>
      <x:c r="C6" s="8" t="e">
        <x:f>IF(B6="","",IFERROR(INDEX(风险登记册!$B$9:$B$108,MATCH(B6,风险登记册!$A$9:$A$108,0)),""))</x:f>
        <x:v>#NAME?</x:v>
      </x:c>
      <x:c r="D6" s="10"/>
      <x:c r="E6" s="10"/>
      <x:c r="F6" s="10"/>
      <x:c r="G6" s="10"/>
      <x:c r="H6" s="10"/>
      <x:c r="I6" s="11"/>
      <x:c r="J6" s="11"/>
      <x:c r="K6" s="11"/>
      <x:c r="L6" s="10"/>
      <x:c r="M6" s="46"/>
      <x:c r="N6" s="10"/>
      <x:c r="O6" s="47"/>
      <x:c r="P6" s="10"/>
      <x:c r="Q6" s="8" t="e">
        <x:f>IF(B6="","",IF(AND(J6&lt;项目驾驶舱!$B$3,P6&lt;&gt;"已完成"),"是","否"))</x:f>
        <x:v>#NAME?</x:v>
      </x:c>
      <x:c r="R6" s="10"/>
      <x:c r="S6" s="10"/>
      <x:c r="T6" s="10"/>
    </x:row>
    <x:row r="7">
      <x:c r="A7" s="8" t="str">
        <x:f t="shared" si="0"/>
      </x:c>
      <x:c r="B7" s="10"/>
      <x:c r="C7" s="8" t="e">
        <x:f>IF(B7="","",IFERROR(INDEX(风险登记册!$B$9:$B$108,MATCH(B7,风险登记册!$A$9:$A$108,0)),""))</x:f>
        <x:v>#NAME?</x:v>
      </x:c>
      <x:c r="D7" s="10"/>
      <x:c r="E7" s="10"/>
      <x:c r="F7" s="10"/>
      <x:c r="G7" s="10"/>
      <x:c r="H7" s="10"/>
      <x:c r="I7" s="11"/>
      <x:c r="J7" s="11"/>
      <x:c r="K7" s="11"/>
      <x:c r="L7" s="10"/>
      <x:c r="M7" s="46"/>
      <x:c r="N7" s="10"/>
      <x:c r="O7" s="47"/>
      <x:c r="P7" s="10"/>
      <x:c r="Q7" s="8" t="e">
        <x:f>IF(B7="","",IF(AND(J7&lt;项目驾驶舱!$B$3,P7&lt;&gt;"已完成"),"是","否"))</x:f>
        <x:v>#NAME?</x:v>
      </x:c>
      <x:c r="R7" s="10"/>
      <x:c r="S7" s="10"/>
      <x:c r="T7" s="10"/>
    </x:row>
    <x:row r="8">
      <x:c r="A8" s="8" t="str">
        <x:f t="shared" si="0"/>
      </x:c>
      <x:c r="B8" s="10"/>
      <x:c r="C8" s="8" t="e">
        <x:f>IF(B8="","",IFERROR(INDEX(风险登记册!$B$9:$B$108,MATCH(B8,风险登记册!$A$9:$A$108,0)),""))</x:f>
        <x:v>#NAME?</x:v>
      </x:c>
      <x:c r="D8" s="10"/>
      <x:c r="E8" s="10"/>
      <x:c r="F8" s="10"/>
      <x:c r="G8" s="10"/>
      <x:c r="H8" s="10"/>
      <x:c r="I8" s="11"/>
      <x:c r="J8" s="11"/>
      <x:c r="K8" s="11"/>
      <x:c r="L8" s="10"/>
      <x:c r="M8" s="46"/>
      <x:c r="N8" s="10"/>
      <x:c r="O8" s="47"/>
      <x:c r="P8" s="10"/>
      <x:c r="Q8" s="8" t="e">
        <x:f>IF(B8="","",IF(AND(J8&lt;项目驾驶舱!$B$3,P8&lt;&gt;"已完成"),"是","否"))</x:f>
        <x:v>#NAME?</x:v>
      </x:c>
      <x:c r="R8" s="10"/>
      <x:c r="S8" s="10"/>
      <x:c r="T8" s="10"/>
    </x:row>
    <x:row r="9">
      <x:c r="A9" s="8" t="str">
        <x:f t="shared" si="0"/>
      </x:c>
      <x:c r="B9" s="10"/>
      <x:c r="C9" s="8" t="e">
        <x:f>IF(B9="","",IFERROR(INDEX(风险登记册!$B$9:$B$108,MATCH(B9,风险登记册!$A$9:$A$108,0)),""))</x:f>
        <x:v>#NAME?</x:v>
      </x:c>
      <x:c r="D9" s="10"/>
      <x:c r="E9" s="10"/>
      <x:c r="F9" s="10"/>
      <x:c r="G9" s="10"/>
      <x:c r="H9" s="10"/>
      <x:c r="I9" s="11"/>
      <x:c r="J9" s="11"/>
      <x:c r="K9" s="11"/>
      <x:c r="L9" s="10"/>
      <x:c r="M9" s="46"/>
      <x:c r="N9" s="10"/>
      <x:c r="O9" s="47"/>
      <x:c r="P9" s="10"/>
      <x:c r="Q9" s="8" t="e">
        <x:f>IF(B9="","",IF(AND(J9&lt;项目驾驶舱!$B$3,P9&lt;&gt;"已完成"),"是","否"))</x:f>
        <x:v>#NAME?</x:v>
      </x:c>
      <x:c r="R9" s="10"/>
      <x:c r="S9" s="10"/>
      <x:c r="T9" s="10"/>
    </x:row>
    <x:row r="10">
      <x:c r="A10" s="8" t="str">
        <x:f t="shared" si="0"/>
      </x:c>
      <x:c r="B10" s="10"/>
      <x:c r="C10" s="8" t="e">
        <x:f>IF(B10="","",IFERROR(INDEX(风险登记册!$B$9:$B$108,MATCH(B10,风险登记册!$A$9:$A$108,0)),""))</x:f>
        <x:v>#NAME?</x:v>
      </x:c>
      <x:c r="D10" s="10"/>
      <x:c r="E10" s="10"/>
      <x:c r="F10" s="10"/>
      <x:c r="G10" s="10"/>
      <x:c r="H10" s="10"/>
      <x:c r="I10" s="11"/>
      <x:c r="J10" s="11"/>
      <x:c r="K10" s="11"/>
      <x:c r="L10" s="10"/>
      <x:c r="M10" s="46"/>
      <x:c r="N10" s="10"/>
      <x:c r="O10" s="47"/>
      <x:c r="P10" s="10"/>
      <x:c r="Q10" s="8" t="e">
        <x:f>IF(B10="","",IF(AND(J10&lt;项目驾驶舱!$B$3,P10&lt;&gt;"已完成"),"是","否"))</x:f>
        <x:v>#NAME?</x:v>
      </x:c>
      <x:c r="R10" s="10"/>
      <x:c r="S10" s="10"/>
      <x:c r="T10" s="10"/>
    </x:row>
    <x:row r="11">
      <x:c r="A11" s="8" t="str">
        <x:f t="shared" si="0"/>
      </x:c>
      <x:c r="B11" s="10"/>
      <x:c r="C11" s="8" t="e">
        <x:f>IF(B11="","",IFERROR(INDEX(风险登记册!$B$9:$B$108,MATCH(B11,风险登记册!$A$9:$A$108,0)),""))</x:f>
        <x:v>#NAME?</x:v>
      </x:c>
      <x:c r="D11" s="10"/>
      <x:c r="E11" s="10"/>
      <x:c r="F11" s="10"/>
      <x:c r="G11" s="10"/>
      <x:c r="H11" s="10"/>
      <x:c r="I11" s="11"/>
      <x:c r="J11" s="11"/>
      <x:c r="K11" s="11"/>
      <x:c r="L11" s="10"/>
      <x:c r="M11" s="46"/>
      <x:c r="N11" s="10"/>
      <x:c r="O11" s="47"/>
      <x:c r="P11" s="10"/>
      <x:c r="Q11" s="8" t="e">
        <x:f>IF(B11="","",IF(AND(J11&lt;项目驾驶舱!$B$3,P11&lt;&gt;"已完成"),"是","否"))</x:f>
        <x:v>#NAME?</x:v>
      </x:c>
      <x:c r="R11" s="10"/>
      <x:c r="S11" s="10"/>
      <x:c r="T11" s="10"/>
    </x:row>
    <x:row r="12">
      <x:c r="A12" s="8" t="str">
        <x:f t="shared" si="0"/>
      </x:c>
      <x:c r="B12" s="10"/>
      <x:c r="C12" s="8" t="e">
        <x:f>IF(B12="","",IFERROR(INDEX(风险登记册!$B$9:$B$108,MATCH(B12,风险登记册!$A$9:$A$108,0)),""))</x:f>
        <x:v>#NAME?</x:v>
      </x:c>
      <x:c r="D12" s="10"/>
      <x:c r="E12" s="10"/>
      <x:c r="F12" s="10"/>
      <x:c r="G12" s="10"/>
      <x:c r="H12" s="10"/>
      <x:c r="I12" s="11"/>
      <x:c r="J12" s="11"/>
      <x:c r="K12" s="11"/>
      <x:c r="L12" s="10"/>
      <x:c r="M12" s="46"/>
      <x:c r="N12" s="10"/>
      <x:c r="O12" s="47"/>
      <x:c r="P12" s="10"/>
      <x:c r="Q12" s="8" t="e">
        <x:f>IF(B12="","",IF(AND(J12&lt;项目驾驶舱!$B$3,P12&lt;&gt;"已完成"),"是","否"))</x:f>
        <x:v>#NAME?</x:v>
      </x:c>
      <x:c r="R12" s="10"/>
      <x:c r="S12" s="10"/>
      <x:c r="T12" s="10"/>
    </x:row>
    <x:row r="13">
      <x:c r="A13" s="8" t="str">
        <x:f t="shared" si="0"/>
      </x:c>
      <x:c r="B13" s="10"/>
      <x:c r="C13" s="8" t="e">
        <x:f>IF(B13="","",IFERROR(INDEX(风险登记册!$B$9:$B$108,MATCH(B13,风险登记册!$A$9:$A$108,0)),""))</x:f>
        <x:v>#NAME?</x:v>
      </x:c>
      <x:c r="D13" s="10"/>
      <x:c r="E13" s="10"/>
      <x:c r="F13" s="10"/>
      <x:c r="G13" s="10"/>
      <x:c r="H13" s="10"/>
      <x:c r="I13" s="11"/>
      <x:c r="J13" s="11"/>
      <x:c r="K13" s="11"/>
      <x:c r="L13" s="10"/>
      <x:c r="M13" s="46"/>
      <x:c r="N13" s="10"/>
      <x:c r="O13" s="47"/>
      <x:c r="P13" s="10"/>
      <x:c r="Q13" s="8" t="e">
        <x:f>IF(B13="","",IF(AND(J13&lt;项目驾驶舱!$B$3,P13&lt;&gt;"已完成"),"是","否"))</x:f>
        <x:v>#NAME?</x:v>
      </x:c>
      <x:c r="R13" s="10"/>
      <x:c r="S13" s="10"/>
      <x:c r="T13" s="10"/>
    </x:row>
    <x:row r="14">
      <x:c r="A14" s="8" t="str">
        <x:f t="shared" si="0"/>
      </x:c>
      <x:c r="B14" s="10"/>
      <x:c r="C14" s="8" t="e">
        <x:f>IF(B14="","",IFERROR(INDEX(风险登记册!$B$9:$B$108,MATCH(B14,风险登记册!$A$9:$A$108,0)),""))</x:f>
        <x:v>#NAME?</x:v>
      </x:c>
      <x:c r="D14" s="10"/>
      <x:c r="E14" s="10"/>
      <x:c r="F14" s="10"/>
      <x:c r="G14" s="10"/>
      <x:c r="H14" s="10"/>
      <x:c r="I14" s="11"/>
      <x:c r="J14" s="11"/>
      <x:c r="K14" s="11"/>
      <x:c r="L14" s="10"/>
      <x:c r="M14" s="46"/>
      <x:c r="N14" s="10"/>
      <x:c r="O14" s="47"/>
      <x:c r="P14" s="10"/>
      <x:c r="Q14" s="8" t="e">
        <x:f>IF(B14="","",IF(AND(J14&lt;项目驾驶舱!$B$3,P14&lt;&gt;"已完成"),"是","否"))</x:f>
        <x:v>#NAME?</x:v>
      </x:c>
      <x:c r="R14" s="10"/>
      <x:c r="S14" s="10"/>
      <x:c r="T14" s="10"/>
    </x:row>
    <x:row r="15">
      <x:c r="A15" s="8" t="str">
        <x:f t="shared" si="0"/>
      </x:c>
      <x:c r="B15" s="10"/>
      <x:c r="C15" s="8" t="e">
        <x:f>IF(B15="","",IFERROR(INDEX(风险登记册!$B$9:$B$108,MATCH(B15,风险登记册!$A$9:$A$108,0)),""))</x:f>
        <x:v>#NAME?</x:v>
      </x:c>
      <x:c r="D15" s="10"/>
      <x:c r="E15" s="10"/>
      <x:c r="F15" s="10"/>
      <x:c r="G15" s="10"/>
      <x:c r="H15" s="10"/>
      <x:c r="I15" s="11"/>
      <x:c r="J15" s="11"/>
      <x:c r="K15" s="11"/>
      <x:c r="L15" s="10"/>
      <x:c r="M15" s="46"/>
      <x:c r="N15" s="10"/>
      <x:c r="O15" s="47"/>
      <x:c r="P15" s="10"/>
      <x:c r="Q15" s="8" t="e">
        <x:f>IF(B15="","",IF(AND(J15&lt;项目驾驶舱!$B$3,P15&lt;&gt;"已完成"),"是","否"))</x:f>
        <x:v>#NAME?</x:v>
      </x:c>
      <x:c r="R15" s="10"/>
      <x:c r="S15" s="10"/>
      <x:c r="T15" s="10"/>
    </x:row>
    <x:row r="16">
      <x:c r="A16" s="8" t="str">
        <x:f t="shared" si="0"/>
      </x:c>
      <x:c r="B16" s="10"/>
      <x:c r="C16" s="8" t="e">
        <x:f>IF(B16="","",IFERROR(INDEX(风险登记册!$B$9:$B$108,MATCH(B16,风险登记册!$A$9:$A$108,0)),""))</x:f>
        <x:v>#NAME?</x:v>
      </x:c>
      <x:c r="D16" s="10"/>
      <x:c r="E16" s="10"/>
      <x:c r="F16" s="10"/>
      <x:c r="G16" s="10"/>
      <x:c r="H16" s="10"/>
      <x:c r="I16" s="11"/>
      <x:c r="J16" s="11"/>
      <x:c r="K16" s="11"/>
      <x:c r="L16" s="10"/>
      <x:c r="M16" s="46"/>
      <x:c r="N16" s="10"/>
      <x:c r="O16" s="47"/>
      <x:c r="P16" s="10"/>
      <x:c r="Q16" s="8" t="e">
        <x:f>IF(B16="","",IF(AND(J16&lt;项目驾驶舱!$B$3,P16&lt;&gt;"已完成"),"是","否"))</x:f>
        <x:v>#NAME?</x:v>
      </x:c>
      <x:c r="R16" s="10"/>
      <x:c r="S16" s="10"/>
      <x:c r="T16" s="10"/>
    </x:row>
    <x:row r="17">
      <x:c r="A17" s="8" t="str">
        <x:f t="shared" si="0"/>
      </x:c>
      <x:c r="B17" s="10"/>
      <x:c r="C17" s="8" t="e">
        <x:f>IF(B17="","",IFERROR(INDEX(风险登记册!$B$9:$B$108,MATCH(B17,风险登记册!$A$9:$A$108,0)),""))</x:f>
        <x:v>#NAME?</x:v>
      </x:c>
      <x:c r="D17" s="10"/>
      <x:c r="E17" s="10"/>
      <x:c r="F17" s="10"/>
      <x:c r="G17" s="10"/>
      <x:c r="H17" s="10"/>
      <x:c r="I17" s="11"/>
      <x:c r="J17" s="11"/>
      <x:c r="K17" s="11"/>
      <x:c r="L17" s="10"/>
      <x:c r="M17" s="46"/>
      <x:c r="N17" s="10"/>
      <x:c r="O17" s="47"/>
      <x:c r="P17" s="10"/>
      <x:c r="Q17" s="8" t="e">
        <x:f>IF(B17="","",IF(AND(J17&lt;项目驾驶舱!$B$3,P17&lt;&gt;"已完成"),"是","否"))</x:f>
        <x:v>#NAME?</x:v>
      </x:c>
      <x:c r="R17" s="10"/>
      <x:c r="S17" s="10"/>
      <x:c r="T17" s="10"/>
    </x:row>
    <x:row r="18">
      <x:c r="A18" s="8" t="str">
        <x:f t="shared" si="0"/>
      </x:c>
      <x:c r="B18" s="10"/>
      <x:c r="C18" s="8" t="e">
        <x:f>IF(B18="","",IFERROR(INDEX(风险登记册!$B$9:$B$108,MATCH(B18,风险登记册!$A$9:$A$108,0)),""))</x:f>
        <x:v>#NAME?</x:v>
      </x:c>
      <x:c r="D18" s="10"/>
      <x:c r="E18" s="10"/>
      <x:c r="F18" s="10"/>
      <x:c r="G18" s="10"/>
      <x:c r="H18" s="10"/>
      <x:c r="I18" s="11"/>
      <x:c r="J18" s="11"/>
      <x:c r="K18" s="11"/>
      <x:c r="L18" s="10"/>
      <x:c r="M18" s="46"/>
      <x:c r="N18" s="10"/>
      <x:c r="O18" s="47"/>
      <x:c r="P18" s="10"/>
      <x:c r="Q18" s="8" t="e">
        <x:f>IF(B18="","",IF(AND(J18&lt;项目驾驶舱!$B$3,P18&lt;&gt;"已完成"),"是","否"))</x:f>
        <x:v>#NAME?</x:v>
      </x:c>
      <x:c r="R18" s="10"/>
      <x:c r="S18" s="10"/>
      <x:c r="T18" s="10"/>
    </x:row>
    <x:row r="19">
      <x:c r="A19" s="8" t="str">
        <x:f t="shared" si="0"/>
      </x:c>
      <x:c r="B19" s="10"/>
      <x:c r="C19" s="8" t="e">
        <x:f>IF(B19="","",IFERROR(INDEX(风险登记册!$B$9:$B$108,MATCH(B19,风险登记册!$A$9:$A$108,0)),""))</x:f>
        <x:v>#NAME?</x:v>
      </x:c>
      <x:c r="D19" s="10"/>
      <x:c r="E19" s="10"/>
      <x:c r="F19" s="10"/>
      <x:c r="G19" s="10"/>
      <x:c r="H19" s="10"/>
      <x:c r="I19" s="11"/>
      <x:c r="J19" s="11"/>
      <x:c r="K19" s="11"/>
      <x:c r="L19" s="10"/>
      <x:c r="M19" s="46"/>
      <x:c r="N19" s="10"/>
      <x:c r="O19" s="47"/>
      <x:c r="P19" s="10"/>
      <x:c r="Q19" s="8" t="e">
        <x:f>IF(B19="","",IF(AND(J19&lt;项目驾驶舱!$B$3,P19&lt;&gt;"已完成"),"是","否"))</x:f>
        <x:v>#NAME?</x:v>
      </x:c>
      <x:c r="R19" s="10"/>
      <x:c r="S19" s="10"/>
      <x:c r="T19" s="10"/>
    </x:row>
    <x:row r="20">
      <x:c r="A20" s="8" t="str">
        <x:f t="shared" si="0"/>
      </x:c>
      <x:c r="B20" s="10"/>
      <x:c r="C20" s="8" t="e">
        <x:f>IF(B20="","",IFERROR(INDEX(风险登记册!$B$9:$B$108,MATCH(B20,风险登记册!$A$9:$A$108,0)),""))</x:f>
        <x:v>#NAME?</x:v>
      </x:c>
      <x:c r="D20" s="10"/>
      <x:c r="E20" s="10"/>
      <x:c r="F20" s="10"/>
      <x:c r="G20" s="10"/>
      <x:c r="H20" s="10"/>
      <x:c r="I20" s="11"/>
      <x:c r="J20" s="11"/>
      <x:c r="K20" s="11"/>
      <x:c r="L20" s="10"/>
      <x:c r="M20" s="46"/>
      <x:c r="N20" s="10"/>
      <x:c r="O20" s="47"/>
      <x:c r="P20" s="10"/>
      <x:c r="Q20" s="8" t="e">
        <x:f>IF(B20="","",IF(AND(J20&lt;项目驾驶舱!$B$3,P20&lt;&gt;"已完成"),"是","否"))</x:f>
        <x:v>#NAME?</x:v>
      </x:c>
      <x:c r="R20" s="10"/>
      <x:c r="S20" s="10"/>
      <x:c r="T20" s="10"/>
    </x:row>
    <x:row r="21">
      <x:c r="A21" s="8" t="str">
        <x:f t="shared" si="0"/>
      </x:c>
      <x:c r="B21" s="10"/>
      <x:c r="C21" s="8" t="e">
        <x:f>IF(B21="","",IFERROR(INDEX(风险登记册!$B$9:$B$108,MATCH(B21,风险登记册!$A$9:$A$108,0)),""))</x:f>
        <x:v>#NAME?</x:v>
      </x:c>
      <x:c r="D21" s="10"/>
      <x:c r="E21" s="10"/>
      <x:c r="F21" s="10"/>
      <x:c r="G21" s="10"/>
      <x:c r="H21" s="10"/>
      <x:c r="I21" s="11"/>
      <x:c r="J21" s="11"/>
      <x:c r="K21" s="11"/>
      <x:c r="L21" s="10"/>
      <x:c r="M21" s="46"/>
      <x:c r="N21" s="10"/>
      <x:c r="O21" s="47"/>
      <x:c r="P21" s="10"/>
      <x:c r="Q21" s="8" t="e">
        <x:f>IF(B21="","",IF(AND(J21&lt;项目驾驶舱!$B$3,P21&lt;&gt;"已完成"),"是","否"))</x:f>
        <x:v>#NAME?</x:v>
      </x:c>
      <x:c r="R21" s="10"/>
      <x:c r="S21" s="10"/>
      <x:c r="T21" s="10"/>
    </x:row>
    <x:row r="22">
      <x:c r="A22" s="8" t="str">
        <x:f t="shared" si="0"/>
      </x:c>
      <x:c r="B22" s="10"/>
      <x:c r="C22" s="8" t="e">
        <x:f>IF(B22="","",IFERROR(INDEX(风险登记册!$B$9:$B$108,MATCH(B22,风险登记册!$A$9:$A$108,0)),""))</x:f>
        <x:v>#NAME?</x:v>
      </x:c>
      <x:c r="D22" s="10"/>
      <x:c r="E22" s="10"/>
      <x:c r="F22" s="10"/>
      <x:c r="G22" s="10"/>
      <x:c r="H22" s="10"/>
      <x:c r="I22" s="11"/>
      <x:c r="J22" s="11"/>
      <x:c r="K22" s="11"/>
      <x:c r="L22" s="10"/>
      <x:c r="M22" s="46"/>
      <x:c r="N22" s="10"/>
      <x:c r="O22" s="47"/>
      <x:c r="P22" s="10"/>
      <x:c r="Q22" s="8" t="e">
        <x:f>IF(B22="","",IF(AND(J22&lt;项目驾驶舱!$B$3,P22&lt;&gt;"已完成"),"是","否"))</x:f>
        <x:v>#NAME?</x:v>
      </x:c>
      <x:c r="R22" s="10"/>
      <x:c r="S22" s="10"/>
      <x:c r="T22" s="10"/>
    </x:row>
    <x:row r="23">
      <x:c r="A23" s="8" t="str">
        <x:f t="shared" si="0"/>
      </x:c>
      <x:c r="B23" s="10"/>
      <x:c r="C23" s="8" t="e">
        <x:f>IF(B23="","",IFERROR(INDEX(风险登记册!$B$9:$B$108,MATCH(B23,风险登记册!$A$9:$A$108,0)),""))</x:f>
        <x:v>#NAME?</x:v>
      </x:c>
      <x:c r="D23" s="10"/>
      <x:c r="E23" s="10"/>
      <x:c r="F23" s="10"/>
      <x:c r="G23" s="10"/>
      <x:c r="H23" s="10"/>
      <x:c r="I23" s="11"/>
      <x:c r="J23" s="11"/>
      <x:c r="K23" s="11"/>
      <x:c r="L23" s="10"/>
      <x:c r="M23" s="46"/>
      <x:c r="N23" s="10"/>
      <x:c r="O23" s="47"/>
      <x:c r="P23" s="10"/>
      <x:c r="Q23" s="8" t="e">
        <x:f>IF(B23="","",IF(AND(J23&lt;项目驾驶舱!$B$3,P23&lt;&gt;"已完成"),"是","否"))</x:f>
        <x:v>#NAME?</x:v>
      </x:c>
      <x:c r="R23" s="10"/>
      <x:c r="S23" s="10"/>
      <x:c r="T23" s="10"/>
    </x:row>
    <x:row r="24">
      <x:c r="A24" s="8" t="str">
        <x:f t="shared" si="0"/>
      </x:c>
      <x:c r="B24" s="10"/>
      <x:c r="C24" s="8" t="e">
        <x:f>IF(B24="","",IFERROR(INDEX(风险登记册!$B$9:$B$108,MATCH(B24,风险登记册!$A$9:$A$108,0)),""))</x:f>
        <x:v>#NAME?</x:v>
      </x:c>
      <x:c r="D24" s="10"/>
      <x:c r="E24" s="10"/>
      <x:c r="F24" s="10"/>
      <x:c r="G24" s="10"/>
      <x:c r="H24" s="10"/>
      <x:c r="I24" s="11"/>
      <x:c r="J24" s="11"/>
      <x:c r="K24" s="11"/>
      <x:c r="L24" s="10"/>
      <x:c r="M24" s="46"/>
      <x:c r="N24" s="10"/>
      <x:c r="O24" s="47"/>
      <x:c r="P24" s="10"/>
      <x:c r="Q24" s="8" t="e">
        <x:f>IF(B24="","",IF(AND(J24&lt;项目驾驶舱!$B$3,P24&lt;&gt;"已完成"),"是","否"))</x:f>
        <x:v>#NAME?</x:v>
      </x:c>
      <x:c r="R24" s="10"/>
      <x:c r="S24" s="10"/>
      <x:c r="T24" s="10"/>
    </x:row>
    <x:row r="25">
      <x:c r="A25" s="8" t="str">
        <x:f t="shared" si="0"/>
      </x:c>
      <x:c r="B25" s="10"/>
      <x:c r="C25" s="8" t="e">
        <x:f>IF(B25="","",IFERROR(INDEX(风险登记册!$B$9:$B$108,MATCH(B25,风险登记册!$A$9:$A$108,0)),""))</x:f>
        <x:v>#NAME?</x:v>
      </x:c>
      <x:c r="D25" s="10"/>
      <x:c r="E25" s="10"/>
      <x:c r="F25" s="10"/>
      <x:c r="G25" s="10"/>
      <x:c r="H25" s="10"/>
      <x:c r="I25" s="11"/>
      <x:c r="J25" s="11"/>
      <x:c r="K25" s="11"/>
      <x:c r="L25" s="10"/>
      <x:c r="M25" s="46"/>
      <x:c r="N25" s="10"/>
      <x:c r="O25" s="47"/>
      <x:c r="P25" s="10"/>
      <x:c r="Q25" s="8" t="e">
        <x:f>IF(B25="","",IF(AND(J25&lt;项目驾驶舱!$B$3,P25&lt;&gt;"已完成"),"是","否"))</x:f>
        <x:v>#NAME?</x:v>
      </x:c>
      <x:c r="R25" s="10"/>
      <x:c r="S25" s="10"/>
      <x:c r="T25" s="10"/>
    </x:row>
    <x:row r="26">
      <x:c r="A26" s="8" t="str">
        <x:f t="shared" si="0"/>
      </x:c>
      <x:c r="B26" s="10"/>
      <x:c r="C26" s="8" t="e">
        <x:f>IF(B26="","",IFERROR(INDEX(风险登记册!$B$9:$B$108,MATCH(B26,风险登记册!$A$9:$A$108,0)),""))</x:f>
        <x:v>#NAME?</x:v>
      </x:c>
      <x:c r="D26" s="10"/>
      <x:c r="E26" s="10"/>
      <x:c r="F26" s="10"/>
      <x:c r="G26" s="10"/>
      <x:c r="H26" s="10"/>
      <x:c r="I26" s="11"/>
      <x:c r="J26" s="11"/>
      <x:c r="K26" s="11"/>
      <x:c r="L26" s="10"/>
      <x:c r="M26" s="46"/>
      <x:c r="N26" s="10"/>
      <x:c r="O26" s="47"/>
      <x:c r="P26" s="10"/>
      <x:c r="Q26" s="8" t="e">
        <x:f>IF(B26="","",IF(AND(J26&lt;项目驾驶舱!$B$3,P26&lt;&gt;"已完成"),"是","否"))</x:f>
        <x:v>#NAME?</x:v>
      </x:c>
      <x:c r="R26" s="10"/>
      <x:c r="S26" s="10"/>
      <x:c r="T26" s="10"/>
    </x:row>
    <x:row r="27">
      <x:c r="A27" s="8" t="str">
        <x:f t="shared" si="0"/>
      </x:c>
      <x:c r="B27" s="10"/>
      <x:c r="C27" s="8" t="e">
        <x:f>IF(B27="","",IFERROR(INDEX(风险登记册!$B$9:$B$108,MATCH(B27,风险登记册!$A$9:$A$108,0)),""))</x:f>
        <x:v>#NAME?</x:v>
      </x:c>
      <x:c r="D27" s="10"/>
      <x:c r="E27" s="10"/>
      <x:c r="F27" s="10"/>
      <x:c r="G27" s="10"/>
      <x:c r="H27" s="10"/>
      <x:c r="I27" s="11"/>
      <x:c r="J27" s="11"/>
      <x:c r="K27" s="11"/>
      <x:c r="L27" s="10"/>
      <x:c r="M27" s="46"/>
      <x:c r="N27" s="10"/>
      <x:c r="O27" s="47"/>
      <x:c r="P27" s="10"/>
      <x:c r="Q27" s="8" t="e">
        <x:f>IF(B27="","",IF(AND(J27&lt;项目驾驶舱!$B$3,P27&lt;&gt;"已完成"),"是","否"))</x:f>
        <x:v>#NAME?</x:v>
      </x:c>
      <x:c r="R27" s="10"/>
      <x:c r="S27" s="10"/>
      <x:c r="T27" s="10"/>
    </x:row>
    <x:row r="28">
      <x:c r="A28" s="8" t="str">
        <x:f t="shared" si="0"/>
      </x:c>
      <x:c r="B28" s="10"/>
      <x:c r="C28" s="8" t="e">
        <x:f>IF(B28="","",IFERROR(INDEX(风险登记册!$B$9:$B$108,MATCH(B28,风险登记册!$A$9:$A$108,0)),""))</x:f>
        <x:v>#NAME?</x:v>
      </x:c>
      <x:c r="D28" s="10"/>
      <x:c r="E28" s="10"/>
      <x:c r="F28" s="10"/>
      <x:c r="G28" s="10"/>
      <x:c r="H28" s="10"/>
      <x:c r="I28" s="11"/>
      <x:c r="J28" s="11"/>
      <x:c r="K28" s="11"/>
      <x:c r="L28" s="10"/>
      <x:c r="M28" s="46"/>
      <x:c r="N28" s="10"/>
      <x:c r="O28" s="47"/>
      <x:c r="P28" s="10"/>
      <x:c r="Q28" s="8" t="e">
        <x:f>IF(B28="","",IF(AND(J28&lt;项目驾驶舱!$B$3,P28&lt;&gt;"已完成"),"是","否"))</x:f>
        <x:v>#NAME?</x:v>
      </x:c>
      <x:c r="R28" s="10"/>
      <x:c r="S28" s="10"/>
      <x:c r="T28" s="10"/>
    </x:row>
    <x:row r="29">
      <x:c r="A29" s="8" t="str">
        <x:f t="shared" si="0"/>
      </x:c>
      <x:c r="B29" s="10"/>
      <x:c r="C29" s="8" t="e">
        <x:f>IF(B29="","",IFERROR(INDEX(风险登记册!$B$9:$B$108,MATCH(B29,风险登记册!$A$9:$A$108,0)),""))</x:f>
        <x:v>#NAME?</x:v>
      </x:c>
      <x:c r="D29" s="10"/>
      <x:c r="E29" s="10"/>
      <x:c r="F29" s="10"/>
      <x:c r="G29" s="10"/>
      <x:c r="H29" s="10"/>
      <x:c r="I29" s="11"/>
      <x:c r="J29" s="11"/>
      <x:c r="K29" s="11"/>
      <x:c r="L29" s="10"/>
      <x:c r="M29" s="46"/>
      <x:c r="N29" s="10"/>
      <x:c r="O29" s="47"/>
      <x:c r="P29" s="10"/>
      <x:c r="Q29" s="8" t="e">
        <x:f>IF(B29="","",IF(AND(J29&lt;项目驾驶舱!$B$3,P29&lt;&gt;"已完成"),"是","否"))</x:f>
        <x:v>#NAME?</x:v>
      </x:c>
      <x:c r="R29" s="10"/>
      <x:c r="S29" s="10"/>
      <x:c r="T29" s="10"/>
    </x:row>
    <x:row r="30">
      <x:c r="A30" s="8" t="str">
        <x:f t="shared" si="0"/>
      </x:c>
      <x:c r="B30" s="10"/>
      <x:c r="C30" s="8" t="e">
        <x:f>IF(B30="","",IFERROR(INDEX(风险登记册!$B$9:$B$108,MATCH(B30,风险登记册!$A$9:$A$108,0)),""))</x:f>
        <x:v>#NAME?</x:v>
      </x:c>
      <x:c r="D30" s="10"/>
      <x:c r="E30" s="10"/>
      <x:c r="F30" s="10"/>
      <x:c r="G30" s="10"/>
      <x:c r="H30" s="10"/>
      <x:c r="I30" s="11"/>
      <x:c r="J30" s="11"/>
      <x:c r="K30" s="11"/>
      <x:c r="L30" s="10"/>
      <x:c r="M30" s="46"/>
      <x:c r="N30" s="10"/>
      <x:c r="O30" s="47"/>
      <x:c r="P30" s="10"/>
      <x:c r="Q30" s="8" t="e">
        <x:f>IF(B30="","",IF(AND(J30&lt;项目驾驶舱!$B$3,P30&lt;&gt;"已完成"),"是","否"))</x:f>
        <x:v>#NAME?</x:v>
      </x:c>
      <x:c r="R30" s="10"/>
      <x:c r="S30" s="10"/>
      <x:c r="T30" s="10"/>
    </x:row>
    <x:row r="31">
      <x:c r="A31" s="8" t="str">
        <x:f t="shared" si="0"/>
      </x:c>
      <x:c r="B31" s="10"/>
      <x:c r="C31" s="8" t="e">
        <x:f>IF(B31="","",IFERROR(INDEX(风险登记册!$B$9:$B$108,MATCH(B31,风险登记册!$A$9:$A$108,0)),""))</x:f>
        <x:v>#NAME?</x:v>
      </x:c>
      <x:c r="D31" s="10"/>
      <x:c r="E31" s="10"/>
      <x:c r="F31" s="10"/>
      <x:c r="G31" s="10"/>
      <x:c r="H31" s="10"/>
      <x:c r="I31" s="11"/>
      <x:c r="J31" s="11"/>
      <x:c r="K31" s="11"/>
      <x:c r="L31" s="10"/>
      <x:c r="M31" s="46"/>
      <x:c r="N31" s="10"/>
      <x:c r="O31" s="47"/>
      <x:c r="P31" s="10"/>
      <x:c r="Q31" s="8" t="e">
        <x:f>IF(B31="","",IF(AND(J31&lt;项目驾驶舱!$B$3,P31&lt;&gt;"已完成"),"是","否"))</x:f>
        <x:v>#NAME?</x:v>
      </x:c>
      <x:c r="R31" s="10"/>
      <x:c r="S31" s="10"/>
      <x:c r="T31" s="10"/>
    </x:row>
    <x:row r="32">
      <x:c r="A32" s="8" t="str">
        <x:f t="shared" si="0"/>
      </x:c>
      <x:c r="B32" s="10"/>
      <x:c r="C32" s="8" t="e">
        <x:f>IF(B32="","",IFERROR(INDEX(风险登记册!$B$9:$B$108,MATCH(B32,风险登记册!$A$9:$A$108,0)),""))</x:f>
        <x:v>#NAME?</x:v>
      </x:c>
      <x:c r="D32" s="10"/>
      <x:c r="E32" s="10"/>
      <x:c r="F32" s="10"/>
      <x:c r="G32" s="10"/>
      <x:c r="H32" s="10"/>
      <x:c r="I32" s="11"/>
      <x:c r="J32" s="11"/>
      <x:c r="K32" s="11"/>
      <x:c r="L32" s="10"/>
      <x:c r="M32" s="46"/>
      <x:c r="N32" s="10"/>
      <x:c r="O32" s="47"/>
      <x:c r="P32" s="10"/>
      <x:c r="Q32" s="8" t="e">
        <x:f>IF(B32="","",IF(AND(J32&lt;项目驾驶舱!$B$3,P32&lt;&gt;"已完成"),"是","否"))</x:f>
        <x:v>#NAME?</x:v>
      </x:c>
      <x:c r="R32" s="10"/>
      <x:c r="S32" s="10"/>
      <x:c r="T32" s="10"/>
    </x:row>
    <x:row r="33">
      <x:c r="A33" s="8" t="str">
        <x:f t="shared" si="0"/>
      </x:c>
      <x:c r="B33" s="10"/>
      <x:c r="C33" s="8" t="e">
        <x:f>IF(B33="","",IFERROR(INDEX(风险登记册!$B$9:$B$108,MATCH(B33,风险登记册!$A$9:$A$108,0)),""))</x:f>
        <x:v>#NAME?</x:v>
      </x:c>
      <x:c r="D33" s="10"/>
      <x:c r="E33" s="10"/>
      <x:c r="F33" s="10"/>
      <x:c r="G33" s="10"/>
      <x:c r="H33" s="10"/>
      <x:c r="I33" s="11"/>
      <x:c r="J33" s="11"/>
      <x:c r="K33" s="11"/>
      <x:c r="L33" s="10"/>
      <x:c r="M33" s="46"/>
      <x:c r="N33" s="10"/>
      <x:c r="O33" s="47"/>
      <x:c r="P33" s="10"/>
      <x:c r="Q33" s="8" t="e">
        <x:f>IF(B33="","",IF(AND(J33&lt;项目驾驶舱!$B$3,P33&lt;&gt;"已完成"),"是","否"))</x:f>
        <x:v>#NAME?</x:v>
      </x:c>
      <x:c r="R33" s="10"/>
      <x:c r="S33" s="10"/>
      <x:c r="T33" s="10"/>
    </x:row>
    <x:row r="34">
      <x:c r="A34" s="8" t="str">
        <x:f t="shared" si="0"/>
      </x:c>
      <x:c r="B34" s="10"/>
      <x:c r="C34" s="8" t="e">
        <x:f>IF(B34="","",IFERROR(INDEX(风险登记册!$B$9:$B$108,MATCH(B34,风险登记册!$A$9:$A$108,0)),""))</x:f>
        <x:v>#NAME?</x:v>
      </x:c>
      <x:c r="D34" s="10"/>
      <x:c r="E34" s="10"/>
      <x:c r="F34" s="10"/>
      <x:c r="G34" s="10"/>
      <x:c r="H34" s="10"/>
      <x:c r="I34" s="11"/>
      <x:c r="J34" s="11"/>
      <x:c r="K34" s="11"/>
      <x:c r="L34" s="10"/>
      <x:c r="M34" s="46"/>
      <x:c r="N34" s="10"/>
      <x:c r="O34" s="47"/>
      <x:c r="P34" s="10"/>
      <x:c r="Q34" s="8" t="e">
        <x:f>IF(B34="","",IF(AND(J34&lt;项目驾驶舱!$B$3,P34&lt;&gt;"已完成"),"是","否"))</x:f>
        <x:v>#NAME?</x:v>
      </x:c>
      <x:c r="R34" s="10"/>
      <x:c r="S34" s="10"/>
      <x:c r="T34" s="10"/>
    </x:row>
    <x:row r="35">
      <x:c r="A35" s="8" t="str">
        <x:f t="shared" si="0"/>
      </x:c>
      <x:c r="B35" s="10"/>
      <x:c r="C35" s="8" t="e">
        <x:f>IF(B35="","",IFERROR(INDEX(风险登记册!$B$9:$B$108,MATCH(B35,风险登记册!$A$9:$A$108,0)),""))</x:f>
        <x:v>#NAME?</x:v>
      </x:c>
      <x:c r="D35" s="10"/>
      <x:c r="E35" s="10"/>
      <x:c r="F35" s="10"/>
      <x:c r="G35" s="10"/>
      <x:c r="H35" s="10"/>
      <x:c r="I35" s="11"/>
      <x:c r="J35" s="11"/>
      <x:c r="K35" s="11"/>
      <x:c r="L35" s="10"/>
      <x:c r="M35" s="46"/>
      <x:c r="N35" s="10"/>
      <x:c r="O35" s="47"/>
      <x:c r="P35" s="10"/>
      <x:c r="Q35" s="8" t="e">
        <x:f>IF(B35="","",IF(AND(J35&lt;项目驾驶舱!$B$3,P35&lt;&gt;"已完成"),"是","否"))</x:f>
        <x:v>#NAME?</x:v>
      </x:c>
      <x:c r="R35" s="10"/>
      <x:c r="S35" s="10"/>
      <x:c r="T35" s="10"/>
    </x:row>
    <x:row r="36">
      <x:c r="A36" s="8" t="str">
        <x:f t="shared" si="0"/>
      </x:c>
      <x:c r="B36" s="10"/>
      <x:c r="C36" s="8" t="e">
        <x:f>IF(B36="","",IFERROR(INDEX(风险登记册!$B$9:$B$108,MATCH(B36,风险登记册!$A$9:$A$108,0)),""))</x:f>
        <x:v>#NAME?</x:v>
      </x:c>
      <x:c r="D36" s="10"/>
      <x:c r="E36" s="10"/>
      <x:c r="F36" s="10"/>
      <x:c r="G36" s="10"/>
      <x:c r="H36" s="10"/>
      <x:c r="I36" s="11"/>
      <x:c r="J36" s="11"/>
      <x:c r="K36" s="11"/>
      <x:c r="L36" s="10"/>
      <x:c r="M36" s="46"/>
      <x:c r="N36" s="10"/>
      <x:c r="O36" s="47"/>
      <x:c r="P36" s="10"/>
      <x:c r="Q36" s="8" t="e">
        <x:f>IF(B36="","",IF(AND(J36&lt;项目驾驶舱!$B$3,P36&lt;&gt;"已完成"),"是","否"))</x:f>
        <x:v>#NAME?</x:v>
      </x:c>
      <x:c r="R36" s="10"/>
      <x:c r="S36" s="10"/>
      <x:c r="T36" s="10"/>
    </x:row>
    <x:row r="37">
      <x:c r="A37" s="8" t="str">
        <x:f t="shared" si="0"/>
      </x:c>
      <x:c r="B37" s="10"/>
      <x:c r="C37" s="8" t="e">
        <x:f>IF(B37="","",IFERROR(INDEX(风险登记册!$B$9:$B$108,MATCH(B37,风险登记册!$A$9:$A$108,0)),""))</x:f>
        <x:v>#NAME?</x:v>
      </x:c>
      <x:c r="D37" s="10"/>
      <x:c r="E37" s="10"/>
      <x:c r="F37" s="10"/>
      <x:c r="G37" s="10"/>
      <x:c r="H37" s="10"/>
      <x:c r="I37" s="11"/>
      <x:c r="J37" s="11"/>
      <x:c r="K37" s="11"/>
      <x:c r="L37" s="10"/>
      <x:c r="M37" s="46"/>
      <x:c r="N37" s="10"/>
      <x:c r="O37" s="47"/>
      <x:c r="P37" s="10"/>
      <x:c r="Q37" s="8" t="e">
        <x:f>IF(B37="","",IF(AND(J37&lt;项目驾驶舱!$B$3,P37&lt;&gt;"已完成"),"是","否"))</x:f>
        <x:v>#NAME?</x:v>
      </x:c>
      <x:c r="R37" s="10"/>
      <x:c r="S37" s="10"/>
      <x:c r="T37" s="10"/>
    </x:row>
    <x:row r="38">
      <x:c r="A38" s="8" t="str">
        <x:f t="shared" si="0"/>
      </x:c>
      <x:c r="B38" s="10"/>
      <x:c r="C38" s="8" t="e">
        <x:f>IF(B38="","",IFERROR(INDEX(风险登记册!$B$9:$B$108,MATCH(B38,风险登记册!$A$9:$A$108,0)),""))</x:f>
        <x:v>#NAME?</x:v>
      </x:c>
      <x:c r="D38" s="10"/>
      <x:c r="E38" s="10"/>
      <x:c r="F38" s="10"/>
      <x:c r="G38" s="10"/>
      <x:c r="H38" s="10"/>
      <x:c r="I38" s="11"/>
      <x:c r="J38" s="11"/>
      <x:c r="K38" s="11"/>
      <x:c r="L38" s="10"/>
      <x:c r="M38" s="46"/>
      <x:c r="N38" s="10"/>
      <x:c r="O38" s="47"/>
      <x:c r="P38" s="10"/>
      <x:c r="Q38" s="8" t="e">
        <x:f>IF(B38="","",IF(AND(J38&lt;项目驾驶舱!$B$3,P38&lt;&gt;"已完成"),"是","否"))</x:f>
        <x:v>#NAME?</x:v>
      </x:c>
      <x:c r="R38" s="10"/>
      <x:c r="S38" s="10"/>
      <x:c r="T38" s="10"/>
    </x:row>
    <x:row r="39">
      <x:c r="A39" s="8" t="str">
        <x:f t="shared" si="0"/>
      </x:c>
      <x:c r="B39" s="10"/>
      <x:c r="C39" s="8" t="e">
        <x:f>IF(B39="","",IFERROR(INDEX(风险登记册!$B$9:$B$108,MATCH(B39,风险登记册!$A$9:$A$108,0)),""))</x:f>
        <x:v>#NAME?</x:v>
      </x:c>
      <x:c r="D39" s="10"/>
      <x:c r="E39" s="10"/>
      <x:c r="F39" s="10"/>
      <x:c r="G39" s="10"/>
      <x:c r="H39" s="10"/>
      <x:c r="I39" s="11"/>
      <x:c r="J39" s="11"/>
      <x:c r="K39" s="11"/>
      <x:c r="L39" s="10"/>
      <x:c r="M39" s="46"/>
      <x:c r="N39" s="10"/>
      <x:c r="O39" s="47"/>
      <x:c r="P39" s="10"/>
      <x:c r="Q39" s="8" t="e">
        <x:f>IF(B39="","",IF(AND(J39&lt;项目驾驶舱!$B$3,P39&lt;&gt;"已完成"),"是","否"))</x:f>
        <x:v>#NAME?</x:v>
      </x:c>
      <x:c r="R39" s="10"/>
      <x:c r="S39" s="10"/>
      <x:c r="T39" s="10"/>
    </x:row>
    <x:row r="40">
      <x:c r="A40" s="8" t="str">
        <x:f t="shared" si="0"/>
      </x:c>
      <x:c r="B40" s="10"/>
      <x:c r="C40" s="8" t="e">
        <x:f>IF(B40="","",IFERROR(INDEX(风险登记册!$B$9:$B$108,MATCH(B40,风险登记册!$A$9:$A$108,0)),""))</x:f>
        <x:v>#NAME?</x:v>
      </x:c>
      <x:c r="D40" s="10"/>
      <x:c r="E40" s="10"/>
      <x:c r="F40" s="10"/>
      <x:c r="G40" s="10"/>
      <x:c r="H40" s="10"/>
      <x:c r="I40" s="11"/>
      <x:c r="J40" s="11"/>
      <x:c r="K40" s="11"/>
      <x:c r="L40" s="10"/>
      <x:c r="M40" s="46"/>
      <x:c r="N40" s="10"/>
      <x:c r="O40" s="47"/>
      <x:c r="P40" s="10"/>
      <x:c r="Q40" s="8" t="e">
        <x:f>IF(B40="","",IF(AND(J40&lt;项目驾驶舱!$B$3,P40&lt;&gt;"已完成"),"是","否"))</x:f>
        <x:v>#NAME?</x:v>
      </x:c>
      <x:c r="R40" s="10"/>
      <x:c r="S40" s="10"/>
      <x:c r="T40" s="10"/>
    </x:row>
    <x:row r="41">
      <x:c r="A41" s="8" t="str">
        <x:f t="shared" si="0"/>
      </x:c>
      <x:c r="B41" s="10"/>
      <x:c r="C41" s="8" t="e">
        <x:f>IF(B41="","",IFERROR(INDEX(风险登记册!$B$9:$B$108,MATCH(B41,风险登记册!$A$9:$A$108,0)),""))</x:f>
        <x:v>#NAME?</x:v>
      </x:c>
      <x:c r="D41" s="10"/>
      <x:c r="E41" s="10"/>
      <x:c r="F41" s="10"/>
      <x:c r="G41" s="10"/>
      <x:c r="H41" s="10"/>
      <x:c r="I41" s="11"/>
      <x:c r="J41" s="11"/>
      <x:c r="K41" s="11"/>
      <x:c r="L41" s="10"/>
      <x:c r="M41" s="46"/>
      <x:c r="N41" s="10"/>
      <x:c r="O41" s="47"/>
      <x:c r="P41" s="10"/>
      <x:c r="Q41" s="8" t="e">
        <x:f>IF(B41="","",IF(AND(J41&lt;项目驾驶舱!$B$3,P41&lt;&gt;"已完成"),"是","否"))</x:f>
        <x:v>#NAME?</x:v>
      </x:c>
      <x:c r="R41" s="10"/>
      <x:c r="S41" s="10"/>
      <x:c r="T41" s="10"/>
    </x:row>
    <x:row r="42">
      <x:c r="A42" s="8" t="str">
        <x:f t="shared" si="0"/>
      </x:c>
      <x:c r="B42" s="10"/>
      <x:c r="C42" s="8" t="e">
        <x:f>IF(B42="","",IFERROR(INDEX(风险登记册!$B$9:$B$108,MATCH(B42,风险登记册!$A$9:$A$108,0)),""))</x:f>
        <x:v>#NAME?</x:v>
      </x:c>
      <x:c r="D42" s="10"/>
      <x:c r="E42" s="10"/>
      <x:c r="F42" s="10"/>
      <x:c r="G42" s="10"/>
      <x:c r="H42" s="10"/>
      <x:c r="I42" s="11"/>
      <x:c r="J42" s="11"/>
      <x:c r="K42" s="11"/>
      <x:c r="L42" s="10"/>
      <x:c r="M42" s="46"/>
      <x:c r="N42" s="10"/>
      <x:c r="O42" s="47"/>
      <x:c r="P42" s="10"/>
      <x:c r="Q42" s="8" t="e">
        <x:f>IF(B42="","",IF(AND(J42&lt;项目驾驶舱!$B$3,P42&lt;&gt;"已完成"),"是","否"))</x:f>
        <x:v>#NAME?</x:v>
      </x:c>
      <x:c r="R42" s="10"/>
      <x:c r="S42" s="10"/>
      <x:c r="T42" s="10"/>
    </x:row>
    <x:row r="43">
      <x:c r="A43" s="8" t="str">
        <x:f t="shared" si="0"/>
      </x:c>
      <x:c r="B43" s="10"/>
      <x:c r="C43" s="8" t="e">
        <x:f>IF(B43="","",IFERROR(INDEX(风险登记册!$B$9:$B$108,MATCH(B43,风险登记册!$A$9:$A$108,0)),""))</x:f>
        <x:v>#NAME?</x:v>
      </x:c>
      <x:c r="D43" s="10"/>
      <x:c r="E43" s="10"/>
      <x:c r="F43" s="10"/>
      <x:c r="G43" s="10"/>
      <x:c r="H43" s="10"/>
      <x:c r="I43" s="11"/>
      <x:c r="J43" s="11"/>
      <x:c r="K43" s="11"/>
      <x:c r="L43" s="10"/>
      <x:c r="M43" s="46"/>
      <x:c r="N43" s="10"/>
      <x:c r="O43" s="47"/>
      <x:c r="P43" s="10"/>
      <x:c r="Q43" s="8" t="e">
        <x:f>IF(B43="","",IF(AND(J43&lt;项目驾驶舱!$B$3,P43&lt;&gt;"已完成"),"是","否"))</x:f>
        <x:v>#NAME?</x:v>
      </x:c>
      <x:c r="R43" s="10"/>
      <x:c r="S43" s="10"/>
      <x:c r="T43" s="10"/>
    </x:row>
    <x:row r="44">
      <x:c r="A44" s="8" t="str">
        <x:f t="shared" si="0"/>
      </x:c>
      <x:c r="B44" s="10"/>
      <x:c r="C44" s="8" t="e">
        <x:f>IF(B44="","",IFERROR(INDEX(风险登记册!$B$9:$B$108,MATCH(B44,风险登记册!$A$9:$A$108,0)),""))</x:f>
        <x:v>#NAME?</x:v>
      </x:c>
      <x:c r="D44" s="10"/>
      <x:c r="E44" s="10"/>
      <x:c r="F44" s="10"/>
      <x:c r="G44" s="10"/>
      <x:c r="H44" s="10"/>
      <x:c r="I44" s="11"/>
      <x:c r="J44" s="11"/>
      <x:c r="K44" s="11"/>
      <x:c r="L44" s="10"/>
      <x:c r="M44" s="46"/>
      <x:c r="N44" s="10"/>
      <x:c r="O44" s="47"/>
      <x:c r="P44" s="10"/>
      <x:c r="Q44" s="8" t="e">
        <x:f>IF(B44="","",IF(AND(J44&lt;项目驾驶舱!$B$3,P44&lt;&gt;"已完成"),"是","否"))</x:f>
        <x:v>#NAME?</x:v>
      </x:c>
      <x:c r="R44" s="10"/>
      <x:c r="S44" s="10"/>
      <x:c r="T44" s="10"/>
    </x:row>
    <x:row r="45">
      <x:c r="A45" s="8" t="str">
        <x:f t="shared" si="0"/>
      </x:c>
      <x:c r="B45" s="10"/>
      <x:c r="C45" s="8" t="e">
        <x:f>IF(B45="","",IFERROR(INDEX(风险登记册!$B$9:$B$108,MATCH(B45,风险登记册!$A$9:$A$108,0)),""))</x:f>
        <x:v>#NAME?</x:v>
      </x:c>
      <x:c r="D45" s="10"/>
      <x:c r="E45" s="10"/>
      <x:c r="F45" s="10"/>
      <x:c r="G45" s="10"/>
      <x:c r="H45" s="10"/>
      <x:c r="I45" s="11"/>
      <x:c r="J45" s="11"/>
      <x:c r="K45" s="11"/>
      <x:c r="L45" s="10"/>
      <x:c r="M45" s="46"/>
      <x:c r="N45" s="10"/>
      <x:c r="O45" s="47"/>
      <x:c r="P45" s="10"/>
      <x:c r="Q45" s="8" t="e">
        <x:f>IF(B45="","",IF(AND(J45&lt;项目驾驶舱!$B$3,P45&lt;&gt;"已完成"),"是","否"))</x:f>
        <x:v>#NAME?</x:v>
      </x:c>
      <x:c r="R45" s="10"/>
      <x:c r="S45" s="10"/>
      <x:c r="T45" s="10"/>
    </x:row>
    <x:row r="46">
      <x:c r="A46" s="8" t="str">
        <x:f t="shared" si="0"/>
      </x:c>
      <x:c r="B46" s="10"/>
      <x:c r="C46" s="8" t="e">
        <x:f>IF(B46="","",IFERROR(INDEX(风险登记册!$B$9:$B$108,MATCH(B46,风险登记册!$A$9:$A$108,0)),""))</x:f>
        <x:v>#NAME?</x:v>
      </x:c>
      <x:c r="D46" s="10"/>
      <x:c r="E46" s="10"/>
      <x:c r="F46" s="10"/>
      <x:c r="G46" s="10"/>
      <x:c r="H46" s="10"/>
      <x:c r="I46" s="11"/>
      <x:c r="J46" s="11"/>
      <x:c r="K46" s="11"/>
      <x:c r="L46" s="10"/>
      <x:c r="M46" s="46"/>
      <x:c r="N46" s="10"/>
      <x:c r="O46" s="47"/>
      <x:c r="P46" s="10"/>
      <x:c r="Q46" s="8" t="e">
        <x:f>IF(B46="","",IF(AND(J46&lt;项目驾驶舱!$B$3,P46&lt;&gt;"已完成"),"是","否"))</x:f>
        <x:v>#NAME?</x:v>
      </x:c>
      <x:c r="R46" s="10"/>
      <x:c r="S46" s="10"/>
      <x:c r="T46" s="10"/>
    </x:row>
    <x:row r="47">
      <x:c r="A47" s="8" t="str">
        <x:f t="shared" si="0"/>
      </x:c>
      <x:c r="B47" s="10"/>
      <x:c r="C47" s="8" t="e">
        <x:f>IF(B47="","",IFERROR(INDEX(风险登记册!$B$9:$B$108,MATCH(B47,风险登记册!$A$9:$A$108,0)),""))</x:f>
        <x:v>#NAME?</x:v>
      </x:c>
      <x:c r="D47" s="10"/>
      <x:c r="E47" s="10"/>
      <x:c r="F47" s="10"/>
      <x:c r="G47" s="10"/>
      <x:c r="H47" s="10"/>
      <x:c r="I47" s="11"/>
      <x:c r="J47" s="11"/>
      <x:c r="K47" s="11"/>
      <x:c r="L47" s="10"/>
      <x:c r="M47" s="46"/>
      <x:c r="N47" s="10"/>
      <x:c r="O47" s="47"/>
      <x:c r="P47" s="10"/>
      <x:c r="Q47" s="8" t="e">
        <x:f>IF(B47="","",IF(AND(J47&lt;项目驾驶舱!$B$3,P47&lt;&gt;"已完成"),"是","否"))</x:f>
        <x:v>#NAME?</x:v>
      </x:c>
      <x:c r="R47" s="10"/>
      <x:c r="S47" s="10"/>
      <x:c r="T47" s="10"/>
    </x:row>
    <x:row r="48">
      <x:c r="A48" s="8" t="str">
        <x:f t="shared" si="0"/>
      </x:c>
      <x:c r="B48" s="10"/>
      <x:c r="C48" s="8" t="e">
        <x:f>IF(B48="","",IFERROR(INDEX(风险登记册!$B$9:$B$108,MATCH(B48,风险登记册!$A$9:$A$108,0)),""))</x:f>
        <x:v>#NAME?</x:v>
      </x:c>
      <x:c r="D48" s="10"/>
      <x:c r="E48" s="10"/>
      <x:c r="F48" s="10"/>
      <x:c r="G48" s="10"/>
      <x:c r="H48" s="10"/>
      <x:c r="I48" s="11"/>
      <x:c r="J48" s="11"/>
      <x:c r="K48" s="11"/>
      <x:c r="L48" s="10"/>
      <x:c r="M48" s="46"/>
      <x:c r="N48" s="10"/>
      <x:c r="O48" s="47"/>
      <x:c r="P48" s="10"/>
      <x:c r="Q48" s="8" t="e">
        <x:f>IF(B48="","",IF(AND(J48&lt;项目驾驶舱!$B$3,P48&lt;&gt;"已完成"),"是","否"))</x:f>
        <x:v>#NAME?</x:v>
      </x:c>
      <x:c r="R48" s="10"/>
      <x:c r="S48" s="10"/>
      <x:c r="T48" s="10"/>
    </x:row>
    <x:row r="49">
      <x:c r="A49" s="8" t="str">
        <x:f t="shared" si="0"/>
      </x:c>
      <x:c r="B49" s="10"/>
      <x:c r="C49" s="8" t="e">
        <x:f>IF(B49="","",IFERROR(INDEX(风险登记册!$B$9:$B$108,MATCH(B49,风险登记册!$A$9:$A$108,0)),""))</x:f>
        <x:v>#NAME?</x:v>
      </x:c>
      <x:c r="D49" s="10"/>
      <x:c r="E49" s="10"/>
      <x:c r="F49" s="10"/>
      <x:c r="G49" s="10"/>
      <x:c r="H49" s="10"/>
      <x:c r="I49" s="11"/>
      <x:c r="J49" s="11"/>
      <x:c r="K49" s="11"/>
      <x:c r="L49" s="10"/>
      <x:c r="M49" s="46"/>
      <x:c r="N49" s="10"/>
      <x:c r="O49" s="47"/>
      <x:c r="P49" s="10"/>
      <x:c r="Q49" s="8" t="e">
        <x:f>IF(B49="","",IF(AND(J49&lt;项目驾驶舱!$B$3,P49&lt;&gt;"已完成"),"是","否"))</x:f>
        <x:v>#NAME?</x:v>
      </x:c>
      <x:c r="R49" s="10"/>
      <x:c r="S49" s="10"/>
      <x:c r="T49" s="10"/>
    </x:row>
    <x:row r="50">
      <x:c r="A50" s="8" t="str">
        <x:f t="shared" si="0"/>
      </x:c>
      <x:c r="B50" s="10"/>
      <x:c r="C50" s="8" t="e">
        <x:f>IF(B50="","",IFERROR(INDEX(风险登记册!$B$9:$B$108,MATCH(B50,风险登记册!$A$9:$A$108,0)),""))</x:f>
        <x:v>#NAME?</x:v>
      </x:c>
      <x:c r="D50" s="10"/>
      <x:c r="E50" s="10"/>
      <x:c r="F50" s="10"/>
      <x:c r="G50" s="10"/>
      <x:c r="H50" s="10"/>
      <x:c r="I50" s="11"/>
      <x:c r="J50" s="11"/>
      <x:c r="K50" s="11"/>
      <x:c r="L50" s="10"/>
      <x:c r="M50" s="46"/>
      <x:c r="N50" s="10"/>
      <x:c r="O50" s="47"/>
      <x:c r="P50" s="10"/>
      <x:c r="Q50" s="8" t="e">
        <x:f>IF(B50="","",IF(AND(J50&lt;项目驾驶舱!$B$3,P50&lt;&gt;"已完成"),"是","否"))</x:f>
        <x:v>#NAME?</x:v>
      </x:c>
      <x:c r="R50" s="10"/>
      <x:c r="S50" s="10"/>
      <x:c r="T50" s="10"/>
    </x:row>
    <x:row r="51">
      <x:c r="A51" s="8" t="str">
        <x:f t="shared" si="0"/>
      </x:c>
      <x:c r="B51" s="10"/>
      <x:c r="C51" s="8" t="e">
        <x:f>IF(B51="","",IFERROR(INDEX(风险登记册!$B$9:$B$108,MATCH(B51,风险登记册!$A$9:$A$108,0)),""))</x:f>
        <x:v>#NAME?</x:v>
      </x:c>
      <x:c r="D51" s="10"/>
      <x:c r="E51" s="10"/>
      <x:c r="F51" s="10"/>
      <x:c r="G51" s="10"/>
      <x:c r="H51" s="10"/>
      <x:c r="I51" s="11"/>
      <x:c r="J51" s="11"/>
      <x:c r="K51" s="11"/>
      <x:c r="L51" s="10"/>
      <x:c r="M51" s="46"/>
      <x:c r="N51" s="10"/>
      <x:c r="O51" s="47"/>
      <x:c r="P51" s="10"/>
      <x:c r="Q51" s="8" t="e">
        <x:f>IF(B51="","",IF(AND(J51&lt;项目驾驶舱!$B$3,P51&lt;&gt;"已完成"),"是","否"))</x:f>
        <x:v>#NAME?</x:v>
      </x:c>
      <x:c r="R51" s="10"/>
      <x:c r="S51" s="10"/>
      <x:c r="T51" s="10"/>
    </x:row>
    <x:row r="52">
      <x:c r="A52" s="8" t="str">
        <x:f t="shared" si="0"/>
      </x:c>
      <x:c r="B52" s="10"/>
      <x:c r="C52" s="8" t="e">
        <x:f>IF(B52="","",IFERROR(INDEX(风险登记册!$B$9:$B$108,MATCH(B52,风险登记册!$A$9:$A$108,0)),""))</x:f>
        <x:v>#NAME?</x:v>
      </x:c>
      <x:c r="D52" s="10"/>
      <x:c r="E52" s="10"/>
      <x:c r="F52" s="10"/>
      <x:c r="G52" s="10"/>
      <x:c r="H52" s="10"/>
      <x:c r="I52" s="11"/>
      <x:c r="J52" s="11"/>
      <x:c r="K52" s="11"/>
      <x:c r="L52" s="10"/>
      <x:c r="M52" s="46"/>
      <x:c r="N52" s="10"/>
      <x:c r="O52" s="47"/>
      <x:c r="P52" s="10"/>
      <x:c r="Q52" s="8" t="e">
        <x:f>IF(B52="","",IF(AND(J52&lt;项目驾驶舱!$B$3,P52&lt;&gt;"已完成"),"是","否"))</x:f>
        <x:v>#NAME?</x:v>
      </x:c>
      <x:c r="R52" s="10"/>
      <x:c r="S52" s="10"/>
      <x:c r="T52" s="10"/>
    </x:row>
    <x:row r="53">
      <x:c r="A53" s="8" t="str">
        <x:f t="shared" si="0"/>
      </x:c>
      <x:c r="B53" s="10"/>
      <x:c r="C53" s="8" t="e">
        <x:f>IF(B53="","",IFERROR(INDEX(风险登记册!$B$9:$B$108,MATCH(B53,风险登记册!$A$9:$A$108,0)),""))</x:f>
        <x:v>#NAME?</x:v>
      </x:c>
      <x:c r="D53" s="10"/>
      <x:c r="E53" s="10"/>
      <x:c r="F53" s="10"/>
      <x:c r="G53" s="10"/>
      <x:c r="H53" s="10"/>
      <x:c r="I53" s="11"/>
      <x:c r="J53" s="11"/>
      <x:c r="K53" s="11"/>
      <x:c r="L53" s="10"/>
      <x:c r="M53" s="46"/>
      <x:c r="N53" s="10"/>
      <x:c r="O53" s="47"/>
      <x:c r="P53" s="10"/>
      <x:c r="Q53" s="8" t="e">
        <x:f>IF(B53="","",IF(AND(J53&lt;项目驾驶舱!$B$3,P53&lt;&gt;"已完成"),"是","否"))</x:f>
        <x:v>#NAME?</x:v>
      </x:c>
      <x:c r="R53" s="10"/>
      <x:c r="S53" s="10"/>
      <x:c r="T53" s="10"/>
    </x:row>
    <x:row r="54">
      <x:c r="A54" s="8" t="str">
        <x:f t="shared" si="0"/>
      </x:c>
      <x:c r="B54" s="10"/>
      <x:c r="C54" s="8" t="e">
        <x:f>IF(B54="","",IFERROR(INDEX(风险登记册!$B$9:$B$108,MATCH(B54,风险登记册!$A$9:$A$108,0)),""))</x:f>
        <x:v>#NAME?</x:v>
      </x:c>
      <x:c r="D54" s="10"/>
      <x:c r="E54" s="10"/>
      <x:c r="F54" s="10"/>
      <x:c r="G54" s="10"/>
      <x:c r="H54" s="10"/>
      <x:c r="I54" s="11"/>
      <x:c r="J54" s="11"/>
      <x:c r="K54" s="11"/>
      <x:c r="L54" s="10"/>
      <x:c r="M54" s="46"/>
      <x:c r="N54" s="10"/>
      <x:c r="O54" s="47"/>
      <x:c r="P54" s="10"/>
      <x:c r="Q54" s="8" t="e">
        <x:f>IF(B54="","",IF(AND(J54&lt;项目驾驶舱!$B$3,P54&lt;&gt;"已完成"),"是","否"))</x:f>
        <x:v>#NAME?</x:v>
      </x:c>
      <x:c r="R54" s="10"/>
      <x:c r="S54" s="10"/>
      <x:c r="T54" s="10"/>
    </x:row>
    <x:row r="55">
      <x:c r="A55" s="8" t="str">
        <x:f t="shared" si="0"/>
      </x:c>
      <x:c r="B55" s="10"/>
      <x:c r="C55" s="8" t="e">
        <x:f>IF(B55="","",IFERROR(INDEX(风险登记册!$B$9:$B$108,MATCH(B55,风险登记册!$A$9:$A$108,0)),""))</x:f>
        <x:v>#NAME?</x:v>
      </x:c>
      <x:c r="D55" s="10"/>
      <x:c r="E55" s="10"/>
      <x:c r="F55" s="10"/>
      <x:c r="G55" s="10"/>
      <x:c r="H55" s="10"/>
      <x:c r="I55" s="11"/>
      <x:c r="J55" s="11"/>
      <x:c r="K55" s="11"/>
      <x:c r="L55" s="10"/>
      <x:c r="M55" s="46"/>
      <x:c r="N55" s="10"/>
      <x:c r="O55" s="47"/>
      <x:c r="P55" s="10"/>
      <x:c r="Q55" s="8" t="e">
        <x:f>IF(B55="","",IF(AND(J55&lt;项目驾驶舱!$B$3,P55&lt;&gt;"已完成"),"是","否"))</x:f>
        <x:v>#NAME?</x:v>
      </x:c>
      <x:c r="R55" s="10"/>
      <x:c r="S55" s="10"/>
      <x:c r="T55" s="10"/>
    </x:row>
    <x:row r="56">
      <x:c r="A56" s="8" t="str">
        <x:f t="shared" si="0"/>
      </x:c>
      <x:c r="B56" s="10"/>
      <x:c r="C56" s="8" t="e">
        <x:f>IF(B56="","",IFERROR(INDEX(风险登记册!$B$9:$B$108,MATCH(B56,风险登记册!$A$9:$A$108,0)),""))</x:f>
        <x:v>#NAME?</x:v>
      </x:c>
      <x:c r="D56" s="10"/>
      <x:c r="E56" s="10"/>
      <x:c r="F56" s="10"/>
      <x:c r="G56" s="10"/>
      <x:c r="H56" s="10"/>
      <x:c r="I56" s="11"/>
      <x:c r="J56" s="11"/>
      <x:c r="K56" s="11"/>
      <x:c r="L56" s="10"/>
      <x:c r="M56" s="46"/>
      <x:c r="N56" s="10"/>
      <x:c r="O56" s="47"/>
      <x:c r="P56" s="10"/>
      <x:c r="Q56" s="8" t="e">
        <x:f>IF(B56="","",IF(AND(J56&lt;项目驾驶舱!$B$3,P56&lt;&gt;"已完成"),"是","否"))</x:f>
        <x:v>#NAME?</x:v>
      </x:c>
      <x:c r="R56" s="10"/>
      <x:c r="S56" s="10"/>
      <x:c r="T56" s="10"/>
    </x:row>
    <x:row r="57">
      <x:c r="A57" s="8" t="str">
        <x:f t="shared" si="0"/>
      </x:c>
      <x:c r="B57" s="10"/>
      <x:c r="C57" s="8" t="e">
        <x:f>IF(B57="","",IFERROR(INDEX(风险登记册!$B$9:$B$108,MATCH(B57,风险登记册!$A$9:$A$108,0)),""))</x:f>
        <x:v>#NAME?</x:v>
      </x:c>
      <x:c r="D57" s="10"/>
      <x:c r="E57" s="10"/>
      <x:c r="F57" s="10"/>
      <x:c r="G57" s="10"/>
      <x:c r="H57" s="10"/>
      <x:c r="I57" s="11"/>
      <x:c r="J57" s="11"/>
      <x:c r="K57" s="11"/>
      <x:c r="L57" s="10"/>
      <x:c r="M57" s="46"/>
      <x:c r="N57" s="10"/>
      <x:c r="O57" s="47"/>
      <x:c r="P57" s="10"/>
      <x:c r="Q57" s="8" t="e">
        <x:f>IF(B57="","",IF(AND(J57&lt;项目驾驶舱!$B$3,P57&lt;&gt;"已完成"),"是","否"))</x:f>
        <x:v>#NAME?</x:v>
      </x:c>
      <x:c r="R57" s="10"/>
      <x:c r="S57" s="10"/>
      <x:c r="T57" s="10"/>
    </x:row>
    <x:row r="58">
      <x:c r="A58" s="8" t="str">
        <x:f t="shared" si="0"/>
      </x:c>
      <x:c r="B58" s="10"/>
      <x:c r="C58" s="8" t="e">
        <x:f>IF(B58="","",IFERROR(INDEX(风险登记册!$B$9:$B$108,MATCH(B58,风险登记册!$A$9:$A$108,0)),""))</x:f>
        <x:v>#NAME?</x:v>
      </x:c>
      <x:c r="D58" s="10"/>
      <x:c r="E58" s="10"/>
      <x:c r="F58" s="10"/>
      <x:c r="G58" s="10"/>
      <x:c r="H58" s="10"/>
      <x:c r="I58" s="11"/>
      <x:c r="J58" s="11"/>
      <x:c r="K58" s="11"/>
      <x:c r="L58" s="10"/>
      <x:c r="M58" s="46"/>
      <x:c r="N58" s="10"/>
      <x:c r="O58" s="47"/>
      <x:c r="P58" s="10"/>
      <x:c r="Q58" s="8" t="e">
        <x:f>IF(B58="","",IF(AND(J58&lt;项目驾驶舱!$B$3,P58&lt;&gt;"已完成"),"是","否"))</x:f>
        <x:v>#NAME?</x:v>
      </x:c>
      <x:c r="R58" s="10"/>
      <x:c r="S58" s="10"/>
      <x:c r="T58" s="10"/>
    </x:row>
    <x:row r="59">
      <x:c r="A59" s="8" t="str">
        <x:f t="shared" si="0"/>
      </x:c>
      <x:c r="B59" s="10"/>
      <x:c r="C59" s="8" t="e">
        <x:f>IF(B59="","",IFERROR(INDEX(风险登记册!$B$9:$B$108,MATCH(B59,风险登记册!$A$9:$A$108,0)),""))</x:f>
        <x:v>#NAME?</x:v>
      </x:c>
      <x:c r="D59" s="10"/>
      <x:c r="E59" s="10"/>
      <x:c r="F59" s="10"/>
      <x:c r="G59" s="10"/>
      <x:c r="H59" s="10"/>
      <x:c r="I59" s="11"/>
      <x:c r="J59" s="11"/>
      <x:c r="K59" s="11"/>
      <x:c r="L59" s="10"/>
      <x:c r="M59" s="46"/>
      <x:c r="N59" s="10"/>
      <x:c r="O59" s="47"/>
      <x:c r="P59" s="10"/>
      <x:c r="Q59" s="8" t="e">
        <x:f>IF(B59="","",IF(AND(J59&lt;项目驾驶舱!$B$3,P59&lt;&gt;"已完成"),"是","否"))</x:f>
        <x:v>#NAME?</x:v>
      </x:c>
      <x:c r="R59" s="10"/>
      <x:c r="S59" s="10"/>
      <x:c r="T59" s="10"/>
    </x:row>
    <x:row r="60">
      <x:c r="A60" s="8" t="str">
        <x:f t="shared" si="0"/>
      </x:c>
      <x:c r="B60" s="10"/>
      <x:c r="C60" s="8" t="e">
        <x:f>IF(B60="","",IFERROR(INDEX(风险登记册!$B$9:$B$108,MATCH(B60,风险登记册!$A$9:$A$108,0)),""))</x:f>
        <x:v>#NAME?</x:v>
      </x:c>
      <x:c r="D60" s="10"/>
      <x:c r="E60" s="10"/>
      <x:c r="F60" s="10"/>
      <x:c r="G60" s="10"/>
      <x:c r="H60" s="10"/>
      <x:c r="I60" s="11"/>
      <x:c r="J60" s="11"/>
      <x:c r="K60" s="11"/>
      <x:c r="L60" s="10"/>
      <x:c r="M60" s="46"/>
      <x:c r="N60" s="10"/>
      <x:c r="O60" s="47"/>
      <x:c r="P60" s="10"/>
      <x:c r="Q60" s="8" t="e">
        <x:f>IF(B60="","",IF(AND(J60&lt;项目驾驶舱!$B$3,P60&lt;&gt;"已完成"),"是","否"))</x:f>
        <x:v>#NAME?</x:v>
      </x:c>
      <x:c r="R60" s="10"/>
      <x:c r="S60" s="10"/>
      <x:c r="T60" s="10"/>
    </x:row>
    <x:row r="61">
      <x:c r="A61" s="8" t="str">
        <x:f t="shared" si="0"/>
      </x:c>
      <x:c r="B61" s="10"/>
      <x:c r="C61" s="8" t="e">
        <x:f>IF(B61="","",IFERROR(INDEX(风险登记册!$B$9:$B$108,MATCH(B61,风险登记册!$A$9:$A$108,0)),""))</x:f>
        <x:v>#NAME?</x:v>
      </x:c>
      <x:c r="D61" s="10"/>
      <x:c r="E61" s="10"/>
      <x:c r="F61" s="10"/>
      <x:c r="G61" s="10"/>
      <x:c r="H61" s="10"/>
      <x:c r="I61" s="11"/>
      <x:c r="J61" s="11"/>
      <x:c r="K61" s="11"/>
      <x:c r="L61" s="10"/>
      <x:c r="M61" s="46"/>
      <x:c r="N61" s="10"/>
      <x:c r="O61" s="47"/>
      <x:c r="P61" s="10"/>
      <x:c r="Q61" s="8" t="e">
        <x:f>IF(B61="","",IF(AND(J61&lt;项目驾驶舱!$B$3,P61&lt;&gt;"已完成"),"是","否"))</x:f>
        <x:v>#NAME?</x:v>
      </x:c>
      <x:c r="R61" s="10"/>
      <x:c r="S61" s="10"/>
      <x:c r="T61" s="10"/>
    </x:row>
    <x:row r="62">
      <x:c r="A62" s="8" t="str">
        <x:f t="shared" si="0"/>
      </x:c>
      <x:c r="B62" s="10"/>
      <x:c r="C62" s="8" t="e">
        <x:f>IF(B62="","",IFERROR(INDEX(风险登记册!$B$9:$B$108,MATCH(B62,风险登记册!$A$9:$A$108,0)),""))</x:f>
        <x:v>#NAME?</x:v>
      </x:c>
      <x:c r="D62" s="10"/>
      <x:c r="E62" s="10"/>
      <x:c r="F62" s="10"/>
      <x:c r="G62" s="10"/>
      <x:c r="H62" s="10"/>
      <x:c r="I62" s="11"/>
      <x:c r="J62" s="11"/>
      <x:c r="K62" s="11"/>
      <x:c r="L62" s="10"/>
      <x:c r="M62" s="46"/>
      <x:c r="N62" s="10"/>
      <x:c r="O62" s="47"/>
      <x:c r="P62" s="10"/>
      <x:c r="Q62" s="8" t="e">
        <x:f>IF(B62="","",IF(AND(J62&lt;项目驾驶舱!$B$3,P62&lt;&gt;"已完成"),"是","否"))</x:f>
        <x:v>#NAME?</x:v>
      </x:c>
      <x:c r="R62" s="10"/>
      <x:c r="S62" s="10"/>
      <x:c r="T62" s="10"/>
    </x:row>
    <x:row r="63">
      <x:c r="A63" s="8" t="str">
        <x:f t="shared" si="0"/>
      </x:c>
      <x:c r="B63" s="10"/>
      <x:c r="C63" s="8" t="e">
        <x:f>IF(B63="","",IFERROR(INDEX(风险登记册!$B$9:$B$108,MATCH(B63,风险登记册!$A$9:$A$108,0)),""))</x:f>
        <x:v>#NAME?</x:v>
      </x:c>
      <x:c r="D63" s="10"/>
      <x:c r="E63" s="10"/>
      <x:c r="F63" s="10"/>
      <x:c r="G63" s="10"/>
      <x:c r="H63" s="10"/>
      <x:c r="I63" s="11"/>
      <x:c r="J63" s="11"/>
      <x:c r="K63" s="11"/>
      <x:c r="L63" s="10"/>
      <x:c r="M63" s="46"/>
      <x:c r="N63" s="10"/>
      <x:c r="O63" s="47"/>
      <x:c r="P63" s="10"/>
      <x:c r="Q63" s="8" t="e">
        <x:f>IF(B63="","",IF(AND(J63&lt;项目驾驶舱!$B$3,P63&lt;&gt;"已完成"),"是","否"))</x:f>
        <x:v>#NAME?</x:v>
      </x:c>
      <x:c r="R63" s="10"/>
      <x:c r="S63" s="10"/>
      <x:c r="T63" s="10"/>
    </x:row>
    <x:row r="64">
      <x:c r="A64" s="8" t="str">
        <x:f t="shared" si="0"/>
      </x:c>
      <x:c r="B64" s="10"/>
      <x:c r="C64" s="8" t="e">
        <x:f>IF(B64="","",IFERROR(INDEX(风险登记册!$B$9:$B$108,MATCH(B64,风险登记册!$A$9:$A$108,0)),""))</x:f>
        <x:v>#NAME?</x:v>
      </x:c>
      <x:c r="D64" s="10"/>
      <x:c r="E64" s="10"/>
      <x:c r="F64" s="10"/>
      <x:c r="G64" s="10"/>
      <x:c r="H64" s="10"/>
      <x:c r="I64" s="11"/>
      <x:c r="J64" s="11"/>
      <x:c r="K64" s="11"/>
      <x:c r="L64" s="10"/>
      <x:c r="M64" s="46"/>
      <x:c r="N64" s="10"/>
      <x:c r="O64" s="47"/>
      <x:c r="P64" s="10"/>
      <x:c r="Q64" s="8" t="e">
        <x:f>IF(B64="","",IF(AND(J64&lt;项目驾驶舱!$B$3,P64&lt;&gt;"已完成"),"是","否"))</x:f>
        <x:v>#NAME?</x:v>
      </x:c>
      <x:c r="R64" s="10"/>
      <x:c r="S64" s="10"/>
      <x:c r="T64" s="10"/>
    </x:row>
    <x:row r="65">
      <x:c r="A65" s="8" t="str">
        <x:f t="shared" si="0"/>
      </x:c>
      <x:c r="B65" s="10"/>
      <x:c r="C65" s="8" t="e">
        <x:f>IF(B65="","",IFERROR(INDEX(风险登记册!$B$9:$B$108,MATCH(B65,风险登记册!$A$9:$A$108,0)),""))</x:f>
        <x:v>#NAME?</x:v>
      </x:c>
      <x:c r="D65" s="10"/>
      <x:c r="E65" s="10"/>
      <x:c r="F65" s="10"/>
      <x:c r="G65" s="10"/>
      <x:c r="H65" s="10"/>
      <x:c r="I65" s="11"/>
      <x:c r="J65" s="11"/>
      <x:c r="K65" s="11"/>
      <x:c r="L65" s="10"/>
      <x:c r="M65" s="46"/>
      <x:c r="N65" s="10"/>
      <x:c r="O65" s="47"/>
      <x:c r="P65" s="10"/>
      <x:c r="Q65" s="8" t="e">
        <x:f>IF(B65="","",IF(AND(J65&lt;项目驾驶舱!$B$3,P65&lt;&gt;"已完成"),"是","否"))</x:f>
        <x:v>#NAME?</x:v>
      </x:c>
      <x:c r="R65" s="10"/>
      <x:c r="S65" s="10"/>
      <x:c r="T65" s="10"/>
    </x:row>
    <x:row r="66">
      <x:c r="A66" s="8" t="str">
        <x:f t="shared" si="0"/>
      </x:c>
      <x:c r="B66" s="10"/>
      <x:c r="C66" s="8" t="e">
        <x:f>IF(B66="","",IFERROR(INDEX(风险登记册!$B$9:$B$108,MATCH(B66,风险登记册!$A$9:$A$108,0)),""))</x:f>
        <x:v>#NAME?</x:v>
      </x:c>
      <x:c r="D66" s="10"/>
      <x:c r="E66" s="10"/>
      <x:c r="F66" s="10"/>
      <x:c r="G66" s="10"/>
      <x:c r="H66" s="10"/>
      <x:c r="I66" s="11"/>
      <x:c r="J66" s="11"/>
      <x:c r="K66" s="11"/>
      <x:c r="L66" s="10"/>
      <x:c r="M66" s="46"/>
      <x:c r="N66" s="10"/>
      <x:c r="O66" s="47"/>
      <x:c r="P66" s="10"/>
      <x:c r="Q66" s="8" t="e">
        <x:f>IF(B66="","",IF(AND(J66&lt;项目驾驶舱!$B$3,P66&lt;&gt;"已完成"),"是","否"))</x:f>
        <x:v>#NAME?</x:v>
      </x:c>
      <x:c r="R66" s="10"/>
      <x:c r="S66" s="10"/>
      <x:c r="T66" s="10"/>
    </x:row>
    <x:row r="67">
      <x:c r="A67" s="8" t="str">
        <x:f t="shared" si="0"/>
      </x:c>
      <x:c r="B67" s="10"/>
      <x:c r="C67" s="8" t="e">
        <x:f>IF(B67="","",IFERROR(INDEX(风险登记册!$B$9:$B$108,MATCH(B67,风险登记册!$A$9:$A$108,0)),""))</x:f>
        <x:v>#NAME?</x:v>
      </x:c>
      <x:c r="D67" s="10"/>
      <x:c r="E67" s="10"/>
      <x:c r="F67" s="10"/>
      <x:c r="G67" s="10"/>
      <x:c r="H67" s="10"/>
      <x:c r="I67" s="11"/>
      <x:c r="J67" s="11"/>
      <x:c r="K67" s="11"/>
      <x:c r="L67" s="10"/>
      <x:c r="M67" s="46"/>
      <x:c r="N67" s="10"/>
      <x:c r="O67" s="47"/>
      <x:c r="P67" s="10"/>
      <x:c r="Q67" s="8" t="e">
        <x:f>IF(B67="","",IF(AND(J67&lt;项目驾驶舱!$B$3,P67&lt;&gt;"已完成"),"是","否"))</x:f>
        <x:v>#NAME?</x:v>
      </x:c>
      <x:c r="R67" s="10"/>
      <x:c r="S67" s="10"/>
      <x:c r="T67" s="10"/>
    </x:row>
    <x:row r="68">
      <x:c r="A68" s="8" t="str">
        <x:f t="shared" si="0"/>
      </x:c>
      <x:c r="B68" s="10"/>
      <x:c r="C68" s="8" t="e">
        <x:f>IF(B68="","",IFERROR(INDEX(风险登记册!$B$9:$B$108,MATCH(B68,风险登记册!$A$9:$A$108,0)),""))</x:f>
        <x:v>#NAME?</x:v>
      </x:c>
      <x:c r="D68" s="10"/>
      <x:c r="E68" s="10"/>
      <x:c r="F68" s="10"/>
      <x:c r="G68" s="10"/>
      <x:c r="H68" s="10"/>
      <x:c r="I68" s="11"/>
      <x:c r="J68" s="11"/>
      <x:c r="K68" s="11"/>
      <x:c r="L68" s="10"/>
      <x:c r="M68" s="46"/>
      <x:c r="N68" s="10"/>
      <x:c r="O68" s="47"/>
      <x:c r="P68" s="10"/>
      <x:c r="Q68" s="8" t="e">
        <x:f>IF(B68="","",IF(AND(J68&lt;项目驾驶舱!$B$3,P68&lt;&gt;"已完成"),"是","否"))</x:f>
        <x:v>#NAME?</x:v>
      </x:c>
      <x:c r="R68" s="10"/>
      <x:c r="S68" s="10"/>
      <x:c r="T68" s="10"/>
    </x:row>
    <x:row r="69">
      <x:c r="A69" s="8" t="str">
        <x:f t="shared" ref="A69:A104" si="1">IF(B69="","","RA-"&amp;TEXT(ROW()-4,"000"))</x:f>
      </x:c>
      <x:c r="B69" s="10"/>
      <x:c r="C69" s="8" t="e">
        <x:f>IF(B69="","",IFERROR(INDEX(风险登记册!$B$9:$B$108,MATCH(B69,风险登记册!$A$9:$A$108,0)),""))</x:f>
        <x:v>#NAME?</x:v>
      </x:c>
      <x:c r="D69" s="10"/>
      <x:c r="E69" s="10"/>
      <x:c r="F69" s="10"/>
      <x:c r="G69" s="10"/>
      <x:c r="H69" s="10"/>
      <x:c r="I69" s="11"/>
      <x:c r="J69" s="11"/>
      <x:c r="K69" s="11"/>
      <x:c r="L69" s="10"/>
      <x:c r="M69" s="46"/>
      <x:c r="N69" s="10"/>
      <x:c r="O69" s="47"/>
      <x:c r="P69" s="10"/>
      <x:c r="Q69" s="8" t="e">
        <x:f>IF(B69="","",IF(AND(J69&lt;项目驾驶舱!$B$3,P69&lt;&gt;"已完成"),"是","否"))</x:f>
        <x:v>#NAME?</x:v>
      </x:c>
      <x:c r="R69" s="10"/>
      <x:c r="S69" s="10"/>
      <x:c r="T69" s="10"/>
    </x:row>
    <x:row r="70">
      <x:c r="A70" s="8" t="str">
        <x:f t="shared" si="1"/>
      </x:c>
      <x:c r="B70" s="10"/>
      <x:c r="C70" s="8" t="e">
        <x:f>IF(B70="","",IFERROR(INDEX(风险登记册!$B$9:$B$108,MATCH(B70,风险登记册!$A$9:$A$108,0)),""))</x:f>
        <x:v>#NAME?</x:v>
      </x:c>
      <x:c r="D70" s="10"/>
      <x:c r="E70" s="10"/>
      <x:c r="F70" s="10"/>
      <x:c r="G70" s="10"/>
      <x:c r="H70" s="10"/>
      <x:c r="I70" s="11"/>
      <x:c r="J70" s="11"/>
      <x:c r="K70" s="11"/>
      <x:c r="L70" s="10"/>
      <x:c r="M70" s="46"/>
      <x:c r="N70" s="10"/>
      <x:c r="O70" s="47"/>
      <x:c r="P70" s="10"/>
      <x:c r="Q70" s="8" t="e">
        <x:f>IF(B70="","",IF(AND(J70&lt;项目驾驶舱!$B$3,P70&lt;&gt;"已完成"),"是","否"))</x:f>
        <x:v>#NAME?</x:v>
      </x:c>
      <x:c r="R70" s="10"/>
      <x:c r="S70" s="10"/>
      <x:c r="T70" s="10"/>
    </x:row>
    <x:row r="71">
      <x:c r="A71" s="8" t="str">
        <x:f t="shared" si="1"/>
      </x:c>
      <x:c r="B71" s="10"/>
      <x:c r="C71" s="8" t="e">
        <x:f>IF(B71="","",IFERROR(INDEX(风险登记册!$B$9:$B$108,MATCH(B71,风险登记册!$A$9:$A$108,0)),""))</x:f>
        <x:v>#NAME?</x:v>
      </x:c>
      <x:c r="D71" s="10"/>
      <x:c r="E71" s="10"/>
      <x:c r="F71" s="10"/>
      <x:c r="G71" s="10"/>
      <x:c r="H71" s="10"/>
      <x:c r="I71" s="11"/>
      <x:c r="J71" s="11"/>
      <x:c r="K71" s="11"/>
      <x:c r="L71" s="10"/>
      <x:c r="M71" s="46"/>
      <x:c r="N71" s="10"/>
      <x:c r="O71" s="47"/>
      <x:c r="P71" s="10"/>
      <x:c r="Q71" s="8" t="e">
        <x:f>IF(B71="","",IF(AND(J71&lt;项目驾驶舱!$B$3,P71&lt;&gt;"已完成"),"是","否"))</x:f>
        <x:v>#NAME?</x:v>
      </x:c>
      <x:c r="R71" s="10"/>
      <x:c r="S71" s="10"/>
      <x:c r="T71" s="10"/>
    </x:row>
    <x:row r="72">
      <x:c r="A72" s="8" t="str">
        <x:f t="shared" si="1"/>
      </x:c>
      <x:c r="B72" s="10"/>
      <x:c r="C72" s="8" t="e">
        <x:f>IF(B72="","",IFERROR(INDEX(风险登记册!$B$9:$B$108,MATCH(B72,风险登记册!$A$9:$A$108,0)),""))</x:f>
        <x:v>#NAME?</x:v>
      </x:c>
      <x:c r="D72" s="10"/>
      <x:c r="E72" s="10"/>
      <x:c r="F72" s="10"/>
      <x:c r="G72" s="10"/>
      <x:c r="H72" s="10"/>
      <x:c r="I72" s="11"/>
      <x:c r="J72" s="11"/>
      <x:c r="K72" s="11"/>
      <x:c r="L72" s="10"/>
      <x:c r="M72" s="46"/>
      <x:c r="N72" s="10"/>
      <x:c r="O72" s="47"/>
      <x:c r="P72" s="10"/>
      <x:c r="Q72" s="8" t="e">
        <x:f>IF(B72="","",IF(AND(J72&lt;项目驾驶舱!$B$3,P72&lt;&gt;"已完成"),"是","否"))</x:f>
        <x:v>#NAME?</x:v>
      </x:c>
      <x:c r="R72" s="10"/>
      <x:c r="S72" s="10"/>
      <x:c r="T72" s="10"/>
    </x:row>
    <x:row r="73">
      <x:c r="A73" s="8" t="str">
        <x:f t="shared" si="1"/>
      </x:c>
      <x:c r="B73" s="10"/>
      <x:c r="C73" s="8" t="e">
        <x:f>IF(B73="","",IFERROR(INDEX(风险登记册!$B$9:$B$108,MATCH(B73,风险登记册!$A$9:$A$108,0)),""))</x:f>
        <x:v>#NAME?</x:v>
      </x:c>
      <x:c r="D73" s="10"/>
      <x:c r="E73" s="10"/>
      <x:c r="F73" s="10"/>
      <x:c r="G73" s="10"/>
      <x:c r="H73" s="10"/>
      <x:c r="I73" s="11"/>
      <x:c r="J73" s="11"/>
      <x:c r="K73" s="11"/>
      <x:c r="L73" s="10"/>
      <x:c r="M73" s="46"/>
      <x:c r="N73" s="10"/>
      <x:c r="O73" s="47"/>
      <x:c r="P73" s="10"/>
      <x:c r="Q73" s="8" t="e">
        <x:f>IF(B73="","",IF(AND(J73&lt;项目驾驶舱!$B$3,P73&lt;&gt;"已完成"),"是","否"))</x:f>
        <x:v>#NAME?</x:v>
      </x:c>
      <x:c r="R73" s="10"/>
      <x:c r="S73" s="10"/>
      <x:c r="T73" s="10"/>
    </x:row>
    <x:row r="74">
      <x:c r="A74" s="8" t="str">
        <x:f t="shared" si="1"/>
      </x:c>
      <x:c r="B74" s="10"/>
      <x:c r="C74" s="8" t="e">
        <x:f>IF(B74="","",IFERROR(INDEX(风险登记册!$B$9:$B$108,MATCH(B74,风险登记册!$A$9:$A$108,0)),""))</x:f>
        <x:v>#NAME?</x:v>
      </x:c>
      <x:c r="D74" s="10"/>
      <x:c r="E74" s="10"/>
      <x:c r="F74" s="10"/>
      <x:c r="G74" s="10"/>
      <x:c r="H74" s="10"/>
      <x:c r="I74" s="11"/>
      <x:c r="J74" s="11"/>
      <x:c r="K74" s="11"/>
      <x:c r="L74" s="10"/>
      <x:c r="M74" s="46"/>
      <x:c r="N74" s="10"/>
      <x:c r="O74" s="47"/>
      <x:c r="P74" s="10"/>
      <x:c r="Q74" s="8" t="e">
        <x:f>IF(B74="","",IF(AND(J74&lt;项目驾驶舱!$B$3,P74&lt;&gt;"已完成"),"是","否"))</x:f>
        <x:v>#NAME?</x:v>
      </x:c>
      <x:c r="R74" s="10"/>
      <x:c r="S74" s="10"/>
      <x:c r="T74" s="10"/>
    </x:row>
    <x:row r="75">
      <x:c r="A75" s="8" t="str">
        <x:f t="shared" si="1"/>
      </x:c>
      <x:c r="B75" s="10"/>
      <x:c r="C75" s="8" t="e">
        <x:f>IF(B75="","",IFERROR(INDEX(风险登记册!$B$9:$B$108,MATCH(B75,风险登记册!$A$9:$A$108,0)),""))</x:f>
        <x:v>#NAME?</x:v>
      </x:c>
      <x:c r="D75" s="10"/>
      <x:c r="E75" s="10"/>
      <x:c r="F75" s="10"/>
      <x:c r="G75" s="10"/>
      <x:c r="H75" s="10"/>
      <x:c r="I75" s="11"/>
      <x:c r="J75" s="11"/>
      <x:c r="K75" s="11"/>
      <x:c r="L75" s="10"/>
      <x:c r="M75" s="46"/>
      <x:c r="N75" s="10"/>
      <x:c r="O75" s="47"/>
      <x:c r="P75" s="10"/>
      <x:c r="Q75" s="8" t="e">
        <x:f>IF(B75="","",IF(AND(J75&lt;项目驾驶舱!$B$3,P75&lt;&gt;"已完成"),"是","否"))</x:f>
        <x:v>#NAME?</x:v>
      </x:c>
      <x:c r="R75" s="10"/>
      <x:c r="S75" s="10"/>
      <x:c r="T75" s="10"/>
    </x:row>
    <x:row r="76">
      <x:c r="A76" s="8" t="str">
        <x:f t="shared" si="1"/>
      </x:c>
      <x:c r="B76" s="10"/>
      <x:c r="C76" s="8" t="e">
        <x:f>IF(B76="","",IFERROR(INDEX(风险登记册!$B$9:$B$108,MATCH(B76,风险登记册!$A$9:$A$108,0)),""))</x:f>
        <x:v>#NAME?</x:v>
      </x:c>
      <x:c r="D76" s="10"/>
      <x:c r="E76" s="10"/>
      <x:c r="F76" s="10"/>
      <x:c r="G76" s="10"/>
      <x:c r="H76" s="10"/>
      <x:c r="I76" s="11"/>
      <x:c r="J76" s="11"/>
      <x:c r="K76" s="11"/>
      <x:c r="L76" s="10"/>
      <x:c r="M76" s="46"/>
      <x:c r="N76" s="10"/>
      <x:c r="O76" s="47"/>
      <x:c r="P76" s="10"/>
      <x:c r="Q76" s="8" t="e">
        <x:f>IF(B76="","",IF(AND(J76&lt;项目驾驶舱!$B$3,P76&lt;&gt;"已完成"),"是","否"))</x:f>
        <x:v>#NAME?</x:v>
      </x:c>
      <x:c r="R76" s="10"/>
      <x:c r="S76" s="10"/>
      <x:c r="T76" s="10"/>
    </x:row>
    <x:row r="77">
      <x:c r="A77" s="8" t="str">
        <x:f t="shared" si="1"/>
      </x:c>
      <x:c r="B77" s="10"/>
      <x:c r="C77" s="8" t="e">
        <x:f>IF(B77="","",IFERROR(INDEX(风险登记册!$B$9:$B$108,MATCH(B77,风险登记册!$A$9:$A$108,0)),""))</x:f>
        <x:v>#NAME?</x:v>
      </x:c>
      <x:c r="D77" s="10"/>
      <x:c r="E77" s="10"/>
      <x:c r="F77" s="10"/>
      <x:c r="G77" s="10"/>
      <x:c r="H77" s="10"/>
      <x:c r="I77" s="11"/>
      <x:c r="J77" s="11"/>
      <x:c r="K77" s="11"/>
      <x:c r="L77" s="10"/>
      <x:c r="M77" s="46"/>
      <x:c r="N77" s="10"/>
      <x:c r="O77" s="47"/>
      <x:c r="P77" s="10"/>
      <x:c r="Q77" s="8" t="e">
        <x:f>IF(B77="","",IF(AND(J77&lt;项目驾驶舱!$B$3,P77&lt;&gt;"已完成"),"是","否"))</x:f>
        <x:v>#NAME?</x:v>
      </x:c>
      <x:c r="R77" s="10"/>
      <x:c r="S77" s="10"/>
      <x:c r="T77" s="10"/>
    </x:row>
    <x:row r="78">
      <x:c r="A78" s="8" t="str">
        <x:f t="shared" si="1"/>
      </x:c>
      <x:c r="B78" s="10"/>
      <x:c r="C78" s="8" t="e">
        <x:f>IF(B78="","",IFERROR(INDEX(风险登记册!$B$9:$B$108,MATCH(B78,风险登记册!$A$9:$A$108,0)),""))</x:f>
        <x:v>#NAME?</x:v>
      </x:c>
      <x:c r="D78" s="10"/>
      <x:c r="E78" s="10"/>
      <x:c r="F78" s="10"/>
      <x:c r="G78" s="10"/>
      <x:c r="H78" s="10"/>
      <x:c r="I78" s="11"/>
      <x:c r="J78" s="11"/>
      <x:c r="K78" s="11"/>
      <x:c r="L78" s="10"/>
      <x:c r="M78" s="46"/>
      <x:c r="N78" s="10"/>
      <x:c r="O78" s="47"/>
      <x:c r="P78" s="10"/>
      <x:c r="Q78" s="8" t="e">
        <x:f>IF(B78="","",IF(AND(J78&lt;项目驾驶舱!$B$3,P78&lt;&gt;"已完成"),"是","否"))</x:f>
        <x:v>#NAME?</x:v>
      </x:c>
      <x:c r="R78" s="10"/>
      <x:c r="S78" s="10"/>
      <x:c r="T78" s="10"/>
    </x:row>
    <x:row r="79">
      <x:c r="A79" s="8" t="str">
        <x:f t="shared" si="1"/>
      </x:c>
      <x:c r="B79" s="10"/>
      <x:c r="C79" s="8" t="e">
        <x:f>IF(B79="","",IFERROR(INDEX(风险登记册!$B$9:$B$108,MATCH(B79,风险登记册!$A$9:$A$108,0)),""))</x:f>
        <x:v>#NAME?</x:v>
      </x:c>
      <x:c r="D79" s="10"/>
      <x:c r="E79" s="10"/>
      <x:c r="F79" s="10"/>
      <x:c r="G79" s="10"/>
      <x:c r="H79" s="10"/>
      <x:c r="I79" s="11"/>
      <x:c r="J79" s="11"/>
      <x:c r="K79" s="11"/>
      <x:c r="L79" s="10"/>
      <x:c r="M79" s="46"/>
      <x:c r="N79" s="10"/>
      <x:c r="O79" s="47"/>
      <x:c r="P79" s="10"/>
      <x:c r="Q79" s="8" t="e">
        <x:f>IF(B79="","",IF(AND(J79&lt;项目驾驶舱!$B$3,P79&lt;&gt;"已完成"),"是","否"))</x:f>
        <x:v>#NAME?</x:v>
      </x:c>
      <x:c r="R79" s="10"/>
      <x:c r="S79" s="10"/>
      <x:c r="T79" s="10"/>
    </x:row>
    <x:row r="80">
      <x:c r="A80" s="8" t="str">
        <x:f t="shared" si="1"/>
      </x:c>
      <x:c r="B80" s="10"/>
      <x:c r="C80" s="8" t="e">
        <x:f>IF(B80="","",IFERROR(INDEX(风险登记册!$B$9:$B$108,MATCH(B80,风险登记册!$A$9:$A$108,0)),""))</x:f>
        <x:v>#NAME?</x:v>
      </x:c>
      <x:c r="D80" s="10"/>
      <x:c r="E80" s="10"/>
      <x:c r="F80" s="10"/>
      <x:c r="G80" s="10"/>
      <x:c r="H80" s="10"/>
      <x:c r="I80" s="11"/>
      <x:c r="J80" s="11"/>
      <x:c r="K80" s="11"/>
      <x:c r="L80" s="10"/>
      <x:c r="M80" s="46"/>
      <x:c r="N80" s="10"/>
      <x:c r="O80" s="47"/>
      <x:c r="P80" s="10"/>
      <x:c r="Q80" s="8" t="e">
        <x:f>IF(B80="","",IF(AND(J80&lt;项目驾驶舱!$B$3,P80&lt;&gt;"已完成"),"是","否"))</x:f>
        <x:v>#NAME?</x:v>
      </x:c>
      <x:c r="R80" s="10"/>
      <x:c r="S80" s="10"/>
      <x:c r="T80" s="10"/>
    </x:row>
    <x:row r="81">
      <x:c r="A81" s="8" t="str">
        <x:f t="shared" si="1"/>
      </x:c>
      <x:c r="B81" s="10"/>
      <x:c r="C81" s="8" t="e">
        <x:f>IF(B81="","",IFERROR(INDEX(风险登记册!$B$9:$B$108,MATCH(B81,风险登记册!$A$9:$A$108,0)),""))</x:f>
        <x:v>#NAME?</x:v>
      </x:c>
      <x:c r="D81" s="10"/>
      <x:c r="E81" s="10"/>
      <x:c r="F81" s="10"/>
      <x:c r="G81" s="10"/>
      <x:c r="H81" s="10"/>
      <x:c r="I81" s="11"/>
      <x:c r="J81" s="11"/>
      <x:c r="K81" s="11"/>
      <x:c r="L81" s="10"/>
      <x:c r="M81" s="46"/>
      <x:c r="N81" s="10"/>
      <x:c r="O81" s="47"/>
      <x:c r="P81" s="10"/>
      <x:c r="Q81" s="8" t="e">
        <x:f>IF(B81="","",IF(AND(J81&lt;项目驾驶舱!$B$3,P81&lt;&gt;"已完成"),"是","否"))</x:f>
        <x:v>#NAME?</x:v>
      </x:c>
      <x:c r="R81" s="10"/>
      <x:c r="S81" s="10"/>
      <x:c r="T81" s="10"/>
    </x:row>
    <x:row r="82">
      <x:c r="A82" s="8" t="str">
        <x:f t="shared" si="1"/>
      </x:c>
      <x:c r="B82" s="10"/>
      <x:c r="C82" s="8" t="e">
        <x:f>IF(B82="","",IFERROR(INDEX(风险登记册!$B$9:$B$108,MATCH(B82,风险登记册!$A$9:$A$108,0)),""))</x:f>
        <x:v>#NAME?</x:v>
      </x:c>
      <x:c r="D82" s="10"/>
      <x:c r="E82" s="10"/>
      <x:c r="F82" s="10"/>
      <x:c r="G82" s="10"/>
      <x:c r="H82" s="10"/>
      <x:c r="I82" s="11"/>
      <x:c r="J82" s="11"/>
      <x:c r="K82" s="11"/>
      <x:c r="L82" s="10"/>
      <x:c r="M82" s="46"/>
      <x:c r="N82" s="10"/>
      <x:c r="O82" s="47"/>
      <x:c r="P82" s="10"/>
      <x:c r="Q82" s="8" t="e">
        <x:f>IF(B82="","",IF(AND(J82&lt;项目驾驶舱!$B$3,P82&lt;&gt;"已完成"),"是","否"))</x:f>
        <x:v>#NAME?</x:v>
      </x:c>
      <x:c r="R82" s="10"/>
      <x:c r="S82" s="10"/>
      <x:c r="T82" s="10"/>
    </x:row>
    <x:row r="83">
      <x:c r="A83" s="8" t="str">
        <x:f t="shared" si="1"/>
      </x:c>
      <x:c r="B83" s="10"/>
      <x:c r="C83" s="8" t="e">
        <x:f>IF(B83="","",IFERROR(INDEX(风险登记册!$B$9:$B$108,MATCH(B83,风险登记册!$A$9:$A$108,0)),""))</x:f>
        <x:v>#NAME?</x:v>
      </x:c>
      <x:c r="D83" s="10"/>
      <x:c r="E83" s="10"/>
      <x:c r="F83" s="10"/>
      <x:c r="G83" s="10"/>
      <x:c r="H83" s="10"/>
      <x:c r="I83" s="11"/>
      <x:c r="J83" s="11"/>
      <x:c r="K83" s="11"/>
      <x:c r="L83" s="10"/>
      <x:c r="M83" s="46"/>
      <x:c r="N83" s="10"/>
      <x:c r="O83" s="47"/>
      <x:c r="P83" s="10"/>
      <x:c r="Q83" s="8" t="e">
        <x:f>IF(B83="","",IF(AND(J83&lt;项目驾驶舱!$B$3,P83&lt;&gt;"已完成"),"是","否"))</x:f>
        <x:v>#NAME?</x:v>
      </x:c>
      <x:c r="R83" s="10"/>
      <x:c r="S83" s="10"/>
      <x:c r="T83" s="10"/>
    </x:row>
    <x:row r="84">
      <x:c r="A84" s="8" t="str">
        <x:f t="shared" si="1"/>
      </x:c>
      <x:c r="B84" s="10"/>
      <x:c r="C84" s="8" t="e">
        <x:f>IF(B84="","",IFERROR(INDEX(风险登记册!$B$9:$B$108,MATCH(B84,风险登记册!$A$9:$A$108,0)),""))</x:f>
        <x:v>#NAME?</x:v>
      </x:c>
      <x:c r="D84" s="10"/>
      <x:c r="E84" s="10"/>
      <x:c r="F84" s="10"/>
      <x:c r="G84" s="10"/>
      <x:c r="H84" s="10"/>
      <x:c r="I84" s="11"/>
      <x:c r="J84" s="11"/>
      <x:c r="K84" s="11"/>
      <x:c r="L84" s="10"/>
      <x:c r="M84" s="46"/>
      <x:c r="N84" s="10"/>
      <x:c r="O84" s="47"/>
      <x:c r="P84" s="10"/>
      <x:c r="Q84" s="8" t="e">
        <x:f>IF(B84="","",IF(AND(J84&lt;项目驾驶舱!$B$3,P84&lt;&gt;"已完成"),"是","否"))</x:f>
        <x:v>#NAME?</x:v>
      </x:c>
      <x:c r="R84" s="10"/>
      <x:c r="S84" s="10"/>
      <x:c r="T84" s="10"/>
    </x:row>
    <x:row r="85">
      <x:c r="A85" s="8" t="str">
        <x:f t="shared" si="1"/>
      </x:c>
      <x:c r="B85" s="10"/>
      <x:c r="C85" s="8" t="e">
        <x:f>IF(B85="","",IFERROR(INDEX(风险登记册!$B$9:$B$108,MATCH(B85,风险登记册!$A$9:$A$108,0)),""))</x:f>
        <x:v>#NAME?</x:v>
      </x:c>
      <x:c r="D85" s="10"/>
      <x:c r="E85" s="10"/>
      <x:c r="F85" s="10"/>
      <x:c r="G85" s="10"/>
      <x:c r="H85" s="10"/>
      <x:c r="I85" s="11"/>
      <x:c r="J85" s="11"/>
      <x:c r="K85" s="11"/>
      <x:c r="L85" s="10"/>
      <x:c r="M85" s="46"/>
      <x:c r="N85" s="10"/>
      <x:c r="O85" s="47"/>
      <x:c r="P85" s="10"/>
      <x:c r="Q85" s="8" t="e">
        <x:f>IF(B85="","",IF(AND(J85&lt;项目驾驶舱!$B$3,P85&lt;&gt;"已完成"),"是","否"))</x:f>
        <x:v>#NAME?</x:v>
      </x:c>
      <x:c r="R85" s="10"/>
      <x:c r="S85" s="10"/>
      <x:c r="T85" s="10"/>
    </x:row>
    <x:row r="86">
      <x:c r="A86" s="8" t="str">
        <x:f t="shared" si="1"/>
      </x:c>
      <x:c r="B86" s="10"/>
      <x:c r="C86" s="8" t="e">
        <x:f>IF(B86="","",IFERROR(INDEX(风险登记册!$B$9:$B$108,MATCH(B86,风险登记册!$A$9:$A$108,0)),""))</x:f>
        <x:v>#NAME?</x:v>
      </x:c>
      <x:c r="D86" s="10"/>
      <x:c r="E86" s="10"/>
      <x:c r="F86" s="10"/>
      <x:c r="G86" s="10"/>
      <x:c r="H86" s="10"/>
      <x:c r="I86" s="11"/>
      <x:c r="J86" s="11"/>
      <x:c r="K86" s="11"/>
      <x:c r="L86" s="10"/>
      <x:c r="M86" s="46"/>
      <x:c r="N86" s="10"/>
      <x:c r="O86" s="47"/>
      <x:c r="P86" s="10"/>
      <x:c r="Q86" s="8" t="e">
        <x:f>IF(B86="","",IF(AND(J86&lt;项目驾驶舱!$B$3,P86&lt;&gt;"已完成"),"是","否"))</x:f>
        <x:v>#NAME?</x:v>
      </x:c>
      <x:c r="R86" s="10"/>
      <x:c r="S86" s="10"/>
      <x:c r="T86" s="10"/>
    </x:row>
    <x:row r="87">
      <x:c r="A87" s="8" t="str">
        <x:f t="shared" si="1"/>
      </x:c>
      <x:c r="B87" s="10"/>
      <x:c r="C87" s="8" t="e">
        <x:f>IF(B87="","",IFERROR(INDEX(风险登记册!$B$9:$B$108,MATCH(B87,风险登记册!$A$9:$A$108,0)),""))</x:f>
        <x:v>#NAME?</x:v>
      </x:c>
      <x:c r="D87" s="10"/>
      <x:c r="E87" s="10"/>
      <x:c r="F87" s="10"/>
      <x:c r="G87" s="10"/>
      <x:c r="H87" s="10"/>
      <x:c r="I87" s="11"/>
      <x:c r="J87" s="11"/>
      <x:c r="K87" s="11"/>
      <x:c r="L87" s="10"/>
      <x:c r="M87" s="46"/>
      <x:c r="N87" s="10"/>
      <x:c r="O87" s="47"/>
      <x:c r="P87" s="10"/>
      <x:c r="Q87" s="8" t="e">
        <x:f>IF(B87="","",IF(AND(J87&lt;项目驾驶舱!$B$3,P87&lt;&gt;"已完成"),"是","否"))</x:f>
        <x:v>#NAME?</x:v>
      </x:c>
      <x:c r="R87" s="10"/>
      <x:c r="S87" s="10"/>
      <x:c r="T87" s="10"/>
    </x:row>
    <x:row r="88">
      <x:c r="A88" s="8" t="str">
        <x:f t="shared" si="1"/>
      </x:c>
      <x:c r="B88" s="10"/>
      <x:c r="C88" s="8" t="e">
        <x:f>IF(B88="","",IFERROR(INDEX(风险登记册!$B$9:$B$108,MATCH(B88,风险登记册!$A$9:$A$108,0)),""))</x:f>
        <x:v>#NAME?</x:v>
      </x:c>
      <x:c r="D88" s="10"/>
      <x:c r="E88" s="10"/>
      <x:c r="F88" s="10"/>
      <x:c r="G88" s="10"/>
      <x:c r="H88" s="10"/>
      <x:c r="I88" s="11"/>
      <x:c r="J88" s="11"/>
      <x:c r="K88" s="11"/>
      <x:c r="L88" s="10"/>
      <x:c r="M88" s="46"/>
      <x:c r="N88" s="10"/>
      <x:c r="O88" s="47"/>
      <x:c r="P88" s="10"/>
      <x:c r="Q88" s="8" t="e">
        <x:f>IF(B88="","",IF(AND(J88&lt;项目驾驶舱!$B$3,P88&lt;&gt;"已完成"),"是","否"))</x:f>
        <x:v>#NAME?</x:v>
      </x:c>
      <x:c r="R88" s="10"/>
      <x:c r="S88" s="10"/>
      <x:c r="T88" s="10"/>
    </x:row>
    <x:row r="89">
      <x:c r="A89" s="8" t="str">
        <x:f t="shared" si="1"/>
      </x:c>
      <x:c r="B89" s="10"/>
      <x:c r="C89" s="8" t="e">
        <x:f>IF(B89="","",IFERROR(INDEX(风险登记册!$B$9:$B$108,MATCH(B89,风险登记册!$A$9:$A$108,0)),""))</x:f>
        <x:v>#NAME?</x:v>
      </x:c>
      <x:c r="D89" s="10"/>
      <x:c r="E89" s="10"/>
      <x:c r="F89" s="10"/>
      <x:c r="G89" s="10"/>
      <x:c r="H89" s="10"/>
      <x:c r="I89" s="11"/>
      <x:c r="J89" s="11"/>
      <x:c r="K89" s="11"/>
      <x:c r="L89" s="10"/>
      <x:c r="M89" s="46"/>
      <x:c r="N89" s="10"/>
      <x:c r="O89" s="47"/>
      <x:c r="P89" s="10"/>
      <x:c r="Q89" s="8" t="e">
        <x:f>IF(B89="","",IF(AND(J89&lt;项目驾驶舱!$B$3,P89&lt;&gt;"已完成"),"是","否"))</x:f>
        <x:v>#NAME?</x:v>
      </x:c>
      <x:c r="R89" s="10"/>
      <x:c r="S89" s="10"/>
      <x:c r="T89" s="10"/>
    </x:row>
    <x:row r="90">
      <x:c r="A90" s="8" t="str">
        <x:f t="shared" si="1"/>
      </x:c>
      <x:c r="B90" s="10"/>
      <x:c r="C90" s="8" t="e">
        <x:f>IF(B90="","",IFERROR(INDEX(风险登记册!$B$9:$B$108,MATCH(B90,风险登记册!$A$9:$A$108,0)),""))</x:f>
        <x:v>#NAME?</x:v>
      </x:c>
      <x:c r="D90" s="10"/>
      <x:c r="E90" s="10"/>
      <x:c r="F90" s="10"/>
      <x:c r="G90" s="10"/>
      <x:c r="H90" s="10"/>
      <x:c r="I90" s="11"/>
      <x:c r="J90" s="11"/>
      <x:c r="K90" s="11"/>
      <x:c r="L90" s="10"/>
      <x:c r="M90" s="46"/>
      <x:c r="N90" s="10"/>
      <x:c r="O90" s="47"/>
      <x:c r="P90" s="10"/>
      <x:c r="Q90" s="8" t="e">
        <x:f>IF(B90="","",IF(AND(J90&lt;项目驾驶舱!$B$3,P90&lt;&gt;"已完成"),"是","否"))</x:f>
        <x:v>#NAME?</x:v>
      </x:c>
      <x:c r="R90" s="10"/>
      <x:c r="S90" s="10"/>
      <x:c r="T90" s="10"/>
    </x:row>
    <x:row r="91">
      <x:c r="A91" s="8" t="str">
        <x:f t="shared" si="1"/>
      </x:c>
      <x:c r="B91" s="10"/>
      <x:c r="C91" s="8" t="e">
        <x:f>IF(B91="","",IFERROR(INDEX(风险登记册!$B$9:$B$108,MATCH(B91,风险登记册!$A$9:$A$108,0)),""))</x:f>
        <x:v>#NAME?</x:v>
      </x:c>
      <x:c r="D91" s="10"/>
      <x:c r="E91" s="10"/>
      <x:c r="F91" s="10"/>
      <x:c r="G91" s="10"/>
      <x:c r="H91" s="10"/>
      <x:c r="I91" s="11"/>
      <x:c r="J91" s="11"/>
      <x:c r="K91" s="11"/>
      <x:c r="L91" s="10"/>
      <x:c r="M91" s="46"/>
      <x:c r="N91" s="10"/>
      <x:c r="O91" s="47"/>
      <x:c r="P91" s="10"/>
      <x:c r="Q91" s="8" t="e">
        <x:f>IF(B91="","",IF(AND(J91&lt;项目驾驶舱!$B$3,P91&lt;&gt;"已完成"),"是","否"))</x:f>
        <x:v>#NAME?</x:v>
      </x:c>
      <x:c r="R91" s="10"/>
      <x:c r="S91" s="10"/>
      <x:c r="T91" s="10"/>
    </x:row>
    <x:row r="92">
      <x:c r="A92" s="8" t="str">
        <x:f t="shared" si="1"/>
      </x:c>
      <x:c r="B92" s="10"/>
      <x:c r="C92" s="8" t="e">
        <x:f>IF(B92="","",IFERROR(INDEX(风险登记册!$B$9:$B$108,MATCH(B92,风险登记册!$A$9:$A$108,0)),""))</x:f>
        <x:v>#NAME?</x:v>
      </x:c>
      <x:c r="D92" s="10"/>
      <x:c r="E92" s="10"/>
      <x:c r="F92" s="10"/>
      <x:c r="G92" s="10"/>
      <x:c r="H92" s="10"/>
      <x:c r="I92" s="11"/>
      <x:c r="J92" s="11"/>
      <x:c r="K92" s="11"/>
      <x:c r="L92" s="10"/>
      <x:c r="M92" s="46"/>
      <x:c r="N92" s="10"/>
      <x:c r="O92" s="47"/>
      <x:c r="P92" s="10"/>
      <x:c r="Q92" s="8" t="e">
        <x:f>IF(B92="","",IF(AND(J92&lt;项目驾驶舱!$B$3,P92&lt;&gt;"已完成"),"是","否"))</x:f>
        <x:v>#NAME?</x:v>
      </x:c>
      <x:c r="R92" s="10"/>
      <x:c r="S92" s="10"/>
      <x:c r="T92" s="10"/>
    </x:row>
    <x:row r="93">
      <x:c r="A93" s="8" t="str">
        <x:f t="shared" si="1"/>
      </x:c>
      <x:c r="B93" s="10"/>
      <x:c r="C93" s="8" t="e">
        <x:f>IF(B93="","",IFERROR(INDEX(风险登记册!$B$9:$B$108,MATCH(B93,风险登记册!$A$9:$A$108,0)),""))</x:f>
        <x:v>#NAME?</x:v>
      </x:c>
      <x:c r="D93" s="10"/>
      <x:c r="E93" s="10"/>
      <x:c r="F93" s="10"/>
      <x:c r="G93" s="10"/>
      <x:c r="H93" s="10"/>
      <x:c r="I93" s="11"/>
      <x:c r="J93" s="11"/>
      <x:c r="K93" s="11"/>
      <x:c r="L93" s="10"/>
      <x:c r="M93" s="46"/>
      <x:c r="N93" s="10"/>
      <x:c r="O93" s="47"/>
      <x:c r="P93" s="10"/>
      <x:c r="Q93" s="8" t="e">
        <x:f>IF(B93="","",IF(AND(J93&lt;项目驾驶舱!$B$3,P93&lt;&gt;"已完成"),"是","否"))</x:f>
        <x:v>#NAME?</x:v>
      </x:c>
      <x:c r="R93" s="10"/>
      <x:c r="S93" s="10"/>
      <x:c r="T93" s="10"/>
    </x:row>
    <x:row r="94">
      <x:c r="A94" s="8" t="str">
        <x:f t="shared" si="1"/>
      </x:c>
      <x:c r="B94" s="10"/>
      <x:c r="C94" s="8" t="e">
        <x:f>IF(B94="","",IFERROR(INDEX(风险登记册!$B$9:$B$108,MATCH(B94,风险登记册!$A$9:$A$108,0)),""))</x:f>
        <x:v>#NAME?</x:v>
      </x:c>
      <x:c r="D94" s="10"/>
      <x:c r="E94" s="10"/>
      <x:c r="F94" s="10"/>
      <x:c r="G94" s="10"/>
      <x:c r="H94" s="10"/>
      <x:c r="I94" s="11"/>
      <x:c r="J94" s="11"/>
      <x:c r="K94" s="11"/>
      <x:c r="L94" s="10"/>
      <x:c r="M94" s="46"/>
      <x:c r="N94" s="10"/>
      <x:c r="O94" s="47"/>
      <x:c r="P94" s="10"/>
      <x:c r="Q94" s="8" t="e">
        <x:f>IF(B94="","",IF(AND(J94&lt;项目驾驶舱!$B$3,P94&lt;&gt;"已完成"),"是","否"))</x:f>
        <x:v>#NAME?</x:v>
      </x:c>
      <x:c r="R94" s="10"/>
      <x:c r="S94" s="10"/>
      <x:c r="T94" s="10"/>
    </x:row>
    <x:row r="95">
      <x:c r="A95" s="8" t="str">
        <x:f t="shared" si="1"/>
      </x:c>
      <x:c r="B95" s="10"/>
      <x:c r="C95" s="8" t="e">
        <x:f>IF(B95="","",IFERROR(INDEX(风险登记册!$B$9:$B$108,MATCH(B95,风险登记册!$A$9:$A$108,0)),""))</x:f>
        <x:v>#NAME?</x:v>
      </x:c>
      <x:c r="D95" s="10"/>
      <x:c r="E95" s="10"/>
      <x:c r="F95" s="10"/>
      <x:c r="G95" s="10"/>
      <x:c r="H95" s="10"/>
      <x:c r="I95" s="11"/>
      <x:c r="J95" s="11"/>
      <x:c r="K95" s="11"/>
      <x:c r="L95" s="10"/>
      <x:c r="M95" s="46"/>
      <x:c r="N95" s="10"/>
      <x:c r="O95" s="47"/>
      <x:c r="P95" s="10"/>
      <x:c r="Q95" s="8" t="e">
        <x:f>IF(B95="","",IF(AND(J95&lt;项目驾驶舱!$B$3,P95&lt;&gt;"已完成"),"是","否"))</x:f>
        <x:v>#NAME?</x:v>
      </x:c>
      <x:c r="R95" s="10"/>
      <x:c r="S95" s="10"/>
      <x:c r="T95" s="10"/>
    </x:row>
    <x:row r="96">
      <x:c r="A96" s="8" t="str">
        <x:f t="shared" si="1"/>
      </x:c>
      <x:c r="B96" s="10"/>
      <x:c r="C96" s="8" t="e">
        <x:f>IF(B96="","",IFERROR(INDEX(风险登记册!$B$9:$B$108,MATCH(B96,风险登记册!$A$9:$A$108,0)),""))</x:f>
        <x:v>#NAME?</x:v>
      </x:c>
      <x:c r="D96" s="10"/>
      <x:c r="E96" s="10"/>
      <x:c r="F96" s="10"/>
      <x:c r="G96" s="10"/>
      <x:c r="H96" s="10"/>
      <x:c r="I96" s="11"/>
      <x:c r="J96" s="11"/>
      <x:c r="K96" s="11"/>
      <x:c r="L96" s="10"/>
      <x:c r="M96" s="46"/>
      <x:c r="N96" s="10"/>
      <x:c r="O96" s="47"/>
      <x:c r="P96" s="10"/>
      <x:c r="Q96" s="8" t="e">
        <x:f>IF(B96="","",IF(AND(J96&lt;项目驾驶舱!$B$3,P96&lt;&gt;"已完成"),"是","否"))</x:f>
        <x:v>#NAME?</x:v>
      </x:c>
      <x:c r="R96" s="10"/>
      <x:c r="S96" s="10"/>
      <x:c r="T96" s="10"/>
    </x:row>
    <x:row r="97">
      <x:c r="A97" s="8" t="str">
        <x:f t="shared" si="1"/>
      </x:c>
      <x:c r="B97" s="10"/>
      <x:c r="C97" s="8" t="e">
        <x:f>IF(B97="","",IFERROR(INDEX(风险登记册!$B$9:$B$108,MATCH(B97,风险登记册!$A$9:$A$108,0)),""))</x:f>
        <x:v>#NAME?</x:v>
      </x:c>
      <x:c r="D97" s="10"/>
      <x:c r="E97" s="10"/>
      <x:c r="F97" s="10"/>
      <x:c r="G97" s="10"/>
      <x:c r="H97" s="10"/>
      <x:c r="I97" s="11"/>
      <x:c r="J97" s="11"/>
      <x:c r="K97" s="11"/>
      <x:c r="L97" s="10"/>
      <x:c r="M97" s="46"/>
      <x:c r="N97" s="10"/>
      <x:c r="O97" s="47"/>
      <x:c r="P97" s="10"/>
      <x:c r="Q97" s="8" t="e">
        <x:f>IF(B97="","",IF(AND(J97&lt;项目驾驶舱!$B$3,P97&lt;&gt;"已完成"),"是","否"))</x:f>
        <x:v>#NAME?</x:v>
      </x:c>
      <x:c r="R97" s="10"/>
      <x:c r="S97" s="10"/>
      <x:c r="T97" s="10"/>
    </x:row>
    <x:row r="98">
      <x:c r="A98" s="8" t="str">
        <x:f t="shared" si="1"/>
      </x:c>
      <x:c r="B98" s="10"/>
      <x:c r="C98" s="8" t="e">
        <x:f>IF(B98="","",IFERROR(INDEX(风险登记册!$B$9:$B$108,MATCH(B98,风险登记册!$A$9:$A$108,0)),""))</x:f>
        <x:v>#NAME?</x:v>
      </x:c>
      <x:c r="D98" s="10"/>
      <x:c r="E98" s="10"/>
      <x:c r="F98" s="10"/>
      <x:c r="G98" s="10"/>
      <x:c r="H98" s="10"/>
      <x:c r="I98" s="11"/>
      <x:c r="J98" s="11"/>
      <x:c r="K98" s="11"/>
      <x:c r="L98" s="10"/>
      <x:c r="M98" s="46"/>
      <x:c r="N98" s="10"/>
      <x:c r="O98" s="47"/>
      <x:c r="P98" s="10"/>
      <x:c r="Q98" s="8" t="e">
        <x:f>IF(B98="","",IF(AND(J98&lt;项目驾驶舱!$B$3,P98&lt;&gt;"已完成"),"是","否"))</x:f>
        <x:v>#NAME?</x:v>
      </x:c>
      <x:c r="R98" s="10"/>
      <x:c r="S98" s="10"/>
      <x:c r="T98" s="10"/>
    </x:row>
    <x:row r="99">
      <x:c r="A99" s="8" t="str">
        <x:f t="shared" si="1"/>
      </x:c>
      <x:c r="B99" s="10"/>
      <x:c r="C99" s="8" t="e">
        <x:f>IF(B99="","",IFERROR(INDEX(风险登记册!$B$9:$B$108,MATCH(B99,风险登记册!$A$9:$A$108,0)),""))</x:f>
        <x:v>#NAME?</x:v>
      </x:c>
      <x:c r="D99" s="10"/>
      <x:c r="E99" s="10"/>
      <x:c r="F99" s="10"/>
      <x:c r="G99" s="10"/>
      <x:c r="H99" s="10"/>
      <x:c r="I99" s="11"/>
      <x:c r="J99" s="11"/>
      <x:c r="K99" s="11"/>
      <x:c r="L99" s="10"/>
      <x:c r="M99" s="46"/>
      <x:c r="N99" s="10"/>
      <x:c r="O99" s="47"/>
      <x:c r="P99" s="10"/>
      <x:c r="Q99" s="8" t="e">
        <x:f>IF(B99="","",IF(AND(J99&lt;项目驾驶舱!$B$3,P99&lt;&gt;"已完成"),"是","否"))</x:f>
        <x:v>#NAME?</x:v>
      </x:c>
      <x:c r="R99" s="10"/>
      <x:c r="S99" s="10"/>
      <x:c r="T99" s="10"/>
    </x:row>
    <x:row r="100">
      <x:c r="A100" s="8" t="str">
        <x:f t="shared" si="1"/>
      </x:c>
      <x:c r="B100" s="10"/>
      <x:c r="C100" s="8" t="e">
        <x:f>IF(B100="","",IFERROR(INDEX(风险登记册!$B$9:$B$108,MATCH(B100,风险登记册!$A$9:$A$108,0)),""))</x:f>
        <x:v>#NAME?</x:v>
      </x:c>
      <x:c r="D100" s="10"/>
      <x:c r="E100" s="10"/>
      <x:c r="F100" s="10"/>
      <x:c r="G100" s="10"/>
      <x:c r="H100" s="10"/>
      <x:c r="I100" s="11"/>
      <x:c r="J100" s="11"/>
      <x:c r="K100" s="11"/>
      <x:c r="L100" s="10"/>
      <x:c r="M100" s="46"/>
      <x:c r="N100" s="10"/>
      <x:c r="O100" s="47"/>
      <x:c r="P100" s="10"/>
      <x:c r="Q100" s="8" t="e">
        <x:f>IF(B100="","",IF(AND(J100&lt;项目驾驶舱!$B$3,P100&lt;&gt;"已完成"),"是","否"))</x:f>
        <x:v>#NAME?</x:v>
      </x:c>
      <x:c r="R100" s="10"/>
      <x:c r="S100" s="10"/>
      <x:c r="T100" s="10"/>
    </x:row>
    <x:row r="101">
      <x:c r="A101" s="8" t="str">
        <x:f t="shared" si="1"/>
      </x:c>
      <x:c r="B101" s="10"/>
      <x:c r="C101" s="8" t="e">
        <x:f>IF(B101="","",IFERROR(INDEX(风险登记册!$B$9:$B$108,MATCH(B101,风险登记册!$A$9:$A$108,0)),""))</x:f>
        <x:v>#NAME?</x:v>
      </x:c>
      <x:c r="D101" s="10"/>
      <x:c r="E101" s="10"/>
      <x:c r="F101" s="10"/>
      <x:c r="G101" s="10"/>
      <x:c r="H101" s="10"/>
      <x:c r="I101" s="11"/>
      <x:c r="J101" s="11"/>
      <x:c r="K101" s="11"/>
      <x:c r="L101" s="10"/>
      <x:c r="M101" s="46"/>
      <x:c r="N101" s="10"/>
      <x:c r="O101" s="47"/>
      <x:c r="P101" s="10"/>
      <x:c r="Q101" s="8" t="e">
        <x:f>IF(B101="","",IF(AND(J101&lt;项目驾驶舱!$B$3,P101&lt;&gt;"已完成"),"是","否"))</x:f>
        <x:v>#NAME?</x:v>
      </x:c>
      <x:c r="R101" s="10"/>
      <x:c r="S101" s="10"/>
      <x:c r="T101" s="10"/>
    </x:row>
    <x:row r="102">
      <x:c r="A102" s="8" t="str">
        <x:f t="shared" si="1"/>
      </x:c>
      <x:c r="B102" s="10"/>
      <x:c r="C102" s="8" t="e">
        <x:f>IF(B102="","",IFERROR(INDEX(风险登记册!$B$9:$B$108,MATCH(B102,风险登记册!$A$9:$A$108,0)),""))</x:f>
        <x:v>#NAME?</x:v>
      </x:c>
      <x:c r="D102" s="10"/>
      <x:c r="E102" s="10"/>
      <x:c r="F102" s="10"/>
      <x:c r="G102" s="10"/>
      <x:c r="H102" s="10"/>
      <x:c r="I102" s="11"/>
      <x:c r="J102" s="11"/>
      <x:c r="K102" s="11"/>
      <x:c r="L102" s="10"/>
      <x:c r="M102" s="46"/>
      <x:c r="N102" s="10"/>
      <x:c r="O102" s="47"/>
      <x:c r="P102" s="10"/>
      <x:c r="Q102" s="8" t="e">
        <x:f>IF(B102="","",IF(AND(J102&lt;项目驾驶舱!$B$3,P102&lt;&gt;"已完成"),"是","否"))</x:f>
        <x:v>#NAME?</x:v>
      </x:c>
      <x:c r="R102" s="10"/>
      <x:c r="S102" s="10"/>
      <x:c r="T102" s="10"/>
    </x:row>
    <x:row r="103">
      <x:c r="A103" s="8" t="str">
        <x:f t="shared" si="1"/>
      </x:c>
      <x:c r="B103" s="10"/>
      <x:c r="C103" s="8" t="e">
        <x:f>IF(B103="","",IFERROR(INDEX(风险登记册!$B$9:$B$108,MATCH(B103,风险登记册!$A$9:$A$108,0)),""))</x:f>
        <x:v>#NAME?</x:v>
      </x:c>
      <x:c r="D103" s="10"/>
      <x:c r="E103" s="10"/>
      <x:c r="F103" s="10"/>
      <x:c r="G103" s="10"/>
      <x:c r="H103" s="10"/>
      <x:c r="I103" s="11"/>
      <x:c r="J103" s="11"/>
      <x:c r="K103" s="11"/>
      <x:c r="L103" s="10"/>
      <x:c r="M103" s="46"/>
      <x:c r="N103" s="10"/>
      <x:c r="O103" s="47"/>
      <x:c r="P103" s="10"/>
      <x:c r="Q103" s="8" t="e">
        <x:f>IF(B103="","",IF(AND(J103&lt;项目驾驶舱!$B$3,P103&lt;&gt;"已完成"),"是","否"))</x:f>
        <x:v>#NAME?</x:v>
      </x:c>
      <x:c r="R103" s="10"/>
      <x:c r="S103" s="10"/>
      <x:c r="T103" s="10"/>
    </x:row>
    <x:row r="104">
      <x:c r="A104" s="8" t="str">
        <x:f t="shared" si="1"/>
      </x:c>
      <x:c r="B104" s="10"/>
      <x:c r="C104" s="8" t="e">
        <x:f>IF(B104="","",IFERROR(INDEX(风险登记册!$B$9:$B$108,MATCH(B104,风险登记册!$A$9:$A$108,0)),""))</x:f>
        <x:v>#NAME?</x:v>
      </x:c>
      <x:c r="D104" s="10"/>
      <x:c r="E104" s="10"/>
      <x:c r="F104" s="10"/>
      <x:c r="G104" s="10"/>
      <x:c r="H104" s="10"/>
      <x:c r="I104" s="11"/>
      <x:c r="J104" s="11"/>
      <x:c r="K104" s="11"/>
      <x:c r="L104" s="10"/>
      <x:c r="M104" s="46"/>
      <x:c r="N104" s="10"/>
      <x:c r="O104" s="47"/>
      <x:c r="P104" s="10"/>
      <x:c r="Q104" s="8" t="e">
        <x:f>IF(B104="","",IF(AND(J104&lt;项目驾驶舱!$B$3,P104&lt;&gt;"已完成"),"是","否"))</x:f>
        <x:v>#NAME?</x:v>
      </x:c>
      <x:c r="R104" s="10"/>
      <x:c r="S104" s="10"/>
      <x:c r="T104" s="10"/>
    </x:row>
  </x:sheetData>
  <x:mergeCells>
    <x:mergeCell ref="A1:T1"/>
    <x:mergeCell ref="A2:T2"/>
  </x:mergeCells>
  <x:conditionalFormatting sqref="A5:T104">
    <x:cfRule type="expression" dxfId="11" priority="1">
      <x:formula>$Q5="是"</x:formula>
    </x:cfRule>
  </x:conditionalFormatting>
  <x:dataValidations count="4">
    <x:dataValidation type="list" allowBlank="1" sqref="D5:D104">
      <x:formula1>"规避,减轻,转移,接受,上报,开拓,提高,分享"</x:formula1>
    </x:dataValidation>
    <x:dataValidation type="list" allowBlank="1" sqref="F5:F104">
      <x:formula1>"预防,监测,应急,备用"</x:formula1>
    </x:dataValidation>
    <x:dataValidation type="list" allowBlank="1" sqref="P5:P104">
      <x:formula1>"未开始,进行中,已完成,暂停"</x:formula1>
    </x:dataValidation>
    <x:dataValidation type="list" allowBlank="1" sqref="R5:R104">
      <x:formula1>"有效,部分有效,无效,待验证"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25" style="1" customWidth="1"/>
    <x:col min="3" max="3" width="12" style="1" customWidth="1"/>
    <x:col min="4" max="4" width="36" style="1" customWidth="1"/>
    <x:col min="5" max="5" width="15" style="1" customWidth="1"/>
    <x:col min="6" max="6" width="13" style="1" customWidth="1"/>
    <x:col min="7" max="7" width="11" style="1" customWidth="1"/>
    <x:col min="8" max="8" width="13" style="1" customWidth="1"/>
    <x:col min="9" max="9" width="11" style="1" customWidth="1"/>
    <x:col min="10" max="10" width="10" style="1" customWidth="1"/>
    <x:col min="11" max="11" width="26" style="1" customWidth="1"/>
  </x:cols>
  <x:sheetData>
    <x:row r="1" ht="34" customHeight="1">
      <x:c r="A1" s="32" t="s">
        <x:v>319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37" t="s">
        <x:v>320</x:v>
      </x:c>
      <x:c r="B3" s="37" t="s">
        <x:v>321</x:v>
      </x:c>
      <x:c r="C3" s="37" t="s">
        <x:v>22</x:v>
      </x:c>
      <x:c r="D3" s="37" t="s">
        <x:v>322</x:v>
      </x:c>
      <x:c r="E3" s="37" t="s">
        <x:v>323</x:v>
      </x:c>
      <x:c r="F3" s="37" t="s">
        <x:v>324</x:v>
      </x:c>
      <x:c r="G3" s="37" t="s">
        <x:v>20</x:v>
      </x:c>
      <x:c r="H3" s="37" t="s">
        <x:v>325</x:v>
      </x:c>
      <x:c r="I3" s="37" t="s">
        <x:v>326</x:v>
      </x:c>
      <x:c r="J3" s="37" t="s">
        <x:v>327</x:v>
      </x:c>
      <x:c r="K3" s="37" t="s">
        <x:v>328</x:v>
      </x:c>
    </x:row>
    <x:row r="4" ht="17" customHeight="1">
      <x:c r="A4" s="34" t="str">
        <x:v>M01</x:v>
      </x:c>
      <x:c r="B4" s="34" t="str">
        <x:v>项目章程批准</x:v>
      </x:c>
      <x:c r="C4" s="34" t="str">
        <x:v>全项目</x:v>
      </x:c>
      <x:c r="D4" s="34" t="str">
        <x:v>治理、范围、预算和责任明确</x:v>
      </x:c>
      <x:c r="E4" s="34" t="str">
        <x:v>张伟</x:v>
      </x:c>
      <x:c r="F4" s="97" t="n">
        <x:v>46262</x:v>
      </x:c>
      <x:c r="G4" s="97" t="str">
        <x:v>已完成</x:v>
      </x:c>
      <x:c r="H4" s="97" t="n">
        <x:v>46262</x:v>
      </x:c>
      <x:c r="I4" s="34" t="n">
        <x:f>IF(OR(F4="",G4&lt;&gt;"已完成",H4=""),"",H4-F4)</x:f>
        <x:v>0</x:v>
      </x:c>
      <x:c r="J4" s="34" t="e">
        <x:f>IF(G4="已完成",IF(I4&lt;=0,"正常","延期"),IF(F4&lt;项目驾驶舱!$B$3,"延期",IF(F4&lt;=项目驾驶舱!$B$3+14,"临近","正常")))</x:f>
        <x:v>#NAME?</x:v>
      </x:c>
      <x:c r="K4" s="34" t="s">
        <x:v>329</x:v>
      </x:c>
    </x:row>
    <x:row r="5" ht="17" customHeight="1">
      <x:c r="A5" s="34" t="str">
        <x:v>M02</x:v>
      </x:c>
      <x:c r="B5" s="34" t="str">
        <x:v>需求基线确认</x:v>
      </x:c>
      <x:c r="C5" s="34" t="str">
        <x:v>第一批次</x:v>
      </x:c>
      <x:c r="D5" s="34" t="str">
        <x:v>P0/P1需求及验收标准确认</x:v>
      </x:c>
      <x:c r="E5" s="34" t="str">
        <x:v>李明</x:v>
      </x:c>
      <x:c r="F5" s="97" t="n">
        <x:v>46283</x:v>
      </x:c>
      <x:c r="G5" s="97" t="str">
        <x:v>进行中</x:v>
      </x:c>
      <x:c r="H5" s="97"/>
      <x:c r="I5" s="34" t="str">
        <x:f>IF(OR(F5="",G5&lt;&gt;"已完成",H5=""),"",H5-F5)</x:f>
      </x:c>
      <x:c r="J5" s="34" t="e">
        <x:f>IF(G5="已完成",IF(I5&lt;=0,"正常","延期"),IF(F5&lt;项目驾驶舱!$B$3,"延期",IF(F5&lt;=项目驾驶舱!$B$3+14,"临近","正常")))</x:f>
        <x:v>#NAME?</x:v>
      </x:c>
      <x:c r="K5" s="34" t="s">
        <x:v>329</x:v>
      </x:c>
    </x:row>
    <x:row r="6" ht="17" customHeight="1">
      <x:c r="A6" s="34" t="str">
        <x:v>M03</x:v>
      </x:c>
      <x:c r="B6" s="34" t="str">
        <x:v>总体方案评审</x:v>
      </x:c>
      <x:c r="C6" s="34" t="str">
        <x:v>第一批次</x:v>
      </x:c>
      <x:c r="D6" s="34" t="str">
        <x:v>业务、架构、数据、接口和安全评审通过</x:v>
      </x:c>
      <x:c r="E6" s="34" t="str">
        <x:v>王芳</x:v>
      </x:c>
      <x:c r="F6" s="97" t="n">
        <x:v>46295</x:v>
      </x:c>
      <x:c r="G6" s="97" t="str">
        <x:v>未开始</x:v>
      </x:c>
      <x:c r="H6" s="97"/>
      <x:c r="I6" s="34" t="str">
        <x:f>IF(OR(F6="",G6&lt;&gt;"已完成",H6=""),"",H6-F6)</x:f>
      </x:c>
      <x:c r="J6" s="34" t="e">
        <x:f>IF(G6="已完成",IF(I6&lt;=0,"正常","延期"),IF(F6&lt;项目驾驶舱!$B$3,"延期",IF(F6&lt;=项目驾驶舱!$B$3+14,"临近","正常")))</x:f>
        <x:v>#NAME?</x:v>
      </x:c>
      <x:c r="K6" s="34" t="s">
        <x:v>329</x:v>
      </x:c>
    </x:row>
    <x:row r="7" ht="17" customHeight="1">
      <x:c r="A7" s="34" t="str">
        <x:v>M04</x:v>
      </x:c>
      <x:c r="B7" s="34" t="str">
        <x:v>P0功能开发完成</x:v>
      </x:c>
      <x:c r="C7" s="34" t="str">
        <x:v>第一批次</x:v>
      </x:c>
      <x:c r="D7" s="34" t="str">
        <x:v>核心合同业务闭环可测试</x:v>
      </x:c>
      <x:c r="E7" s="34" t="str">
        <x:v>赵强</x:v>
      </x:c>
      <x:c r="F7" s="97" t="n">
        <x:v>46318</x:v>
      </x:c>
      <x:c r="G7" s="97" t="str">
        <x:v>未开始</x:v>
      </x:c>
      <x:c r="H7" s="97"/>
      <x:c r="I7" s="34" t="str">
        <x:f>IF(OR(F7="",G7&lt;&gt;"已完成",H7=""),"",H7-F7)</x:f>
      </x:c>
      <x:c r="J7" s="34" t="e">
        <x:f>IF(G7="已完成",IF(I7&lt;=0,"正常","延期"),IF(F7&lt;项目驾驶舱!$B$3,"延期",IF(F7&lt;=项目驾驶舱!$B$3+14,"临近","正常")))</x:f>
        <x:v>#NAME?</x:v>
      </x:c>
      <x:c r="K7" s="34" t="s">
        <x:v>329</x:v>
      </x:c>
    </x:row>
    <x:row r="8" ht="17" customHeight="1">
      <x:c r="A8" s="34" t="str">
        <x:v>M05</x:v>
      </x:c>
      <x:c r="B8" s="34" t="str">
        <x:v>迁移演练完成</x:v>
      </x:c>
      <x:c r="C8" s="34" t="str">
        <x:v>第一批次</x:v>
      </x:c>
      <x:c r="D8" s="34" t="str">
        <x:v>迁移、抽检和对账通过</x:v>
      </x:c>
      <x:c r="E8" s="34" t="str">
        <x:v>周敏</x:v>
      </x:c>
      <x:c r="F8" s="97" t="n">
        <x:v>46332</x:v>
      </x:c>
      <x:c r="G8" s="97" t="str">
        <x:v>未开始</x:v>
      </x:c>
      <x:c r="H8" s="97"/>
      <x:c r="I8" s="34" t="str">
        <x:f>IF(OR(F8="",G8&lt;&gt;"已完成",H8=""),"",H8-F8)</x:f>
      </x:c>
      <x:c r="J8" s="34" t="e">
        <x:f>IF(G8="已完成",IF(I8&lt;=0,"正常","延期"),IF(F8&lt;项目驾驶舱!$B$3,"延期",IF(F8&lt;=项目驾驶舱!$B$3+14,"临近","正常")))</x:f>
        <x:v>#NAME?</x:v>
      </x:c>
      <x:c r="K8" s="34" t="s">
        <x:v>329</x:v>
      </x:c>
    </x:row>
    <x:row r="9" ht="17" customHeight="1">
      <x:c r="A9" s="34" t="str">
        <x:v>M06</x:v>
      </x:c>
      <x:c r="B9" s="34" t="str">
        <x:v>集成测试完成</x:v>
      </x:c>
      <x:c r="C9" s="34" t="str">
        <x:v>第一批次</x:v>
      </x:c>
      <x:c r="D9" s="34" t="str">
        <x:v>P0/P1缺陷关闭</x:v>
      </x:c>
      <x:c r="E9" s="34" t="str">
        <x:v>陈晨</x:v>
      </x:c>
      <x:c r="F9" s="97" t="n">
        <x:v>46339</x:v>
      </x:c>
      <x:c r="G9" s="97" t="str">
        <x:v>未开始</x:v>
      </x:c>
      <x:c r="H9" s="97"/>
      <x:c r="I9" s="34" t="str">
        <x:f>IF(OR(F9="",G9&lt;&gt;"已完成",H9=""),"",H9-F9)</x:f>
      </x:c>
      <x:c r="J9" s="34" t="e">
        <x:f>IF(G9="已完成",IF(I9&lt;=0,"正常","延期"),IF(F9&lt;项目驾驶舱!$B$3,"延期",IF(F9&lt;=项目驾驶舱!$B$3+14,"临近","正常")))</x:f>
        <x:v>#NAME?</x:v>
      </x:c>
      <x:c r="K9" s="34" t="s">
        <x:v>329</x:v>
      </x:c>
    </x:row>
    <x:row r="10" ht="17" customHeight="1">
      <x:c r="A10" s="34" t="str">
        <x:v>M07</x:v>
      </x:c>
      <x:c r="B10" s="34" t="str">
        <x:v>UAT通过</x:v>
      </x:c>
      <x:c r="C10" s="34" t="str">
        <x:v>第一批次</x:v>
      </x:c>
      <x:c r="D10" s="34" t="str">
        <x:v>业务验收签字完成</x:v>
      </x:c>
      <x:c r="E10" s="34" t="str">
        <x:v>李明</x:v>
      </x:c>
      <x:c r="F10" s="97" t="n">
        <x:v>46346</x:v>
      </x:c>
      <x:c r="G10" s="97" t="str">
        <x:v>未开始</x:v>
      </x:c>
      <x:c r="H10" s="97"/>
      <x:c r="I10" s="34" t="str">
        <x:f>IF(OR(F10="",G10&lt;&gt;"已完成",H10=""),"",H10-F10)</x:f>
      </x:c>
      <x:c r="J10" s="34" t="e">
        <x:f>IF(G10="已完成",IF(I10&lt;=0,"正常","延期"),IF(F10&lt;项目驾驶舱!$B$3,"延期",IF(F10&lt;=项目驾驶舱!$B$3+14,"临近","正常")))</x:f>
        <x:v>#NAME?</x:v>
      </x:c>
      <x:c r="K10" s="34" t="s">
        <x:v>329</x:v>
      </x:c>
    </x:row>
    <x:row r="11" ht="17" customHeight="1">
      <x:c r="A11" s="34" t="str">
        <x:v>M08</x:v>
      </x:c>
      <x:c r="B11" s="34" t="str">
        <x:v>生产上线</x:v>
      </x:c>
      <x:c r="C11" s="34" t="str">
        <x:v>第一批次</x:v>
      </x:c>
      <x:c r="D11" s="34" t="str">
        <x:v>上线门禁全部通过</x:v>
      </x:c>
      <x:c r="E11" s="34" t="str">
        <x:v>张伟</x:v>
      </x:c>
      <x:c r="F11" s="97" t="n">
        <x:v>46357</x:v>
      </x:c>
      <x:c r="G11" s="97" t="str">
        <x:v>未开始</x:v>
      </x:c>
      <x:c r="H11" s="97"/>
      <x:c r="I11" s="34" t="str">
        <x:f>IF(OR(F11="",G11&lt;&gt;"已完成",H11=""),"",H11-F11)</x:f>
      </x:c>
      <x:c r="J11" s="34" t="e">
        <x:f>IF(G11="已完成",IF(I11&lt;=0,"正常","延期"),IF(F11&lt;项目驾驶舱!$B$3,"延期",IF(F11&lt;=项目驾驶舱!$B$3+14,"临近","正常")))</x:f>
        <x:v>#NAME?</x:v>
      </x:c>
      <x:c r="K11" s="34" t="s">
        <x:v>329</x:v>
      </x:c>
    </x:row>
    <x:row r="12" ht="17" customHeight="1">
      <x:c r="A12" s="34" t="str">
        <x:v>M09</x:v>
      </x:c>
      <x:c r="B12" s="34" t="str">
        <x:v>运维移交完成</x:v>
      </x:c>
      <x:c r="C12" s="34" t="str">
        <x:v>全项目</x:v>
      </x:c>
      <x:c r="D12" s="34" t="str">
        <x:v>运维手册、监控、SLA和遗留问题移交</x:v>
      </x:c>
      <x:c r="E12" s="34" t="str">
        <x:v>陈晨</x:v>
      </x:c>
      <x:c r="F12" s="97" t="n">
        <x:v>46367</x:v>
      </x:c>
      <x:c r="G12" s="97" t="str">
        <x:v>未开始</x:v>
      </x:c>
      <x:c r="H12" s="97"/>
      <x:c r="I12" s="34" t="str">
        <x:f>IF(OR(F12="",G12&lt;&gt;"已完成",H12=""),"",H12-F12)</x:f>
      </x:c>
      <x:c r="J12" s="34" t="e">
        <x:f>IF(G12="已完成",IF(I12&lt;=0,"正常","延期"),IF(F12&lt;项目驾驶舱!$B$3,"延期",IF(F12&lt;=项目驾驶舱!$B$3+14,"临近","正常")))</x:f>
        <x:v>#NAME?</x:v>
      </x:c>
      <x:c r="K12" s="34" t="s">
        <x:v>329</x:v>
      </x:c>
    </x:row>
    <x:row r="13" ht="17" customHeight="1">
      <x:c r="A13" s="34"/>
      <x:c r="B13" s="34"/>
      <x:c r="C13" s="34"/>
      <x:c r="D13" s="34"/>
      <x:c r="E13" s="34"/>
      <x:c r="F13" s="38"/>
      <x:c r="G13" s="34"/>
      <x:c r="H13" s="38"/>
      <x:c r="I13" s="34"/>
      <x:c r="J13" s="34"/>
      <x:c r="K13" s="34" t="s">
        <x:v>329</x:v>
      </x:c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</x:row>
  </x:sheetData>
  <x:mergeCells>
    <x:mergeCell ref="A1:K1"/>
  </x:mergeCells>
  <x:conditionalFormatting sqref="G4:G2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conditionalFormatting sqref="J4:J23">
    <x:cfRule type="containsText" dxfId="4" priority="5" operator="between" text="红">
      <x:formula>NOT(ISERROR(SEARCH("红",J4)))</x:formula>
    </x:cfRule>
    <x:cfRule type="containsText" dxfId="1" priority="6" operator="between" text="黄">
      <x:formula>NOT(ISERROR(SEARCH("黄",J4)))</x:formula>
    </x:cfRule>
    <x:cfRule type="containsText" dxfId="0" priority="7" operator="between" text="绿">
      <x:formula>NOT(ISERROR(SEARCH("绿",J4)))</x:formula>
    </x:cfRule>
  </x:conditionalFormatting>
  <x:dataValidations count="1">
    <x:dataValidation type="list" sqref="G4:G23">
      <x:formula1>"未开始,进行中,已完成,暂停"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0" style="1" customWidth="1"/>
    <x:col min="2" max="2" width="11" style="1" customWidth="1"/>
    <x:col min="3" max="3" width="28" style="1" customWidth="1"/>
    <x:col min="4" max="4" width="13" style="1" customWidth="1"/>
    <x:col min="5" max="5" width="62.5" style="1" customWidth="1"/>
    <x:col min="6" max="6" width="14" style="1" customWidth="1"/>
    <x:col min="7" max="11" width="13" style="1" customWidth="1"/>
    <x:col min="12" max="12" width="11" style="1" customWidth="1"/>
    <x:col min="13" max="13" width="28" style="1" customWidth="1"/>
    <x:col min="14" max="14" width="32" style="1" customWidth="1"/>
    <x:col min="15" max="15" width="13" style="1" hidden="1" customWidth="1"/>
  </x:cols>
  <x:sheetData>
    <x:row r="1" ht="28" customHeight="1">
      <x:c r="A1" s="2" t="s">
        <x:v>330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331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332</x:v>
      </x:c>
      <x:c r="B4" s="7" t="s">
        <x:v>333</x:v>
      </x:c>
      <x:c r="C4" s="7" t="s">
        <x:v>334</x:v>
      </x:c>
      <x:c r="D4" s="7" t="s">
        <x:v>335</x:v>
      </x:c>
      <x:c r="E4" s="7" t="s">
        <x:v>336</x:v>
      </x:c>
      <x:c r="F4" s="7" t="s">
        <x:v>337</x:v>
      </x:c>
      <x:c r="G4" s="7" t="s">
        <x:v>338</x:v>
      </x:c>
      <x:c r="H4" s="7" t="s">
        <x:v>339</x:v>
      </x:c>
      <x:c r="I4" s="7" t="s">
        <x:v>340</x:v>
      </x:c>
      <x:c r="J4" s="7" t="s">
        <x:v>341</x:v>
      </x:c>
      <x:c r="K4" s="7" t="s">
        <x:v>342</x:v>
      </x:c>
      <x:c r="L4" s="7" t="s">
        <x:v>343</x:v>
      </x:c>
      <x:c r="O4" s="6" t="s">
        <x:v>344</x:v>
      </x:c>
    </x:row>
    <x:row r="5" ht="90" customHeight="1">
      <x:c r="A5" s="8" t="n">
        <x:v>1</x:v>
      </x:c>
      <x:c r="B5" s="99" t="n">
        <x:v>46258</x:v>
      </x:c>
      <x:c r="C5" s="99" t="n">
        <x:v>46262</x:v>
      </x:c>
      <x:c r="D5" s="10" t="str">
        <x:v>完成项目启动与章程审批</x:v>
      </x:c>
      <x:c r="E5" s="8" t="str">
        <x:v>关联任务：T001</x:v>
      </x:c>
      <x:c r="F5" s="8" t="n">
        <x:v>0</x:v>
      </x:c>
      <x:c r="G5" s="8" t="n">
        <x:v>0</x:v>
      </x:c>
      <x:c r="H5" s="24" t="str">
        <x:v>待更新</x:v>
      </x:c>
      <x:c r="I5" s="8" t="n">
        <x:v>0</x:v>
      </x:c>
      <x:c r="J5" s="8" t="n">
        <x:v>0</x:v>
      </x:c>
      <x:c r="K5" s="8" t="str">
        <x:v>已完成</x:v>
      </x:c>
      <x:c r="L5" s="10" t="str"/>
      <x:c r="M5"/>
      <x:c r="N5"/>
      <x:c r="O5" s="6" t="str">
        <x:v>W001</x:v>
      </x:c>
      <x:c r="P5"/>
      <x:c r="Q5"/>
    </x:row>
    <x:row r="6" ht="105" customHeight="1">
      <x:c r="A6" s="8" t="n">
        <x:v>2</x:v>
      </x:c>
      <x:c r="B6" s="99" t="n">
        <x:v>46265</x:v>
      </x:c>
      <x:c r="C6" s="99" t="n">
        <x:v>46269</x:v>
      </x:c>
      <x:c r="D6" s="10" t="str">
        <x:v>完成集团合同管理现状调研</x:v>
      </x:c>
      <x:c r="E6" s="8" t="str">
        <x:v>关联任务：T002</x:v>
      </x:c>
      <x:c r="F6" s="8" t="n">
        <x:v>0</x:v>
      </x:c>
      <x:c r="G6" s="8" t="n">
        <x:v>0</x:v>
      </x:c>
      <x:c r="H6" s="24" t="str">
        <x:v>待更新</x:v>
      </x:c>
      <x:c r="I6" s="8" t="n">
        <x:v>0</x:v>
      </x:c>
      <x:c r="J6" s="8" t="n">
        <x:v>0</x:v>
      </x:c>
      <x:c r="K6" s="8" t="str">
        <x:v>已完成</x:v>
      </x:c>
      <x:c r="L6" s="10" t="str"/>
      <x:c r="M6"/>
      <x:c r="N6"/>
      <x:c r="O6" s="6" t="str">
        <x:v>W002</x:v>
      </x:c>
      <x:c r="P6"/>
      <x:c r="Q6"/>
    </x:row>
    <x:row r="7" ht="120" customHeight="1">
      <x:c r="A7" s="8" t="n">
        <x:v>3</x:v>
      </x:c>
      <x:c r="B7" s="99" t="n">
        <x:v>46272</x:v>
      </x:c>
      <x:c r="C7" s="99" t="n">
        <x:v>46276</x:v>
      </x:c>
      <x:c r="D7" s="10" t="str">
        <x:v>形成需求基线初稿</x:v>
      </x:c>
      <x:c r="E7" s="8" t="str">
        <x:v>关联任务：T003,T004</x:v>
      </x:c>
      <x:c r="F7" s="8" t="n">
        <x:v>0</x:v>
      </x:c>
      <x:c r="G7" s="8" t="n">
        <x:v>0</x:v>
      </x:c>
      <x:c r="H7" s="24" t="str">
        <x:v>待更新</x:v>
      </x:c>
      <x:c r="I7" s="8" t="n">
        <x:v>0</x:v>
      </x:c>
      <x:c r="J7" s="8" t="n">
        <x:v>0</x:v>
      </x:c>
      <x:c r="K7" s="8" t="str">
        <x:v>进行中</x:v>
      </x:c>
      <x:c r="L7" s="10" t="str"/>
      <x:c r="M7"/>
      <x:c r="N7"/>
      <x:c r="O7" s="6" t="str">
        <x:v>W003</x:v>
      </x:c>
      <x:c r="P7"/>
      <x:c r="Q7"/>
    </x:row>
    <x:row r="8" ht="120" customHeight="1">
      <x:c r="A8" s="8" t="n">
        <x:v>4</x:v>
      </x:c>
      <x:c r="B8" s="99" t="n">
        <x:v>46279</x:v>
      </x:c>
      <x:c r="C8" s="99" t="n">
        <x:v>46283</x:v>
      </x:c>
      <x:c r="D8" s="10" t="str">
        <x:v>确认P0范围并启动核心功能</x:v>
      </x:c>
      <x:c r="E8" s="8" t="str">
        <x:v>关联任务：T003,T005,T006</x:v>
      </x:c>
      <x:c r="F8" s="8" t="n">
        <x:v>0</x:v>
      </x:c>
      <x:c r="G8" s="8" t="n">
        <x:v>0</x:v>
      </x:c>
      <x:c r="H8" s="24" t="str">
        <x:v>待更新</x:v>
      </x:c>
      <x:c r="I8" s="8" t="n">
        <x:v>0</x:v>
      </x:c>
      <x:c r="J8" s="8" t="n">
        <x:v>0</x:v>
      </x:c>
      <x:c r="K8" s="8" t="str">
        <x:v>进行中</x:v>
      </x:c>
      <x:c r="L8" s="10" t="str"/>
      <x:c r="M8"/>
      <x:c r="N8"/>
      <x:c r="O8" s="6" t="str">
        <x:v>W004</x:v>
      </x:c>
      <x:c r="P8"/>
      <x:c r="Q8"/>
    </x:row>
    <x:row r="9" ht="42" customHeight="1">
      <x:c r="A9" s="8" t="n">
        <x:v>5</x:v>
      </x:c>
      <x:c r="B9" s="99" t="n">
        <x:v>46286</x:v>
      </x:c>
      <x:c r="C9" s="99" t="n">
        <x:v>46290</x:v>
      </x:c>
      <x:c r="D9" s="10" t="str">
        <x:v>完成起草与审批原型</x:v>
      </x:c>
      <x:c r="E9" s="8" t="str">
        <x:v>关联任务：T005,T006</x:v>
      </x:c>
      <x:c r="F9" s="8" t="n">
        <x:v>0</x:v>
      </x:c>
      <x:c r="G9" s="8" t="n">
        <x:v>0</x:v>
      </x:c>
      <x:c r="H9" s="24" t="str">
        <x:v>待更新</x:v>
      </x:c>
      <x:c r="I9" s="8" t="n">
        <x:v>0</x:v>
      </x:c>
      <x:c r="J9" s="8" t="n">
        <x:v>0</x:v>
      </x:c>
      <x:c r="K9" s="8" t="str">
        <x:v>未开始</x:v>
      </x:c>
      <x:c r="L9" s="10" t="str"/>
      <x:c r="M9"/>
      <x:c r="N9"/>
      <x:c r="O9" s="6" t="str">
        <x:v>W005</x:v>
      </x:c>
      <x:c r="P9"/>
      <x:c r="Q9"/>
    </x:row>
    <x:row r="10" ht="120" customHeight="1">
      <x:c r="A10" s="8" t="n">
        <x:v>6</x:v>
      </x:c>
      <x:c r="B10" s="99" t="n">
        <x:v>46293</x:v>
      </x:c>
      <x:c r="C10" s="99" t="n">
        <x:v>46297</x:v>
      </x:c>
      <x:c r="D10" s="10" t="str">
        <x:v>完成签章与ERP接口方案</x:v>
      </x:c>
      <x:c r="E10" s="8" t="str">
        <x:v>关联任务：T008,T019</x:v>
      </x:c>
      <x:c r="F10" s="8" t="n">
        <x:v>0</x:v>
      </x:c>
      <x:c r="G10" s="8" t="n">
        <x:v>0</x:v>
      </x:c>
      <x:c r="H10" s="24" t="str">
        <x:v>待更新</x:v>
      </x:c>
      <x:c r="I10" s="8" t="n">
        <x:v>0</x:v>
      </x:c>
      <x:c r="J10" s="8" t="n">
        <x:v>0</x:v>
      </x:c>
      <x:c r="K10" s="8" t="str">
        <x:v>未开始</x:v>
      </x:c>
      <x:c r="L10" s="10" t="str"/>
      <x:c r="M10"/>
      <x:c r="N10"/>
      <x:c r="O10" s="6" t="str">
        <x:v>W006</x:v>
      </x:c>
      <x:c r="P10"/>
      <x:c r="Q10"/>
    </x:row>
    <x:row r="11" ht="42" customHeight="1">
      <x:c r="A11" s="8" t="n">
        <x:v>7</x:v>
      </x:c>
      <x:c r="B11" s="99" t="n">
        <x:v>46300</x:v>
      </x:c>
      <x:c r="C11" s="99" t="n">
        <x:v>46304</x:v>
      </x:c>
      <x:c r="D11" s="10" t="str">
        <x:v>完成履约与付款开发</x:v>
      </x:c>
      <x:c r="E11" s="8" t="str">
        <x:v>关联任务：T009,T010,T011</x:v>
      </x:c>
      <x:c r="F11" s="8" t="n">
        <x:v>0</x:v>
      </x:c>
      <x:c r="G11" s="8" t="n">
        <x:v>0</x:v>
      </x:c>
      <x:c r="H11" s="24" t="str">
        <x:v>待更新</x:v>
      </x:c>
      <x:c r="I11" s="8" t="n">
        <x:v>0</x:v>
      </x:c>
      <x:c r="J11" s="8" t="n">
        <x:v>0</x:v>
      </x:c>
      <x:c r="K11" s="8" t="str">
        <x:v>未开始</x:v>
      </x:c>
      <x:c r="L11" s="10" t="str"/>
      <x:c r="M11"/>
      <x:c r="N11"/>
      <x:c r="O11" s="6" t="str">
        <x:v>W007</x:v>
      </x:c>
      <x:c r="P11"/>
      <x:c r="Q11"/>
    </x:row>
    <x:row r="12" ht="42" customHeight="1">
      <x:c r="A12" s="8" t="n">
        <x:v>8</x:v>
      </x:c>
      <x:c r="B12" s="99" t="n">
        <x:v>46307</x:v>
      </x:c>
      <x:c r="C12" s="99" t="n">
        <x:v>46311</x:v>
      </x:c>
      <x:c r="D12" s="10" t="str">
        <x:v>完成数据清洗和权限功能</x:v>
      </x:c>
      <x:c r="E12" s="8" t="str">
        <x:v>关联任务：T017,T021</x:v>
      </x:c>
      <x:c r="F12" s="8" t="n">
        <x:v>0</x:v>
      </x:c>
      <x:c r="G12" s="8" t="n">
        <x:v>0</x:v>
      </x:c>
      <x:c r="H12" s="24" t="str">
        <x:v>待更新</x:v>
      </x:c>
      <x:c r="I12" s="8" t="n">
        <x:v>0</x:v>
      </x:c>
      <x:c r="J12" s="8" t="n">
        <x:v>0</x:v>
      </x:c>
      <x:c r="K12" s="8" t="str">
        <x:v>未开始</x:v>
      </x:c>
      <x:c r="L12" s="10" t="str"/>
      <x:c r="M12"/>
      <x:c r="N12"/>
      <x:c r="O12" s="6" t="str">
        <x:v>W008</x:v>
      </x:c>
      <x:c r="P12"/>
      <x:c r="Q12"/>
    </x:row>
    <x:row r="13" ht="42" customHeight="1">
      <x:c r="A13" s="8"/>
      <x:c r="B13" s="25"/>
      <x:c r="C13" s="25"/>
      <x:c r="D13" s="10"/>
      <x:c r="E13" s="8"/>
      <x:c r="F13" s="8"/>
      <x:c r="G13" s="8"/>
      <x:c r="H13" s="24"/>
      <x:c r="I13" s="8"/>
      <x:c r="J13" s="8"/>
      <x:c r="K13" s="8"/>
      <x:c r="L13" s="10"/>
      <x:c r="O13" s="6"/>
    </x:row>
    <x:row r="14" ht="42" customHeight="1">
      <x:c r="A14" s="8"/>
      <x:c r="B14" s="25"/>
      <x:c r="C14" s="25"/>
      <x:c r="D14" s="10"/>
      <x:c r="E14" s="8"/>
      <x:c r="F14" s="8"/>
      <x:c r="G14" s="8"/>
      <x:c r="H14" s="24"/>
      <x:c r="I14" s="8"/>
      <x:c r="J14" s="8"/>
      <x:c r="K14" s="8"/>
      <x:c r="L14" s="10"/>
      <x:c r="O14" s="6"/>
    </x:row>
    <x:row r="15" ht="90" customHeight="1">
      <x:c r="A15" s="40"/>
      <x:c r="B15" s="41"/>
      <x:c r="C15" s="41"/>
      <x:c r="D15" s="10"/>
      <x:c r="E15" s="40"/>
      <x:c r="F15" s="40"/>
      <x:c r="G15" s="40"/>
      <x:c r="H15" s="42"/>
      <x:c r="I15" s="40"/>
      <x:c r="J15" s="40"/>
      <x:c r="K15" s="40"/>
      <x:c r="L15" s="10"/>
      <x:c r="O15" s="6"/>
    </x:row>
    <x:row r="16" ht="75" customHeight="1">
      <x:c r="A16" s="8"/>
      <x:c r="B16" s="25"/>
      <x:c r="C16" s="25"/>
      <x:c r="D16" s="10"/>
      <x:c r="E16" s="8"/>
      <x:c r="F16" s="8"/>
      <x:c r="G16" s="8"/>
      <x:c r="H16" s="24"/>
      <x:c r="I16" s="8"/>
      <x:c r="J16" s="8"/>
      <x:c r="K16" s="8"/>
      <x:c r="L16" s="10"/>
      <x:c r="O16" s="6"/>
    </x:row>
    <x:row r="17" ht="42" customHeight="1">
      <x:c r="A17" s="8"/>
      <x:c r="B17" s="25"/>
      <x:c r="C17" s="25"/>
      <x:c r="D17" s="10"/>
      <x:c r="E17" s="8"/>
      <x:c r="F17" s="8"/>
      <x:c r="G17" s="8"/>
      <x:c r="H17" s="24"/>
      <x:c r="I17" s="8"/>
      <x:c r="J17" s="8"/>
      <x:c r="K17" s="8"/>
      <x:c r="L17" s="10"/>
      <x:c r="O17" s="6"/>
    </x:row>
    <x:row r="18" ht="42" customHeight="1">
      <x:c r="A18" s="8"/>
      <x:c r="B18" s="25"/>
      <x:c r="C18" s="25"/>
      <x:c r="D18" s="10"/>
      <x:c r="E18" s="8"/>
      <x:c r="F18" s="8"/>
      <x:c r="G18" s="8"/>
      <x:c r="H18" s="24"/>
      <x:c r="I18" s="8"/>
      <x:c r="J18" s="8"/>
      <x:c r="K18" s="8"/>
      <x:c r="L18" s="10"/>
      <x:c r="O18" s="6"/>
    </x:row>
    <x:row r="19" ht="42" customHeight="1">
      <x:c r="A19" s="8"/>
      <x:c r="B19" s="25"/>
      <x:c r="C19" s="25"/>
      <x:c r="D19" s="10"/>
      <x:c r="E19" s="8"/>
      <x:c r="F19" s="8"/>
      <x:c r="G19" s="8"/>
      <x:c r="H19" s="24"/>
      <x:c r="I19" s="8"/>
      <x:c r="J19" s="8"/>
      <x:c r="K19" s="8"/>
      <x:c r="L19" s="10"/>
      <x:c r="O19" s="6"/>
    </x:row>
    <x:row r="20" ht="42" customHeight="1">
      <x:c r="A20" s="8"/>
      <x:c r="B20" s="25"/>
      <x:c r="C20" s="25"/>
      <x:c r="D20" s="10"/>
      <x:c r="E20" s="8"/>
      <x:c r="F20" s="8"/>
      <x:c r="G20" s="8"/>
      <x:c r="H20" s="24"/>
      <x:c r="I20" s="8"/>
      <x:c r="J20" s="8"/>
      <x:c r="K20" s="8"/>
      <x:c r="L20" s="10"/>
      <x:c r="O20" s="6"/>
    </x:row>
    <x:row r="21" ht="120" customHeight="1">
      <x:c r="A21" s="8">
        <x:v>17</x:v>
      </x:c>
      <x:c r="B21" s="25">
        <x:v>46307</x:v>
      </x:c>
      <x:c r="C21" s="25">
        <x:v>46311</x:v>
      </x:c>
      <x:c r="D21" s="10"/>
      <x:c r="E21" s="8" t="s">
        <x:v>345</x:v>
      </x:c>
      <x:c r="F21" s="8">
        <x:v>8</x:v>
      </x:c>
      <x:c r="G21" s="8">
        <x:v>0</x:v>
      </x:c>
      <x:c r="H21" s="24"/>
      <x:c r="I21" s="8">
        <x:v>0</x:v>
      </x:c>
      <x:c r="J21" s="8">
        <x:v>0</x:v>
      </x:c>
      <x:c r="K21" s="8" t="s">
        <x:v>4</x:v>
      </x:c>
      <x:c r="L21" s="10"/>
      <x:c r="O21" s="6" t="s">
        <x:v>346</x:v>
      </x:c>
    </x:row>
    <x:row r="22" ht="42" customHeight="1">
      <x:c r="A22" s="8">
        <x:v>18</x:v>
      </x:c>
      <x:c r="B22" s="25">
        <x:v>46314</x:v>
      </x:c>
      <x:c r="C22" s="25">
        <x:v>46318</x:v>
      </x:c>
      <x:c r="D22" s="10"/>
      <x:c r="E22" s="8"/>
      <x:c r="F22" s="8">
        <x:v>16</x:v>
      </x:c>
      <x:c r="G22" s="8">
        <x:v>1</x:v>
      </x:c>
      <x:c r="H22" s="24"/>
      <x:c r="I22" s="8">
        <x:v>0</x:v>
      </x:c>
      <x:c r="J22" s="8">
        <x:v>0</x:v>
      </x:c>
      <x:c r="K22" s="8" t="s">
        <x:v>4</x:v>
      </x:c>
      <x:c r="L22" s="10"/>
      <x:c r="O22" s="6" t="s">
        <x:v>347</x:v>
      </x:c>
    </x:row>
    <x:row r="23" ht="42" customHeight="1">
      <x:c r="A23" s="8">
        <x:v>19</x:v>
      </x:c>
      <x:c r="B23" s="25">
        <x:v>46321</x:v>
      </x:c>
      <x:c r="C23" s="25">
        <x:v>46325</x:v>
      </x:c>
      <x:c r="D23" s="10"/>
      <x:c r="E23" s="8"/>
      <x:c r="F23" s="8">
        <x:v>0</x:v>
      </x:c>
      <x:c r="G23" s="8">
        <x:v>0</x:v>
      </x:c>
      <x:c r="H23" s="24"/>
      <x:c r="I23" s="8">
        <x:v>0</x:v>
      </x:c>
      <x:c r="J23" s="8">
        <x:v>0</x:v>
      </x:c>
      <x:c r="K23" s="8" t="s">
        <x:v>4</x:v>
      </x:c>
      <x:c r="L23" s="10"/>
      <x:c r="O23" s="6" t="s">
        <x:v>348</x:v>
      </x:c>
    </x:row>
    <x:row r="24" ht="42" customHeight="1">
      <x:c r="A24" s="8">
        <x:v>20</x:v>
      </x:c>
      <x:c r="B24" s="25">
        <x:v>46328</x:v>
      </x:c>
      <x:c r="C24" s="25">
        <x:v>46332</x:v>
      </x:c>
      <x:c r="D24" s="10"/>
      <x:c r="E24" s="8"/>
      <x:c r="F24" s="8">
        <x:v>0</x:v>
      </x:c>
      <x:c r="G24" s="8">
        <x:v>0</x:v>
      </x:c>
      <x:c r="H24" s="24"/>
      <x:c r="I24" s="8">
        <x:v>0</x:v>
      </x:c>
      <x:c r="J24" s="8">
        <x:v>0</x:v>
      </x:c>
      <x:c r="K24" s="8" t="s">
        <x:v>4</x:v>
      </x:c>
      <x:c r="L24" s="10"/>
      <x:c r="O24" s="6" t="s">
        <x:v>349</x:v>
      </x:c>
    </x:row>
    <x:row r="25" ht="42" customHeight="1">
      <x:c r="A25" s="8">
        <x:v>21</x:v>
      </x:c>
      <x:c r="B25" s="25">
        <x:v>46335</x:v>
      </x:c>
      <x:c r="C25" s="25">
        <x:v>46339</x:v>
      </x:c>
      <x:c r="D25" s="10"/>
      <x:c r="E25" s="8"/>
      <x:c r="F25" s="8">
        <x:v>70</x:v>
      </x:c>
      <x:c r="G25" s="8">
        <x:v>6</x:v>
      </x:c>
      <x:c r="H25" s="24"/>
      <x:c r="I25" s="8">
        <x:v>0</x:v>
      </x:c>
      <x:c r="J25" s="8">
        <x:v>0</x:v>
      </x:c>
      <x:c r="K25" s="8" t="s">
        <x:v>4</x:v>
      </x:c>
      <x:c r="L25" s="10"/>
      <x:c r="O25" s="6" t="s">
        <x:v>350</x:v>
      </x:c>
    </x:row>
    <x:row r="26" ht="75" customHeight="1">
      <x:c r="A26" s="8">
        <x:v>22</x:v>
      </x:c>
      <x:c r="B26" s="25">
        <x:v>46342</x:v>
      </x:c>
      <x:c r="C26" s="25">
        <x:v>46346</x:v>
      </x:c>
      <x:c r="D26" s="10"/>
      <x:c r="E26" s="8" t="s">
        <x:v>351</x:v>
      </x:c>
      <x:c r="F26" s="8">
        <x:v>0</x:v>
      </x:c>
      <x:c r="G26" s="8">
        <x:v>0</x:v>
      </x:c>
      <x:c r="H26" s="24"/>
      <x:c r="I26" s="8">
        <x:v>0</x:v>
      </x:c>
      <x:c r="J26" s="8">
        <x:v>0</x:v>
      </x:c>
      <x:c r="K26" s="8" t="s">
        <x:v>4</x:v>
      </x:c>
      <x:c r="L26" s="10"/>
      <x:c r="O26" s="6" t="s">
        <x:v>352</x:v>
      </x:c>
    </x:row>
    <x:row r="27" ht="42" customHeight="1">
      <x:c r="A27" s="8">
        <x:v>23</x:v>
      </x:c>
      <x:c r="B27" s="25">
        <x:v>46349</x:v>
      </x:c>
      <x:c r="C27" s="25">
        <x:v>46353</x:v>
      </x:c>
      <x:c r="D27" s="10"/>
      <x:c r="E27" s="8"/>
      <x:c r="F27" s="8">
        <x:v>53</x:v>
      </x:c>
      <x:c r="G27" s="8">
        <x:v>6</x:v>
      </x:c>
      <x:c r="H27" s="24"/>
      <x:c r="I27" s="8">
        <x:v>0</x:v>
      </x:c>
      <x:c r="J27" s="8">
        <x:v>0</x:v>
      </x:c>
      <x:c r="K27" s="8" t="s">
        <x:v>4</x:v>
      </x:c>
      <x:c r="L27" s="10"/>
      <x:c r="O27" s="6" t="s">
        <x:v>353</x:v>
      </x:c>
    </x:row>
    <x:row r="29" ht="24" customHeight="1">
      <x:c r="A29" s="43" t="s">
        <x:v>354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4"/>
    </x:row>
    <x:row r="30" ht="28" customHeight="1">
      <x:c r="A30" s="7" t="s">
        <x:v>332</x:v>
      </x:c>
      <x:c r="B30" s="7" t="s">
        <x:v>39</x:v>
      </x:c>
      <x:c r="C30" s="7" t="s">
        <x:v>355</x:v>
      </x:c>
      <x:c r="D30" s="7" t="s">
        <x:v>22</x:v>
      </x:c>
      <x:c r="E30" s="7" t="s">
        <x:v>356</x:v>
      </x:c>
      <x:c r="F30" s="7" t="s">
        <x:v>357</x:v>
      </x:c>
      <x:c r="G30" s="7" t="s">
        <x:v>46</x:v>
      </x:c>
      <x:c r="H30" s="7" t="s">
        <x:v>47</x:v>
      </x:c>
      <x:c r="I30" s="7" t="s">
        <x:v>358</x:v>
      </x:c>
      <x:c r="J30" s="7" t="s">
        <x:v>44</x:v>
      </x:c>
      <x:c r="K30" s="7" t="s">
        <x:v>311</x:v>
      </x:c>
      <x:c r="L30" s="7" t="s">
        <x:v>359</x:v>
      </x:c>
      <x:c r="M30" s="7" t="s">
        <x:v>360</x:v>
      </x:c>
      <x:c r="N30" s="7" t="s">
        <x:v>361</x:v>
      </x:c>
      <x:c r="O30" s="7" t="s">
        <x:v>362</x:v>
      </x:c>
    </x:row>
    <x:row r="31" ht="32" customHeight="1">
      <x:c r="A31" s="8">
        <x:v>2</x:v>
      </x:c>
      <x:c r="B31" s="8" t="s">
        <x:v>363</x:v>
      </x:c>
      <x:c r="C31" s="8" t="s">
        <x:v>364</x:v>
      </x:c>
      <x:c r="D31" s="8" t="s">
        <x:v>24</x:v>
      </x:c>
      <x:c r="E31" s="8" t="s">
        <x:v>365</x:v>
      </x:c>
      <x:c r="F31" s="8" t="s">
        <x:v>366</x:v>
      </x:c>
      <x:c r="G31" s="25">
        <x:v>46202</x:v>
      </x:c>
      <x:c r="H31" s="25">
        <x:v>46206</x:v>
      </x:c>
      <x:c r="I31" s="8" t="s">
        <x:v>2</x:v>
      </x:c>
      <x:c r="J31" s="8" t="s">
        <x:v>2</x:v>
      </x:c>
      <x:c r="K31" s="25"/>
      <x:c r="L31" s="8" t="s">
        <x:v>367</x:v>
      </x:c>
      <x:c r="M31" s="8" t="s">
        <x:v>368</x:v>
      </x:c>
      <x:c r="N31" s="10"/>
      <x:c r="O31" s="8" t="s">
        <x:v>369</x:v>
      </x:c>
    </x:row>
    <x:row r="32" ht="32" customHeight="1">
      <x:c r="A32" s="8">
        <x:v>2</x:v>
      </x:c>
      <x:c r="B32" s="8" t="s">
        <x:v>370</x:v>
      </x:c>
      <x:c r="C32" s="8" t="s">
        <x:v>371</x:v>
      </x:c>
      <x:c r="D32" s="8" t="s">
        <x:v>24</x:v>
      </x:c>
      <x:c r="E32" s="8" t="s">
        <x:v>365</x:v>
      </x:c>
      <x:c r="F32" s="8" t="s">
        <x:v>366</x:v>
      </x:c>
      <x:c r="G32" s="25">
        <x:v>46202</x:v>
      </x:c>
      <x:c r="H32" s="25">
        <x:v>46206</x:v>
      </x:c>
      <x:c r="I32" s="8" t="s">
        <x:v>2</x:v>
      </x:c>
      <x:c r="J32" s="8" t="s">
        <x:v>2</x:v>
      </x:c>
      <x:c r="K32" s="25"/>
      <x:c r="L32" s="8" t="s">
        <x:v>367</x:v>
      </x:c>
      <x:c r="M32" s="8" t="s">
        <x:v>368</x:v>
      </x:c>
      <x:c r="N32" s="10"/>
      <x:c r="O32" s="8" t="s">
        <x:v>372</x:v>
      </x:c>
    </x:row>
    <x:row r="33" ht="32" customHeight="1">
      <x:c r="A33" s="8">
        <x:v>2</x:v>
      </x:c>
      <x:c r="B33" s="8" t="s">
        <x:v>373</x:v>
      </x:c>
      <x:c r="C33" s="8" t="s">
        <x:v>374</x:v>
      </x:c>
      <x:c r="D33" s="8" t="s">
        <x:v>24</x:v>
      </x:c>
      <x:c r="E33" s="8" t="s">
        <x:v>365</x:v>
      </x:c>
      <x:c r="F33" s="8" t="s">
        <x:v>366</x:v>
      </x:c>
      <x:c r="G33" s="25">
        <x:v>46202</x:v>
      </x:c>
      <x:c r="H33" s="25">
        <x:v>46206</x:v>
      </x:c>
      <x:c r="I33" s="8" t="s">
        <x:v>2</x:v>
      </x:c>
      <x:c r="J33" s="8" t="s">
        <x:v>2</x:v>
      </x:c>
      <x:c r="K33" s="25"/>
      <x:c r="L33" s="8" t="s">
        <x:v>367</x:v>
      </x:c>
      <x:c r="M33" s="8" t="s">
        <x:v>368</x:v>
      </x:c>
      <x:c r="N33" s="10"/>
      <x:c r="O33" s="8" t="s">
        <x:v>375</x:v>
      </x:c>
    </x:row>
    <x:row r="34" ht="32" customHeight="1">
      <x:c r="A34" s="8">
        <x:v>2</x:v>
      </x:c>
      <x:c r="B34" s="8" t="s">
        <x:v>376</x:v>
      </x:c>
      <x:c r="C34" s="8" t="s">
        <x:v>377</x:v>
      </x:c>
      <x:c r="D34" s="8" t="s">
        <x:v>24</x:v>
      </x:c>
      <x:c r="E34" s="8" t="s">
        <x:v>365</x:v>
      </x:c>
      <x:c r="F34" s="8" t="s">
        <x:v>366</x:v>
      </x:c>
      <x:c r="G34" s="25">
        <x:v>46202</x:v>
      </x:c>
      <x:c r="H34" s="25">
        <x:v>46206</x:v>
      </x:c>
      <x:c r="I34" s="8" t="s">
        <x:v>2</x:v>
      </x:c>
      <x:c r="J34" s="8" t="s">
        <x:v>2</x:v>
      </x:c>
      <x:c r="K34" s="25"/>
      <x:c r="L34" s="8" t="s">
        <x:v>367</x:v>
      </x:c>
      <x:c r="M34" s="8" t="s">
        <x:v>368</x:v>
      </x:c>
      <x:c r="N34" s="10"/>
      <x:c r="O34" s="8" t="s">
        <x:v>378</x:v>
      </x:c>
    </x:row>
    <x:row r="35" ht="32" customHeight="1">
      <x:c r="A35" s="8">
        <x:v>2</x:v>
      </x:c>
      <x:c r="B35" s="8" t="s">
        <x:v>379</x:v>
      </x:c>
      <x:c r="C35" s="8" t="s">
        <x:v>380</x:v>
      </x:c>
      <x:c r="D35" s="8" t="s">
        <x:v>24</x:v>
      </x:c>
      <x:c r="E35" s="8" t="s">
        <x:v>365</x:v>
      </x:c>
      <x:c r="F35" s="8" t="s">
        <x:v>366</x:v>
      </x:c>
      <x:c r="G35" s="25">
        <x:v>46202</x:v>
      </x:c>
      <x:c r="H35" s="25">
        <x:v>46206</x:v>
      </x:c>
      <x:c r="I35" s="8" t="s">
        <x:v>2</x:v>
      </x:c>
      <x:c r="J35" s="8" t="s">
        <x:v>2</x:v>
      </x:c>
      <x:c r="K35" s="25">
        <x:v>46224</x:v>
      </x:c>
      <x:c r="L35" s="8" t="s">
        <x:v>367</x:v>
      </x:c>
      <x:c r="M35" s="8"/>
      <x:c r="N35" s="10"/>
      <x:c r="O35" s="8" t="s">
        <x:v>381</x:v>
      </x:c>
    </x:row>
    <x:row r="36" ht="32" customHeight="1">
      <x:c r="A36" s="8">
        <x:v>2</x:v>
      </x:c>
      <x:c r="B36" s="8" t="s">
        <x:v>382</x:v>
      </x:c>
      <x:c r="C36" s="8" t="s">
        <x:v>383</x:v>
      </x:c>
      <x:c r="D36" s="8" t="s">
        <x:v>24</x:v>
      </x:c>
      <x:c r="E36" s="8" t="s">
        <x:v>365</x:v>
      </x:c>
      <x:c r="F36" s="8" t="s">
        <x:v>366</x:v>
      </x:c>
      <x:c r="G36" s="25">
        <x:v>46202</x:v>
      </x:c>
      <x:c r="H36" s="25">
        <x:v>46206</x:v>
      </x:c>
      <x:c r="I36" s="8" t="s">
        <x:v>2</x:v>
      </x:c>
      <x:c r="J36" s="8" t="s">
        <x:v>2</x:v>
      </x:c>
      <x:c r="K36" s="25">
        <x:v>46224</x:v>
      </x:c>
      <x:c r="L36" s="8" t="s">
        <x:v>367</x:v>
      </x:c>
      <x:c r="M36" s="8"/>
      <x:c r="N36" s="10"/>
      <x:c r="O36" s="8" t="s">
        <x:v>384</x:v>
      </x:c>
    </x:row>
    <x:row r="37" ht="32" customHeight="1">
      <x:c r="A37" s="8">
        <x:v>2</x:v>
      </x:c>
      <x:c r="B37" s="8" t="s">
        <x:v>385</x:v>
      </x:c>
      <x:c r="C37" s="8" t="s">
        <x:v>386</x:v>
      </x:c>
      <x:c r="D37" s="8" t="s">
        <x:v>24</x:v>
      </x:c>
      <x:c r="E37" s="8" t="s">
        <x:v>365</x:v>
      </x:c>
      <x:c r="F37" s="8" t="s">
        <x:v>366</x:v>
      </x:c>
      <x:c r="G37" s="25">
        <x:v>46202</x:v>
      </x:c>
      <x:c r="H37" s="25">
        <x:v>46206</x:v>
      </x:c>
      <x:c r="I37" s="8" t="s">
        <x:v>2</x:v>
      </x:c>
      <x:c r="J37" s="8" t="s">
        <x:v>2</x:v>
      </x:c>
      <x:c r="K37" s="25">
        <x:v>46224</x:v>
      </x:c>
      <x:c r="L37" s="8" t="s">
        <x:v>367</x:v>
      </x:c>
      <x:c r="M37" s="8"/>
      <x:c r="N37" s="10"/>
      <x:c r="O37" s="8" t="s">
        <x:v>387</x:v>
      </x:c>
    </x:row>
    <x:row r="38" ht="32" customHeight="1">
      <x:c r="A38" s="8">
        <x:v>2</x:v>
      </x:c>
      <x:c r="B38" s="8" t="s">
        <x:v>388</x:v>
      </x:c>
      <x:c r="C38" s="8" t="s">
        <x:v>389</x:v>
      </x:c>
      <x:c r="D38" s="8" t="s">
        <x:v>24</x:v>
      </x:c>
      <x:c r="E38" s="8" t="s">
        <x:v>365</x:v>
      </x:c>
      <x:c r="F38" s="8" t="s">
        <x:v>366</x:v>
      </x:c>
      <x:c r="G38" s="25">
        <x:v>46202</x:v>
      </x:c>
      <x:c r="H38" s="25">
        <x:v>46206</x:v>
      </x:c>
      <x:c r="I38" s="8" t="s">
        <x:v>2</x:v>
      </x:c>
      <x:c r="J38" s="8" t="s">
        <x:v>2</x:v>
      </x:c>
      <x:c r="K38" s="25">
        <x:v>46224</x:v>
      </x:c>
      <x:c r="L38" s="8" t="s">
        <x:v>367</x:v>
      </x:c>
      <x:c r="M38" s="8"/>
      <x:c r="N38" s="10"/>
      <x:c r="O38" s="8" t="s">
        <x:v>390</x:v>
      </x:c>
    </x:row>
    <x:row r="39" ht="32" customHeight="1">
      <x:c r="A39" s="8">
        <x:v>2</x:v>
      </x:c>
      <x:c r="B39" s="8" t="s">
        <x:v>391</x:v>
      </x:c>
      <x:c r="C39" s="8" t="s">
        <x:v>392</x:v>
      </x:c>
      <x:c r="D39" s="8" t="s">
        <x:v>24</x:v>
      </x:c>
      <x:c r="E39" s="8" t="s">
        <x:v>365</x:v>
      </x:c>
      <x:c r="F39" s="8" t="s">
        <x:v>366</x:v>
      </x:c>
      <x:c r="G39" s="25">
        <x:v>46202</x:v>
      </x:c>
      <x:c r="H39" s="25">
        <x:v>46206</x:v>
      </x:c>
      <x:c r="I39" s="8" t="s">
        <x:v>2</x:v>
      </x:c>
      <x:c r="J39" s="8" t="s">
        <x:v>2</x:v>
      </x:c>
      <x:c r="K39" s="25">
        <x:v>46224</x:v>
      </x:c>
      <x:c r="L39" s="8" t="s">
        <x:v>367</x:v>
      </x:c>
      <x:c r="M39" s="8"/>
      <x:c r="N39" s="10"/>
      <x:c r="O39" s="8" t="s">
        <x:v>393</x:v>
      </x:c>
    </x:row>
    <x:row r="40" ht="32" customHeight="1">
      <x:c r="A40" s="8">
        <x:v>2</x:v>
      </x:c>
      <x:c r="B40" s="8" t="s">
        <x:v>394</x:v>
      </x:c>
      <x:c r="C40" s="8" t="s">
        <x:v>395</x:v>
      </x:c>
      <x:c r="D40" s="8" t="s">
        <x:v>24</x:v>
      </x:c>
      <x:c r="E40" s="8" t="s">
        <x:v>365</x:v>
      </x:c>
      <x:c r="F40" s="8" t="s">
        <x:v>366</x:v>
      </x:c>
      <x:c r="G40" s="25">
        <x:v>46202</x:v>
      </x:c>
      <x:c r="H40" s="25">
        <x:v>46206</x:v>
      </x:c>
      <x:c r="I40" s="8" t="s">
        <x:v>2</x:v>
      </x:c>
      <x:c r="J40" s="8" t="s">
        <x:v>2</x:v>
      </x:c>
      <x:c r="K40" s="25">
        <x:v>46224</x:v>
      </x:c>
      <x:c r="L40" s="8" t="s">
        <x:v>367</x:v>
      </x:c>
      <x:c r="M40" s="8"/>
      <x:c r="N40" s="10"/>
      <x:c r="O40" s="8" t="s">
        <x:v>396</x:v>
      </x:c>
    </x:row>
    <x:row r="41" ht="32" customHeight="1">
      <x:c r="A41" s="8">
        <x:v>2</x:v>
      </x:c>
      <x:c r="B41" s="8" t="s">
        <x:v>397</x:v>
      </x:c>
      <x:c r="C41" s="8" t="s">
        <x:v>398</x:v>
      </x:c>
      <x:c r="D41" s="8" t="s">
        <x:v>24</x:v>
      </x:c>
      <x:c r="E41" s="8" t="s">
        <x:v>365</x:v>
      </x:c>
      <x:c r="F41" s="8" t="s">
        <x:v>366</x:v>
      </x:c>
      <x:c r="G41" s="25">
        <x:v>46202</x:v>
      </x:c>
      <x:c r="H41" s="25">
        <x:v>46206</x:v>
      </x:c>
      <x:c r="I41" s="8" t="s">
        <x:v>2</x:v>
      </x:c>
      <x:c r="J41" s="8" t="s">
        <x:v>2</x:v>
      </x:c>
      <x:c r="K41" s="25">
        <x:v>46224</x:v>
      </x:c>
      <x:c r="L41" s="8" t="s">
        <x:v>367</x:v>
      </x:c>
      <x:c r="M41" s="8"/>
      <x:c r="N41" s="10"/>
      <x:c r="O41" s="8" t="s">
        <x:v>399</x:v>
      </x:c>
    </x:row>
    <x:row r="42" ht="32" customHeight="1">
      <x:c r="A42" s="8">
        <x:v>2</x:v>
      </x:c>
      <x:c r="B42" s="8" t="s">
        <x:v>400</x:v>
      </x:c>
      <x:c r="C42" s="8" t="s">
        <x:v>401</x:v>
      </x:c>
      <x:c r="D42" s="8" t="s">
        <x:v>24</x:v>
      </x:c>
      <x:c r="E42" s="8" t="s">
        <x:v>365</x:v>
      </x:c>
      <x:c r="F42" s="8" t="s">
        <x:v>366</x:v>
      </x:c>
      <x:c r="G42" s="25">
        <x:v>46202</x:v>
      </x:c>
      <x:c r="H42" s="25">
        <x:v>46206</x:v>
      </x:c>
      <x:c r="I42" s="8" t="s">
        <x:v>2</x:v>
      </x:c>
      <x:c r="J42" s="8" t="s">
        <x:v>3</x:v>
      </x:c>
      <x:c r="K42" s="25"/>
      <x:c r="L42" s="8" t="s">
        <x:v>367</x:v>
      </x:c>
      <x:c r="M42" s="8" t="s">
        <x:v>368</x:v>
      </x:c>
      <x:c r="N42" s="10"/>
      <x:c r="O42" s="8" t="s">
        <x:v>402</x:v>
      </x:c>
    </x:row>
    <x:row r="43" ht="32" customHeight="1">
      <x:c r="A43" s="8">
        <x:v>2</x:v>
      </x:c>
      <x:c r="B43" s="8" t="s">
        <x:v>403</x:v>
      </x:c>
      <x:c r="C43" s="8" t="s">
        <x:v>404</x:v>
      </x:c>
      <x:c r="D43" s="8" t="s">
        <x:v>24</x:v>
      </x:c>
      <x:c r="E43" s="8" t="s">
        <x:v>365</x:v>
      </x:c>
      <x:c r="F43" s="8" t="s">
        <x:v>366</x:v>
      </x:c>
      <x:c r="G43" s="25">
        <x:v>46202</x:v>
      </x:c>
      <x:c r="H43" s="25">
        <x:v>46206</x:v>
      </x:c>
      <x:c r="I43" s="8" t="s">
        <x:v>2</x:v>
      </x:c>
      <x:c r="J43" s="8" t="s">
        <x:v>3</x:v>
      </x:c>
      <x:c r="K43" s="25">
        <x:v>46261</x:v>
      </x:c>
      <x:c r="L43" s="8" t="s">
        <x:v>367</x:v>
      </x:c>
      <x:c r="M43" s="8"/>
      <x:c r="N43" s="10"/>
      <x:c r="O43" s="8" t="s">
        <x:v>405</x:v>
      </x:c>
    </x:row>
    <x:row r="44" ht="32" customHeight="1">
      <x:c r="A44" s="8">
        <x:v>2</x:v>
      </x:c>
      <x:c r="B44" s="8" t="s">
        <x:v>406</x:v>
      </x:c>
      <x:c r="C44" s="8" t="s">
        <x:v>407</x:v>
      </x:c>
      <x:c r="D44" s="8" t="s">
        <x:v>24</x:v>
      </x:c>
      <x:c r="E44" s="8" t="s">
        <x:v>365</x:v>
      </x:c>
      <x:c r="F44" s="8" t="s">
        <x:v>366</x:v>
      </x:c>
      <x:c r="G44" s="25">
        <x:v>46202</x:v>
      </x:c>
      <x:c r="H44" s="25">
        <x:v>46206</x:v>
      </x:c>
      <x:c r="I44" s="8" t="s">
        <x:v>2</x:v>
      </x:c>
      <x:c r="J44" s="8" t="s">
        <x:v>3</x:v>
      </x:c>
      <x:c r="K44" s="25">
        <x:v>46261</x:v>
      </x:c>
      <x:c r="L44" s="8" t="s">
        <x:v>367</x:v>
      </x:c>
      <x:c r="M44" s="8"/>
      <x:c r="N44" s="10"/>
      <x:c r="O44" s="8" t="s">
        <x:v>408</x:v>
      </x:c>
    </x:row>
    <x:row r="45" ht="32" customHeight="1">
      <x:c r="A45" s="8">
        <x:v>2</x:v>
      </x:c>
      <x:c r="B45" s="8" t="s">
        <x:v>409</x:v>
      </x:c>
      <x:c r="C45" s="8" t="s">
        <x:v>410</x:v>
      </x:c>
      <x:c r="D45" s="8" t="s">
        <x:v>24</x:v>
      </x:c>
      <x:c r="E45" s="8" t="s">
        <x:v>365</x:v>
      </x:c>
      <x:c r="F45" s="8" t="s">
        <x:v>366</x:v>
      </x:c>
      <x:c r="G45" s="25">
        <x:v>46202</x:v>
      </x:c>
      <x:c r="H45" s="25">
        <x:v>46206</x:v>
      </x:c>
      <x:c r="I45" s="8" t="s">
        <x:v>2</x:v>
      </x:c>
      <x:c r="J45" s="8" t="s">
        <x:v>2</x:v>
      </x:c>
      <x:c r="K45" s="25">
        <x:v>46261</x:v>
      </x:c>
      <x:c r="L45" s="8" t="s">
        <x:v>367</x:v>
      </x:c>
      <x:c r="M45" s="8"/>
      <x:c r="N45" s="10"/>
      <x:c r="O45" s="8" t="s">
        <x:v>411</x:v>
      </x:c>
    </x:row>
    <x:row r="46" ht="32" customHeight="1">
      <x:c r="A46" s="8">
        <x:v>2</x:v>
      </x:c>
      <x:c r="B46" s="8" t="s">
        <x:v>412</x:v>
      </x:c>
      <x:c r="C46" s="8" t="s">
        <x:v>413</x:v>
      </x:c>
      <x:c r="D46" s="8" t="s">
        <x:v>24</x:v>
      </x:c>
      <x:c r="E46" s="8" t="s">
        <x:v>365</x:v>
      </x:c>
      <x:c r="F46" s="8" t="s">
        <x:v>366</x:v>
      </x:c>
      <x:c r="G46" s="25">
        <x:v>46202</x:v>
      </x:c>
      <x:c r="H46" s="25">
        <x:v>46206</x:v>
      </x:c>
      <x:c r="I46" s="8" t="s">
        <x:v>2</x:v>
      </x:c>
      <x:c r="J46" s="8" t="s">
        <x:v>2</x:v>
      </x:c>
      <x:c r="K46" s="25">
        <x:v>46261</x:v>
      </x:c>
      <x:c r="L46" s="8" t="s">
        <x:v>367</x:v>
      </x:c>
      <x:c r="M46" s="8"/>
      <x:c r="N46" s="10"/>
      <x:c r="O46" s="8" t="s">
        <x:v>414</x:v>
      </x:c>
    </x:row>
    <x:row r="47" ht="32" customHeight="1">
      <x:c r="A47" s="8">
        <x:v>2</x:v>
      </x:c>
      <x:c r="B47" s="8" t="s">
        <x:v>415</x:v>
      </x:c>
      <x:c r="C47" s="8" t="s">
        <x:v>416</x:v>
      </x:c>
      <x:c r="D47" s="8" t="s">
        <x:v>24</x:v>
      </x:c>
      <x:c r="E47" s="8" t="s">
        <x:v>365</x:v>
      </x:c>
      <x:c r="F47" s="8" t="s">
        <x:v>366</x:v>
      </x:c>
      <x:c r="G47" s="25">
        <x:v>46202</x:v>
      </x:c>
      <x:c r="H47" s="25">
        <x:v>46206</x:v>
      </x:c>
      <x:c r="I47" s="8" t="s">
        <x:v>2</x:v>
      </x:c>
      <x:c r="J47" s="8" t="s">
        <x:v>2</x:v>
      </x:c>
      <x:c r="K47" s="25">
        <x:v>46261</x:v>
      </x:c>
      <x:c r="L47" s="8" t="s">
        <x:v>367</x:v>
      </x:c>
      <x:c r="M47" s="8"/>
      <x:c r="N47" s="10"/>
      <x:c r="O47" s="8" t="s">
        <x:v>417</x:v>
      </x:c>
    </x:row>
    <x:row r="48" ht="32" customHeight="1">
      <x:c r="A48" s="8">
        <x:v>2</x:v>
      </x:c>
      <x:c r="B48" s="8" t="s">
        <x:v>418</x:v>
      </x:c>
      <x:c r="C48" s="8" t="s">
        <x:v>419</x:v>
      </x:c>
      <x:c r="D48" s="8" t="s">
        <x:v>24</x:v>
      </x:c>
      <x:c r="E48" s="8" t="s">
        <x:v>365</x:v>
      </x:c>
      <x:c r="F48" s="8" t="s">
        <x:v>366</x:v>
      </x:c>
      <x:c r="G48" s="25">
        <x:v>46202</x:v>
      </x:c>
      <x:c r="H48" s="25">
        <x:v>46206</x:v>
      </x:c>
      <x:c r="I48" s="8" t="s">
        <x:v>2</x:v>
      </x:c>
      <x:c r="J48" s="8" t="s">
        <x:v>2</x:v>
      </x:c>
      <x:c r="K48" s="25">
        <x:v>46261</x:v>
      </x:c>
      <x:c r="L48" s="8" t="s">
        <x:v>367</x:v>
      </x:c>
      <x:c r="M48" s="8"/>
      <x:c r="N48" s="10"/>
      <x:c r="O48" s="8" t="s">
        <x:v>420</x:v>
      </x:c>
    </x:row>
    <x:row r="49" ht="32" customHeight="1">
      <x:c r="A49" s="8">
        <x:v>2</x:v>
      </x:c>
      <x:c r="B49" s="8" t="s">
        <x:v>421</x:v>
      </x:c>
      <x:c r="C49" s="8" t="s">
        <x:v>419</x:v>
      </x:c>
      <x:c r="D49" s="8" t="s">
        <x:v>24</x:v>
      </x:c>
      <x:c r="E49" s="8" t="s">
        <x:v>365</x:v>
      </x:c>
      <x:c r="F49" s="8" t="s">
        <x:v>366</x:v>
      </x:c>
      <x:c r="G49" s="25">
        <x:v>46202</x:v>
      </x:c>
      <x:c r="H49" s="25">
        <x:v>46206</x:v>
      </x:c>
      <x:c r="I49" s="8" t="s">
        <x:v>2</x:v>
      </x:c>
      <x:c r="J49" s="8" t="s">
        <x:v>2</x:v>
      </x:c>
      <x:c r="K49" s="25">
        <x:v>46261</x:v>
      </x:c>
      <x:c r="L49" s="8" t="s">
        <x:v>367</x:v>
      </x:c>
      <x:c r="M49" s="8"/>
      <x:c r="N49" s="10"/>
      <x:c r="O49" s="8" t="s">
        <x:v>422</x:v>
      </x:c>
    </x:row>
    <x:row r="50" ht="32" customHeight="1">
      <x:c r="A50" s="8">
        <x:v>2</x:v>
      </x:c>
      <x:c r="B50" s="8" t="s">
        <x:v>423</x:v>
      </x:c>
      <x:c r="C50" s="8" t="s">
        <x:v>424</x:v>
      </x:c>
      <x:c r="D50" s="8" t="s">
        <x:v>24</x:v>
      </x:c>
      <x:c r="E50" s="8" t="s">
        <x:v>365</x:v>
      </x:c>
      <x:c r="F50" s="8" t="s">
        <x:v>366</x:v>
      </x:c>
      <x:c r="G50" s="25">
        <x:v>46202</x:v>
      </x:c>
      <x:c r="H50" s="25">
        <x:v>46206</x:v>
      </x:c>
      <x:c r="I50" s="8" t="s">
        <x:v>2</x:v>
      </x:c>
      <x:c r="J50" s="8" t="s">
        <x:v>2</x:v>
      </x:c>
      <x:c r="K50" s="25">
        <x:v>46261</x:v>
      </x:c>
      <x:c r="L50" s="8" t="s">
        <x:v>367</x:v>
      </x:c>
      <x:c r="M50" s="8"/>
      <x:c r="N50" s="10"/>
      <x:c r="O50" s="8" t="s">
        <x:v>425</x:v>
      </x:c>
    </x:row>
    <x:row r="51" ht="32" customHeight="1">
      <x:c r="A51" s="8">
        <x:v>2</x:v>
      </x:c>
      <x:c r="B51" s="8" t="s">
        <x:v>426</x:v>
      </x:c>
      <x:c r="C51" s="8" t="s">
        <x:v>424</x:v>
      </x:c>
      <x:c r="D51" s="8" t="s">
        <x:v>24</x:v>
      </x:c>
      <x:c r="E51" s="8" t="s">
        <x:v>365</x:v>
      </x:c>
      <x:c r="F51" s="8" t="s">
        <x:v>366</x:v>
      </x:c>
      <x:c r="G51" s="25">
        <x:v>46202</x:v>
      </x:c>
      <x:c r="H51" s="25">
        <x:v>46206</x:v>
      </x:c>
      <x:c r="I51" s="8" t="s">
        <x:v>2</x:v>
      </x:c>
      <x:c r="J51" s="8" t="s">
        <x:v>2</x:v>
      </x:c>
      <x:c r="K51" s="25">
        <x:v>46261</x:v>
      </x:c>
      <x:c r="L51" s="8" t="s">
        <x:v>367</x:v>
      </x:c>
      <x:c r="M51" s="8"/>
      <x:c r="N51" s="10"/>
      <x:c r="O51" s="8" t="s">
        <x:v>427</x:v>
      </x:c>
    </x:row>
    <x:row r="52" ht="32" customHeight="1">
      <x:c r="A52" s="8">
        <x:v>2</x:v>
      </x:c>
      <x:c r="B52" s="8" t="s">
        <x:v>428</x:v>
      </x:c>
      <x:c r="C52" s="8" t="s">
        <x:v>424</x:v>
      </x:c>
      <x:c r="D52" s="8" t="s">
        <x:v>24</x:v>
      </x:c>
      <x:c r="E52" s="8" t="s">
        <x:v>365</x:v>
      </x:c>
      <x:c r="F52" s="8" t="s">
        <x:v>366</x:v>
      </x:c>
      <x:c r="G52" s="25">
        <x:v>46202</x:v>
      </x:c>
      <x:c r="H52" s="25">
        <x:v>46206</x:v>
      </x:c>
      <x:c r="I52" s="8" t="s">
        <x:v>2</x:v>
      </x:c>
      <x:c r="J52" s="8" t="s">
        <x:v>2</x:v>
      </x:c>
      <x:c r="K52" s="25">
        <x:v>46261</x:v>
      </x:c>
      <x:c r="L52" s="8" t="s">
        <x:v>367</x:v>
      </x:c>
      <x:c r="M52" s="8"/>
      <x:c r="N52" s="10"/>
      <x:c r="O52" s="8" t="s">
        <x:v>429</x:v>
      </x:c>
    </x:row>
    <x:row r="53" ht="32" customHeight="1">
      <x:c r="A53" s="8">
        <x:v>2</x:v>
      </x:c>
      <x:c r="B53" s="8" t="s">
        <x:v>430</x:v>
      </x:c>
      <x:c r="C53" s="8" t="s">
        <x:v>424</x:v>
      </x:c>
      <x:c r="D53" s="8" t="s">
        <x:v>24</x:v>
      </x:c>
      <x:c r="E53" s="8" t="s">
        <x:v>365</x:v>
      </x:c>
      <x:c r="F53" s="8" t="s">
        <x:v>366</x:v>
      </x:c>
      <x:c r="G53" s="25">
        <x:v>46202</x:v>
      </x:c>
      <x:c r="H53" s="25">
        <x:v>46206</x:v>
      </x:c>
      <x:c r="I53" s="8" t="s">
        <x:v>2</x:v>
      </x:c>
      <x:c r="J53" s="8" t="s">
        <x:v>2</x:v>
      </x:c>
      <x:c r="K53" s="25">
        <x:v>46261</x:v>
      </x:c>
      <x:c r="L53" s="8" t="s">
        <x:v>367</x:v>
      </x:c>
      <x:c r="M53" s="8"/>
      <x:c r="N53" s="10"/>
      <x:c r="O53" s="8" t="s">
        <x:v>431</x:v>
      </x:c>
    </x:row>
    <x:row r="54" ht="32" customHeight="1">
      <x:c r="A54" s="8">
        <x:v>2</x:v>
      </x:c>
      <x:c r="B54" s="8" t="s">
        <x:v>432</x:v>
      </x:c>
      <x:c r="C54" s="8" t="s">
        <x:v>433</x:v>
      </x:c>
      <x:c r="D54" s="8" t="s">
        <x:v>24</x:v>
      </x:c>
      <x:c r="E54" s="8" t="s">
        <x:v>365</x:v>
      </x:c>
      <x:c r="F54" s="8" t="s">
        <x:v>366</x:v>
      </x:c>
      <x:c r="G54" s="25">
        <x:v>46202</x:v>
      </x:c>
      <x:c r="H54" s="25">
        <x:v>46206</x:v>
      </x:c>
      <x:c r="I54" s="8" t="s">
        <x:v>2</x:v>
      </x:c>
      <x:c r="J54" s="8" t="s">
        <x:v>2</x:v>
      </x:c>
      <x:c r="K54" s="25"/>
      <x:c r="L54" s="8" t="s">
        <x:v>367</x:v>
      </x:c>
      <x:c r="M54" s="8" t="s">
        <x:v>368</x:v>
      </x:c>
      <x:c r="N54" s="10"/>
      <x:c r="O54" s="8" t="s">
        <x:v>434</x:v>
      </x:c>
    </x:row>
    <x:row r="55" ht="32" customHeight="1">
      <x:c r="A55" s="8">
        <x:v>2</x:v>
      </x:c>
      <x:c r="B55" s="8" t="s">
        <x:v>435</x:v>
      </x:c>
      <x:c r="C55" s="8" t="s">
        <x:v>436</x:v>
      </x:c>
      <x:c r="D55" s="8" t="s">
        <x:v>24</x:v>
      </x:c>
      <x:c r="E55" s="8" t="s">
        <x:v>365</x:v>
      </x:c>
      <x:c r="F55" s="8" t="s">
        <x:v>366</x:v>
      </x:c>
      <x:c r="G55" s="25">
        <x:v>46202</x:v>
      </x:c>
      <x:c r="H55" s="25">
        <x:v>46206</x:v>
      </x:c>
      <x:c r="I55" s="8" t="s">
        <x:v>2</x:v>
      </x:c>
      <x:c r="J55" s="8" t="s">
        <x:v>2</x:v>
      </x:c>
      <x:c r="K55" s="25">
        <x:v>46224</x:v>
      </x:c>
      <x:c r="L55" s="8" t="s">
        <x:v>367</x:v>
      </x:c>
      <x:c r="M55" s="8"/>
      <x:c r="N55" s="10"/>
      <x:c r="O55" s="8" t="s">
        <x:v>437</x:v>
      </x:c>
    </x:row>
    <x:row r="56" ht="32" customHeight="1">
      <x:c r="A56" s="8">
        <x:v>2</x:v>
      </x:c>
      <x:c r="B56" s="8" t="s">
        <x:v>438</x:v>
      </x:c>
      <x:c r="C56" s="8" t="s">
        <x:v>439</x:v>
      </x:c>
      <x:c r="D56" s="8" t="s">
        <x:v>24</x:v>
      </x:c>
      <x:c r="E56" s="8" t="s">
        <x:v>365</x:v>
      </x:c>
      <x:c r="F56" s="8" t="s">
        <x:v>366</x:v>
      </x:c>
      <x:c r="G56" s="25">
        <x:v>46202</x:v>
      </x:c>
      <x:c r="H56" s="25">
        <x:v>46206</x:v>
      </x:c>
      <x:c r="I56" s="8" t="s">
        <x:v>2</x:v>
      </x:c>
      <x:c r="J56" s="8" t="s">
        <x:v>2</x:v>
      </x:c>
      <x:c r="K56" s="25">
        <x:v>46224</x:v>
      </x:c>
      <x:c r="L56" s="8" t="s">
        <x:v>367</x:v>
      </x:c>
      <x:c r="M56" s="8"/>
      <x:c r="N56" s="10"/>
      <x:c r="O56" s="8" t="s">
        <x:v>440</x:v>
      </x:c>
    </x:row>
    <x:row r="57" ht="32" customHeight="1">
      <x:c r="A57" s="8">
        <x:v>2</x:v>
      </x:c>
      <x:c r="B57" s="8" t="s">
        <x:v>441</x:v>
      </x:c>
      <x:c r="C57" s="8" t="s">
        <x:v>442</x:v>
      </x:c>
      <x:c r="D57" s="8" t="s">
        <x:v>24</x:v>
      </x:c>
      <x:c r="E57" s="8" t="s">
        <x:v>365</x:v>
      </x:c>
      <x:c r="F57" s="8" t="s">
        <x:v>366</x:v>
      </x:c>
      <x:c r="G57" s="25">
        <x:v>46202</x:v>
      </x:c>
      <x:c r="H57" s="25">
        <x:v>46206</x:v>
      </x:c>
      <x:c r="I57" s="8" t="s">
        <x:v>2</x:v>
      </x:c>
      <x:c r="J57" s="8" t="s">
        <x:v>2</x:v>
      </x:c>
      <x:c r="K57" s="25">
        <x:v>46224</x:v>
      </x:c>
      <x:c r="L57" s="8" t="s">
        <x:v>367</x:v>
      </x:c>
      <x:c r="M57" s="8"/>
      <x:c r="N57" s="10"/>
      <x:c r="O57" s="8" t="s">
        <x:v>443</x:v>
      </x:c>
    </x:row>
    <x:row r="58" ht="32" customHeight="1">
      <x:c r="A58" s="8">
        <x:v>2</x:v>
      </x:c>
      <x:c r="B58" s="8" t="s">
        <x:v>444</x:v>
      </x:c>
      <x:c r="C58" s="8" t="s">
        <x:v>445</x:v>
      </x:c>
      <x:c r="D58" s="8" t="s">
        <x:v>24</x:v>
      </x:c>
      <x:c r="E58" s="8" t="s">
        <x:v>365</x:v>
      </x:c>
      <x:c r="F58" s="8" t="s">
        <x:v>366</x:v>
      </x:c>
      <x:c r="G58" s="25">
        <x:v>46202</x:v>
      </x:c>
      <x:c r="H58" s="25">
        <x:v>46206</x:v>
      </x:c>
      <x:c r="I58" s="8" t="s">
        <x:v>2</x:v>
      </x:c>
      <x:c r="J58" s="8" t="s">
        <x:v>2</x:v>
      </x:c>
      <x:c r="K58" s="25">
        <x:v>46224</x:v>
      </x:c>
      <x:c r="L58" s="8" t="s">
        <x:v>367</x:v>
      </x:c>
      <x:c r="M58" s="8"/>
      <x:c r="N58" s="10"/>
      <x:c r="O58" s="8" t="s">
        <x:v>446</x:v>
      </x:c>
    </x:row>
    <x:row r="59" ht="32" customHeight="1">
      <x:c r="A59" s="8">
        <x:v>2</x:v>
      </x:c>
      <x:c r="B59" s="8" t="s">
        <x:v>447</x:v>
      </x:c>
      <x:c r="C59" s="8" t="s">
        <x:v>448</x:v>
      </x:c>
      <x:c r="D59" s="8" t="s">
        <x:v>24</x:v>
      </x:c>
      <x:c r="E59" s="8" t="s">
        <x:v>365</x:v>
      </x:c>
      <x:c r="F59" s="8" t="s">
        <x:v>366</x:v>
      </x:c>
      <x:c r="G59" s="25">
        <x:v>46202</x:v>
      </x:c>
      <x:c r="H59" s="25">
        <x:v>46206</x:v>
      </x:c>
      <x:c r="I59" s="8" t="s">
        <x:v>2</x:v>
      </x:c>
      <x:c r="J59" s="8" t="s">
        <x:v>2</x:v>
      </x:c>
      <x:c r="K59" s="25">
        <x:v>46224</x:v>
      </x:c>
      <x:c r="L59" s="8" t="s">
        <x:v>367</x:v>
      </x:c>
      <x:c r="M59" s="8"/>
      <x:c r="N59" s="10"/>
      <x:c r="O59" s="8" t="s">
        <x:v>449</x:v>
      </x:c>
    </x:row>
    <x:row r="60" ht="32" customHeight="1">
      <x:c r="A60" s="8">
        <x:v>2</x:v>
      </x:c>
      <x:c r="B60" s="8" t="s">
        <x:v>450</x:v>
      </x:c>
      <x:c r="C60" s="8" t="s">
        <x:v>451</x:v>
      </x:c>
      <x:c r="D60" s="8" t="s">
        <x:v>24</x:v>
      </x:c>
      <x:c r="E60" s="8" t="s">
        <x:v>365</x:v>
      </x:c>
      <x:c r="F60" s="8" t="s">
        <x:v>366</x:v>
      </x:c>
      <x:c r="G60" s="25">
        <x:v>46202</x:v>
      </x:c>
      <x:c r="H60" s="25">
        <x:v>46206</x:v>
      </x:c>
      <x:c r="I60" s="8" t="s">
        <x:v>2</x:v>
      </x:c>
      <x:c r="J60" s="8" t="s">
        <x:v>3</x:v>
      </x:c>
      <x:c r="K60" s="25"/>
      <x:c r="L60" s="8" t="s">
        <x:v>367</x:v>
      </x:c>
      <x:c r="M60" s="8" t="s">
        <x:v>368</x:v>
      </x:c>
      <x:c r="N60" s="10"/>
      <x:c r="O60" s="8" t="s">
        <x:v>452</x:v>
      </x:c>
    </x:row>
    <x:row r="61" ht="32" customHeight="1">
      <x:c r="A61" s="8">
        <x:v>2</x:v>
      </x:c>
      <x:c r="B61" s="8" t="s">
        <x:v>453</x:v>
      </x:c>
      <x:c r="C61" s="8" t="s">
        <x:v>454</x:v>
      </x:c>
      <x:c r="D61" s="8" t="s">
        <x:v>24</x:v>
      </x:c>
      <x:c r="E61" s="8" t="s">
        <x:v>365</x:v>
      </x:c>
      <x:c r="F61" s="8" t="s">
        <x:v>366</x:v>
      </x:c>
      <x:c r="G61" s="25">
        <x:v>46202</x:v>
      </x:c>
      <x:c r="H61" s="25">
        <x:v>46206</x:v>
      </x:c>
      <x:c r="I61" s="8" t="s">
        <x:v>2</x:v>
      </x:c>
      <x:c r="J61" s="8" t="s">
        <x:v>2</x:v>
      </x:c>
      <x:c r="K61" s="25">
        <x:v>46261</x:v>
      </x:c>
      <x:c r="L61" s="8" t="s">
        <x:v>367</x:v>
      </x:c>
      <x:c r="M61" s="8"/>
      <x:c r="N61" s="10"/>
      <x:c r="O61" s="8" t="s">
        <x:v>455</x:v>
      </x:c>
    </x:row>
    <x:row r="62" ht="32" customHeight="1">
      <x:c r="A62" s="8">
        <x:v>2</x:v>
      </x:c>
      <x:c r="B62" s="8" t="s">
        <x:v>456</x:v>
      </x:c>
      <x:c r="C62" s="8" t="s">
        <x:v>457</x:v>
      </x:c>
      <x:c r="D62" s="8" t="s">
        <x:v>24</x:v>
      </x:c>
      <x:c r="E62" s="8" t="s">
        <x:v>365</x:v>
      </x:c>
      <x:c r="F62" s="8" t="s">
        <x:v>366</x:v>
      </x:c>
      <x:c r="G62" s="25">
        <x:v>46202</x:v>
      </x:c>
      <x:c r="H62" s="25">
        <x:v>46206</x:v>
      </x:c>
      <x:c r="I62" s="8" t="s">
        <x:v>2</x:v>
      </x:c>
      <x:c r="J62" s="8" t="s">
        <x:v>2</x:v>
      </x:c>
      <x:c r="K62" s="25"/>
      <x:c r="L62" s="8" t="s">
        <x:v>367</x:v>
      </x:c>
      <x:c r="M62" s="8" t="s">
        <x:v>368</x:v>
      </x:c>
      <x:c r="N62" s="10"/>
      <x:c r="O62" s="8" t="s">
        <x:v>458</x:v>
      </x:c>
    </x:row>
    <x:row r="63" ht="32" customHeight="1">
      <x:c r="A63" s="8">
        <x:v>2</x:v>
      </x:c>
      <x:c r="B63" s="8" t="s">
        <x:v>459</x:v>
      </x:c>
      <x:c r="C63" s="8" t="s">
        <x:v>460</x:v>
      </x:c>
      <x:c r="D63" s="8" t="s">
        <x:v>24</x:v>
      </x:c>
      <x:c r="E63" s="8" t="s">
        <x:v>365</x:v>
      </x:c>
      <x:c r="F63" s="8" t="s">
        <x:v>366</x:v>
      </x:c>
      <x:c r="G63" s="25">
        <x:v>46202</x:v>
      </x:c>
      <x:c r="H63" s="25">
        <x:v>46206</x:v>
      </x:c>
      <x:c r="I63" s="8" t="s">
        <x:v>2</x:v>
      </x:c>
      <x:c r="J63" s="8" t="s">
        <x:v>2</x:v>
      </x:c>
      <x:c r="K63" s="25">
        <x:v>46224</x:v>
      </x:c>
      <x:c r="L63" s="8" t="s">
        <x:v>367</x:v>
      </x:c>
      <x:c r="M63" s="8"/>
      <x:c r="N63" s="10"/>
      <x:c r="O63" s="8" t="s">
        <x:v>461</x:v>
      </x:c>
    </x:row>
    <x:row r="64" ht="32" customHeight="1">
      <x:c r="A64" s="8">
        <x:v>2</x:v>
      </x:c>
      <x:c r="B64" s="8" t="s">
        <x:v>462</x:v>
      </x:c>
      <x:c r="C64" s="8" t="s">
        <x:v>463</x:v>
      </x:c>
      <x:c r="D64" s="8" t="s">
        <x:v>24</x:v>
      </x:c>
      <x:c r="E64" s="8" t="s">
        <x:v>365</x:v>
      </x:c>
      <x:c r="F64" s="8" t="s">
        <x:v>366</x:v>
      </x:c>
      <x:c r="G64" s="25">
        <x:v>46202</x:v>
      </x:c>
      <x:c r="H64" s="25">
        <x:v>46206</x:v>
      </x:c>
      <x:c r="I64" s="8" t="s">
        <x:v>2</x:v>
      </x:c>
      <x:c r="J64" s="8" t="s">
        <x:v>2</x:v>
      </x:c>
      <x:c r="K64" s="25">
        <x:v>46224</x:v>
      </x:c>
      <x:c r="L64" s="8" t="s">
        <x:v>367</x:v>
      </x:c>
      <x:c r="M64" s="8"/>
      <x:c r="N64" s="10"/>
      <x:c r="O64" s="8" t="s">
        <x:v>464</x:v>
      </x:c>
    </x:row>
    <x:row r="65" ht="32" customHeight="1">
      <x:c r="A65" s="8">
        <x:v>2</x:v>
      </x:c>
      <x:c r="B65" s="8" t="s">
        <x:v>465</x:v>
      </x:c>
      <x:c r="C65" s="8" t="s">
        <x:v>466</x:v>
      </x:c>
      <x:c r="D65" s="8" t="s">
        <x:v>24</x:v>
      </x:c>
      <x:c r="E65" s="8" t="s">
        <x:v>467</x:v>
      </x:c>
      <x:c r="F65" s="8" t="s">
        <x:v>468</x:v>
      </x:c>
      <x:c r="G65" s="25">
        <x:v>46195</x:v>
      </x:c>
      <x:c r="H65" s="25">
        <x:v>46206</x:v>
      </x:c>
      <x:c r="I65" s="8" t="s">
        <x:v>2</x:v>
      </x:c>
      <x:c r="J65" s="8" t="s">
        <x:v>2</x:v>
      </x:c>
      <x:c r="K65" s="25">
        <x:v>46224</x:v>
      </x:c>
      <x:c r="L65" s="8" t="s">
        <x:v>367</x:v>
      </x:c>
      <x:c r="M65" s="8"/>
      <x:c r="N65" s="10"/>
      <x:c r="O65" s="8" t="s">
        <x:v>469</x:v>
      </x:c>
    </x:row>
    <x:row r="66" ht="32" customHeight="1">
      <x:c r="A66" s="8">
        <x:v>2</x:v>
      </x:c>
      <x:c r="B66" s="8" t="s">
        <x:v>470</x:v>
      </x:c>
      <x:c r="C66" s="8" t="s">
        <x:v>471</x:v>
      </x:c>
      <x:c r="D66" s="8" t="s">
        <x:v>24</x:v>
      </x:c>
      <x:c r="E66" s="8" t="s">
        <x:v>467</x:v>
      </x:c>
      <x:c r="F66" s="8" t="s">
        <x:v>468</x:v>
      </x:c>
      <x:c r="G66" s="25">
        <x:v>46195</x:v>
      </x:c>
      <x:c r="H66" s="25">
        <x:v>46206</x:v>
      </x:c>
      <x:c r="I66" s="8" t="s">
        <x:v>2</x:v>
      </x:c>
      <x:c r="J66" s="8" t="s">
        <x:v>2</x:v>
      </x:c>
      <x:c r="K66" s="25">
        <x:v>46224</x:v>
      </x:c>
      <x:c r="L66" s="8" t="s">
        <x:v>367</x:v>
      </x:c>
      <x:c r="M66" s="8"/>
      <x:c r="N66" s="10"/>
      <x:c r="O66" s="8" t="s">
        <x:v>472</x:v>
      </x:c>
    </x:row>
    <x:row r="67" ht="32" customHeight="1">
      <x:c r="A67" s="8">
        <x:v>2</x:v>
      </x:c>
      <x:c r="B67" s="8" t="s">
        <x:v>473</x:v>
      </x:c>
      <x:c r="C67" s="8" t="s">
        <x:v>474</x:v>
      </x:c>
      <x:c r="D67" s="8" t="s">
        <x:v>24</x:v>
      </x:c>
      <x:c r="E67" s="8" t="s">
        <x:v>467</x:v>
      </x:c>
      <x:c r="F67" s="8" t="s">
        <x:v>468</x:v>
      </x:c>
      <x:c r="G67" s="25">
        <x:v>46195</x:v>
      </x:c>
      <x:c r="H67" s="25">
        <x:v>46206</x:v>
      </x:c>
      <x:c r="I67" s="8" t="s">
        <x:v>2</x:v>
      </x:c>
      <x:c r="J67" s="8" t="s">
        <x:v>2</x:v>
      </x:c>
      <x:c r="K67" s="25">
        <x:v>46224</x:v>
      </x:c>
      <x:c r="L67" s="8" t="s">
        <x:v>367</x:v>
      </x:c>
      <x:c r="M67" s="8"/>
      <x:c r="N67" s="10"/>
      <x:c r="O67" s="8" t="s">
        <x:v>475</x:v>
      </x:c>
    </x:row>
    <x:row r="68" ht="32" customHeight="1">
      <x:c r="A68" s="8">
        <x:v>2</x:v>
      </x:c>
      <x:c r="B68" s="8" t="s">
        <x:v>476</x:v>
      </x:c>
      <x:c r="C68" s="8" t="s">
        <x:v>477</x:v>
      </x:c>
      <x:c r="D68" s="8" t="s">
        <x:v>24</x:v>
      </x:c>
      <x:c r="E68" s="8" t="s">
        <x:v>467</x:v>
      </x:c>
      <x:c r="F68" s="8" t="s">
        <x:v>468</x:v>
      </x:c>
      <x:c r="G68" s="25">
        <x:v>46195</x:v>
      </x:c>
      <x:c r="H68" s="25">
        <x:v>46206</x:v>
      </x:c>
      <x:c r="I68" s="8" t="s">
        <x:v>2</x:v>
      </x:c>
      <x:c r="J68" s="8" t="s">
        <x:v>2</x:v>
      </x:c>
      <x:c r="K68" s="25">
        <x:v>46224</x:v>
      </x:c>
      <x:c r="L68" s="8" t="s">
        <x:v>367</x:v>
      </x:c>
      <x:c r="M68" s="8"/>
      <x:c r="N68" s="10"/>
      <x:c r="O68" s="8" t="s">
        <x:v>478</x:v>
      </x:c>
    </x:row>
    <x:row r="69" ht="32" customHeight="1">
      <x:c r="A69" s="8">
        <x:v>2</x:v>
      </x:c>
      <x:c r="B69" s="8" t="s">
        <x:v>465</x:v>
      </x:c>
      <x:c r="C69" s="8" t="s">
        <x:v>466</x:v>
      </x:c>
      <x:c r="D69" s="8" t="s">
        <x:v>24</x:v>
      </x:c>
      <x:c r="E69" s="8" t="s">
        <x:v>479</x:v>
      </x:c>
      <x:c r="F69" s="8" t="s">
        <x:v>480</x:v>
      </x:c>
      <x:c r="G69" s="25">
        <x:v>46195</x:v>
      </x:c>
      <x:c r="H69" s="25">
        <x:v>46206</x:v>
      </x:c>
      <x:c r="I69" s="8" t="s">
        <x:v>2</x:v>
      </x:c>
      <x:c r="J69" s="8" t="s">
        <x:v>2</x:v>
      </x:c>
      <x:c r="K69" s="25">
        <x:v>46224</x:v>
      </x:c>
      <x:c r="L69" s="8" t="s">
        <x:v>367</x:v>
      </x:c>
      <x:c r="M69" s="8"/>
      <x:c r="N69" s="10"/>
      <x:c r="O69" s="8" t="s">
        <x:v>481</x:v>
      </x:c>
    </x:row>
    <x:row r="70" ht="32" customHeight="1">
      <x:c r="A70" s="8">
        <x:v>2</x:v>
      </x:c>
      <x:c r="B70" s="8" t="s">
        <x:v>470</x:v>
      </x:c>
      <x:c r="C70" s="8" t="s">
        <x:v>471</x:v>
      </x:c>
      <x:c r="D70" s="8" t="s">
        <x:v>24</x:v>
      </x:c>
      <x:c r="E70" s="8" t="s">
        <x:v>479</x:v>
      </x:c>
      <x:c r="F70" s="8" t="s">
        <x:v>480</x:v>
      </x:c>
      <x:c r="G70" s="25">
        <x:v>46195</x:v>
      </x:c>
      <x:c r="H70" s="25">
        <x:v>46206</x:v>
      </x:c>
      <x:c r="I70" s="8" t="s">
        <x:v>2</x:v>
      </x:c>
      <x:c r="J70" s="8" t="s">
        <x:v>2</x:v>
      </x:c>
      <x:c r="K70" s="25">
        <x:v>46224</x:v>
      </x:c>
      <x:c r="L70" s="8" t="s">
        <x:v>367</x:v>
      </x:c>
      <x:c r="M70" s="8"/>
      <x:c r="N70" s="10"/>
      <x:c r="O70" s="8" t="s">
        <x:v>482</x:v>
      </x:c>
    </x:row>
    <x:row r="71" ht="32" customHeight="1">
      <x:c r="A71" s="8">
        <x:v>2</x:v>
      </x:c>
      <x:c r="B71" s="8" t="s">
        <x:v>473</x:v>
      </x:c>
      <x:c r="C71" s="8" t="s">
        <x:v>474</x:v>
      </x:c>
      <x:c r="D71" s="8" t="s">
        <x:v>24</x:v>
      </x:c>
      <x:c r="E71" s="8" t="s">
        <x:v>479</x:v>
      </x:c>
      <x:c r="F71" s="8" t="s">
        <x:v>480</x:v>
      </x:c>
      <x:c r="G71" s="25">
        <x:v>46195</x:v>
      </x:c>
      <x:c r="H71" s="25">
        <x:v>46206</x:v>
      </x:c>
      <x:c r="I71" s="8" t="s">
        <x:v>2</x:v>
      </x:c>
      <x:c r="J71" s="8" t="s">
        <x:v>2</x:v>
      </x:c>
      <x:c r="K71" s="25">
        <x:v>46224</x:v>
      </x:c>
      <x:c r="L71" s="8" t="s">
        <x:v>367</x:v>
      </x:c>
      <x:c r="M71" s="8"/>
      <x:c r="N71" s="10"/>
      <x:c r="O71" s="8" t="s">
        <x:v>483</x:v>
      </x:c>
    </x:row>
    <x:row r="72" ht="32" customHeight="1">
      <x:c r="A72" s="8">
        <x:v>2</x:v>
      </x:c>
      <x:c r="B72" s="8" t="s">
        <x:v>476</x:v>
      </x:c>
      <x:c r="C72" s="8" t="s">
        <x:v>477</x:v>
      </x:c>
      <x:c r="D72" s="8" t="s">
        <x:v>24</x:v>
      </x:c>
      <x:c r="E72" s="8" t="s">
        <x:v>479</x:v>
      </x:c>
      <x:c r="F72" s="8" t="s">
        <x:v>480</x:v>
      </x:c>
      <x:c r="G72" s="25">
        <x:v>46195</x:v>
      </x:c>
      <x:c r="H72" s="25">
        <x:v>46206</x:v>
      </x:c>
      <x:c r="I72" s="8" t="s">
        <x:v>2</x:v>
      </x:c>
      <x:c r="J72" s="8" t="s">
        <x:v>2</x:v>
      </x:c>
      <x:c r="K72" s="25">
        <x:v>46224</x:v>
      </x:c>
      <x:c r="L72" s="8" t="s">
        <x:v>367</x:v>
      </x:c>
      <x:c r="M72" s="8"/>
      <x:c r="N72" s="10"/>
      <x:c r="O72" s="8" t="s">
        <x:v>484</x:v>
      </x:c>
    </x:row>
    <x:row r="73" ht="32" customHeight="1">
      <x:c r="A73" s="8">
        <x:v>3</x:v>
      </x:c>
      <x:c r="B73" s="8" t="s">
        <x:v>485</x:v>
      </x:c>
      <x:c r="C73" s="8" t="s">
        <x:v>486</x:v>
      </x:c>
      <x:c r="D73" s="8" t="s">
        <x:v>24</x:v>
      </x:c>
      <x:c r="E73" s="8" t="s">
        <x:v>365</x:v>
      </x:c>
      <x:c r="F73" s="8" t="s">
        <x:v>366</x:v>
      </x:c>
      <x:c r="G73" s="25">
        <x:v>46209</x:v>
      </x:c>
      <x:c r="H73" s="25">
        <x:v>46213</x:v>
      </x:c>
      <x:c r="I73" s="8" t="s">
        <x:v>2</x:v>
      </x:c>
      <x:c r="J73" s="8" t="s">
        <x:v>2</x:v>
      </x:c>
      <x:c r="K73" s="25">
        <x:v>46261</x:v>
      </x:c>
      <x:c r="L73" s="8" t="s">
        <x:v>367</x:v>
      </x:c>
      <x:c r="M73" s="8"/>
      <x:c r="N73" s="10"/>
      <x:c r="O73" s="8" t="s">
        <x:v>487</x:v>
      </x:c>
    </x:row>
    <x:row r="74" ht="32" customHeight="1">
      <x:c r="A74" s="8">
        <x:v>3</x:v>
      </x:c>
      <x:c r="B74" s="8" t="s">
        <x:v>488</x:v>
      </x:c>
      <x:c r="C74" s="8" t="s">
        <x:v>489</x:v>
      </x:c>
      <x:c r="D74" s="8" t="s">
        <x:v>24</x:v>
      </x:c>
      <x:c r="E74" s="8" t="s">
        <x:v>365</x:v>
      </x:c>
      <x:c r="F74" s="8" t="s">
        <x:v>366</x:v>
      </x:c>
      <x:c r="G74" s="25">
        <x:v>46209</x:v>
      </x:c>
      <x:c r="H74" s="25">
        <x:v>46213</x:v>
      </x:c>
      <x:c r="I74" s="8" t="s">
        <x:v>2</x:v>
      </x:c>
      <x:c r="J74" s="8" t="s">
        <x:v>2</x:v>
      </x:c>
      <x:c r="K74" s="25">
        <x:v>46261</x:v>
      </x:c>
      <x:c r="L74" s="8" t="s">
        <x:v>367</x:v>
      </x:c>
      <x:c r="M74" s="8"/>
      <x:c r="N74" s="10"/>
      <x:c r="O74" s="8" t="s">
        <x:v>490</x:v>
      </x:c>
    </x:row>
    <x:row r="75" ht="32" customHeight="1">
      <x:c r="A75" s="8">
        <x:v>3</x:v>
      </x:c>
      <x:c r="B75" s="8" t="s">
        <x:v>491</x:v>
      </x:c>
      <x:c r="C75" s="8" t="s">
        <x:v>492</x:v>
      </x:c>
      <x:c r="D75" s="8" t="s">
        <x:v>24</x:v>
      </x:c>
      <x:c r="E75" s="8" t="s">
        <x:v>365</x:v>
      </x:c>
      <x:c r="F75" s="8" t="s">
        <x:v>366</x:v>
      </x:c>
      <x:c r="G75" s="25">
        <x:v>46209</x:v>
      </x:c>
      <x:c r="H75" s="25">
        <x:v>46213</x:v>
      </x:c>
      <x:c r="I75" s="8" t="s">
        <x:v>2</x:v>
      </x:c>
      <x:c r="J75" s="8" t="s">
        <x:v>2</x:v>
      </x:c>
      <x:c r="K75" s="25">
        <x:v>46261</x:v>
      </x:c>
      <x:c r="L75" s="8" t="s">
        <x:v>367</x:v>
      </x:c>
      <x:c r="M75" s="8"/>
      <x:c r="N75" s="10"/>
      <x:c r="O75" s="8" t="s">
        <x:v>493</x:v>
      </x:c>
    </x:row>
    <x:row r="76" ht="32" customHeight="1">
      <x:c r="A76" s="8">
        <x:v>3</x:v>
      </x:c>
      <x:c r="B76" s="8" t="s">
        <x:v>494</x:v>
      </x:c>
      <x:c r="C76" s="8" t="s">
        <x:v>495</x:v>
      </x:c>
      <x:c r="D76" s="8" t="s">
        <x:v>24</x:v>
      </x:c>
      <x:c r="E76" s="8" t="s">
        <x:v>365</x:v>
      </x:c>
      <x:c r="F76" s="8" t="s">
        <x:v>366</x:v>
      </x:c>
      <x:c r="G76" s="25">
        <x:v>46209</x:v>
      </x:c>
      <x:c r="H76" s="25">
        <x:v>46213</x:v>
      </x:c>
      <x:c r="I76" s="8" t="s">
        <x:v>2</x:v>
      </x:c>
      <x:c r="J76" s="8" t="s">
        <x:v>2</x:v>
      </x:c>
      <x:c r="K76" s="25">
        <x:v>46261</x:v>
      </x:c>
      <x:c r="L76" s="8" t="s">
        <x:v>367</x:v>
      </x:c>
      <x:c r="M76" s="8"/>
      <x:c r="N76" s="10"/>
      <x:c r="O76" s="8" t="s">
        <x:v>496</x:v>
      </x:c>
    </x:row>
    <x:row r="77" ht="32" customHeight="1">
      <x:c r="A77" s="8">
        <x:v>3</x:v>
      </x:c>
      <x:c r="B77" s="8" t="s">
        <x:v>497</x:v>
      </x:c>
      <x:c r="C77" s="8" t="s">
        <x:v>498</x:v>
      </x:c>
      <x:c r="D77" s="8" t="s">
        <x:v>24</x:v>
      </x:c>
      <x:c r="E77" s="8" t="s">
        <x:v>365</x:v>
      </x:c>
      <x:c r="F77" s="8" t="s">
        <x:v>366</x:v>
      </x:c>
      <x:c r="G77" s="25">
        <x:v>46209</x:v>
      </x:c>
      <x:c r="H77" s="25">
        <x:v>46213</x:v>
      </x:c>
      <x:c r="I77" s="8" t="s">
        <x:v>2</x:v>
      </x:c>
      <x:c r="J77" s="8" t="s">
        <x:v>2</x:v>
      </x:c>
      <x:c r="K77" s="25">
        <x:v>46261</x:v>
      </x:c>
      <x:c r="L77" s="8" t="s">
        <x:v>367</x:v>
      </x:c>
      <x:c r="M77" s="8"/>
      <x:c r="N77" s="10"/>
      <x:c r="O77" s="8" t="s">
        <x:v>499</x:v>
      </x:c>
    </x:row>
    <x:row r="78" ht="32" customHeight="1">
      <x:c r="A78" s="8">
        <x:v>3</x:v>
      </x:c>
      <x:c r="B78" s="8" t="s">
        <x:v>500</x:v>
      </x:c>
      <x:c r="C78" s="8" t="s">
        <x:v>501</x:v>
      </x:c>
      <x:c r="D78" s="8" t="s">
        <x:v>24</x:v>
      </x:c>
      <x:c r="E78" s="8" t="s">
        <x:v>365</x:v>
      </x:c>
      <x:c r="F78" s="8" t="s">
        <x:v>366</x:v>
      </x:c>
      <x:c r="G78" s="25">
        <x:v>46209</x:v>
      </x:c>
      <x:c r="H78" s="25">
        <x:v>46213</x:v>
      </x:c>
      <x:c r="I78" s="8" t="s">
        <x:v>2</x:v>
      </x:c>
      <x:c r="J78" s="8" t="s">
        <x:v>2</x:v>
      </x:c>
      <x:c r="K78" s="25">
        <x:v>46261</x:v>
      </x:c>
      <x:c r="L78" s="8" t="s">
        <x:v>367</x:v>
      </x:c>
      <x:c r="M78" s="8"/>
      <x:c r="N78" s="10"/>
      <x:c r="O78" s="8" t="s">
        <x:v>502</x:v>
      </x:c>
    </x:row>
    <x:row r="79" ht="32" customHeight="1">
      <x:c r="A79" s="8">
        <x:v>3</x:v>
      </x:c>
      <x:c r="B79" s="8" t="s">
        <x:v>503</x:v>
      </x:c>
      <x:c r="C79" s="8" t="s">
        <x:v>504</x:v>
      </x:c>
      <x:c r="D79" s="8" t="s">
        <x:v>25</x:v>
      </x:c>
      <x:c r="E79" s="8" t="s">
        <x:v>365</x:v>
      </x:c>
      <x:c r="F79" s="8" t="s">
        <x:v>366</x:v>
      </x:c>
      <x:c r="G79" s="25">
        <x:v>46209</x:v>
      </x:c>
      <x:c r="H79" s="25">
        <x:v>46213</x:v>
      </x:c>
      <x:c r="I79" s="8" t="s">
        <x:v>2</x:v>
      </x:c>
      <x:c r="J79" s="8" t="s">
        <x:v>2</x:v>
      </x:c>
      <x:c r="K79" s="25"/>
      <x:c r="L79" s="8" t="s">
        <x:v>367</x:v>
      </x:c>
      <x:c r="M79" s="8" t="s">
        <x:v>368</x:v>
      </x:c>
      <x:c r="N79" s="10"/>
      <x:c r="O79" s="8" t="s">
        <x:v>505</x:v>
      </x:c>
    </x:row>
    <x:row r="80" ht="32" customHeight="1">
      <x:c r="A80" s="8">
        <x:v>3</x:v>
      </x:c>
      <x:c r="B80" s="8" t="s">
        <x:v>506</x:v>
      </x:c>
      <x:c r="C80" s="8" t="s">
        <x:v>507</x:v>
      </x:c>
      <x:c r="D80" s="8" t="s">
        <x:v>25</x:v>
      </x:c>
      <x:c r="E80" s="8" t="s">
        <x:v>365</x:v>
      </x:c>
      <x:c r="F80" s="8" t="s">
        <x:v>366</x:v>
      </x:c>
      <x:c r="G80" s="25">
        <x:v>46209</x:v>
      </x:c>
      <x:c r="H80" s="25">
        <x:v>46213</x:v>
      </x:c>
      <x:c r="I80" s="8" t="s">
        <x:v>2</x:v>
      </x:c>
      <x:c r="J80" s="8" t="s">
        <x:v>2</x:v>
      </x:c>
      <x:c r="K80" s="25"/>
      <x:c r="L80" s="8" t="s">
        <x:v>367</x:v>
      </x:c>
      <x:c r="M80" s="8" t="s">
        <x:v>368</x:v>
      </x:c>
      <x:c r="N80" s="10"/>
      <x:c r="O80" s="8" t="s">
        <x:v>508</x:v>
      </x:c>
    </x:row>
    <x:row r="81" ht="32" customHeight="1">
      <x:c r="A81" s="8">
        <x:v>3</x:v>
      </x:c>
      <x:c r="B81" s="8" t="s">
        <x:v>509</x:v>
      </x:c>
      <x:c r="C81" s="8" t="s">
        <x:v>510</x:v>
      </x:c>
      <x:c r="D81" s="8" t="s">
        <x:v>25</x:v>
      </x:c>
      <x:c r="E81" s="8" t="s">
        <x:v>365</x:v>
      </x:c>
      <x:c r="F81" s="8" t="s">
        <x:v>366</x:v>
      </x:c>
      <x:c r="G81" s="25">
        <x:v>46209</x:v>
      </x:c>
      <x:c r="H81" s="25">
        <x:v>46213</x:v>
      </x:c>
      <x:c r="I81" s="8" t="s">
        <x:v>2</x:v>
      </x:c>
      <x:c r="J81" s="8" t="s">
        <x:v>2</x:v>
      </x:c>
      <x:c r="K81" s="25"/>
      <x:c r="L81" s="8" t="s">
        <x:v>367</x:v>
      </x:c>
      <x:c r="M81" s="8" t="s">
        <x:v>368</x:v>
      </x:c>
      <x:c r="N81" s="10"/>
      <x:c r="O81" s="8" t="s">
        <x:v>511</x:v>
      </x:c>
    </x:row>
    <x:row r="82" ht="32" customHeight="1">
      <x:c r="A82" s="8">
        <x:v>3</x:v>
      </x:c>
      <x:c r="B82" s="8" t="s">
        <x:v>512</x:v>
      </x:c>
      <x:c r="C82" s="8" t="s">
        <x:v>513</x:v>
      </x:c>
      <x:c r="D82" s="8" t="s">
        <x:v>24</x:v>
      </x:c>
      <x:c r="E82" s="8" t="s">
        <x:v>365</x:v>
      </x:c>
      <x:c r="F82" s="8" t="s">
        <x:v>366</x:v>
      </x:c>
      <x:c r="G82" s="25">
        <x:v>46209</x:v>
      </x:c>
      <x:c r="H82" s="25">
        <x:v>46213</x:v>
      </x:c>
      <x:c r="I82" s="8" t="s">
        <x:v>2</x:v>
      </x:c>
      <x:c r="J82" s="8" t="s">
        <x:v>2</x:v>
      </x:c>
      <x:c r="K82" s="25">
        <x:v>46224</x:v>
      </x:c>
      <x:c r="L82" s="8" t="s">
        <x:v>367</x:v>
      </x:c>
      <x:c r="M82" s="8"/>
      <x:c r="N82" s="10"/>
      <x:c r="O82" s="8" t="s">
        <x:v>514</x:v>
      </x:c>
    </x:row>
    <x:row r="83" ht="32" customHeight="1">
      <x:c r="A83" s="8">
        <x:v>3</x:v>
      </x:c>
      <x:c r="B83" s="8" t="s">
        <x:v>515</x:v>
      </x:c>
      <x:c r="C83" s="8" t="s">
        <x:v>516</x:v>
      </x:c>
      <x:c r="D83" s="8" t="s">
        <x:v>24</x:v>
      </x:c>
      <x:c r="E83" s="8" t="s">
        <x:v>365</x:v>
      </x:c>
      <x:c r="F83" s="8" t="s">
        <x:v>366</x:v>
      </x:c>
      <x:c r="G83" s="25">
        <x:v>46209</x:v>
      </x:c>
      <x:c r="H83" s="25">
        <x:v>46213</x:v>
      </x:c>
      <x:c r="I83" s="8" t="s">
        <x:v>2</x:v>
      </x:c>
      <x:c r="J83" s="8" t="s">
        <x:v>2</x:v>
      </x:c>
      <x:c r="K83" s="25">
        <x:v>46224</x:v>
      </x:c>
      <x:c r="L83" s="8" t="s">
        <x:v>367</x:v>
      </x:c>
      <x:c r="M83" s="8"/>
      <x:c r="N83" s="10"/>
      <x:c r="O83" s="8" t="s">
        <x:v>517</x:v>
      </x:c>
    </x:row>
    <x:row r="84" ht="32" customHeight="1">
      <x:c r="A84" s="8">
        <x:v>3</x:v>
      </x:c>
      <x:c r="B84" s="8" t="s">
        <x:v>518</x:v>
      </x:c>
      <x:c r="C84" s="8" t="s">
        <x:v>519</x:v>
      </x:c>
      <x:c r="D84" s="8" t="s">
        <x:v>24</x:v>
      </x:c>
      <x:c r="E84" s="8" t="s">
        <x:v>365</x:v>
      </x:c>
      <x:c r="F84" s="8" t="s">
        <x:v>366</x:v>
      </x:c>
      <x:c r="G84" s="25">
        <x:v>46209</x:v>
      </x:c>
      <x:c r="H84" s="25">
        <x:v>46213</x:v>
      </x:c>
      <x:c r="I84" s="8" t="s">
        <x:v>2</x:v>
      </x:c>
      <x:c r="J84" s="8" t="s">
        <x:v>2</x:v>
      </x:c>
      <x:c r="K84" s="25">
        <x:v>46224</x:v>
      </x:c>
      <x:c r="L84" s="8" t="s">
        <x:v>367</x:v>
      </x:c>
      <x:c r="M84" s="8"/>
      <x:c r="N84" s="10"/>
      <x:c r="O84" s="8" t="s">
        <x:v>520</x:v>
      </x:c>
    </x:row>
    <x:row r="85" ht="32" customHeight="1">
      <x:c r="A85" s="8">
        <x:v>3</x:v>
      </x:c>
      <x:c r="B85" s="8" t="s">
        <x:v>521</x:v>
      </x:c>
      <x:c r="C85" s="8" t="s">
        <x:v>522</x:v>
      </x:c>
      <x:c r="D85" s="8" t="s">
        <x:v>24</x:v>
      </x:c>
      <x:c r="E85" s="8" t="s">
        <x:v>365</x:v>
      </x:c>
      <x:c r="F85" s="8" t="s">
        <x:v>366</x:v>
      </x:c>
      <x:c r="G85" s="25">
        <x:v>46209</x:v>
      </x:c>
      <x:c r="H85" s="25">
        <x:v>46213</x:v>
      </x:c>
      <x:c r="I85" s="8" t="s">
        <x:v>2</x:v>
      </x:c>
      <x:c r="J85" s="8" t="s">
        <x:v>2</x:v>
      </x:c>
      <x:c r="K85" s="25">
        <x:v>46224</x:v>
      </x:c>
      <x:c r="L85" s="8" t="s">
        <x:v>367</x:v>
      </x:c>
      <x:c r="M85" s="8"/>
      <x:c r="N85" s="10"/>
      <x:c r="O85" s="8" t="s">
        <x:v>523</x:v>
      </x:c>
    </x:row>
    <x:row r="86" ht="32" customHeight="1">
      <x:c r="A86" s="8">
        <x:v>3</x:v>
      </x:c>
      <x:c r="B86" s="8" t="s">
        <x:v>524</x:v>
      </x:c>
      <x:c r="C86" s="8" t="s">
        <x:v>525</x:v>
      </x:c>
      <x:c r="D86" s="8" t="s">
        <x:v>24</x:v>
      </x:c>
      <x:c r="E86" s="8" t="s">
        <x:v>365</x:v>
      </x:c>
      <x:c r="F86" s="8" t="s">
        <x:v>366</x:v>
      </x:c>
      <x:c r="G86" s="25">
        <x:v>46209</x:v>
      </x:c>
      <x:c r="H86" s="25">
        <x:v>46213</x:v>
      </x:c>
      <x:c r="I86" s="8" t="s">
        <x:v>2</x:v>
      </x:c>
      <x:c r="J86" s="8" t="s">
        <x:v>2</x:v>
      </x:c>
      <x:c r="K86" s="25"/>
      <x:c r="L86" s="8" t="s">
        <x:v>367</x:v>
      </x:c>
      <x:c r="M86" s="8" t="s">
        <x:v>368</x:v>
      </x:c>
      <x:c r="N86" s="10"/>
      <x:c r="O86" s="8" t="s">
        <x:v>526</x:v>
      </x:c>
    </x:row>
    <x:row r="87" ht="32" customHeight="1">
      <x:c r="A87" s="8">
        <x:v>3</x:v>
      </x:c>
      <x:c r="B87" s="8" t="s">
        <x:v>527</x:v>
      </x:c>
      <x:c r="C87" s="8" t="s">
        <x:v>528</x:v>
      </x:c>
      <x:c r="D87" s="8" t="s">
        <x:v>24</x:v>
      </x:c>
      <x:c r="E87" s="8" t="s">
        <x:v>365</x:v>
      </x:c>
      <x:c r="F87" s="8" t="s">
        <x:v>366</x:v>
      </x:c>
      <x:c r="G87" s="25">
        <x:v>46209</x:v>
      </x:c>
      <x:c r="H87" s="25">
        <x:v>46213</x:v>
      </x:c>
      <x:c r="I87" s="8" t="s">
        <x:v>2</x:v>
      </x:c>
      <x:c r="J87" s="8" t="s">
        <x:v>2</x:v>
      </x:c>
      <x:c r="K87" s="25"/>
      <x:c r="L87" s="8" t="s">
        <x:v>367</x:v>
      </x:c>
      <x:c r="M87" s="8" t="s">
        <x:v>368</x:v>
      </x:c>
      <x:c r="N87" s="10"/>
      <x:c r="O87" s="8" t="s">
        <x:v>529</x:v>
      </x:c>
    </x:row>
    <x:row r="88" ht="32" customHeight="1">
      <x:c r="A88" s="8">
        <x:v>3</x:v>
      </x:c>
      <x:c r="B88" s="8" t="s">
        <x:v>530</x:v>
      </x:c>
      <x:c r="C88" s="8" t="s">
        <x:v>531</x:v>
      </x:c>
      <x:c r="D88" s="8" t="s">
        <x:v>24</x:v>
      </x:c>
      <x:c r="E88" s="8" t="s">
        <x:v>365</x:v>
      </x:c>
      <x:c r="F88" s="8" t="s">
        <x:v>366</x:v>
      </x:c>
      <x:c r="G88" s="25">
        <x:v>46209</x:v>
      </x:c>
      <x:c r="H88" s="25">
        <x:v>46213</x:v>
      </x:c>
      <x:c r="I88" s="8" t="s">
        <x:v>2</x:v>
      </x:c>
      <x:c r="J88" s="8" t="s">
        <x:v>2</x:v>
      </x:c>
      <x:c r="K88" s="25"/>
      <x:c r="L88" s="8" t="s">
        <x:v>367</x:v>
      </x:c>
      <x:c r="M88" s="8" t="s">
        <x:v>368</x:v>
      </x:c>
      <x:c r="N88" s="10"/>
      <x:c r="O88" s="8" t="s">
        <x:v>532</x:v>
      </x:c>
    </x:row>
    <x:row r="89" ht="32" customHeight="1">
      <x:c r="A89" s="8">
        <x:v>3</x:v>
      </x:c>
      <x:c r="B89" s="8" t="s">
        <x:v>533</x:v>
      </x:c>
      <x:c r="C89" s="8" t="s">
        <x:v>534</x:v>
      </x:c>
      <x:c r="D89" s="8" t="s">
        <x:v>24</x:v>
      </x:c>
      <x:c r="E89" s="8" t="s">
        <x:v>365</x:v>
      </x:c>
      <x:c r="F89" s="8" t="s">
        <x:v>366</x:v>
      </x:c>
      <x:c r="G89" s="25">
        <x:v>46209</x:v>
      </x:c>
      <x:c r="H89" s="25">
        <x:v>46213</x:v>
      </x:c>
      <x:c r="I89" s="8" t="s">
        <x:v>2</x:v>
      </x:c>
      <x:c r="J89" s="8" t="s">
        <x:v>2</x:v>
      </x:c>
      <x:c r="K89" s="25"/>
      <x:c r="L89" s="8" t="s">
        <x:v>367</x:v>
      </x:c>
      <x:c r="M89" s="8" t="s">
        <x:v>368</x:v>
      </x:c>
      <x:c r="N89" s="10"/>
      <x:c r="O89" s="8" t="s">
        <x:v>535</x:v>
      </x:c>
    </x:row>
    <x:row r="90" ht="32" customHeight="1">
      <x:c r="A90" s="8">
        <x:v>3</x:v>
      </x:c>
      <x:c r="B90" s="8" t="s">
        <x:v>536</x:v>
      </x:c>
      <x:c r="C90" s="8" t="s">
        <x:v>537</x:v>
      </x:c>
      <x:c r="D90" s="8" t="s">
        <x:v>24</x:v>
      </x:c>
      <x:c r="E90" s="8" t="s">
        <x:v>365</x:v>
      </x:c>
      <x:c r="F90" s="8" t="s">
        <x:v>366</x:v>
      </x:c>
      <x:c r="G90" s="25">
        <x:v>46209</x:v>
      </x:c>
      <x:c r="H90" s="25">
        <x:v>46213</x:v>
      </x:c>
      <x:c r="I90" s="8" t="s">
        <x:v>2</x:v>
      </x:c>
      <x:c r="J90" s="8" t="s">
        <x:v>2</x:v>
      </x:c>
      <x:c r="K90" s="25"/>
      <x:c r="L90" s="8" t="s">
        <x:v>367</x:v>
      </x:c>
      <x:c r="M90" s="8" t="s">
        <x:v>368</x:v>
      </x:c>
      <x:c r="N90" s="10"/>
      <x:c r="O90" s="8" t="s">
        <x:v>538</x:v>
      </x:c>
    </x:row>
    <x:row r="91" ht="32" customHeight="1">
      <x:c r="A91" s="8">
        <x:v>3</x:v>
      </x:c>
      <x:c r="B91" s="8" t="s">
        <x:v>539</x:v>
      </x:c>
      <x:c r="C91" s="8" t="s">
        <x:v>540</x:v>
      </x:c>
      <x:c r="D91" s="8" t="s">
        <x:v>24</x:v>
      </x:c>
      <x:c r="E91" s="8" t="s">
        <x:v>365</x:v>
      </x:c>
      <x:c r="F91" s="8" t="s">
        <x:v>366</x:v>
      </x:c>
      <x:c r="G91" s="25">
        <x:v>46209</x:v>
      </x:c>
      <x:c r="H91" s="25">
        <x:v>46213</x:v>
      </x:c>
      <x:c r="I91" s="8" t="s">
        <x:v>2</x:v>
      </x:c>
      <x:c r="J91" s="8" t="s">
        <x:v>2</x:v>
      </x:c>
      <x:c r="K91" s="25"/>
      <x:c r="L91" s="8" t="s">
        <x:v>367</x:v>
      </x:c>
      <x:c r="M91" s="8" t="s">
        <x:v>368</x:v>
      </x:c>
      <x:c r="N91" s="10"/>
      <x:c r="O91" s="8" t="s">
        <x:v>541</x:v>
      </x:c>
    </x:row>
    <x:row r="92" ht="32" customHeight="1">
      <x:c r="A92" s="8">
        <x:v>3</x:v>
      </x:c>
      <x:c r="B92" s="8" t="s">
        <x:v>542</x:v>
      </x:c>
      <x:c r="C92" s="8" t="s">
        <x:v>543</x:v>
      </x:c>
      <x:c r="D92" s="8" t="s">
        <x:v>25</x:v>
      </x:c>
      <x:c r="E92" s="8" t="s">
        <x:v>365</x:v>
      </x:c>
      <x:c r="F92" s="8" t="s">
        <x:v>366</x:v>
      </x:c>
      <x:c r="G92" s="25">
        <x:v>46209</x:v>
      </x:c>
      <x:c r="H92" s="25">
        <x:v>46213</x:v>
      </x:c>
      <x:c r="I92" s="8" t="s">
        <x:v>2</x:v>
      </x:c>
      <x:c r="J92" s="8" t="s">
        <x:v>2</x:v>
      </x:c>
      <x:c r="K92" s="25"/>
      <x:c r="L92" s="8" t="s">
        <x:v>367</x:v>
      </x:c>
      <x:c r="M92" s="8" t="s">
        <x:v>368</x:v>
      </x:c>
      <x:c r="N92" s="10"/>
      <x:c r="O92" s="8" t="s">
        <x:v>544</x:v>
      </x:c>
    </x:row>
    <x:row r="93" ht="32" customHeight="1">
      <x:c r="A93" s="8">
        <x:v>3</x:v>
      </x:c>
      <x:c r="B93" s="8" t="s">
        <x:v>545</x:v>
      </x:c>
      <x:c r="C93" s="8" t="s">
        <x:v>489</x:v>
      </x:c>
      <x:c r="D93" s="8" t="s">
        <x:v>25</x:v>
      </x:c>
      <x:c r="E93" s="8" t="s">
        <x:v>365</x:v>
      </x:c>
      <x:c r="F93" s="8" t="s">
        <x:v>366</x:v>
      </x:c>
      <x:c r="G93" s="25">
        <x:v>46209</x:v>
      </x:c>
      <x:c r="H93" s="25">
        <x:v>46213</x:v>
      </x:c>
      <x:c r="I93" s="8" t="s">
        <x:v>2</x:v>
      </x:c>
      <x:c r="J93" s="8" t="s">
        <x:v>2</x:v>
      </x:c>
      <x:c r="K93" s="25">
        <x:v>46261</x:v>
      </x:c>
      <x:c r="L93" s="8" t="s">
        <x:v>367</x:v>
      </x:c>
      <x:c r="M93" s="8"/>
      <x:c r="N93" s="10"/>
      <x:c r="O93" s="8" t="s">
        <x:v>546</x:v>
      </x:c>
    </x:row>
    <x:row r="94" ht="32" customHeight="1">
      <x:c r="A94" s="8">
        <x:v>3</x:v>
      </x:c>
      <x:c r="B94" s="8" t="s">
        <x:v>547</x:v>
      </x:c>
      <x:c r="C94" s="8" t="s">
        <x:v>498</x:v>
      </x:c>
      <x:c r="D94" s="8" t="s">
        <x:v>25</x:v>
      </x:c>
      <x:c r="E94" s="8" t="s">
        <x:v>365</x:v>
      </x:c>
      <x:c r="F94" s="8" t="s">
        <x:v>366</x:v>
      </x:c>
      <x:c r="G94" s="25">
        <x:v>46209</x:v>
      </x:c>
      <x:c r="H94" s="25">
        <x:v>46213</x:v>
      </x:c>
      <x:c r="I94" s="8" t="s">
        <x:v>2</x:v>
      </x:c>
      <x:c r="J94" s="8" t="s">
        <x:v>2</x:v>
      </x:c>
      <x:c r="K94" s="25">
        <x:v>46261</x:v>
      </x:c>
      <x:c r="L94" s="8" t="s">
        <x:v>367</x:v>
      </x:c>
      <x:c r="M94" s="8"/>
      <x:c r="N94" s="10"/>
      <x:c r="O94" s="8" t="s">
        <x:v>548</x:v>
      </x:c>
    </x:row>
    <x:row r="95" ht="32" customHeight="1">
      <x:c r="A95" s="8">
        <x:v>3</x:v>
      </x:c>
      <x:c r="B95" s="8" t="s">
        <x:v>549</x:v>
      </x:c>
      <x:c r="C95" s="8" t="s">
        <x:v>507</x:v>
      </x:c>
      <x:c r="D95" s="8" t="s">
        <x:v>25</x:v>
      </x:c>
      <x:c r="E95" s="8" t="s">
        <x:v>365</x:v>
      </x:c>
      <x:c r="F95" s="8" t="s">
        <x:v>366</x:v>
      </x:c>
      <x:c r="G95" s="25">
        <x:v>46209</x:v>
      </x:c>
      <x:c r="H95" s="25">
        <x:v>46213</x:v>
      </x:c>
      <x:c r="I95" s="8" t="s">
        <x:v>2</x:v>
      </x:c>
      <x:c r="J95" s="8" t="s">
        <x:v>2</x:v>
      </x:c>
      <x:c r="K95" s="25"/>
      <x:c r="L95" s="8" t="s">
        <x:v>367</x:v>
      </x:c>
      <x:c r="M95" s="8" t="s">
        <x:v>368</x:v>
      </x:c>
      <x:c r="N95" s="10"/>
      <x:c r="O95" s="8" t="s">
        <x:v>550</x:v>
      </x:c>
    </x:row>
    <x:row r="96" ht="32" customHeight="1">
      <x:c r="A96" s="8">
        <x:v>3</x:v>
      </x:c>
      <x:c r="B96" s="8" t="s">
        <x:v>551</x:v>
      </x:c>
      <x:c r="C96" s="8" t="s">
        <x:v>552</x:v>
      </x:c>
      <x:c r="D96" s="8" t="s">
        <x:v>24</x:v>
      </x:c>
      <x:c r="E96" s="8" t="s">
        <x:v>365</x:v>
      </x:c>
      <x:c r="F96" s="8" t="s">
        <x:v>366</x:v>
      </x:c>
      <x:c r="G96" s="25">
        <x:v>46209</x:v>
      </x:c>
      <x:c r="H96" s="25">
        <x:v>46213</x:v>
      </x:c>
      <x:c r="I96" s="8" t="s">
        <x:v>2</x:v>
      </x:c>
      <x:c r="J96" s="8" t="s">
        <x:v>2</x:v>
      </x:c>
      <x:c r="K96" s="25">
        <x:v>46261</x:v>
      </x:c>
      <x:c r="L96" s="8" t="s">
        <x:v>367</x:v>
      </x:c>
      <x:c r="M96" s="8"/>
      <x:c r="N96" s="10"/>
      <x:c r="O96" s="8" t="s">
        <x:v>553</x:v>
      </x:c>
    </x:row>
    <x:row r="97" ht="32" customHeight="1">
      <x:c r="A97" s="8">
        <x:v>3</x:v>
      </x:c>
      <x:c r="B97" s="8" t="s">
        <x:v>554</x:v>
      </x:c>
      <x:c r="C97" s="8" t="s">
        <x:v>552</x:v>
      </x:c>
      <x:c r="D97" s="8" t="s">
        <x:v>24</x:v>
      </x:c>
      <x:c r="E97" s="8" t="s">
        <x:v>365</x:v>
      </x:c>
      <x:c r="F97" s="8" t="s">
        <x:v>366</x:v>
      </x:c>
      <x:c r="G97" s="25">
        <x:v>46209</x:v>
      </x:c>
      <x:c r="H97" s="25">
        <x:v>46213</x:v>
      </x:c>
      <x:c r="I97" s="8" t="s">
        <x:v>2</x:v>
      </x:c>
      <x:c r="J97" s="8" t="s">
        <x:v>2</x:v>
      </x:c>
      <x:c r="K97" s="25">
        <x:v>46261</x:v>
      </x:c>
      <x:c r="L97" s="8" t="s">
        <x:v>367</x:v>
      </x:c>
      <x:c r="M97" s="8"/>
      <x:c r="N97" s="10"/>
      <x:c r="O97" s="8" t="s">
        <x:v>555</x:v>
      </x:c>
    </x:row>
    <x:row r="98" ht="32" customHeight="1">
      <x:c r="A98" s="8">
        <x:v>3</x:v>
      </x:c>
      <x:c r="B98" s="8" t="s">
        <x:v>556</x:v>
      </x:c>
      <x:c r="C98" s="8" t="s">
        <x:v>552</x:v>
      </x:c>
      <x:c r="D98" s="8" t="s">
        <x:v>25</x:v>
      </x:c>
      <x:c r="E98" s="8" t="s">
        <x:v>365</x:v>
      </x:c>
      <x:c r="F98" s="8" t="s">
        <x:v>366</x:v>
      </x:c>
      <x:c r="G98" s="25">
        <x:v>46209</x:v>
      </x:c>
      <x:c r="H98" s="25">
        <x:v>46213</x:v>
      </x:c>
      <x:c r="I98" s="8" t="s">
        <x:v>2</x:v>
      </x:c>
      <x:c r="J98" s="8" t="s">
        <x:v>2</x:v>
      </x:c>
      <x:c r="K98" s="25"/>
      <x:c r="L98" s="8" t="s">
        <x:v>367</x:v>
      </x:c>
      <x:c r="M98" s="8" t="s">
        <x:v>368</x:v>
      </x:c>
      <x:c r="N98" s="10"/>
      <x:c r="O98" s="8" t="s">
        <x:v>557</x:v>
      </x:c>
    </x:row>
    <x:row r="99" ht="32" customHeight="1">
      <x:c r="A99" s="8">
        <x:v>3</x:v>
      </x:c>
      <x:c r="B99" s="8" t="s">
        <x:v>465</x:v>
      </x:c>
      <x:c r="C99" s="8" t="s">
        <x:v>466</x:v>
      </x:c>
      <x:c r="D99" s="8" t="s">
        <x:v>24</x:v>
      </x:c>
      <x:c r="E99" s="8" t="s">
        <x:v>558</x:v>
      </x:c>
      <x:c r="F99" s="8" t="s">
        <x:v>559</x:v>
      </x:c>
      <x:c r="G99" s="25">
        <x:v>46202</x:v>
      </x:c>
      <x:c r="H99" s="25">
        <x:v>46213</x:v>
      </x:c>
      <x:c r="I99" s="8" t="s">
        <x:v>2</x:v>
      </x:c>
      <x:c r="J99" s="8" t="s">
        <x:v>2</x:v>
      </x:c>
      <x:c r="K99" s="25">
        <x:v>46224</x:v>
      </x:c>
      <x:c r="L99" s="8" t="s">
        <x:v>367</x:v>
      </x:c>
      <x:c r="M99" s="8"/>
      <x:c r="N99" s="10"/>
      <x:c r="O99" s="8" t="s">
        <x:v>560</x:v>
      </x:c>
    </x:row>
    <x:row r="100" ht="32" customHeight="1">
      <x:c r="A100" s="8">
        <x:v>3</x:v>
      </x:c>
      <x:c r="B100" s="8" t="s">
        <x:v>473</x:v>
      </x:c>
      <x:c r="C100" s="8" t="s">
        <x:v>474</x:v>
      </x:c>
      <x:c r="D100" s="8" t="s">
        <x:v>24</x:v>
      </x:c>
      <x:c r="E100" s="8" t="s">
        <x:v>558</x:v>
      </x:c>
      <x:c r="F100" s="8" t="s">
        <x:v>559</x:v>
      </x:c>
      <x:c r="G100" s="25">
        <x:v>46202</x:v>
      </x:c>
      <x:c r="H100" s="25">
        <x:v>46213</x:v>
      </x:c>
      <x:c r="I100" s="8" t="s">
        <x:v>2</x:v>
      </x:c>
      <x:c r="J100" s="8" t="s">
        <x:v>2</x:v>
      </x:c>
      <x:c r="K100" s="25">
        <x:v>46224</x:v>
      </x:c>
      <x:c r="L100" s="8" t="s">
        <x:v>367</x:v>
      </x:c>
      <x:c r="M100" s="8"/>
      <x:c r="N100" s="10"/>
      <x:c r="O100" s="8" t="s">
        <x:v>561</x:v>
      </x:c>
    </x:row>
    <x:row r="101" ht="32" customHeight="1">
      <x:c r="A101" s="8">
        <x:v>3</x:v>
      </x:c>
      <x:c r="B101" s="8" t="s">
        <x:v>476</x:v>
      </x:c>
      <x:c r="C101" s="8" t="s">
        <x:v>477</x:v>
      </x:c>
      <x:c r="D101" s="8" t="s">
        <x:v>24</x:v>
      </x:c>
      <x:c r="E101" s="8" t="s">
        <x:v>558</x:v>
      </x:c>
      <x:c r="F101" s="8" t="s">
        <x:v>559</x:v>
      </x:c>
      <x:c r="G101" s="25">
        <x:v>46202</x:v>
      </x:c>
      <x:c r="H101" s="25">
        <x:v>46213</x:v>
      </x:c>
      <x:c r="I101" s="8" t="s">
        <x:v>2</x:v>
      </x:c>
      <x:c r="J101" s="8" t="s">
        <x:v>2</x:v>
      </x:c>
      <x:c r="K101" s="25">
        <x:v>46224</x:v>
      </x:c>
      <x:c r="L101" s="8" t="s">
        <x:v>367</x:v>
      </x:c>
      <x:c r="M101" s="8"/>
      <x:c r="N101" s="10"/>
      <x:c r="O101" s="8" t="s">
        <x:v>562</x:v>
      </x:c>
    </x:row>
    <x:row r="102" ht="32" customHeight="1">
      <x:c r="A102" s="8">
        <x:v>4</x:v>
      </x:c>
      <x:c r="B102" s="8" t="s">
        <x:v>563</x:v>
      </x:c>
      <x:c r="C102" s="8" t="s">
        <x:v>564</x:v>
      </x:c>
      <x:c r="D102" s="8" t="s">
        <x:v>25</x:v>
      </x:c>
      <x:c r="E102" s="8" t="s">
        <x:v>365</x:v>
      </x:c>
      <x:c r="F102" s="8" t="s">
        <x:v>366</x:v>
      </x:c>
      <x:c r="G102" s="25">
        <x:v>46216</x:v>
      </x:c>
      <x:c r="H102" s="25">
        <x:v>46220</x:v>
      </x:c>
      <x:c r="I102" s="8" t="s">
        <x:v>2</x:v>
      </x:c>
      <x:c r="J102" s="8" t="s">
        <x:v>2</x:v>
      </x:c>
      <x:c r="K102" s="25">
        <x:v>46261</x:v>
      </x:c>
      <x:c r="L102" s="8" t="s">
        <x:v>367</x:v>
      </x:c>
      <x:c r="M102" s="8"/>
      <x:c r="N102" s="10"/>
      <x:c r="O102" s="8" t="s">
        <x:v>565</x:v>
      </x:c>
    </x:row>
    <x:row r="103" ht="32" customHeight="1">
      <x:c r="A103" s="8">
        <x:v>4</x:v>
      </x:c>
      <x:c r="B103" s="8" t="s">
        <x:v>566</x:v>
      </x:c>
      <x:c r="C103" s="8" t="s">
        <x:v>567</x:v>
      </x:c>
      <x:c r="D103" s="8" t="s">
        <x:v>25</x:v>
      </x:c>
      <x:c r="E103" s="8" t="s">
        <x:v>365</x:v>
      </x:c>
      <x:c r="F103" s="8" t="s">
        <x:v>366</x:v>
      </x:c>
      <x:c r="G103" s="25">
        <x:v>46216</x:v>
      </x:c>
      <x:c r="H103" s="25">
        <x:v>46220</x:v>
      </x:c>
      <x:c r="I103" s="8" t="s">
        <x:v>2</x:v>
      </x:c>
      <x:c r="J103" s="8" t="s">
        <x:v>2</x:v>
      </x:c>
      <x:c r="K103" s="25">
        <x:v>46261</x:v>
      </x:c>
      <x:c r="L103" s="8" t="s">
        <x:v>367</x:v>
      </x:c>
      <x:c r="M103" s="8"/>
      <x:c r="N103" s="10"/>
      <x:c r="O103" s="8" t="s">
        <x:v>568</x:v>
      </x:c>
    </x:row>
    <x:row r="104" ht="32" customHeight="1">
      <x:c r="A104" s="8">
        <x:v>4</x:v>
      </x:c>
      <x:c r="B104" s="8" t="s">
        <x:v>569</x:v>
      </x:c>
      <x:c r="C104" s="8" t="s">
        <x:v>570</x:v>
      </x:c>
      <x:c r="D104" s="8" t="s">
        <x:v>25</x:v>
      </x:c>
      <x:c r="E104" s="8" t="s">
        <x:v>365</x:v>
      </x:c>
      <x:c r="F104" s="8" t="s">
        <x:v>366</x:v>
      </x:c>
      <x:c r="G104" s="25">
        <x:v>46216</x:v>
      </x:c>
      <x:c r="H104" s="25">
        <x:v>46220</x:v>
      </x:c>
      <x:c r="I104" s="8" t="s">
        <x:v>2</x:v>
      </x:c>
      <x:c r="J104" s="8" t="s">
        <x:v>2</x:v>
      </x:c>
      <x:c r="K104" s="25">
        <x:v>46261</x:v>
      </x:c>
      <x:c r="L104" s="8" t="s">
        <x:v>367</x:v>
      </x:c>
      <x:c r="M104" s="8"/>
      <x:c r="N104" s="10"/>
      <x:c r="O104" s="8" t="s">
        <x:v>571</x:v>
      </x:c>
    </x:row>
    <x:row r="105" ht="32" customHeight="1">
      <x:c r="A105" s="8">
        <x:v>4</x:v>
      </x:c>
      <x:c r="B105" s="8" t="s">
        <x:v>572</x:v>
      </x:c>
      <x:c r="C105" s="8" t="s">
        <x:v>573</x:v>
      </x:c>
      <x:c r="D105" s="8" t="s">
        <x:v>25</x:v>
      </x:c>
      <x:c r="E105" s="8" t="s">
        <x:v>365</x:v>
      </x:c>
      <x:c r="F105" s="8" t="s">
        <x:v>366</x:v>
      </x:c>
      <x:c r="G105" s="25">
        <x:v>46216</x:v>
      </x:c>
      <x:c r="H105" s="25">
        <x:v>46220</x:v>
      </x:c>
      <x:c r="I105" s="8" t="s">
        <x:v>2</x:v>
      </x:c>
      <x:c r="J105" s="8" t="s">
        <x:v>2</x:v>
      </x:c>
      <x:c r="K105" s="25">
        <x:v>46261</x:v>
      </x:c>
      <x:c r="L105" s="8" t="s">
        <x:v>367</x:v>
      </x:c>
      <x:c r="M105" s="8"/>
      <x:c r="N105" s="10"/>
      <x:c r="O105" s="8" t="s">
        <x:v>574</x:v>
      </x:c>
    </x:row>
    <x:row r="106" ht="32" customHeight="1">
      <x:c r="A106" s="8">
        <x:v>4</x:v>
      </x:c>
      <x:c r="B106" s="8" t="s">
        <x:v>575</x:v>
      </x:c>
      <x:c r="C106" s="8" t="s">
        <x:v>576</x:v>
      </x:c>
      <x:c r="D106" s="8" t="s">
        <x:v>25</x:v>
      </x:c>
      <x:c r="E106" s="8" t="s">
        <x:v>365</x:v>
      </x:c>
      <x:c r="F106" s="8" t="s">
        <x:v>366</x:v>
      </x:c>
      <x:c r="G106" s="25">
        <x:v>46216</x:v>
      </x:c>
      <x:c r="H106" s="25">
        <x:v>46220</x:v>
      </x:c>
      <x:c r="I106" s="8" t="s">
        <x:v>2</x:v>
      </x:c>
      <x:c r="J106" s="8" t="s">
        <x:v>2</x:v>
      </x:c>
      <x:c r="K106" s="25">
        <x:v>46261</x:v>
      </x:c>
      <x:c r="L106" s="8" t="s">
        <x:v>367</x:v>
      </x:c>
      <x:c r="M106" s="8"/>
      <x:c r="N106" s="10"/>
      <x:c r="O106" s="8" t="s">
        <x:v>577</x:v>
      </x:c>
    </x:row>
    <x:row r="107" ht="32" customHeight="1">
      <x:c r="A107" s="8">
        <x:v>5</x:v>
      </x:c>
      <x:c r="B107" s="8" t="s">
        <x:v>578</x:v>
      </x:c>
      <x:c r="C107" s="8" t="s">
        <x:v>579</x:v>
      </x:c>
      <x:c r="D107" s="8" t="s">
        <x:v>25</x:v>
      </x:c>
      <x:c r="E107" s="8" t="s">
        <x:v>365</x:v>
      </x:c>
      <x:c r="F107" s="8" t="s">
        <x:v>366</x:v>
      </x:c>
      <x:c r="G107" s="25">
        <x:v>46223</x:v>
      </x:c>
      <x:c r="H107" s="25">
        <x:v>46227</x:v>
      </x:c>
      <x:c r="I107" s="8" t="s">
        <x:v>2</x:v>
      </x:c>
      <x:c r="J107" s="8" t="s">
        <x:v>3</x:v>
      </x:c>
      <x:c r="K107" s="25"/>
      <x:c r="L107" s="8" t="s">
        <x:v>367</x:v>
      </x:c>
      <x:c r="M107" s="8" t="s">
        <x:v>368</x:v>
      </x:c>
      <x:c r="N107" s="10"/>
      <x:c r="O107" s="8" t="s">
        <x:v>580</x:v>
      </x:c>
    </x:row>
    <x:row r="108" ht="32" customHeight="1">
      <x:c r="A108" s="8">
        <x:v>5</x:v>
      </x:c>
      <x:c r="B108" s="8" t="s">
        <x:v>581</x:v>
      </x:c>
      <x:c r="C108" s="8" t="s">
        <x:v>582</x:v>
      </x:c>
      <x:c r="D108" s="8" t="s">
        <x:v>25</x:v>
      </x:c>
      <x:c r="E108" s="8" t="s">
        <x:v>365</x:v>
      </x:c>
      <x:c r="F108" s="8" t="s">
        <x:v>366</x:v>
      </x:c>
      <x:c r="G108" s="25">
        <x:v>46223</x:v>
      </x:c>
      <x:c r="H108" s="25">
        <x:v>46227</x:v>
      </x:c>
      <x:c r="I108" s="8" t="s">
        <x:v>2</x:v>
      </x:c>
      <x:c r="J108" s="8" t="s">
        <x:v>3</x:v>
      </x:c>
      <x:c r="K108" s="25"/>
      <x:c r="L108" s="8" t="s">
        <x:v>367</x:v>
      </x:c>
      <x:c r="M108" s="8" t="s">
        <x:v>368</x:v>
      </x:c>
      <x:c r="N108" s="10"/>
      <x:c r="O108" s="8" t="s">
        <x:v>583</x:v>
      </x:c>
    </x:row>
    <x:row r="109" ht="32" customHeight="1">
      <x:c r="A109" s="8">
        <x:v>5</x:v>
      </x:c>
      <x:c r="B109" s="8" t="s">
        <x:v>584</x:v>
      </x:c>
      <x:c r="C109" s="8" t="s">
        <x:v>585</x:v>
      </x:c>
      <x:c r="D109" s="8" t="s">
        <x:v>25</x:v>
      </x:c>
      <x:c r="E109" s="8" t="s">
        <x:v>365</x:v>
      </x:c>
      <x:c r="F109" s="8" t="s">
        <x:v>366</x:v>
      </x:c>
      <x:c r="G109" s="25">
        <x:v>46223</x:v>
      </x:c>
      <x:c r="H109" s="25">
        <x:v>46227</x:v>
      </x:c>
      <x:c r="I109" s="8" t="s">
        <x:v>2</x:v>
      </x:c>
      <x:c r="J109" s="8" t="s">
        <x:v>3</x:v>
      </x:c>
      <x:c r="K109" s="25"/>
      <x:c r="L109" s="8" t="s">
        <x:v>367</x:v>
      </x:c>
      <x:c r="M109" s="8" t="s">
        <x:v>368</x:v>
      </x:c>
      <x:c r="N109" s="10"/>
      <x:c r="O109" s="8" t="s">
        <x:v>586</x:v>
      </x:c>
    </x:row>
    <x:row r="110" ht="32" customHeight="1">
      <x:c r="A110" s="8">
        <x:v>5</x:v>
      </x:c>
      <x:c r="B110" s="8" t="s">
        <x:v>587</x:v>
      </x:c>
      <x:c r="C110" s="8" t="s">
        <x:v>588</x:v>
      </x:c>
      <x:c r="D110" s="8" t="s">
        <x:v>25</x:v>
      </x:c>
      <x:c r="E110" s="8" t="s">
        <x:v>365</x:v>
      </x:c>
      <x:c r="F110" s="8" t="s">
        <x:v>366</x:v>
      </x:c>
      <x:c r="G110" s="25">
        <x:v>46223</x:v>
      </x:c>
      <x:c r="H110" s="25">
        <x:v>46227</x:v>
      </x:c>
      <x:c r="I110" s="8" t="s">
        <x:v>2</x:v>
      </x:c>
      <x:c r="J110" s="8" t="s">
        <x:v>3</x:v>
      </x:c>
      <x:c r="K110" s="25"/>
      <x:c r="L110" s="8" t="s">
        <x:v>367</x:v>
      </x:c>
      <x:c r="M110" s="8" t="s">
        <x:v>368</x:v>
      </x:c>
      <x:c r="N110" s="10"/>
      <x:c r="O110" s="8" t="s">
        <x:v>589</x:v>
      </x:c>
    </x:row>
    <x:row r="111" ht="32" customHeight="1">
      <x:c r="A111" s="8">
        <x:v>5</x:v>
      </x:c>
      <x:c r="B111" s="8" t="s">
        <x:v>590</x:v>
      </x:c>
      <x:c r="C111" s="8" t="s">
        <x:v>591</x:v>
      </x:c>
      <x:c r="D111" s="8" t="s">
        <x:v>25</x:v>
      </x:c>
      <x:c r="E111" s="8" t="s">
        <x:v>365</x:v>
      </x:c>
      <x:c r="F111" s="8" t="s">
        <x:v>366</x:v>
      </x:c>
      <x:c r="G111" s="25">
        <x:v>46223</x:v>
      </x:c>
      <x:c r="H111" s="25">
        <x:v>46227</x:v>
      </x:c>
      <x:c r="I111" s="8" t="s">
        <x:v>2</x:v>
      </x:c>
      <x:c r="J111" s="8" t="s">
        <x:v>3</x:v>
      </x:c>
      <x:c r="K111" s="25"/>
      <x:c r="L111" s="8" t="s">
        <x:v>367</x:v>
      </x:c>
      <x:c r="M111" s="8" t="s">
        <x:v>368</x:v>
      </x:c>
      <x:c r="N111" s="10"/>
      <x:c r="O111" s="8" t="s">
        <x:v>592</x:v>
      </x:c>
    </x:row>
    <x:row r="112" ht="32" customHeight="1">
      <x:c r="A112" s="8">
        <x:v>5</x:v>
      </x:c>
      <x:c r="B112" s="8" t="s">
        <x:v>593</x:v>
      </x:c>
      <x:c r="C112" s="8" t="s">
        <x:v>594</x:v>
      </x:c>
      <x:c r="D112" s="8" t="s">
        <x:v>25</x:v>
      </x:c>
      <x:c r="E112" s="8" t="s">
        <x:v>365</x:v>
      </x:c>
      <x:c r="F112" s="8" t="s">
        <x:v>366</x:v>
      </x:c>
      <x:c r="G112" s="25">
        <x:v>46223</x:v>
      </x:c>
      <x:c r="H112" s="25">
        <x:v>46227</x:v>
      </x:c>
      <x:c r="I112" s="8" t="s">
        <x:v>4</x:v>
      </x:c>
      <x:c r="J112" s="8" t="s">
        <x:v>4</x:v>
      </x:c>
      <x:c r="K112" s="25"/>
      <x:c r="L112" s="8" t="s">
        <x:v>595</x:v>
      </x:c>
      <x:c r="M112" s="8"/>
      <x:c r="N112" s="10"/>
      <x:c r="O112" s="8" t="s">
        <x:v>596</x:v>
      </x:c>
    </x:row>
    <x:row r="113" ht="32" customHeight="1">
      <x:c r="A113" s="8">
        <x:v>5</x:v>
      </x:c>
      <x:c r="B113" s="8" t="s">
        <x:v>597</x:v>
      </x:c>
      <x:c r="C113" s="8" t="s">
        <x:v>598</x:v>
      </x:c>
      <x:c r="D113" s="8" t="s">
        <x:v>25</x:v>
      </x:c>
      <x:c r="E113" s="8" t="s">
        <x:v>365</x:v>
      </x:c>
      <x:c r="F113" s="8" t="s">
        <x:v>366</x:v>
      </x:c>
      <x:c r="G113" s="25">
        <x:v>46223</x:v>
      </x:c>
      <x:c r="H113" s="25">
        <x:v>46227</x:v>
      </x:c>
      <x:c r="I113" s="8" t="s">
        <x:v>4</x:v>
      </x:c>
      <x:c r="J113" s="8" t="s">
        <x:v>4</x:v>
      </x:c>
      <x:c r="K113" s="25">
        <x:v>46224</x:v>
      </x:c>
      <x:c r="L113" s="8" t="s">
        <x:v>595</x:v>
      </x:c>
      <x:c r="M113" s="8"/>
      <x:c r="N113" s="10"/>
      <x:c r="O113" s="8" t="s">
        <x:v>599</x:v>
      </x:c>
    </x:row>
    <x:row r="114" ht="32" customHeight="1">
      <x:c r="A114" s="8">
        <x:v>5</x:v>
      </x:c>
      <x:c r="B114" s="8" t="s">
        <x:v>600</x:v>
      </x:c>
      <x:c r="C114" s="8" t="s">
        <x:v>601</x:v>
      </x:c>
      <x:c r="D114" s="8" t="s">
        <x:v>25</x:v>
      </x:c>
      <x:c r="E114" s="8" t="s">
        <x:v>365</x:v>
      </x:c>
      <x:c r="F114" s="8" t="s">
        <x:v>366</x:v>
      </x:c>
      <x:c r="G114" s="25">
        <x:v>46223</x:v>
      </x:c>
      <x:c r="H114" s="25">
        <x:v>46227</x:v>
      </x:c>
      <x:c r="I114" s="8" t="s">
        <x:v>4</x:v>
      </x:c>
      <x:c r="J114" s="8" t="s">
        <x:v>4</x:v>
      </x:c>
      <x:c r="K114" s="25">
        <x:v>46224</x:v>
      </x:c>
      <x:c r="L114" s="8" t="s">
        <x:v>595</x:v>
      </x:c>
      <x:c r="M114" s="8"/>
      <x:c r="N114" s="10"/>
      <x:c r="O114" s="8" t="s">
        <x:v>602</x:v>
      </x:c>
    </x:row>
    <x:row r="115" ht="32" customHeight="1">
      <x:c r="A115" s="8">
        <x:v>5</x:v>
      </x:c>
      <x:c r="B115" s="8" t="s">
        <x:v>603</x:v>
      </x:c>
      <x:c r="C115" s="8" t="s">
        <x:v>604</x:v>
      </x:c>
      <x:c r="D115" s="8" t="s">
        <x:v>25</x:v>
      </x:c>
      <x:c r="E115" s="8" t="s">
        <x:v>365</x:v>
      </x:c>
      <x:c r="F115" s="8" t="s">
        <x:v>366</x:v>
      </x:c>
      <x:c r="G115" s="25">
        <x:v>46223</x:v>
      </x:c>
      <x:c r="H115" s="25">
        <x:v>46227</x:v>
      </x:c>
      <x:c r="I115" s="8" t="s">
        <x:v>4</x:v>
      </x:c>
      <x:c r="J115" s="8" t="s">
        <x:v>4</x:v>
      </x:c>
      <x:c r="K115" s="25">
        <x:v>46224</x:v>
      </x:c>
      <x:c r="L115" s="8" t="s">
        <x:v>595</x:v>
      </x:c>
      <x:c r="M115" s="8"/>
      <x:c r="N115" s="10"/>
      <x:c r="O115" s="8" t="s">
        <x:v>605</x:v>
      </x:c>
    </x:row>
    <x:row r="116" ht="32" customHeight="1">
      <x:c r="A116" s="8">
        <x:v>5</x:v>
      </x:c>
      <x:c r="B116" s="8" t="s">
        <x:v>606</x:v>
      </x:c>
      <x:c r="C116" s="8" t="s">
        <x:v>607</x:v>
      </x:c>
      <x:c r="D116" s="8" t="s">
        <x:v>25</x:v>
      </x:c>
      <x:c r="E116" s="8" t="s">
        <x:v>365</x:v>
      </x:c>
      <x:c r="F116" s="8" t="s">
        <x:v>366</x:v>
      </x:c>
      <x:c r="G116" s="25">
        <x:v>46223</x:v>
      </x:c>
      <x:c r="H116" s="25">
        <x:v>46227</x:v>
      </x:c>
      <x:c r="I116" s="8" t="s">
        <x:v>4</x:v>
      </x:c>
      <x:c r="J116" s="8" t="s">
        <x:v>4</x:v>
      </x:c>
      <x:c r="K116" s="25"/>
      <x:c r="L116" s="8" t="s">
        <x:v>595</x:v>
      </x:c>
      <x:c r="M116" s="8"/>
      <x:c r="N116" s="10"/>
      <x:c r="O116" s="8" t="s">
        <x:v>608</x:v>
      </x:c>
    </x:row>
    <x:row r="117" ht="32" customHeight="1">
      <x:c r="A117" s="8">
        <x:v>5</x:v>
      </x:c>
      <x:c r="B117" s="8" t="s">
        <x:v>609</x:v>
      </x:c>
      <x:c r="C117" s="8" t="s">
        <x:v>610</x:v>
      </x:c>
      <x:c r="D117" s="8" t="s">
        <x:v>25</x:v>
      </x:c>
      <x:c r="E117" s="8" t="s">
        <x:v>365</x:v>
      </x:c>
      <x:c r="F117" s="8" t="s">
        <x:v>366</x:v>
      </x:c>
      <x:c r="G117" s="25">
        <x:v>46223</x:v>
      </x:c>
      <x:c r="H117" s="25">
        <x:v>46227</x:v>
      </x:c>
      <x:c r="I117" s="8" t="s">
        <x:v>4</x:v>
      </x:c>
      <x:c r="J117" s="8" t="s">
        <x:v>4</x:v>
      </x:c>
      <x:c r="K117" s="25">
        <x:v>46224</x:v>
      </x:c>
      <x:c r="L117" s="8" t="s">
        <x:v>595</x:v>
      </x:c>
      <x:c r="M117" s="8"/>
      <x:c r="N117" s="10"/>
      <x:c r="O117" s="8" t="s">
        <x:v>611</x:v>
      </x:c>
    </x:row>
    <x:row r="118" ht="32" customHeight="1">
      <x:c r="A118" s="8">
        <x:v>5</x:v>
      </x:c>
      <x:c r="B118" s="8" t="s">
        <x:v>612</x:v>
      </x:c>
      <x:c r="C118" s="8" t="s">
        <x:v>613</x:v>
      </x:c>
      <x:c r="D118" s="8" t="s">
        <x:v>25</x:v>
      </x:c>
      <x:c r="E118" s="8" t="s">
        <x:v>365</x:v>
      </x:c>
      <x:c r="F118" s="8" t="s">
        <x:v>366</x:v>
      </x:c>
      <x:c r="G118" s="25">
        <x:v>46223</x:v>
      </x:c>
      <x:c r="H118" s="25">
        <x:v>46227</x:v>
      </x:c>
      <x:c r="I118" s="8" t="s">
        <x:v>2</x:v>
      </x:c>
      <x:c r="J118" s="8" t="s">
        <x:v>3</x:v>
      </x:c>
      <x:c r="K118" s="25"/>
      <x:c r="L118" s="8" t="s">
        <x:v>367</x:v>
      </x:c>
      <x:c r="M118" s="8" t="s">
        <x:v>368</x:v>
      </x:c>
      <x:c r="N118" s="10"/>
      <x:c r="O118" s="8" t="s">
        <x:v>614</x:v>
      </x:c>
    </x:row>
    <x:row r="119" ht="32" customHeight="1">
      <x:c r="A119" s="8">
        <x:v>5</x:v>
      </x:c>
      <x:c r="B119" s="8" t="s">
        <x:v>615</x:v>
      </x:c>
      <x:c r="C119" s="8" t="s">
        <x:v>616</x:v>
      </x:c>
      <x:c r="D119" s="8" t="s">
        <x:v>25</x:v>
      </x:c>
      <x:c r="E119" s="8" t="s">
        <x:v>365</x:v>
      </x:c>
      <x:c r="F119" s="8" t="s">
        <x:v>366</x:v>
      </x:c>
      <x:c r="G119" s="25">
        <x:v>46223</x:v>
      </x:c>
      <x:c r="H119" s="25">
        <x:v>46227</x:v>
      </x:c>
      <x:c r="I119" s="8" t="s">
        <x:v>2</x:v>
      </x:c>
      <x:c r="J119" s="8" t="s">
        <x:v>3</x:v>
      </x:c>
      <x:c r="K119" s="25"/>
      <x:c r="L119" s="8" t="s">
        <x:v>367</x:v>
      </x:c>
      <x:c r="M119" s="8" t="s">
        <x:v>368</x:v>
      </x:c>
      <x:c r="N119" s="10"/>
      <x:c r="O119" s="8" t="s">
        <x:v>617</x:v>
      </x:c>
    </x:row>
    <x:row r="120" ht="32" customHeight="1">
      <x:c r="A120" s="8">
        <x:v>5</x:v>
      </x:c>
      <x:c r="B120" s="8" t="s">
        <x:v>618</x:v>
      </x:c>
      <x:c r="C120" s="8" t="s">
        <x:v>619</x:v>
      </x:c>
      <x:c r="D120" s="8" t="s">
        <x:v>25</x:v>
      </x:c>
      <x:c r="E120" s="8" t="s">
        <x:v>365</x:v>
      </x:c>
      <x:c r="F120" s="8" t="s">
        <x:v>366</x:v>
      </x:c>
      <x:c r="G120" s="25">
        <x:v>46223</x:v>
      </x:c>
      <x:c r="H120" s="25">
        <x:v>46227</x:v>
      </x:c>
      <x:c r="I120" s="8" t="s">
        <x:v>2</x:v>
      </x:c>
      <x:c r="J120" s="8" t="s">
        <x:v>3</x:v>
      </x:c>
      <x:c r="K120" s="25">
        <x:v>46261</x:v>
      </x:c>
      <x:c r="L120" s="8" t="s">
        <x:v>367</x:v>
      </x:c>
      <x:c r="M120" s="8"/>
      <x:c r="N120" s="10"/>
      <x:c r="O120" s="8" t="s">
        <x:v>620</x:v>
      </x:c>
    </x:row>
    <x:row r="121" ht="32" customHeight="1">
      <x:c r="A121" s="8">
        <x:v>5</x:v>
      </x:c>
      <x:c r="B121" s="8" t="s">
        <x:v>621</x:v>
      </x:c>
      <x:c r="C121" s="8" t="s">
        <x:v>622</x:v>
      </x:c>
      <x:c r="D121" s="8" t="s">
        <x:v>25</x:v>
      </x:c>
      <x:c r="E121" s="8" t="s">
        <x:v>365</x:v>
      </x:c>
      <x:c r="F121" s="8" t="s">
        <x:v>366</x:v>
      </x:c>
      <x:c r="G121" s="25">
        <x:v>46223</x:v>
      </x:c>
      <x:c r="H121" s="25">
        <x:v>46227</x:v>
      </x:c>
      <x:c r="I121" s="8" t="s">
        <x:v>4</x:v>
      </x:c>
      <x:c r="J121" s="8" t="s">
        <x:v>4</x:v>
      </x:c>
      <x:c r="K121" s="25"/>
      <x:c r="L121" s="8" t="s">
        <x:v>595</x:v>
      </x:c>
      <x:c r="M121" s="8"/>
      <x:c r="N121" s="10"/>
      <x:c r="O121" s="8" t="s">
        <x:v>623</x:v>
      </x:c>
    </x:row>
    <x:row r="122" ht="32" customHeight="1">
      <x:c r="A122" s="8">
        <x:v>5</x:v>
      </x:c>
      <x:c r="B122" s="8" t="s">
        <x:v>363</x:v>
      </x:c>
      <x:c r="C122" s="8" t="s">
        <x:v>364</x:v>
      </x:c>
      <x:c r="D122" s="8" t="s">
        <x:v>24</x:v>
      </x:c>
      <x:c r="E122" s="8" t="s">
        <x:v>467</x:v>
      </x:c>
      <x:c r="F122" s="8" t="s">
        <x:v>468</x:v>
      </x:c>
      <x:c r="G122" s="25">
        <x:v>46209</x:v>
      </x:c>
      <x:c r="H122" s="25">
        <x:v>46225</x:v>
      </x:c>
      <x:c r="I122" s="8" t="s">
        <x:v>2</x:v>
      </x:c>
      <x:c r="J122" s="8" t="s">
        <x:v>2</x:v>
      </x:c>
      <x:c r="K122" s="25"/>
      <x:c r="L122" s="8" t="s">
        <x:v>367</x:v>
      </x:c>
      <x:c r="M122" s="8" t="s">
        <x:v>368</x:v>
      </x:c>
      <x:c r="N122" s="10"/>
      <x:c r="O122" s="8" t="s">
        <x:v>624</x:v>
      </x:c>
    </x:row>
    <x:row r="123" ht="32" customHeight="1">
      <x:c r="A123" s="8">
        <x:v>5</x:v>
      </x:c>
      <x:c r="B123" s="8" t="s">
        <x:v>370</x:v>
      </x:c>
      <x:c r="C123" s="8" t="s">
        <x:v>371</x:v>
      </x:c>
      <x:c r="D123" s="8" t="s">
        <x:v>24</x:v>
      </x:c>
      <x:c r="E123" s="8" t="s">
        <x:v>467</x:v>
      </x:c>
      <x:c r="F123" s="8" t="s">
        <x:v>468</x:v>
      </x:c>
      <x:c r="G123" s="25">
        <x:v>46209</x:v>
      </x:c>
      <x:c r="H123" s="25">
        <x:v>46225</x:v>
      </x:c>
      <x:c r="I123" s="8" t="s">
        <x:v>2</x:v>
      </x:c>
      <x:c r="J123" s="8" t="s">
        <x:v>2</x:v>
      </x:c>
      <x:c r="K123" s="25"/>
      <x:c r="L123" s="8" t="s">
        <x:v>367</x:v>
      </x:c>
      <x:c r="M123" s="8" t="s">
        <x:v>368</x:v>
      </x:c>
      <x:c r="N123" s="10"/>
      <x:c r="O123" s="8" t="s">
        <x:v>625</x:v>
      </x:c>
    </x:row>
    <x:row r="124" ht="32" customHeight="1">
      <x:c r="A124" s="8">
        <x:v>5</x:v>
      </x:c>
      <x:c r="B124" s="8" t="s">
        <x:v>373</x:v>
      </x:c>
      <x:c r="C124" s="8" t="s">
        <x:v>374</x:v>
      </x:c>
      <x:c r="D124" s="8" t="s">
        <x:v>24</x:v>
      </x:c>
      <x:c r="E124" s="8" t="s">
        <x:v>467</x:v>
      </x:c>
      <x:c r="F124" s="8" t="s">
        <x:v>468</x:v>
      </x:c>
      <x:c r="G124" s="25">
        <x:v>46209</x:v>
      </x:c>
      <x:c r="H124" s="25">
        <x:v>46225</x:v>
      </x:c>
      <x:c r="I124" s="8" t="s">
        <x:v>2</x:v>
      </x:c>
      <x:c r="J124" s="8" t="s">
        <x:v>2</x:v>
      </x:c>
      <x:c r="K124" s="25"/>
      <x:c r="L124" s="8" t="s">
        <x:v>367</x:v>
      </x:c>
      <x:c r="M124" s="8" t="s">
        <x:v>368</x:v>
      </x:c>
      <x:c r="N124" s="10"/>
      <x:c r="O124" s="8" t="s">
        <x:v>626</x:v>
      </x:c>
    </x:row>
    <x:row r="125" ht="32" customHeight="1">
      <x:c r="A125" s="8">
        <x:v>5</x:v>
      </x:c>
      <x:c r="B125" s="8" t="s">
        <x:v>376</x:v>
      </x:c>
      <x:c r="C125" s="8" t="s">
        <x:v>377</x:v>
      </x:c>
      <x:c r="D125" s="8" t="s">
        <x:v>24</x:v>
      </x:c>
      <x:c r="E125" s="8" t="s">
        <x:v>467</x:v>
      </x:c>
      <x:c r="F125" s="8" t="s">
        <x:v>468</x:v>
      </x:c>
      <x:c r="G125" s="25">
        <x:v>46209</x:v>
      </x:c>
      <x:c r="H125" s="25">
        <x:v>46225</x:v>
      </x:c>
      <x:c r="I125" s="8" t="s">
        <x:v>2</x:v>
      </x:c>
      <x:c r="J125" s="8" t="s">
        <x:v>2</x:v>
      </x:c>
      <x:c r="K125" s="25"/>
      <x:c r="L125" s="8" t="s">
        <x:v>367</x:v>
      </x:c>
      <x:c r="M125" s="8" t="s">
        <x:v>368</x:v>
      </x:c>
      <x:c r="N125" s="10"/>
      <x:c r="O125" s="8" t="s">
        <x:v>627</x:v>
      </x:c>
    </x:row>
    <x:row r="126" ht="32" customHeight="1">
      <x:c r="A126" s="8">
        <x:v>5</x:v>
      </x:c>
      <x:c r="B126" s="8" t="s">
        <x:v>379</x:v>
      </x:c>
      <x:c r="C126" s="8" t="s">
        <x:v>380</x:v>
      </x:c>
      <x:c r="D126" s="8" t="s">
        <x:v>24</x:v>
      </x:c>
      <x:c r="E126" s="8" t="s">
        <x:v>467</x:v>
      </x:c>
      <x:c r="F126" s="8" t="s">
        <x:v>468</x:v>
      </x:c>
      <x:c r="G126" s="25">
        <x:v>46209</x:v>
      </x:c>
      <x:c r="H126" s="25">
        <x:v>46227</x:v>
      </x:c>
      <x:c r="I126" s="8" t="s">
        <x:v>2</x:v>
      </x:c>
      <x:c r="J126" s="8" t="s">
        <x:v>2</x:v>
      </x:c>
      <x:c r="K126" s="25">
        <x:v>46224</x:v>
      </x:c>
      <x:c r="L126" s="8" t="s">
        <x:v>367</x:v>
      </x:c>
      <x:c r="M126" s="8"/>
      <x:c r="N126" s="10"/>
      <x:c r="O126" s="8" t="s">
        <x:v>628</x:v>
      </x:c>
    </x:row>
    <x:row r="127" ht="32" customHeight="1">
      <x:c r="A127" s="8">
        <x:v>5</x:v>
      </x:c>
      <x:c r="B127" s="8" t="s">
        <x:v>382</x:v>
      </x:c>
      <x:c r="C127" s="8" t="s">
        <x:v>383</x:v>
      </x:c>
      <x:c r="D127" s="8" t="s">
        <x:v>24</x:v>
      </x:c>
      <x:c r="E127" s="8" t="s">
        <x:v>467</x:v>
      </x:c>
      <x:c r="F127" s="8" t="s">
        <x:v>468</x:v>
      </x:c>
      <x:c r="G127" s="25">
        <x:v>46209</x:v>
      </x:c>
      <x:c r="H127" s="25">
        <x:v>46227</x:v>
      </x:c>
      <x:c r="I127" s="8" t="s">
        <x:v>2</x:v>
      </x:c>
      <x:c r="J127" s="8" t="s">
        <x:v>2</x:v>
      </x:c>
      <x:c r="K127" s="25">
        <x:v>46224</x:v>
      </x:c>
      <x:c r="L127" s="8" t="s">
        <x:v>367</x:v>
      </x:c>
      <x:c r="M127" s="8"/>
      <x:c r="N127" s="10"/>
      <x:c r="O127" s="8" t="s">
        <x:v>629</x:v>
      </x:c>
    </x:row>
    <x:row r="128" ht="32" customHeight="1">
      <x:c r="A128" s="8">
        <x:v>5</x:v>
      </x:c>
      <x:c r="B128" s="8" t="s">
        <x:v>385</x:v>
      </x:c>
      <x:c r="C128" s="8" t="s">
        <x:v>386</x:v>
      </x:c>
      <x:c r="D128" s="8" t="s">
        <x:v>24</x:v>
      </x:c>
      <x:c r="E128" s="8" t="s">
        <x:v>467</x:v>
      </x:c>
      <x:c r="F128" s="8" t="s">
        <x:v>468</x:v>
      </x:c>
      <x:c r="G128" s="25">
        <x:v>46209</x:v>
      </x:c>
      <x:c r="H128" s="25">
        <x:v>46227</x:v>
      </x:c>
      <x:c r="I128" s="8" t="s">
        <x:v>2</x:v>
      </x:c>
      <x:c r="J128" s="8" t="s">
        <x:v>2</x:v>
      </x:c>
      <x:c r="K128" s="25">
        <x:v>46224</x:v>
      </x:c>
      <x:c r="L128" s="8" t="s">
        <x:v>367</x:v>
      </x:c>
      <x:c r="M128" s="8"/>
      <x:c r="N128" s="10"/>
      <x:c r="O128" s="8" t="s">
        <x:v>630</x:v>
      </x:c>
    </x:row>
    <x:row r="129" ht="32" customHeight="1">
      <x:c r="A129" s="8">
        <x:v>5</x:v>
      </x:c>
      <x:c r="B129" s="8" t="s">
        <x:v>388</x:v>
      </x:c>
      <x:c r="C129" s="8" t="s">
        <x:v>389</x:v>
      </x:c>
      <x:c r="D129" s="8" t="s">
        <x:v>24</x:v>
      </x:c>
      <x:c r="E129" s="8" t="s">
        <x:v>467</x:v>
      </x:c>
      <x:c r="F129" s="8" t="s">
        <x:v>468</x:v>
      </x:c>
      <x:c r="G129" s="25">
        <x:v>46209</x:v>
      </x:c>
      <x:c r="H129" s="25">
        <x:v>46227</x:v>
      </x:c>
      <x:c r="I129" s="8" t="s">
        <x:v>2</x:v>
      </x:c>
      <x:c r="J129" s="8" t="s">
        <x:v>2</x:v>
      </x:c>
      <x:c r="K129" s="25">
        <x:v>46224</x:v>
      </x:c>
      <x:c r="L129" s="8" t="s">
        <x:v>367</x:v>
      </x:c>
      <x:c r="M129" s="8"/>
      <x:c r="N129" s="10"/>
      <x:c r="O129" s="8" t="s">
        <x:v>631</x:v>
      </x:c>
    </x:row>
    <x:row r="130" ht="32" customHeight="1">
      <x:c r="A130" s="8">
        <x:v>5</x:v>
      </x:c>
      <x:c r="B130" s="8" t="s">
        <x:v>391</x:v>
      </x:c>
      <x:c r="C130" s="8" t="s">
        <x:v>392</x:v>
      </x:c>
      <x:c r="D130" s="8" t="s">
        <x:v>24</x:v>
      </x:c>
      <x:c r="E130" s="8" t="s">
        <x:v>467</x:v>
      </x:c>
      <x:c r="F130" s="8" t="s">
        <x:v>468</x:v>
      </x:c>
      <x:c r="G130" s="25">
        <x:v>46209</x:v>
      </x:c>
      <x:c r="H130" s="25">
        <x:v>46227</x:v>
      </x:c>
      <x:c r="I130" s="8" t="s">
        <x:v>2</x:v>
      </x:c>
      <x:c r="J130" s="8" t="s">
        <x:v>2</x:v>
      </x:c>
      <x:c r="K130" s="25">
        <x:v>46224</x:v>
      </x:c>
      <x:c r="L130" s="8" t="s">
        <x:v>367</x:v>
      </x:c>
      <x:c r="M130" s="8"/>
      <x:c r="N130" s="10"/>
      <x:c r="O130" s="8" t="s">
        <x:v>632</x:v>
      </x:c>
    </x:row>
    <x:row r="131" ht="32" customHeight="1">
      <x:c r="A131" s="8">
        <x:v>5</x:v>
      </x:c>
      <x:c r="B131" s="8" t="s">
        <x:v>394</x:v>
      </x:c>
      <x:c r="C131" s="8" t="s">
        <x:v>395</x:v>
      </x:c>
      <x:c r="D131" s="8" t="s">
        <x:v>24</x:v>
      </x:c>
      <x:c r="E131" s="8" t="s">
        <x:v>467</x:v>
      </x:c>
      <x:c r="F131" s="8" t="s">
        <x:v>468</x:v>
      </x:c>
      <x:c r="G131" s="25">
        <x:v>46209</x:v>
      </x:c>
      <x:c r="H131" s="25">
        <x:v>46225</x:v>
      </x:c>
      <x:c r="I131" s="8" t="s">
        <x:v>2</x:v>
      </x:c>
      <x:c r="J131" s="8" t="s">
        <x:v>2</x:v>
      </x:c>
      <x:c r="K131" s="25">
        <x:v>46224</x:v>
      </x:c>
      <x:c r="L131" s="8" t="s">
        <x:v>367</x:v>
      </x:c>
      <x:c r="M131" s="8"/>
      <x:c r="N131" s="10"/>
      <x:c r="O131" s="8" t="s">
        <x:v>633</x:v>
      </x:c>
    </x:row>
    <x:row r="132" ht="32" customHeight="1">
      <x:c r="A132" s="8">
        <x:v>5</x:v>
      </x:c>
      <x:c r="B132" s="8" t="s">
        <x:v>397</x:v>
      </x:c>
      <x:c r="C132" s="8" t="s">
        <x:v>398</x:v>
      </x:c>
      <x:c r="D132" s="8" t="s">
        <x:v>24</x:v>
      </x:c>
      <x:c r="E132" s="8" t="s">
        <x:v>467</x:v>
      </x:c>
      <x:c r="F132" s="8" t="s">
        <x:v>468</x:v>
      </x:c>
      <x:c r="G132" s="25">
        <x:v>46209</x:v>
      </x:c>
      <x:c r="H132" s="25">
        <x:v>46225</x:v>
      </x:c>
      <x:c r="I132" s="8" t="s">
        <x:v>2</x:v>
      </x:c>
      <x:c r="J132" s="8" t="s">
        <x:v>2</x:v>
      </x:c>
      <x:c r="K132" s="25">
        <x:v>46224</x:v>
      </x:c>
      <x:c r="L132" s="8" t="s">
        <x:v>367</x:v>
      </x:c>
      <x:c r="M132" s="8"/>
      <x:c r="N132" s="10"/>
      <x:c r="O132" s="8" t="s">
        <x:v>634</x:v>
      </x:c>
    </x:row>
    <x:row r="133" ht="32" customHeight="1">
      <x:c r="A133" s="8">
        <x:v>5</x:v>
      </x:c>
      <x:c r="B133" s="8" t="s">
        <x:v>409</x:v>
      </x:c>
      <x:c r="C133" s="8" t="s">
        <x:v>410</x:v>
      </x:c>
      <x:c r="D133" s="8" t="s">
        <x:v>24</x:v>
      </x:c>
      <x:c r="E133" s="8" t="s">
        <x:v>467</x:v>
      </x:c>
      <x:c r="F133" s="8" t="s">
        <x:v>468</x:v>
      </x:c>
      <x:c r="G133" s="25">
        <x:v>46209</x:v>
      </x:c>
      <x:c r="H133" s="25">
        <x:v>46227</x:v>
      </x:c>
      <x:c r="I133" s="8" t="s">
        <x:v>2</x:v>
      </x:c>
      <x:c r="J133" s="8" t="s">
        <x:v>2</x:v>
      </x:c>
      <x:c r="K133" s="25">
        <x:v>46261</x:v>
      </x:c>
      <x:c r="L133" s="8" t="s">
        <x:v>367</x:v>
      </x:c>
      <x:c r="M133" s="8"/>
      <x:c r="N133" s="10"/>
      <x:c r="O133" s="8" t="s">
        <x:v>635</x:v>
      </x:c>
    </x:row>
    <x:row r="134" ht="32" customHeight="1">
      <x:c r="A134" s="8">
        <x:v>5</x:v>
      </x:c>
      <x:c r="B134" s="8" t="s">
        <x:v>412</x:v>
      </x:c>
      <x:c r="C134" s="8" t="s">
        <x:v>413</x:v>
      </x:c>
      <x:c r="D134" s="8" t="s">
        <x:v>24</x:v>
      </x:c>
      <x:c r="E134" s="8" t="s">
        <x:v>467</x:v>
      </x:c>
      <x:c r="F134" s="8" t="s">
        <x:v>468</x:v>
      </x:c>
      <x:c r="G134" s="25">
        <x:v>46209</x:v>
      </x:c>
      <x:c r="H134" s="25">
        <x:v>46227</x:v>
      </x:c>
      <x:c r="I134" s="8" t="s">
        <x:v>2</x:v>
      </x:c>
      <x:c r="J134" s="8" t="s">
        <x:v>2</x:v>
      </x:c>
      <x:c r="K134" s="25">
        <x:v>46261</x:v>
      </x:c>
      <x:c r="L134" s="8" t="s">
        <x:v>367</x:v>
      </x:c>
      <x:c r="M134" s="8"/>
      <x:c r="N134" s="10"/>
      <x:c r="O134" s="8" t="s">
        <x:v>636</x:v>
      </x:c>
    </x:row>
    <x:row r="135" ht="32" customHeight="1">
      <x:c r="A135" s="8">
        <x:v>5</x:v>
      </x:c>
      <x:c r="B135" s="8" t="s">
        <x:v>415</x:v>
      </x:c>
      <x:c r="C135" s="8" t="s">
        <x:v>416</x:v>
      </x:c>
      <x:c r="D135" s="8" t="s">
        <x:v>24</x:v>
      </x:c>
      <x:c r="E135" s="8" t="s">
        <x:v>467</x:v>
      </x:c>
      <x:c r="F135" s="8" t="s">
        <x:v>468</x:v>
      </x:c>
      <x:c r="G135" s="25">
        <x:v>46209</x:v>
      </x:c>
      <x:c r="H135" s="25">
        <x:v>46227</x:v>
      </x:c>
      <x:c r="I135" s="8" t="s">
        <x:v>2</x:v>
      </x:c>
      <x:c r="J135" s="8" t="s">
        <x:v>2</x:v>
      </x:c>
      <x:c r="K135" s="25">
        <x:v>46261</x:v>
      </x:c>
      <x:c r="L135" s="8" t="s">
        <x:v>367</x:v>
      </x:c>
      <x:c r="M135" s="8"/>
      <x:c r="N135" s="10"/>
      <x:c r="O135" s="8" t="s">
        <x:v>637</x:v>
      </x:c>
    </x:row>
    <x:row r="136" ht="32" customHeight="1">
      <x:c r="A136" s="8">
        <x:v>5</x:v>
      </x:c>
      <x:c r="B136" s="8" t="s">
        <x:v>418</x:v>
      </x:c>
      <x:c r="C136" s="8" t="s">
        <x:v>419</x:v>
      </x:c>
      <x:c r="D136" s="8" t="s">
        <x:v>24</x:v>
      </x:c>
      <x:c r="E136" s="8" t="s">
        <x:v>467</x:v>
      </x:c>
      <x:c r="F136" s="8" t="s">
        <x:v>468</x:v>
      </x:c>
      <x:c r="G136" s="25">
        <x:v>46209</x:v>
      </x:c>
      <x:c r="H136" s="25">
        <x:v>46227</x:v>
      </x:c>
      <x:c r="I136" s="8" t="s">
        <x:v>2</x:v>
      </x:c>
      <x:c r="J136" s="8" t="s">
        <x:v>2</x:v>
      </x:c>
      <x:c r="K136" s="25">
        <x:v>46261</x:v>
      </x:c>
      <x:c r="L136" s="8" t="s">
        <x:v>367</x:v>
      </x:c>
      <x:c r="M136" s="8"/>
      <x:c r="N136" s="10"/>
      <x:c r="O136" s="8" t="s">
        <x:v>638</x:v>
      </x:c>
    </x:row>
    <x:row r="137" ht="32" customHeight="1">
      <x:c r="A137" s="8">
        <x:v>5</x:v>
      </x:c>
      <x:c r="B137" s="8" t="s">
        <x:v>421</x:v>
      </x:c>
      <x:c r="C137" s="8" t="s">
        <x:v>419</x:v>
      </x:c>
      <x:c r="D137" s="8" t="s">
        <x:v>24</x:v>
      </x:c>
      <x:c r="E137" s="8" t="s">
        <x:v>467</x:v>
      </x:c>
      <x:c r="F137" s="8" t="s">
        <x:v>468</x:v>
      </x:c>
      <x:c r="G137" s="25">
        <x:v>46209</x:v>
      </x:c>
      <x:c r="H137" s="25">
        <x:v>46227</x:v>
      </x:c>
      <x:c r="I137" s="8" t="s">
        <x:v>2</x:v>
      </x:c>
      <x:c r="J137" s="8" t="s">
        <x:v>2</x:v>
      </x:c>
      <x:c r="K137" s="25">
        <x:v>46261</x:v>
      </x:c>
      <x:c r="L137" s="8" t="s">
        <x:v>367</x:v>
      </x:c>
      <x:c r="M137" s="8"/>
      <x:c r="N137" s="10"/>
      <x:c r="O137" s="8" t="s">
        <x:v>639</x:v>
      </x:c>
    </x:row>
    <x:row r="138" ht="32" customHeight="1">
      <x:c r="A138" s="8">
        <x:v>5</x:v>
      </x:c>
      <x:c r="B138" s="8" t="s">
        <x:v>423</x:v>
      </x:c>
      <x:c r="C138" s="8" t="s">
        <x:v>424</x:v>
      </x:c>
      <x:c r="D138" s="8" t="s">
        <x:v>24</x:v>
      </x:c>
      <x:c r="E138" s="8" t="s">
        <x:v>467</x:v>
      </x:c>
      <x:c r="F138" s="8" t="s">
        <x:v>468</x:v>
      </x:c>
      <x:c r="G138" s="25">
        <x:v>46209</x:v>
      </x:c>
      <x:c r="H138" s="25">
        <x:v>46227</x:v>
      </x:c>
      <x:c r="I138" s="8" t="s">
        <x:v>2</x:v>
      </x:c>
      <x:c r="J138" s="8" t="s">
        <x:v>2</x:v>
      </x:c>
      <x:c r="K138" s="25">
        <x:v>46261</x:v>
      </x:c>
      <x:c r="L138" s="8" t="s">
        <x:v>367</x:v>
      </x:c>
      <x:c r="M138" s="8"/>
      <x:c r="N138" s="10"/>
      <x:c r="O138" s="8" t="s">
        <x:v>640</x:v>
      </x:c>
    </x:row>
    <x:row r="139" ht="32" customHeight="1">
      <x:c r="A139" s="8">
        <x:v>5</x:v>
      </x:c>
      <x:c r="B139" s="8" t="s">
        <x:v>426</x:v>
      </x:c>
      <x:c r="C139" s="8" t="s">
        <x:v>424</x:v>
      </x:c>
      <x:c r="D139" s="8" t="s">
        <x:v>24</x:v>
      </x:c>
      <x:c r="E139" s="8" t="s">
        <x:v>467</x:v>
      </x:c>
      <x:c r="F139" s="8" t="s">
        <x:v>468</x:v>
      </x:c>
      <x:c r="G139" s="25">
        <x:v>46209</x:v>
      </x:c>
      <x:c r="H139" s="25">
        <x:v>46227</x:v>
      </x:c>
      <x:c r="I139" s="8" t="s">
        <x:v>2</x:v>
      </x:c>
      <x:c r="J139" s="8" t="s">
        <x:v>2</x:v>
      </x:c>
      <x:c r="K139" s="25">
        <x:v>46261</x:v>
      </x:c>
      <x:c r="L139" s="8" t="s">
        <x:v>367</x:v>
      </x:c>
      <x:c r="M139" s="8"/>
      <x:c r="N139" s="10"/>
      <x:c r="O139" s="8" t="s">
        <x:v>641</x:v>
      </x:c>
    </x:row>
    <x:row r="140" ht="32" customHeight="1">
      <x:c r="A140" s="8">
        <x:v>5</x:v>
      </x:c>
      <x:c r="B140" s="8" t="s">
        <x:v>428</x:v>
      </x:c>
      <x:c r="C140" s="8" t="s">
        <x:v>424</x:v>
      </x:c>
      <x:c r="D140" s="8" t="s">
        <x:v>24</x:v>
      </x:c>
      <x:c r="E140" s="8" t="s">
        <x:v>467</x:v>
      </x:c>
      <x:c r="F140" s="8" t="s">
        <x:v>468</x:v>
      </x:c>
      <x:c r="G140" s="25">
        <x:v>46209</x:v>
      </x:c>
      <x:c r="H140" s="25">
        <x:v>46227</x:v>
      </x:c>
      <x:c r="I140" s="8" t="s">
        <x:v>2</x:v>
      </x:c>
      <x:c r="J140" s="8" t="s">
        <x:v>2</x:v>
      </x:c>
      <x:c r="K140" s="25">
        <x:v>46261</x:v>
      </x:c>
      <x:c r="L140" s="8" t="s">
        <x:v>367</x:v>
      </x:c>
      <x:c r="M140" s="8"/>
      <x:c r="N140" s="10"/>
      <x:c r="O140" s="8" t="s">
        <x:v>642</x:v>
      </x:c>
    </x:row>
    <x:row r="141" ht="32" customHeight="1">
      <x:c r="A141" s="8">
        <x:v>5</x:v>
      </x:c>
      <x:c r="B141" s="8" t="s">
        <x:v>430</x:v>
      </x:c>
      <x:c r="C141" s="8" t="s">
        <x:v>424</x:v>
      </x:c>
      <x:c r="D141" s="8" t="s">
        <x:v>24</x:v>
      </x:c>
      <x:c r="E141" s="8" t="s">
        <x:v>467</x:v>
      </x:c>
      <x:c r="F141" s="8" t="s">
        <x:v>468</x:v>
      </x:c>
      <x:c r="G141" s="25">
        <x:v>46209</x:v>
      </x:c>
      <x:c r="H141" s="25">
        <x:v>46227</x:v>
      </x:c>
      <x:c r="I141" s="8" t="s">
        <x:v>2</x:v>
      </x:c>
      <x:c r="J141" s="8" t="s">
        <x:v>2</x:v>
      </x:c>
      <x:c r="K141" s="25">
        <x:v>46261</x:v>
      </x:c>
      <x:c r="L141" s="8" t="s">
        <x:v>367</x:v>
      </x:c>
      <x:c r="M141" s="8"/>
      <x:c r="N141" s="10"/>
      <x:c r="O141" s="8" t="s">
        <x:v>643</x:v>
      </x:c>
    </x:row>
    <x:row r="142" ht="32" customHeight="1">
      <x:c r="A142" s="8">
        <x:v>5</x:v>
      </x:c>
      <x:c r="B142" s="8" t="s">
        <x:v>432</x:v>
      </x:c>
      <x:c r="C142" s="8" t="s">
        <x:v>433</x:v>
      </x:c>
      <x:c r="D142" s="8" t="s">
        <x:v>24</x:v>
      </x:c>
      <x:c r="E142" s="8" t="s">
        <x:v>467</x:v>
      </x:c>
      <x:c r="F142" s="8" t="s">
        <x:v>468</x:v>
      </x:c>
      <x:c r="G142" s="25">
        <x:v>46209</x:v>
      </x:c>
      <x:c r="H142" s="25">
        <x:v>46225</x:v>
      </x:c>
      <x:c r="I142" s="8" t="s">
        <x:v>2</x:v>
      </x:c>
      <x:c r="J142" s="8" t="s">
        <x:v>2</x:v>
      </x:c>
      <x:c r="K142" s="25"/>
      <x:c r="L142" s="8" t="s">
        <x:v>367</x:v>
      </x:c>
      <x:c r="M142" s="8" t="s">
        <x:v>368</x:v>
      </x:c>
      <x:c r="N142" s="10"/>
      <x:c r="O142" s="8" t="s">
        <x:v>644</x:v>
      </x:c>
    </x:row>
    <x:row r="143" ht="32" customHeight="1">
      <x:c r="A143" s="8">
        <x:v>5</x:v>
      </x:c>
      <x:c r="B143" s="8" t="s">
        <x:v>435</x:v>
      </x:c>
      <x:c r="C143" s="8" t="s">
        <x:v>436</x:v>
      </x:c>
      <x:c r="D143" s="8" t="s">
        <x:v>24</x:v>
      </x:c>
      <x:c r="E143" s="8" t="s">
        <x:v>467</x:v>
      </x:c>
      <x:c r="F143" s="8" t="s">
        <x:v>468</x:v>
      </x:c>
      <x:c r="G143" s="25">
        <x:v>46227</x:v>
      </x:c>
      <x:c r="H143" s="25">
        <x:v>46227</x:v>
      </x:c>
      <x:c r="I143" s="8" t="s">
        <x:v>2</x:v>
      </x:c>
      <x:c r="J143" s="8" t="s">
        <x:v>2</x:v>
      </x:c>
      <x:c r="K143" s="25">
        <x:v>46224</x:v>
      </x:c>
      <x:c r="L143" s="8" t="s">
        <x:v>367</x:v>
      </x:c>
      <x:c r="M143" s="8"/>
      <x:c r="N143" s="10"/>
      <x:c r="O143" s="8" t="s">
        <x:v>645</x:v>
      </x:c>
    </x:row>
    <x:row r="144" ht="32" customHeight="1">
      <x:c r="A144" s="8">
        <x:v>5</x:v>
      </x:c>
      <x:c r="B144" s="8" t="s">
        <x:v>438</x:v>
      </x:c>
      <x:c r="C144" s="8" t="s">
        <x:v>439</x:v>
      </x:c>
      <x:c r="D144" s="8" t="s">
        <x:v>24</x:v>
      </x:c>
      <x:c r="E144" s="8" t="s">
        <x:v>467</x:v>
      </x:c>
      <x:c r="F144" s="8" t="s">
        <x:v>468</x:v>
      </x:c>
      <x:c r="G144" s="25">
        <x:v>46227</x:v>
      </x:c>
      <x:c r="H144" s="25">
        <x:v>46227</x:v>
      </x:c>
      <x:c r="I144" s="8" t="s">
        <x:v>2</x:v>
      </x:c>
      <x:c r="J144" s="8" t="s">
        <x:v>2</x:v>
      </x:c>
      <x:c r="K144" s="25">
        <x:v>46224</x:v>
      </x:c>
      <x:c r="L144" s="8" t="s">
        <x:v>367</x:v>
      </x:c>
      <x:c r="M144" s="8"/>
      <x:c r="N144" s="10"/>
      <x:c r="O144" s="8" t="s">
        <x:v>646</x:v>
      </x:c>
    </x:row>
    <x:row r="145" ht="32" customHeight="1">
      <x:c r="A145" s="8">
        <x:v>5</x:v>
      </x:c>
      <x:c r="B145" s="8" t="s">
        <x:v>441</x:v>
      </x:c>
      <x:c r="C145" s="8" t="s">
        <x:v>442</x:v>
      </x:c>
      <x:c r="D145" s="8" t="s">
        <x:v>24</x:v>
      </x:c>
      <x:c r="E145" s="8" t="s">
        <x:v>467</x:v>
      </x:c>
      <x:c r="F145" s="8" t="s">
        <x:v>468</x:v>
      </x:c>
      <x:c r="G145" s="25">
        <x:v>46227</x:v>
      </x:c>
      <x:c r="H145" s="25">
        <x:v>46227</x:v>
      </x:c>
      <x:c r="I145" s="8" t="s">
        <x:v>2</x:v>
      </x:c>
      <x:c r="J145" s="8" t="s">
        <x:v>2</x:v>
      </x:c>
      <x:c r="K145" s="25">
        <x:v>46224</x:v>
      </x:c>
      <x:c r="L145" s="8" t="s">
        <x:v>367</x:v>
      </x:c>
      <x:c r="M145" s="8"/>
      <x:c r="N145" s="10"/>
      <x:c r="O145" s="8" t="s">
        <x:v>647</x:v>
      </x:c>
    </x:row>
    <x:row r="146" ht="32" customHeight="1">
      <x:c r="A146" s="8">
        <x:v>5</x:v>
      </x:c>
      <x:c r="B146" s="8" t="s">
        <x:v>444</x:v>
      </x:c>
      <x:c r="C146" s="8" t="s">
        <x:v>445</x:v>
      </x:c>
      <x:c r="D146" s="8" t="s">
        <x:v>24</x:v>
      </x:c>
      <x:c r="E146" s="8" t="s">
        <x:v>467</x:v>
      </x:c>
      <x:c r="F146" s="8" t="s">
        <x:v>468</x:v>
      </x:c>
      <x:c r="G146" s="25">
        <x:v>46227</x:v>
      </x:c>
      <x:c r="H146" s="25">
        <x:v>46227</x:v>
      </x:c>
      <x:c r="I146" s="8" t="s">
        <x:v>2</x:v>
      </x:c>
      <x:c r="J146" s="8" t="s">
        <x:v>2</x:v>
      </x:c>
      <x:c r="K146" s="25">
        <x:v>46224</x:v>
      </x:c>
      <x:c r="L146" s="8" t="s">
        <x:v>367</x:v>
      </x:c>
      <x:c r="M146" s="8"/>
      <x:c r="N146" s="10"/>
      <x:c r="O146" s="8" t="s">
        <x:v>648</x:v>
      </x:c>
    </x:row>
    <x:row r="147" ht="32" customHeight="1">
      <x:c r="A147" s="8">
        <x:v>5</x:v>
      </x:c>
      <x:c r="B147" s="8" t="s">
        <x:v>447</x:v>
      </x:c>
      <x:c r="C147" s="8" t="s">
        <x:v>448</x:v>
      </x:c>
      <x:c r="D147" s="8" t="s">
        <x:v>24</x:v>
      </x:c>
      <x:c r="E147" s="8" t="s">
        <x:v>467</x:v>
      </x:c>
      <x:c r="F147" s="8" t="s">
        <x:v>468</x:v>
      </x:c>
      <x:c r="G147" s="25">
        <x:v>46227</x:v>
      </x:c>
      <x:c r="H147" s="25">
        <x:v>46227</x:v>
      </x:c>
      <x:c r="I147" s="8" t="s">
        <x:v>2</x:v>
      </x:c>
      <x:c r="J147" s="8" t="s">
        <x:v>2</x:v>
      </x:c>
      <x:c r="K147" s="25">
        <x:v>46224</x:v>
      </x:c>
      <x:c r="L147" s="8" t="s">
        <x:v>367</x:v>
      </x:c>
      <x:c r="M147" s="8"/>
      <x:c r="N147" s="10"/>
      <x:c r="O147" s="8" t="s">
        <x:v>649</x:v>
      </x:c>
    </x:row>
    <x:row r="148" ht="32" customHeight="1">
      <x:c r="A148" s="8">
        <x:v>5</x:v>
      </x:c>
      <x:c r="B148" s="8" t="s">
        <x:v>453</x:v>
      </x:c>
      <x:c r="C148" s="8" t="s">
        <x:v>454</x:v>
      </x:c>
      <x:c r="D148" s="8" t="s">
        <x:v>24</x:v>
      </x:c>
      <x:c r="E148" s="8" t="s">
        <x:v>467</x:v>
      </x:c>
      <x:c r="F148" s="8" t="s">
        <x:v>468</x:v>
      </x:c>
      <x:c r="G148" s="25">
        <x:v>46209</x:v>
      </x:c>
      <x:c r="H148" s="25">
        <x:v>46225</x:v>
      </x:c>
      <x:c r="I148" s="8" t="s">
        <x:v>2</x:v>
      </x:c>
      <x:c r="J148" s="8" t="s">
        <x:v>2</x:v>
      </x:c>
      <x:c r="K148" s="25">
        <x:v>46261</x:v>
      </x:c>
      <x:c r="L148" s="8" t="s">
        <x:v>367</x:v>
      </x:c>
      <x:c r="M148" s="8"/>
      <x:c r="N148" s="10"/>
      <x:c r="O148" s="8" t="s">
        <x:v>650</x:v>
      </x:c>
    </x:row>
    <x:row r="149" ht="32" customHeight="1">
      <x:c r="A149" s="8">
        <x:v>5</x:v>
      </x:c>
      <x:c r="B149" s="8" t="s">
        <x:v>456</x:v>
      </x:c>
      <x:c r="C149" s="8" t="s">
        <x:v>457</x:v>
      </x:c>
      <x:c r="D149" s="8" t="s">
        <x:v>24</x:v>
      </x:c>
      <x:c r="E149" s="8" t="s">
        <x:v>467</x:v>
      </x:c>
      <x:c r="F149" s="8" t="s">
        <x:v>468</x:v>
      </x:c>
      <x:c r="G149" s="25">
        <x:v>46227</x:v>
      </x:c>
      <x:c r="H149" s="25">
        <x:v>46227</x:v>
      </x:c>
      <x:c r="I149" s="8" t="s">
        <x:v>2</x:v>
      </x:c>
      <x:c r="J149" s="8" t="s">
        <x:v>2</x:v>
      </x:c>
      <x:c r="K149" s="25"/>
      <x:c r="L149" s="8" t="s">
        <x:v>367</x:v>
      </x:c>
      <x:c r="M149" s="8" t="s">
        <x:v>368</x:v>
      </x:c>
      <x:c r="N149" s="10"/>
      <x:c r="O149" s="8" t="s">
        <x:v>651</x:v>
      </x:c>
    </x:row>
    <x:row r="150" ht="32" customHeight="1">
      <x:c r="A150" s="8">
        <x:v>5</x:v>
      </x:c>
      <x:c r="B150" s="8" t="s">
        <x:v>459</x:v>
      </x:c>
      <x:c r="C150" s="8" t="s">
        <x:v>460</x:v>
      </x:c>
      <x:c r="D150" s="8" t="s">
        <x:v>24</x:v>
      </x:c>
      <x:c r="E150" s="8" t="s">
        <x:v>467</x:v>
      </x:c>
      <x:c r="F150" s="8" t="s">
        <x:v>468</x:v>
      </x:c>
      <x:c r="G150" s="25">
        <x:v>46227</x:v>
      </x:c>
      <x:c r="H150" s="25">
        <x:v>46227</x:v>
      </x:c>
      <x:c r="I150" s="8" t="s">
        <x:v>2</x:v>
      </x:c>
      <x:c r="J150" s="8" t="s">
        <x:v>2</x:v>
      </x:c>
      <x:c r="K150" s="25">
        <x:v>46224</x:v>
      </x:c>
      <x:c r="L150" s="8" t="s">
        <x:v>367</x:v>
      </x:c>
      <x:c r="M150" s="8"/>
      <x:c r="N150" s="10"/>
      <x:c r="O150" s="8" t="s">
        <x:v>652</x:v>
      </x:c>
    </x:row>
    <x:row r="151" ht="32" customHeight="1">
      <x:c r="A151" s="8">
        <x:v>5</x:v>
      </x:c>
      <x:c r="B151" s="8" t="s">
        <x:v>462</x:v>
      </x:c>
      <x:c r="C151" s="8" t="s">
        <x:v>463</x:v>
      </x:c>
      <x:c r="D151" s="8" t="s">
        <x:v>24</x:v>
      </x:c>
      <x:c r="E151" s="8" t="s">
        <x:v>467</x:v>
      </x:c>
      <x:c r="F151" s="8" t="s">
        <x:v>468</x:v>
      </x:c>
      <x:c r="G151" s="25">
        <x:v>46227</x:v>
      </x:c>
      <x:c r="H151" s="25">
        <x:v>46227</x:v>
      </x:c>
      <x:c r="I151" s="8" t="s">
        <x:v>2</x:v>
      </x:c>
      <x:c r="J151" s="8" t="s">
        <x:v>2</x:v>
      </x:c>
      <x:c r="K151" s="25">
        <x:v>46224</x:v>
      </x:c>
      <x:c r="L151" s="8" t="s">
        <x:v>367</x:v>
      </x:c>
      <x:c r="M151" s="8"/>
      <x:c r="N151" s="10"/>
      <x:c r="O151" s="8" t="s">
        <x:v>653</x:v>
      </x:c>
    </x:row>
    <x:row r="152" ht="32" customHeight="1">
      <x:c r="A152" s="8">
        <x:v>5</x:v>
      </x:c>
      <x:c r="B152" s="8" t="s">
        <x:v>363</x:v>
      </x:c>
      <x:c r="C152" s="8" t="s">
        <x:v>364</x:v>
      </x:c>
      <x:c r="D152" s="8" t="s">
        <x:v>24</x:v>
      </x:c>
      <x:c r="E152" s="8" t="s">
        <x:v>479</x:v>
      </x:c>
      <x:c r="F152" s="8" t="s">
        <x:v>480</x:v>
      </x:c>
      <x:c r="G152" s="25">
        <x:v>46209</x:v>
      </x:c>
      <x:c r="H152" s="25">
        <x:v>46225</x:v>
      </x:c>
      <x:c r="I152" s="8" t="s">
        <x:v>2</x:v>
      </x:c>
      <x:c r="J152" s="8" t="s">
        <x:v>2</x:v>
      </x:c>
      <x:c r="K152" s="25"/>
      <x:c r="L152" s="8" t="s">
        <x:v>367</x:v>
      </x:c>
      <x:c r="M152" s="8" t="s">
        <x:v>368</x:v>
      </x:c>
      <x:c r="N152" s="10"/>
      <x:c r="O152" s="8" t="s">
        <x:v>654</x:v>
      </x:c>
    </x:row>
    <x:row r="153" ht="32" customHeight="1">
      <x:c r="A153" s="8">
        <x:v>5</x:v>
      </x:c>
      <x:c r="B153" s="8" t="s">
        <x:v>370</x:v>
      </x:c>
      <x:c r="C153" s="8" t="s">
        <x:v>371</x:v>
      </x:c>
      <x:c r="D153" s="8" t="s">
        <x:v>24</x:v>
      </x:c>
      <x:c r="E153" s="8" t="s">
        <x:v>479</x:v>
      </x:c>
      <x:c r="F153" s="8" t="s">
        <x:v>480</x:v>
      </x:c>
      <x:c r="G153" s="25">
        <x:v>46209</x:v>
      </x:c>
      <x:c r="H153" s="25">
        <x:v>46225</x:v>
      </x:c>
      <x:c r="I153" s="8" t="s">
        <x:v>2</x:v>
      </x:c>
      <x:c r="J153" s="8" t="s">
        <x:v>2</x:v>
      </x:c>
      <x:c r="K153" s="25"/>
      <x:c r="L153" s="8" t="s">
        <x:v>367</x:v>
      </x:c>
      <x:c r="M153" s="8" t="s">
        <x:v>368</x:v>
      </x:c>
      <x:c r="N153" s="10"/>
      <x:c r="O153" s="8" t="s">
        <x:v>655</x:v>
      </x:c>
    </x:row>
    <x:row r="154" ht="32" customHeight="1">
      <x:c r="A154" s="8">
        <x:v>5</x:v>
      </x:c>
      <x:c r="B154" s="8" t="s">
        <x:v>373</x:v>
      </x:c>
      <x:c r="C154" s="8" t="s">
        <x:v>374</x:v>
      </x:c>
      <x:c r="D154" s="8" t="s">
        <x:v>24</x:v>
      </x:c>
      <x:c r="E154" s="8" t="s">
        <x:v>479</x:v>
      </x:c>
      <x:c r="F154" s="8" t="s">
        <x:v>480</x:v>
      </x:c>
      <x:c r="G154" s="25">
        <x:v>46209</x:v>
      </x:c>
      <x:c r="H154" s="25">
        <x:v>46225</x:v>
      </x:c>
      <x:c r="I154" s="8" t="s">
        <x:v>2</x:v>
      </x:c>
      <x:c r="J154" s="8" t="s">
        <x:v>2</x:v>
      </x:c>
      <x:c r="K154" s="25"/>
      <x:c r="L154" s="8" t="s">
        <x:v>367</x:v>
      </x:c>
      <x:c r="M154" s="8" t="s">
        <x:v>368</x:v>
      </x:c>
      <x:c r="N154" s="10"/>
      <x:c r="O154" s="8" t="s">
        <x:v>656</x:v>
      </x:c>
    </x:row>
    <x:row r="155" ht="32" customHeight="1">
      <x:c r="A155" s="8">
        <x:v>5</x:v>
      </x:c>
      <x:c r="B155" s="8" t="s">
        <x:v>376</x:v>
      </x:c>
      <x:c r="C155" s="8" t="s">
        <x:v>377</x:v>
      </x:c>
      <x:c r="D155" s="8" t="s">
        <x:v>24</x:v>
      </x:c>
      <x:c r="E155" s="8" t="s">
        <x:v>479</x:v>
      </x:c>
      <x:c r="F155" s="8" t="s">
        <x:v>480</x:v>
      </x:c>
      <x:c r="G155" s="25">
        <x:v>46209</x:v>
      </x:c>
      <x:c r="H155" s="25">
        <x:v>46225</x:v>
      </x:c>
      <x:c r="I155" s="8" t="s">
        <x:v>2</x:v>
      </x:c>
      <x:c r="J155" s="8" t="s">
        <x:v>2</x:v>
      </x:c>
      <x:c r="K155" s="25"/>
      <x:c r="L155" s="8" t="s">
        <x:v>367</x:v>
      </x:c>
      <x:c r="M155" s="8" t="s">
        <x:v>368</x:v>
      </x:c>
      <x:c r="N155" s="10"/>
      <x:c r="O155" s="8" t="s">
        <x:v>657</x:v>
      </x:c>
    </x:row>
    <x:row r="156" ht="32" customHeight="1">
      <x:c r="A156" s="8">
        <x:v>5</x:v>
      </x:c>
      <x:c r="B156" s="8" t="s">
        <x:v>379</x:v>
      </x:c>
      <x:c r="C156" s="8" t="s">
        <x:v>380</x:v>
      </x:c>
      <x:c r="D156" s="8" t="s">
        <x:v>24</x:v>
      </x:c>
      <x:c r="E156" s="8" t="s">
        <x:v>479</x:v>
      </x:c>
      <x:c r="F156" s="8" t="s">
        <x:v>480</x:v>
      </x:c>
      <x:c r="G156" s="25">
        <x:v>46209</x:v>
      </x:c>
      <x:c r="H156" s="25">
        <x:v>46227</x:v>
      </x:c>
      <x:c r="I156" s="8" t="s">
        <x:v>2</x:v>
      </x:c>
      <x:c r="J156" s="8" t="s">
        <x:v>2</x:v>
      </x:c>
      <x:c r="K156" s="25">
        <x:v>46224</x:v>
      </x:c>
      <x:c r="L156" s="8" t="s">
        <x:v>367</x:v>
      </x:c>
      <x:c r="M156" s="8"/>
      <x:c r="N156" s="10"/>
      <x:c r="O156" s="8" t="s">
        <x:v>658</x:v>
      </x:c>
    </x:row>
    <x:row r="157" ht="32" customHeight="1">
      <x:c r="A157" s="8">
        <x:v>5</x:v>
      </x:c>
      <x:c r="B157" s="8" t="s">
        <x:v>382</x:v>
      </x:c>
      <x:c r="C157" s="8" t="s">
        <x:v>383</x:v>
      </x:c>
      <x:c r="D157" s="8" t="s">
        <x:v>24</x:v>
      </x:c>
      <x:c r="E157" s="8" t="s">
        <x:v>479</x:v>
      </x:c>
      <x:c r="F157" s="8" t="s">
        <x:v>480</x:v>
      </x:c>
      <x:c r="G157" s="25">
        <x:v>46209</x:v>
      </x:c>
      <x:c r="H157" s="25">
        <x:v>46227</x:v>
      </x:c>
      <x:c r="I157" s="8" t="s">
        <x:v>2</x:v>
      </x:c>
      <x:c r="J157" s="8" t="s">
        <x:v>2</x:v>
      </x:c>
      <x:c r="K157" s="25">
        <x:v>46224</x:v>
      </x:c>
      <x:c r="L157" s="8" t="s">
        <x:v>367</x:v>
      </x:c>
      <x:c r="M157" s="8"/>
      <x:c r="N157" s="10"/>
      <x:c r="O157" s="8" t="s">
        <x:v>659</x:v>
      </x:c>
    </x:row>
    <x:row r="158" ht="32" customHeight="1">
      <x:c r="A158" s="8">
        <x:v>5</x:v>
      </x:c>
      <x:c r="B158" s="8" t="s">
        <x:v>385</x:v>
      </x:c>
      <x:c r="C158" s="8" t="s">
        <x:v>386</x:v>
      </x:c>
      <x:c r="D158" s="8" t="s">
        <x:v>24</x:v>
      </x:c>
      <x:c r="E158" s="8" t="s">
        <x:v>479</x:v>
      </x:c>
      <x:c r="F158" s="8" t="s">
        <x:v>480</x:v>
      </x:c>
      <x:c r="G158" s="25">
        <x:v>46209</x:v>
      </x:c>
      <x:c r="H158" s="25">
        <x:v>46227</x:v>
      </x:c>
      <x:c r="I158" s="8" t="s">
        <x:v>2</x:v>
      </x:c>
      <x:c r="J158" s="8" t="s">
        <x:v>2</x:v>
      </x:c>
      <x:c r="K158" s="25">
        <x:v>46224</x:v>
      </x:c>
      <x:c r="L158" s="8" t="s">
        <x:v>367</x:v>
      </x:c>
      <x:c r="M158" s="8"/>
      <x:c r="N158" s="10"/>
      <x:c r="O158" s="8" t="s">
        <x:v>660</x:v>
      </x:c>
    </x:row>
    <x:row r="159" ht="32" customHeight="1">
      <x:c r="A159" s="8">
        <x:v>5</x:v>
      </x:c>
      <x:c r="B159" s="8" t="s">
        <x:v>388</x:v>
      </x:c>
      <x:c r="C159" s="8" t="s">
        <x:v>389</x:v>
      </x:c>
      <x:c r="D159" s="8" t="s">
        <x:v>24</x:v>
      </x:c>
      <x:c r="E159" s="8" t="s">
        <x:v>479</x:v>
      </x:c>
      <x:c r="F159" s="8" t="s">
        <x:v>480</x:v>
      </x:c>
      <x:c r="G159" s="25">
        <x:v>46209</x:v>
      </x:c>
      <x:c r="H159" s="25">
        <x:v>46227</x:v>
      </x:c>
      <x:c r="I159" s="8" t="s">
        <x:v>2</x:v>
      </x:c>
      <x:c r="J159" s="8" t="s">
        <x:v>2</x:v>
      </x:c>
      <x:c r="K159" s="25">
        <x:v>46224</x:v>
      </x:c>
      <x:c r="L159" s="8" t="s">
        <x:v>367</x:v>
      </x:c>
      <x:c r="M159" s="8"/>
      <x:c r="N159" s="10"/>
      <x:c r="O159" s="8" t="s">
        <x:v>661</x:v>
      </x:c>
    </x:row>
    <x:row r="160" ht="32" customHeight="1">
      <x:c r="A160" s="8">
        <x:v>5</x:v>
      </x:c>
      <x:c r="B160" s="8" t="s">
        <x:v>391</x:v>
      </x:c>
      <x:c r="C160" s="8" t="s">
        <x:v>392</x:v>
      </x:c>
      <x:c r="D160" s="8" t="s">
        <x:v>24</x:v>
      </x:c>
      <x:c r="E160" s="8" t="s">
        <x:v>479</x:v>
      </x:c>
      <x:c r="F160" s="8" t="s">
        <x:v>480</x:v>
      </x:c>
      <x:c r="G160" s="25">
        <x:v>46209</x:v>
      </x:c>
      <x:c r="H160" s="25">
        <x:v>46227</x:v>
      </x:c>
      <x:c r="I160" s="8" t="s">
        <x:v>2</x:v>
      </x:c>
      <x:c r="J160" s="8" t="s">
        <x:v>2</x:v>
      </x:c>
      <x:c r="K160" s="25">
        <x:v>46224</x:v>
      </x:c>
      <x:c r="L160" s="8" t="s">
        <x:v>367</x:v>
      </x:c>
      <x:c r="M160" s="8"/>
      <x:c r="N160" s="10"/>
      <x:c r="O160" s="8" t="s">
        <x:v>662</x:v>
      </x:c>
    </x:row>
    <x:row r="161" ht="32" customHeight="1">
      <x:c r="A161" s="8">
        <x:v>5</x:v>
      </x:c>
      <x:c r="B161" s="8" t="s">
        <x:v>394</x:v>
      </x:c>
      <x:c r="C161" s="8" t="s">
        <x:v>395</x:v>
      </x:c>
      <x:c r="D161" s="8" t="s">
        <x:v>24</x:v>
      </x:c>
      <x:c r="E161" s="8" t="s">
        <x:v>479</x:v>
      </x:c>
      <x:c r="F161" s="8" t="s">
        <x:v>480</x:v>
      </x:c>
      <x:c r="G161" s="25">
        <x:v>46209</x:v>
      </x:c>
      <x:c r="H161" s="25">
        <x:v>46227</x:v>
      </x:c>
      <x:c r="I161" s="8" t="s">
        <x:v>2</x:v>
      </x:c>
      <x:c r="J161" s="8" t="s">
        <x:v>2</x:v>
      </x:c>
      <x:c r="K161" s="25">
        <x:v>46224</x:v>
      </x:c>
      <x:c r="L161" s="8" t="s">
        <x:v>367</x:v>
      </x:c>
      <x:c r="M161" s="8"/>
      <x:c r="N161" s="10"/>
      <x:c r="O161" s="8" t="s">
        <x:v>663</x:v>
      </x:c>
    </x:row>
    <x:row r="162" ht="32" customHeight="1">
      <x:c r="A162" s="8">
        <x:v>5</x:v>
      </x:c>
      <x:c r="B162" s="8" t="s">
        <x:v>397</x:v>
      </x:c>
      <x:c r="C162" s="8" t="s">
        <x:v>398</x:v>
      </x:c>
      <x:c r="D162" s="8" t="s">
        <x:v>24</x:v>
      </x:c>
      <x:c r="E162" s="8" t="s">
        <x:v>479</x:v>
      </x:c>
      <x:c r="F162" s="8" t="s">
        <x:v>480</x:v>
      </x:c>
      <x:c r="G162" s="25">
        <x:v>46209</x:v>
      </x:c>
      <x:c r="H162" s="25">
        <x:v>46227</x:v>
      </x:c>
      <x:c r="I162" s="8" t="s">
        <x:v>2</x:v>
      </x:c>
      <x:c r="J162" s="8" t="s">
        <x:v>2</x:v>
      </x:c>
      <x:c r="K162" s="25">
        <x:v>46224</x:v>
      </x:c>
      <x:c r="L162" s="8" t="s">
        <x:v>367</x:v>
      </x:c>
      <x:c r="M162" s="8"/>
      <x:c r="N162" s="10"/>
      <x:c r="O162" s="8" t="s">
        <x:v>664</x:v>
      </x:c>
    </x:row>
    <x:row r="163" ht="32" customHeight="1">
      <x:c r="A163" s="8">
        <x:v>5</x:v>
      </x:c>
      <x:c r="B163" s="8" t="s">
        <x:v>409</x:v>
      </x:c>
      <x:c r="C163" s="8" t="s">
        <x:v>410</x:v>
      </x:c>
      <x:c r="D163" s="8" t="s">
        <x:v>24</x:v>
      </x:c>
      <x:c r="E163" s="8" t="s">
        <x:v>479</x:v>
      </x:c>
      <x:c r="F163" s="8" t="s">
        <x:v>480</x:v>
      </x:c>
      <x:c r="G163" s="25">
        <x:v>46209</x:v>
      </x:c>
      <x:c r="H163" s="25">
        <x:v>46227</x:v>
      </x:c>
      <x:c r="I163" s="8" t="s">
        <x:v>2</x:v>
      </x:c>
      <x:c r="J163" s="8" t="s">
        <x:v>2</x:v>
      </x:c>
      <x:c r="K163" s="25">
        <x:v>46261</x:v>
      </x:c>
      <x:c r="L163" s="8" t="s">
        <x:v>367</x:v>
      </x:c>
      <x:c r="M163" s="8"/>
      <x:c r="N163" s="10"/>
      <x:c r="O163" s="8" t="s">
        <x:v>665</x:v>
      </x:c>
    </x:row>
    <x:row r="164" ht="32" customHeight="1">
      <x:c r="A164" s="8">
        <x:v>5</x:v>
      </x:c>
      <x:c r="B164" s="8" t="s">
        <x:v>412</x:v>
      </x:c>
      <x:c r="C164" s="8" t="s">
        <x:v>413</x:v>
      </x:c>
      <x:c r="D164" s="8" t="s">
        <x:v>24</x:v>
      </x:c>
      <x:c r="E164" s="8" t="s">
        <x:v>479</x:v>
      </x:c>
      <x:c r="F164" s="8" t="s">
        <x:v>480</x:v>
      </x:c>
      <x:c r="G164" s="25">
        <x:v>46209</x:v>
      </x:c>
      <x:c r="H164" s="25">
        <x:v>46227</x:v>
      </x:c>
      <x:c r="I164" s="8" t="s">
        <x:v>2</x:v>
      </x:c>
      <x:c r="J164" s="8" t="s">
        <x:v>2</x:v>
      </x:c>
      <x:c r="K164" s="25">
        <x:v>46261</x:v>
      </x:c>
      <x:c r="L164" s="8" t="s">
        <x:v>367</x:v>
      </x:c>
      <x:c r="M164" s="8"/>
      <x:c r="N164" s="10"/>
      <x:c r="O164" s="8" t="s">
        <x:v>666</x:v>
      </x:c>
    </x:row>
    <x:row r="165" ht="32" customHeight="1">
      <x:c r="A165" s="8">
        <x:v>5</x:v>
      </x:c>
      <x:c r="B165" s="8" t="s">
        <x:v>415</x:v>
      </x:c>
      <x:c r="C165" s="8" t="s">
        <x:v>416</x:v>
      </x:c>
      <x:c r="D165" s="8" t="s">
        <x:v>24</x:v>
      </x:c>
      <x:c r="E165" s="8" t="s">
        <x:v>479</x:v>
      </x:c>
      <x:c r="F165" s="8" t="s">
        <x:v>480</x:v>
      </x:c>
      <x:c r="G165" s="25">
        <x:v>46209</x:v>
      </x:c>
      <x:c r="H165" s="25">
        <x:v>46227</x:v>
      </x:c>
      <x:c r="I165" s="8" t="s">
        <x:v>2</x:v>
      </x:c>
      <x:c r="J165" s="8" t="s">
        <x:v>2</x:v>
      </x:c>
      <x:c r="K165" s="25">
        <x:v>46261</x:v>
      </x:c>
      <x:c r="L165" s="8" t="s">
        <x:v>367</x:v>
      </x:c>
      <x:c r="M165" s="8"/>
      <x:c r="N165" s="10"/>
      <x:c r="O165" s="8" t="s">
        <x:v>667</x:v>
      </x:c>
    </x:row>
    <x:row r="166" ht="32" customHeight="1">
      <x:c r="A166" s="8">
        <x:v>5</x:v>
      </x:c>
      <x:c r="B166" s="8" t="s">
        <x:v>418</x:v>
      </x:c>
      <x:c r="C166" s="8" t="s">
        <x:v>419</x:v>
      </x:c>
      <x:c r="D166" s="8" t="s">
        <x:v>24</x:v>
      </x:c>
      <x:c r="E166" s="8" t="s">
        <x:v>479</x:v>
      </x:c>
      <x:c r="F166" s="8" t="s">
        <x:v>480</x:v>
      </x:c>
      <x:c r="G166" s="25">
        <x:v>46209</x:v>
      </x:c>
      <x:c r="H166" s="25">
        <x:v>46227</x:v>
      </x:c>
      <x:c r="I166" s="8" t="s">
        <x:v>2</x:v>
      </x:c>
      <x:c r="J166" s="8" t="s">
        <x:v>2</x:v>
      </x:c>
      <x:c r="K166" s="25">
        <x:v>46261</x:v>
      </x:c>
      <x:c r="L166" s="8" t="s">
        <x:v>367</x:v>
      </x:c>
      <x:c r="M166" s="8"/>
      <x:c r="N166" s="10"/>
      <x:c r="O166" s="8" t="s">
        <x:v>668</x:v>
      </x:c>
    </x:row>
    <x:row r="167" ht="32" customHeight="1">
      <x:c r="A167" s="8">
        <x:v>5</x:v>
      </x:c>
      <x:c r="B167" s="8" t="s">
        <x:v>421</x:v>
      </x:c>
      <x:c r="C167" s="8" t="s">
        <x:v>419</x:v>
      </x:c>
      <x:c r="D167" s="8" t="s">
        <x:v>24</x:v>
      </x:c>
      <x:c r="E167" s="8" t="s">
        <x:v>479</x:v>
      </x:c>
      <x:c r="F167" s="8" t="s">
        <x:v>480</x:v>
      </x:c>
      <x:c r="G167" s="25">
        <x:v>46209</x:v>
      </x:c>
      <x:c r="H167" s="25">
        <x:v>46227</x:v>
      </x:c>
      <x:c r="I167" s="8" t="s">
        <x:v>2</x:v>
      </x:c>
      <x:c r="J167" s="8" t="s">
        <x:v>2</x:v>
      </x:c>
      <x:c r="K167" s="25">
        <x:v>46261</x:v>
      </x:c>
      <x:c r="L167" s="8" t="s">
        <x:v>367</x:v>
      </x:c>
      <x:c r="M167" s="8"/>
      <x:c r="N167" s="10"/>
      <x:c r="O167" s="8" t="s">
        <x:v>669</x:v>
      </x:c>
    </x:row>
    <x:row r="168" ht="32" customHeight="1">
      <x:c r="A168" s="8">
        <x:v>5</x:v>
      </x:c>
      <x:c r="B168" s="8" t="s">
        <x:v>423</x:v>
      </x:c>
      <x:c r="C168" s="8" t="s">
        <x:v>424</x:v>
      </x:c>
      <x:c r="D168" s="8" t="s">
        <x:v>24</x:v>
      </x:c>
      <x:c r="E168" s="8" t="s">
        <x:v>479</x:v>
      </x:c>
      <x:c r="F168" s="8" t="s">
        <x:v>480</x:v>
      </x:c>
      <x:c r="G168" s="25">
        <x:v>46209</x:v>
      </x:c>
      <x:c r="H168" s="25">
        <x:v>46227</x:v>
      </x:c>
      <x:c r="I168" s="8" t="s">
        <x:v>2</x:v>
      </x:c>
      <x:c r="J168" s="8" t="s">
        <x:v>2</x:v>
      </x:c>
      <x:c r="K168" s="25">
        <x:v>46261</x:v>
      </x:c>
      <x:c r="L168" s="8" t="s">
        <x:v>367</x:v>
      </x:c>
      <x:c r="M168" s="8"/>
      <x:c r="N168" s="10"/>
      <x:c r="O168" s="8" t="s">
        <x:v>670</x:v>
      </x:c>
    </x:row>
    <x:row r="169" ht="32" customHeight="1">
      <x:c r="A169" s="8">
        <x:v>5</x:v>
      </x:c>
      <x:c r="B169" s="8" t="s">
        <x:v>426</x:v>
      </x:c>
      <x:c r="C169" s="8" t="s">
        <x:v>424</x:v>
      </x:c>
      <x:c r="D169" s="8" t="s">
        <x:v>24</x:v>
      </x:c>
      <x:c r="E169" s="8" t="s">
        <x:v>479</x:v>
      </x:c>
      <x:c r="F169" s="8" t="s">
        <x:v>480</x:v>
      </x:c>
      <x:c r="G169" s="25">
        <x:v>46209</x:v>
      </x:c>
      <x:c r="H169" s="25">
        <x:v>46227</x:v>
      </x:c>
      <x:c r="I169" s="8" t="s">
        <x:v>2</x:v>
      </x:c>
      <x:c r="J169" s="8" t="s">
        <x:v>2</x:v>
      </x:c>
      <x:c r="K169" s="25">
        <x:v>46261</x:v>
      </x:c>
      <x:c r="L169" s="8" t="s">
        <x:v>367</x:v>
      </x:c>
      <x:c r="M169" s="8"/>
      <x:c r="N169" s="10"/>
      <x:c r="O169" s="8" t="s">
        <x:v>671</x:v>
      </x:c>
    </x:row>
    <x:row r="170" ht="32" customHeight="1">
      <x:c r="A170" s="8">
        <x:v>5</x:v>
      </x:c>
      <x:c r="B170" s="8" t="s">
        <x:v>428</x:v>
      </x:c>
      <x:c r="C170" s="8" t="s">
        <x:v>424</x:v>
      </x:c>
      <x:c r="D170" s="8" t="s">
        <x:v>24</x:v>
      </x:c>
      <x:c r="E170" s="8" t="s">
        <x:v>479</x:v>
      </x:c>
      <x:c r="F170" s="8" t="s">
        <x:v>480</x:v>
      </x:c>
      <x:c r="G170" s="25">
        <x:v>46209</x:v>
      </x:c>
      <x:c r="H170" s="25">
        <x:v>46227</x:v>
      </x:c>
      <x:c r="I170" s="8" t="s">
        <x:v>2</x:v>
      </x:c>
      <x:c r="J170" s="8" t="s">
        <x:v>2</x:v>
      </x:c>
      <x:c r="K170" s="25">
        <x:v>46261</x:v>
      </x:c>
      <x:c r="L170" s="8" t="s">
        <x:v>367</x:v>
      </x:c>
      <x:c r="M170" s="8"/>
      <x:c r="N170" s="10"/>
      <x:c r="O170" s="8" t="s">
        <x:v>672</x:v>
      </x:c>
    </x:row>
    <x:row r="171" ht="32" customHeight="1">
      <x:c r="A171" s="8">
        <x:v>5</x:v>
      </x:c>
      <x:c r="B171" s="8" t="s">
        <x:v>430</x:v>
      </x:c>
      <x:c r="C171" s="8" t="s">
        <x:v>424</x:v>
      </x:c>
      <x:c r="D171" s="8" t="s">
        <x:v>24</x:v>
      </x:c>
      <x:c r="E171" s="8" t="s">
        <x:v>479</x:v>
      </x:c>
      <x:c r="F171" s="8" t="s">
        <x:v>480</x:v>
      </x:c>
      <x:c r="G171" s="25">
        <x:v>46209</x:v>
      </x:c>
      <x:c r="H171" s="25">
        <x:v>46227</x:v>
      </x:c>
      <x:c r="I171" s="8" t="s">
        <x:v>2</x:v>
      </x:c>
      <x:c r="J171" s="8" t="s">
        <x:v>2</x:v>
      </x:c>
      <x:c r="K171" s="25">
        <x:v>46261</x:v>
      </x:c>
      <x:c r="L171" s="8" t="s">
        <x:v>367</x:v>
      </x:c>
      <x:c r="M171" s="8"/>
      <x:c r="N171" s="10"/>
      <x:c r="O171" s="8" t="s">
        <x:v>673</x:v>
      </x:c>
    </x:row>
    <x:row r="172" ht="32" customHeight="1">
      <x:c r="A172" s="8">
        <x:v>5</x:v>
      </x:c>
      <x:c r="B172" s="8" t="s">
        <x:v>432</x:v>
      </x:c>
      <x:c r="C172" s="8" t="s">
        <x:v>433</x:v>
      </x:c>
      <x:c r="D172" s="8" t="s">
        <x:v>24</x:v>
      </x:c>
      <x:c r="E172" s="8" t="s">
        <x:v>479</x:v>
      </x:c>
      <x:c r="F172" s="8" t="s">
        <x:v>480</x:v>
      </x:c>
      <x:c r="G172" s="25">
        <x:v>46209</x:v>
      </x:c>
      <x:c r="H172" s="25">
        <x:v>46225</x:v>
      </x:c>
      <x:c r="I172" s="8" t="s">
        <x:v>2</x:v>
      </x:c>
      <x:c r="J172" s="8" t="s">
        <x:v>2</x:v>
      </x:c>
      <x:c r="K172" s="25"/>
      <x:c r="L172" s="8" t="s">
        <x:v>367</x:v>
      </x:c>
      <x:c r="M172" s="8" t="s">
        <x:v>368</x:v>
      </x:c>
      <x:c r="N172" s="10"/>
      <x:c r="O172" s="8" t="s">
        <x:v>674</x:v>
      </x:c>
    </x:row>
    <x:row r="173" ht="32" customHeight="1">
      <x:c r="A173" s="8">
        <x:v>5</x:v>
      </x:c>
      <x:c r="B173" s="8" t="s">
        <x:v>435</x:v>
      </x:c>
      <x:c r="C173" s="8" t="s">
        <x:v>436</x:v>
      </x:c>
      <x:c r="D173" s="8" t="s">
        <x:v>24</x:v>
      </x:c>
      <x:c r="E173" s="8" t="s">
        <x:v>479</x:v>
      </x:c>
      <x:c r="F173" s="8" t="s">
        <x:v>480</x:v>
      </x:c>
      <x:c r="G173" s="25">
        <x:v>46227</x:v>
      </x:c>
      <x:c r="H173" s="25">
        <x:v>46227</x:v>
      </x:c>
      <x:c r="I173" s="8" t="s">
        <x:v>2</x:v>
      </x:c>
      <x:c r="J173" s="8" t="s">
        <x:v>2</x:v>
      </x:c>
      <x:c r="K173" s="25">
        <x:v>46224</x:v>
      </x:c>
      <x:c r="L173" s="8" t="s">
        <x:v>367</x:v>
      </x:c>
      <x:c r="M173" s="8"/>
      <x:c r="N173" s="10"/>
      <x:c r="O173" s="8" t="s">
        <x:v>675</x:v>
      </x:c>
    </x:row>
    <x:row r="174" ht="32" customHeight="1">
      <x:c r="A174" s="8">
        <x:v>5</x:v>
      </x:c>
      <x:c r="B174" s="8" t="s">
        <x:v>438</x:v>
      </x:c>
      <x:c r="C174" s="8" t="s">
        <x:v>439</x:v>
      </x:c>
      <x:c r="D174" s="8" t="s">
        <x:v>24</x:v>
      </x:c>
      <x:c r="E174" s="8" t="s">
        <x:v>479</x:v>
      </x:c>
      <x:c r="F174" s="8" t="s">
        <x:v>480</x:v>
      </x:c>
      <x:c r="G174" s="25">
        <x:v>46227</x:v>
      </x:c>
      <x:c r="H174" s="25">
        <x:v>46227</x:v>
      </x:c>
      <x:c r="I174" s="8" t="s">
        <x:v>2</x:v>
      </x:c>
      <x:c r="J174" s="8" t="s">
        <x:v>2</x:v>
      </x:c>
      <x:c r="K174" s="25">
        <x:v>46224</x:v>
      </x:c>
      <x:c r="L174" s="8" t="s">
        <x:v>367</x:v>
      </x:c>
      <x:c r="M174" s="8"/>
      <x:c r="N174" s="10"/>
      <x:c r="O174" s="8" t="s">
        <x:v>676</x:v>
      </x:c>
    </x:row>
    <x:row r="175" ht="32" customHeight="1">
      <x:c r="A175" s="8">
        <x:v>5</x:v>
      </x:c>
      <x:c r="B175" s="8" t="s">
        <x:v>441</x:v>
      </x:c>
      <x:c r="C175" s="8" t="s">
        <x:v>442</x:v>
      </x:c>
      <x:c r="D175" s="8" t="s">
        <x:v>24</x:v>
      </x:c>
      <x:c r="E175" s="8" t="s">
        <x:v>479</x:v>
      </x:c>
      <x:c r="F175" s="8" t="s">
        <x:v>480</x:v>
      </x:c>
      <x:c r="G175" s="25">
        <x:v>46227</x:v>
      </x:c>
      <x:c r="H175" s="25">
        <x:v>46227</x:v>
      </x:c>
      <x:c r="I175" s="8" t="s">
        <x:v>2</x:v>
      </x:c>
      <x:c r="J175" s="8" t="s">
        <x:v>2</x:v>
      </x:c>
      <x:c r="K175" s="25">
        <x:v>46224</x:v>
      </x:c>
      <x:c r="L175" s="8" t="s">
        <x:v>367</x:v>
      </x:c>
      <x:c r="M175" s="8"/>
      <x:c r="N175" s="10"/>
      <x:c r="O175" s="8" t="s">
        <x:v>677</x:v>
      </x:c>
    </x:row>
    <x:row r="176" ht="32" customHeight="1">
      <x:c r="A176" s="8">
        <x:v>5</x:v>
      </x:c>
      <x:c r="B176" s="8" t="s">
        <x:v>444</x:v>
      </x:c>
      <x:c r="C176" s="8" t="s">
        <x:v>445</x:v>
      </x:c>
      <x:c r="D176" s="8" t="s">
        <x:v>24</x:v>
      </x:c>
      <x:c r="E176" s="8" t="s">
        <x:v>479</x:v>
      </x:c>
      <x:c r="F176" s="8" t="s">
        <x:v>480</x:v>
      </x:c>
      <x:c r="G176" s="25">
        <x:v>46227</x:v>
      </x:c>
      <x:c r="H176" s="25">
        <x:v>46227</x:v>
      </x:c>
      <x:c r="I176" s="8" t="s">
        <x:v>2</x:v>
      </x:c>
      <x:c r="J176" s="8" t="s">
        <x:v>2</x:v>
      </x:c>
      <x:c r="K176" s="25">
        <x:v>46224</x:v>
      </x:c>
      <x:c r="L176" s="8" t="s">
        <x:v>367</x:v>
      </x:c>
      <x:c r="M176" s="8"/>
      <x:c r="N176" s="10"/>
      <x:c r="O176" s="8" t="s">
        <x:v>678</x:v>
      </x:c>
    </x:row>
    <x:row r="177" ht="32" customHeight="1">
      <x:c r="A177" s="8">
        <x:v>5</x:v>
      </x:c>
      <x:c r="B177" s="8" t="s">
        <x:v>447</x:v>
      </x:c>
      <x:c r="C177" s="8" t="s">
        <x:v>448</x:v>
      </x:c>
      <x:c r="D177" s="8" t="s">
        <x:v>24</x:v>
      </x:c>
      <x:c r="E177" s="8" t="s">
        <x:v>479</x:v>
      </x:c>
      <x:c r="F177" s="8" t="s">
        <x:v>480</x:v>
      </x:c>
      <x:c r="G177" s="25">
        <x:v>46227</x:v>
      </x:c>
      <x:c r="H177" s="25">
        <x:v>46227</x:v>
      </x:c>
      <x:c r="I177" s="8" t="s">
        <x:v>2</x:v>
      </x:c>
      <x:c r="J177" s="8" t="s">
        <x:v>2</x:v>
      </x:c>
      <x:c r="K177" s="25">
        <x:v>46224</x:v>
      </x:c>
      <x:c r="L177" s="8" t="s">
        <x:v>367</x:v>
      </x:c>
      <x:c r="M177" s="8"/>
      <x:c r="N177" s="10"/>
      <x:c r="O177" s="8" t="s">
        <x:v>679</x:v>
      </x:c>
    </x:row>
    <x:row r="178" ht="32" customHeight="1">
      <x:c r="A178" s="8">
        <x:v>5</x:v>
      </x:c>
      <x:c r="B178" s="8" t="s">
        <x:v>453</x:v>
      </x:c>
      <x:c r="C178" s="8" t="s">
        <x:v>454</x:v>
      </x:c>
      <x:c r="D178" s="8" t="s">
        <x:v>24</x:v>
      </x:c>
      <x:c r="E178" s="8" t="s">
        <x:v>479</x:v>
      </x:c>
      <x:c r="F178" s="8" t="s">
        <x:v>480</x:v>
      </x:c>
      <x:c r="G178" s="25">
        <x:v>46209</x:v>
      </x:c>
      <x:c r="H178" s="25">
        <x:v>46225</x:v>
      </x:c>
      <x:c r="I178" s="8" t="s">
        <x:v>2</x:v>
      </x:c>
      <x:c r="J178" s="8" t="s">
        <x:v>2</x:v>
      </x:c>
      <x:c r="K178" s="25">
        <x:v>46261</x:v>
      </x:c>
      <x:c r="L178" s="8" t="s">
        <x:v>367</x:v>
      </x:c>
      <x:c r="M178" s="8"/>
      <x:c r="N178" s="10"/>
      <x:c r="O178" s="8" t="s">
        <x:v>680</x:v>
      </x:c>
    </x:row>
    <x:row r="179" ht="32" customHeight="1">
      <x:c r="A179" s="8">
        <x:v>5</x:v>
      </x:c>
      <x:c r="B179" s="8" t="s">
        <x:v>456</x:v>
      </x:c>
      <x:c r="C179" s="8" t="s">
        <x:v>457</x:v>
      </x:c>
      <x:c r="D179" s="8" t="s">
        <x:v>24</x:v>
      </x:c>
      <x:c r="E179" s="8" t="s">
        <x:v>479</x:v>
      </x:c>
      <x:c r="F179" s="8" t="s">
        <x:v>480</x:v>
      </x:c>
      <x:c r="G179" s="25">
        <x:v>46227</x:v>
      </x:c>
      <x:c r="H179" s="25">
        <x:v>46227</x:v>
      </x:c>
      <x:c r="I179" s="8" t="s">
        <x:v>2</x:v>
      </x:c>
      <x:c r="J179" s="8" t="s">
        <x:v>2</x:v>
      </x:c>
      <x:c r="K179" s="25"/>
      <x:c r="L179" s="8" t="s">
        <x:v>367</x:v>
      </x:c>
      <x:c r="M179" s="8" t="s">
        <x:v>368</x:v>
      </x:c>
      <x:c r="N179" s="10"/>
      <x:c r="O179" s="8" t="s">
        <x:v>681</x:v>
      </x:c>
    </x:row>
    <x:row r="180" ht="32" customHeight="1">
      <x:c r="A180" s="8">
        <x:v>5</x:v>
      </x:c>
      <x:c r="B180" s="8" t="s">
        <x:v>459</x:v>
      </x:c>
      <x:c r="C180" s="8" t="s">
        <x:v>460</x:v>
      </x:c>
      <x:c r="D180" s="8" t="s">
        <x:v>24</x:v>
      </x:c>
      <x:c r="E180" s="8" t="s">
        <x:v>479</x:v>
      </x:c>
      <x:c r="F180" s="8" t="s">
        <x:v>480</x:v>
      </x:c>
      <x:c r="G180" s="25">
        <x:v>46227</x:v>
      </x:c>
      <x:c r="H180" s="25">
        <x:v>46227</x:v>
      </x:c>
      <x:c r="I180" s="8" t="s">
        <x:v>2</x:v>
      </x:c>
      <x:c r="J180" s="8" t="s">
        <x:v>2</x:v>
      </x:c>
      <x:c r="K180" s="25">
        <x:v>46224</x:v>
      </x:c>
      <x:c r="L180" s="8" t="s">
        <x:v>367</x:v>
      </x:c>
      <x:c r="M180" s="8"/>
      <x:c r="N180" s="10"/>
      <x:c r="O180" s="8" t="s">
        <x:v>682</x:v>
      </x:c>
    </x:row>
    <x:row r="181" ht="32" customHeight="1">
      <x:c r="A181" s="8">
        <x:v>5</x:v>
      </x:c>
      <x:c r="B181" s="8" t="s">
        <x:v>462</x:v>
      </x:c>
      <x:c r="C181" s="8" t="s">
        <x:v>463</x:v>
      </x:c>
      <x:c r="D181" s="8" t="s">
        <x:v>24</x:v>
      </x:c>
      <x:c r="E181" s="8" t="s">
        <x:v>479</x:v>
      </x:c>
      <x:c r="F181" s="8" t="s">
        <x:v>480</x:v>
      </x:c>
      <x:c r="G181" s="25">
        <x:v>46227</x:v>
      </x:c>
      <x:c r="H181" s="25">
        <x:v>46227</x:v>
      </x:c>
      <x:c r="I181" s="8" t="s">
        <x:v>2</x:v>
      </x:c>
      <x:c r="J181" s="8" t="s">
        <x:v>2</x:v>
      </x:c>
      <x:c r="K181" s="25">
        <x:v>46224</x:v>
      </x:c>
      <x:c r="L181" s="8" t="s">
        <x:v>367</x:v>
      </x:c>
      <x:c r="M181" s="8"/>
      <x:c r="N181" s="10"/>
      <x:c r="O181" s="8" t="s">
        <x:v>683</x:v>
      </x:c>
    </x:row>
    <x:row r="182" ht="32" customHeight="1">
      <x:c r="A182" s="8">
        <x:v>6</x:v>
      </x:c>
      <x:c r="B182" s="8" t="s">
        <x:v>363</x:v>
      </x:c>
      <x:c r="C182" s="8" t="s">
        <x:v>364</x:v>
      </x:c>
      <x:c r="D182" s="8" t="s">
        <x:v>24</x:v>
      </x:c>
      <x:c r="E182" s="8" t="s">
        <x:v>558</x:v>
      </x:c>
      <x:c r="F182" s="8" t="s">
        <x:v>559</x:v>
      </x:c>
      <x:c r="G182" s="25">
        <x:v>46216</x:v>
      </x:c>
      <x:c r="H182" s="25">
        <x:v>46234</x:v>
      </x:c>
      <x:c r="I182" s="8" t="s">
        <x:v>2</x:v>
      </x:c>
      <x:c r="J182" s="8" t="s">
        <x:v>2</x:v>
      </x:c>
      <x:c r="K182" s="25"/>
      <x:c r="L182" s="8" t="s">
        <x:v>367</x:v>
      </x:c>
      <x:c r="M182" s="8" t="s">
        <x:v>368</x:v>
      </x:c>
      <x:c r="N182" s="10"/>
      <x:c r="O182" s="8" t="s">
        <x:v>684</x:v>
      </x:c>
    </x:row>
    <x:row r="183" ht="32" customHeight="1">
      <x:c r="A183" s="8">
        <x:v>6</x:v>
      </x:c>
      <x:c r="B183" s="8" t="s">
        <x:v>370</x:v>
      </x:c>
      <x:c r="C183" s="8" t="s">
        <x:v>371</x:v>
      </x:c>
      <x:c r="D183" s="8" t="s">
        <x:v>24</x:v>
      </x:c>
      <x:c r="E183" s="8" t="s">
        <x:v>558</x:v>
      </x:c>
      <x:c r="F183" s="8" t="s">
        <x:v>559</x:v>
      </x:c>
      <x:c r="G183" s="25">
        <x:v>46216</x:v>
      </x:c>
      <x:c r="H183" s="25">
        <x:v>46234</x:v>
      </x:c>
      <x:c r="I183" s="8" t="s">
        <x:v>2</x:v>
      </x:c>
      <x:c r="J183" s="8" t="s">
        <x:v>2</x:v>
      </x:c>
      <x:c r="K183" s="25"/>
      <x:c r="L183" s="8" t="s">
        <x:v>367</x:v>
      </x:c>
      <x:c r="M183" s="8" t="s">
        <x:v>368</x:v>
      </x:c>
      <x:c r="N183" s="10"/>
      <x:c r="O183" s="8" t="s">
        <x:v>685</x:v>
      </x:c>
    </x:row>
    <x:row r="184" ht="32" customHeight="1">
      <x:c r="A184" s="8">
        <x:v>6</x:v>
      </x:c>
      <x:c r="B184" s="8" t="s">
        <x:v>373</x:v>
      </x:c>
      <x:c r="C184" s="8" t="s">
        <x:v>374</x:v>
      </x:c>
      <x:c r="D184" s="8" t="s">
        <x:v>24</x:v>
      </x:c>
      <x:c r="E184" s="8" t="s">
        <x:v>558</x:v>
      </x:c>
      <x:c r="F184" s="8" t="s">
        <x:v>559</x:v>
      </x:c>
      <x:c r="G184" s="25">
        <x:v>46216</x:v>
      </x:c>
      <x:c r="H184" s="25">
        <x:v>46234</x:v>
      </x:c>
      <x:c r="I184" s="8" t="s">
        <x:v>2</x:v>
      </x:c>
      <x:c r="J184" s="8" t="s">
        <x:v>2</x:v>
      </x:c>
      <x:c r="K184" s="25"/>
      <x:c r="L184" s="8" t="s">
        <x:v>367</x:v>
      </x:c>
      <x:c r="M184" s="8" t="s">
        <x:v>368</x:v>
      </x:c>
      <x:c r="N184" s="10"/>
      <x:c r="O184" s="8" t="s">
        <x:v>686</x:v>
      </x:c>
    </x:row>
    <x:row r="185" ht="32" customHeight="1">
      <x:c r="A185" s="8">
        <x:v>6</x:v>
      </x:c>
      <x:c r="B185" s="8" t="s">
        <x:v>376</x:v>
      </x:c>
      <x:c r="C185" s="8" t="s">
        <x:v>377</x:v>
      </x:c>
      <x:c r="D185" s="8" t="s">
        <x:v>24</x:v>
      </x:c>
      <x:c r="E185" s="8" t="s">
        <x:v>558</x:v>
      </x:c>
      <x:c r="F185" s="8" t="s">
        <x:v>559</x:v>
      </x:c>
      <x:c r="G185" s="25">
        <x:v>46216</x:v>
      </x:c>
      <x:c r="H185" s="25">
        <x:v>46234</x:v>
      </x:c>
      <x:c r="I185" s="8" t="s">
        <x:v>2</x:v>
      </x:c>
      <x:c r="J185" s="8" t="s">
        <x:v>2</x:v>
      </x:c>
      <x:c r="K185" s="25"/>
      <x:c r="L185" s="8" t="s">
        <x:v>367</x:v>
      </x:c>
      <x:c r="M185" s="8" t="s">
        <x:v>368</x:v>
      </x:c>
      <x:c r="N185" s="10"/>
      <x:c r="O185" s="8" t="s">
        <x:v>687</x:v>
      </x:c>
    </x:row>
    <x:row r="186" ht="32" customHeight="1">
      <x:c r="A186" s="8">
        <x:v>6</x:v>
      </x:c>
      <x:c r="B186" s="8" t="s">
        <x:v>379</x:v>
      </x:c>
      <x:c r="C186" s="8" t="s">
        <x:v>380</x:v>
      </x:c>
      <x:c r="D186" s="8" t="s">
        <x:v>24</x:v>
      </x:c>
      <x:c r="E186" s="8" t="s">
        <x:v>558</x:v>
      </x:c>
      <x:c r="F186" s="8" t="s">
        <x:v>559</x:v>
      </x:c>
      <x:c r="G186" s="25">
        <x:v>46216</x:v>
      </x:c>
      <x:c r="H186" s="25">
        <x:v>46234</x:v>
      </x:c>
      <x:c r="I186" s="8" t="s">
        <x:v>2</x:v>
      </x:c>
      <x:c r="J186" s="8" t="s">
        <x:v>2</x:v>
      </x:c>
      <x:c r="K186" s="25">
        <x:v>46224</x:v>
      </x:c>
      <x:c r="L186" s="8" t="s">
        <x:v>367</x:v>
      </x:c>
      <x:c r="M186" s="8"/>
      <x:c r="N186" s="10"/>
      <x:c r="O186" s="8" t="s">
        <x:v>688</x:v>
      </x:c>
    </x:row>
    <x:row r="187" ht="32" customHeight="1">
      <x:c r="A187" s="8">
        <x:v>6</x:v>
      </x:c>
      <x:c r="B187" s="8" t="s">
        <x:v>382</x:v>
      </x:c>
      <x:c r="C187" s="8" t="s">
        <x:v>383</x:v>
      </x:c>
      <x:c r="D187" s="8" t="s">
        <x:v>24</x:v>
      </x:c>
      <x:c r="E187" s="8" t="s">
        <x:v>558</x:v>
      </x:c>
      <x:c r="F187" s="8" t="s">
        <x:v>559</x:v>
      </x:c>
      <x:c r="G187" s="25">
        <x:v>46216</x:v>
      </x:c>
      <x:c r="H187" s="25">
        <x:v>46234</x:v>
      </x:c>
      <x:c r="I187" s="8" t="s">
        <x:v>2</x:v>
      </x:c>
      <x:c r="J187" s="8" t="s">
        <x:v>2</x:v>
      </x:c>
      <x:c r="K187" s="25">
        <x:v>46224</x:v>
      </x:c>
      <x:c r="L187" s="8" t="s">
        <x:v>367</x:v>
      </x:c>
      <x:c r="M187" s="8"/>
      <x:c r="N187" s="10"/>
      <x:c r="O187" s="8" t="s">
        <x:v>689</x:v>
      </x:c>
    </x:row>
    <x:row r="188" ht="32" customHeight="1">
      <x:c r="A188" s="8">
        <x:v>6</x:v>
      </x:c>
      <x:c r="B188" s="8" t="s">
        <x:v>385</x:v>
      </x:c>
      <x:c r="C188" s="8" t="s">
        <x:v>386</x:v>
      </x:c>
      <x:c r="D188" s="8" t="s">
        <x:v>24</x:v>
      </x:c>
      <x:c r="E188" s="8" t="s">
        <x:v>558</x:v>
      </x:c>
      <x:c r="F188" s="8" t="s">
        <x:v>559</x:v>
      </x:c>
      <x:c r="G188" s="25">
        <x:v>46216</x:v>
      </x:c>
      <x:c r="H188" s="25">
        <x:v>46234</x:v>
      </x:c>
      <x:c r="I188" s="8" t="s">
        <x:v>2</x:v>
      </x:c>
      <x:c r="J188" s="8" t="s">
        <x:v>2</x:v>
      </x:c>
      <x:c r="K188" s="25">
        <x:v>46224</x:v>
      </x:c>
      <x:c r="L188" s="8" t="s">
        <x:v>367</x:v>
      </x:c>
      <x:c r="M188" s="8"/>
      <x:c r="N188" s="10"/>
      <x:c r="O188" s="8" t="s">
        <x:v>690</x:v>
      </x:c>
    </x:row>
    <x:row r="189" ht="32" customHeight="1">
      <x:c r="A189" s="8">
        <x:v>6</x:v>
      </x:c>
      <x:c r="B189" s="8" t="s">
        <x:v>388</x:v>
      </x:c>
      <x:c r="C189" s="8" t="s">
        <x:v>389</x:v>
      </x:c>
      <x:c r="D189" s="8" t="s">
        <x:v>24</x:v>
      </x:c>
      <x:c r="E189" s="8" t="s">
        <x:v>558</x:v>
      </x:c>
      <x:c r="F189" s="8" t="s">
        <x:v>559</x:v>
      </x:c>
      <x:c r="G189" s="25">
        <x:v>46216</x:v>
      </x:c>
      <x:c r="H189" s="25">
        <x:v>46234</x:v>
      </x:c>
      <x:c r="I189" s="8" t="s">
        <x:v>2</x:v>
      </x:c>
      <x:c r="J189" s="8" t="s">
        <x:v>2</x:v>
      </x:c>
      <x:c r="K189" s="25">
        <x:v>46224</x:v>
      </x:c>
      <x:c r="L189" s="8" t="s">
        <x:v>367</x:v>
      </x:c>
      <x:c r="M189" s="8"/>
      <x:c r="N189" s="10"/>
      <x:c r="O189" s="8" t="s">
        <x:v>691</x:v>
      </x:c>
    </x:row>
    <x:row r="190" ht="32" customHeight="1">
      <x:c r="A190" s="8">
        <x:v>6</x:v>
      </x:c>
      <x:c r="B190" s="8" t="s">
        <x:v>391</x:v>
      </x:c>
      <x:c r="C190" s="8" t="s">
        <x:v>392</x:v>
      </x:c>
      <x:c r="D190" s="8" t="s">
        <x:v>24</x:v>
      </x:c>
      <x:c r="E190" s="8" t="s">
        <x:v>558</x:v>
      </x:c>
      <x:c r="F190" s="8" t="s">
        <x:v>559</x:v>
      </x:c>
      <x:c r="G190" s="25">
        <x:v>46216</x:v>
      </x:c>
      <x:c r="H190" s="25">
        <x:v>46234</x:v>
      </x:c>
      <x:c r="I190" s="8" t="s">
        <x:v>2</x:v>
      </x:c>
      <x:c r="J190" s="8" t="s">
        <x:v>2</x:v>
      </x:c>
      <x:c r="K190" s="25">
        <x:v>46224</x:v>
      </x:c>
      <x:c r="L190" s="8" t="s">
        <x:v>367</x:v>
      </x:c>
      <x:c r="M190" s="8"/>
      <x:c r="N190" s="10"/>
      <x:c r="O190" s="8" t="s">
        <x:v>692</x:v>
      </x:c>
    </x:row>
    <x:row r="191" ht="32" customHeight="1">
      <x:c r="A191" s="8">
        <x:v>6</x:v>
      </x:c>
      <x:c r="B191" s="8" t="s">
        <x:v>394</x:v>
      </x:c>
      <x:c r="C191" s="8" t="s">
        <x:v>395</x:v>
      </x:c>
      <x:c r="D191" s="8" t="s">
        <x:v>24</x:v>
      </x:c>
      <x:c r="E191" s="8" t="s">
        <x:v>558</x:v>
      </x:c>
      <x:c r="F191" s="8" t="s">
        <x:v>559</x:v>
      </x:c>
      <x:c r="G191" s="25">
        <x:v>46216</x:v>
      </x:c>
      <x:c r="H191" s="25">
        <x:v>46234</x:v>
      </x:c>
      <x:c r="I191" s="8" t="s">
        <x:v>2</x:v>
      </x:c>
      <x:c r="J191" s="8" t="s">
        <x:v>2</x:v>
      </x:c>
      <x:c r="K191" s="25">
        <x:v>46224</x:v>
      </x:c>
      <x:c r="L191" s="8" t="s">
        <x:v>367</x:v>
      </x:c>
      <x:c r="M191" s="8"/>
      <x:c r="N191" s="10"/>
      <x:c r="O191" s="8" t="s">
        <x:v>693</x:v>
      </x:c>
    </x:row>
    <x:row r="192" ht="32" customHeight="1">
      <x:c r="A192" s="8">
        <x:v>6</x:v>
      </x:c>
      <x:c r="B192" s="8" t="s">
        <x:v>397</x:v>
      </x:c>
      <x:c r="C192" s="8" t="s">
        <x:v>398</x:v>
      </x:c>
      <x:c r="D192" s="8" t="s">
        <x:v>24</x:v>
      </x:c>
      <x:c r="E192" s="8" t="s">
        <x:v>558</x:v>
      </x:c>
      <x:c r="F192" s="8" t="s">
        <x:v>559</x:v>
      </x:c>
      <x:c r="G192" s="25">
        <x:v>46216</x:v>
      </x:c>
      <x:c r="H192" s="25">
        <x:v>46234</x:v>
      </x:c>
      <x:c r="I192" s="8" t="s">
        <x:v>2</x:v>
      </x:c>
      <x:c r="J192" s="8" t="s">
        <x:v>2</x:v>
      </x:c>
      <x:c r="K192" s="25">
        <x:v>46224</x:v>
      </x:c>
      <x:c r="L192" s="8" t="s">
        <x:v>367</x:v>
      </x:c>
      <x:c r="M192" s="8"/>
      <x:c r="N192" s="10"/>
      <x:c r="O192" s="8" t="s">
        <x:v>694</x:v>
      </x:c>
    </x:row>
    <x:row r="193" ht="32" customHeight="1">
      <x:c r="A193" s="8">
        <x:v>6</x:v>
      </x:c>
      <x:c r="B193" s="8" t="s">
        <x:v>400</x:v>
      </x:c>
      <x:c r="C193" s="8" t="s">
        <x:v>401</x:v>
      </x:c>
      <x:c r="D193" s="8" t="s">
        <x:v>24</x:v>
      </x:c>
      <x:c r="E193" s="8" t="s">
        <x:v>558</x:v>
      </x:c>
      <x:c r="F193" s="8" t="s">
        <x:v>559</x:v>
      </x:c>
      <x:c r="G193" s="25">
        <x:v>46216</x:v>
      </x:c>
      <x:c r="H193" s="25">
        <x:v>46234</x:v>
      </x:c>
      <x:c r="I193" s="8" t="s">
        <x:v>3</x:v>
      </x:c>
      <x:c r="J193" s="8" t="s">
        <x:v>3</x:v>
      </x:c>
      <x:c r="K193" s="25"/>
      <x:c r="L193" s="8" t="s">
        <x:v>595</x:v>
      </x:c>
      <x:c r="M193" s="8"/>
      <x:c r="N193" s="10"/>
      <x:c r="O193" s="8" t="s">
        <x:v>695</x:v>
      </x:c>
    </x:row>
    <x:row r="194" ht="32" customHeight="1">
      <x:c r="A194" s="8">
        <x:v>6</x:v>
      </x:c>
      <x:c r="B194" s="8" t="s">
        <x:v>403</x:v>
      </x:c>
      <x:c r="C194" s="8" t="s">
        <x:v>404</x:v>
      </x:c>
      <x:c r="D194" s="8" t="s">
        <x:v>24</x:v>
      </x:c>
      <x:c r="E194" s="8" t="s">
        <x:v>558</x:v>
      </x:c>
      <x:c r="F194" s="8" t="s">
        <x:v>559</x:v>
      </x:c>
      <x:c r="G194" s="25">
        <x:v>46216</x:v>
      </x:c>
      <x:c r="H194" s="25">
        <x:v>46234</x:v>
      </x:c>
      <x:c r="I194" s="8" t="s">
        <x:v>3</x:v>
      </x:c>
      <x:c r="J194" s="8" t="s">
        <x:v>3</x:v>
      </x:c>
      <x:c r="K194" s="25">
        <x:v>46261</x:v>
      </x:c>
      <x:c r="L194" s="8" t="s">
        <x:v>595</x:v>
      </x:c>
      <x:c r="M194" s="8"/>
      <x:c r="N194" s="10"/>
      <x:c r="O194" s="8" t="s">
        <x:v>696</x:v>
      </x:c>
    </x:row>
    <x:row r="195" ht="32" customHeight="1">
      <x:c r="A195" s="8">
        <x:v>6</x:v>
      </x:c>
      <x:c r="B195" s="8" t="s">
        <x:v>406</x:v>
      </x:c>
      <x:c r="C195" s="8" t="s">
        <x:v>407</x:v>
      </x:c>
      <x:c r="D195" s="8" t="s">
        <x:v>24</x:v>
      </x:c>
      <x:c r="E195" s="8" t="s">
        <x:v>558</x:v>
      </x:c>
      <x:c r="F195" s="8" t="s">
        <x:v>559</x:v>
      </x:c>
      <x:c r="G195" s="25">
        <x:v>46216</x:v>
      </x:c>
      <x:c r="H195" s="25">
        <x:v>46234</x:v>
      </x:c>
      <x:c r="I195" s="8" t="s">
        <x:v>3</x:v>
      </x:c>
      <x:c r="J195" s="8" t="s">
        <x:v>3</x:v>
      </x:c>
      <x:c r="K195" s="25">
        <x:v>46261</x:v>
      </x:c>
      <x:c r="L195" s="8" t="s">
        <x:v>595</x:v>
      </x:c>
      <x:c r="M195" s="8"/>
      <x:c r="N195" s="10"/>
      <x:c r="O195" s="8" t="s">
        <x:v>697</x:v>
      </x:c>
    </x:row>
    <x:row r="196" ht="32" customHeight="1">
      <x:c r="A196" s="8">
        <x:v>6</x:v>
      </x:c>
      <x:c r="B196" s="8" t="s">
        <x:v>409</x:v>
      </x:c>
      <x:c r="C196" s="8" t="s">
        <x:v>410</x:v>
      </x:c>
      <x:c r="D196" s="8" t="s">
        <x:v>24</x:v>
      </x:c>
      <x:c r="E196" s="8" t="s">
        <x:v>558</x:v>
      </x:c>
      <x:c r="F196" s="8" t="s">
        <x:v>559</x:v>
      </x:c>
      <x:c r="G196" s="25">
        <x:v>46216</x:v>
      </x:c>
      <x:c r="H196" s="25">
        <x:v>46234</x:v>
      </x:c>
      <x:c r="I196" s="8" t="s">
        <x:v>2</x:v>
      </x:c>
      <x:c r="J196" s="8" t="s">
        <x:v>2</x:v>
      </x:c>
      <x:c r="K196" s="25">
        <x:v>46261</x:v>
      </x:c>
      <x:c r="L196" s="8" t="s">
        <x:v>367</x:v>
      </x:c>
      <x:c r="M196" s="8"/>
      <x:c r="N196" s="10"/>
      <x:c r="O196" s="8" t="s">
        <x:v>698</x:v>
      </x:c>
    </x:row>
    <x:row r="197" ht="32" customHeight="1">
      <x:c r="A197" s="8">
        <x:v>6</x:v>
      </x:c>
      <x:c r="B197" s="8" t="s">
        <x:v>412</x:v>
      </x:c>
      <x:c r="C197" s="8" t="s">
        <x:v>413</x:v>
      </x:c>
      <x:c r="D197" s="8" t="s">
        <x:v>24</x:v>
      </x:c>
      <x:c r="E197" s="8" t="s">
        <x:v>558</x:v>
      </x:c>
      <x:c r="F197" s="8" t="s">
        <x:v>559</x:v>
      </x:c>
      <x:c r="G197" s="25">
        <x:v>46216</x:v>
      </x:c>
      <x:c r="H197" s="25">
        <x:v>46234</x:v>
      </x:c>
      <x:c r="I197" s="8" t="s">
        <x:v>2</x:v>
      </x:c>
      <x:c r="J197" s="8" t="s">
        <x:v>2</x:v>
      </x:c>
      <x:c r="K197" s="25">
        <x:v>46261</x:v>
      </x:c>
      <x:c r="L197" s="8" t="s">
        <x:v>367</x:v>
      </x:c>
      <x:c r="M197" s="8"/>
      <x:c r="N197" s="10"/>
      <x:c r="O197" s="8" t="s">
        <x:v>699</x:v>
      </x:c>
    </x:row>
    <x:row r="198" ht="32" customHeight="1">
      <x:c r="A198" s="8">
        <x:v>6</x:v>
      </x:c>
      <x:c r="B198" s="8" t="s">
        <x:v>415</x:v>
      </x:c>
      <x:c r="C198" s="8" t="s">
        <x:v>416</x:v>
      </x:c>
      <x:c r="D198" s="8" t="s">
        <x:v>24</x:v>
      </x:c>
      <x:c r="E198" s="8" t="s">
        <x:v>558</x:v>
      </x:c>
      <x:c r="F198" s="8" t="s">
        <x:v>559</x:v>
      </x:c>
      <x:c r="G198" s="25">
        <x:v>46216</x:v>
      </x:c>
      <x:c r="H198" s="25">
        <x:v>46234</x:v>
      </x:c>
      <x:c r="I198" s="8" t="s">
        <x:v>2</x:v>
      </x:c>
      <x:c r="J198" s="8" t="s">
        <x:v>2</x:v>
      </x:c>
      <x:c r="K198" s="25">
        <x:v>46261</x:v>
      </x:c>
      <x:c r="L198" s="8" t="s">
        <x:v>367</x:v>
      </x:c>
      <x:c r="M198" s="8"/>
      <x:c r="N198" s="10"/>
      <x:c r="O198" s="8" t="s">
        <x:v>700</x:v>
      </x:c>
    </x:row>
    <x:row r="199" ht="32" customHeight="1">
      <x:c r="A199" s="8">
        <x:v>6</x:v>
      </x:c>
      <x:c r="B199" s="8" t="s">
        <x:v>418</x:v>
      </x:c>
      <x:c r="C199" s="8" t="s">
        <x:v>419</x:v>
      </x:c>
      <x:c r="D199" s="8" t="s">
        <x:v>24</x:v>
      </x:c>
      <x:c r="E199" s="8" t="s">
        <x:v>558</x:v>
      </x:c>
      <x:c r="F199" s="8" t="s">
        <x:v>559</x:v>
      </x:c>
      <x:c r="G199" s="25">
        <x:v>46216</x:v>
      </x:c>
      <x:c r="H199" s="25">
        <x:v>46234</x:v>
      </x:c>
      <x:c r="I199" s="8" t="s">
        <x:v>2</x:v>
      </x:c>
      <x:c r="J199" s="8" t="s">
        <x:v>2</x:v>
      </x:c>
      <x:c r="K199" s="25">
        <x:v>46261</x:v>
      </x:c>
      <x:c r="L199" s="8" t="s">
        <x:v>367</x:v>
      </x:c>
      <x:c r="M199" s="8"/>
      <x:c r="N199" s="10"/>
      <x:c r="O199" s="8" t="s">
        <x:v>701</x:v>
      </x:c>
    </x:row>
    <x:row r="200" ht="32" customHeight="1">
      <x:c r="A200" s="8">
        <x:v>6</x:v>
      </x:c>
      <x:c r="B200" s="8" t="s">
        <x:v>421</x:v>
      </x:c>
      <x:c r="C200" s="8" t="s">
        <x:v>419</x:v>
      </x:c>
      <x:c r="D200" s="8" t="s">
        <x:v>24</x:v>
      </x:c>
      <x:c r="E200" s="8" t="s">
        <x:v>558</x:v>
      </x:c>
      <x:c r="F200" s="8" t="s">
        <x:v>559</x:v>
      </x:c>
      <x:c r="G200" s="25">
        <x:v>46216</x:v>
      </x:c>
      <x:c r="H200" s="25">
        <x:v>46234</x:v>
      </x:c>
      <x:c r="I200" s="8" t="s">
        <x:v>2</x:v>
      </x:c>
      <x:c r="J200" s="8" t="s">
        <x:v>2</x:v>
      </x:c>
      <x:c r="K200" s="25">
        <x:v>46261</x:v>
      </x:c>
      <x:c r="L200" s="8" t="s">
        <x:v>367</x:v>
      </x:c>
      <x:c r="M200" s="8"/>
      <x:c r="N200" s="10"/>
      <x:c r="O200" s="8" t="s">
        <x:v>702</x:v>
      </x:c>
    </x:row>
    <x:row r="201" ht="32" customHeight="1">
      <x:c r="A201" s="8">
        <x:v>6</x:v>
      </x:c>
      <x:c r="B201" s="8" t="s">
        <x:v>423</x:v>
      </x:c>
      <x:c r="C201" s="8" t="s">
        <x:v>424</x:v>
      </x:c>
      <x:c r="D201" s="8" t="s">
        <x:v>24</x:v>
      </x:c>
      <x:c r="E201" s="8" t="s">
        <x:v>558</x:v>
      </x:c>
      <x:c r="F201" s="8" t="s">
        <x:v>559</x:v>
      </x:c>
      <x:c r="G201" s="25">
        <x:v>46216</x:v>
      </x:c>
      <x:c r="H201" s="25">
        <x:v>46234</x:v>
      </x:c>
      <x:c r="I201" s="8" t="s">
        <x:v>2</x:v>
      </x:c>
      <x:c r="J201" s="8" t="s">
        <x:v>2</x:v>
      </x:c>
      <x:c r="K201" s="25">
        <x:v>46261</x:v>
      </x:c>
      <x:c r="L201" s="8" t="s">
        <x:v>367</x:v>
      </x:c>
      <x:c r="M201" s="8"/>
      <x:c r="N201" s="10"/>
      <x:c r="O201" s="8" t="s">
        <x:v>703</x:v>
      </x:c>
    </x:row>
    <x:row r="202" ht="32" customHeight="1">
      <x:c r="A202" s="8">
        <x:v>6</x:v>
      </x:c>
      <x:c r="B202" s="8" t="s">
        <x:v>426</x:v>
      </x:c>
      <x:c r="C202" s="8" t="s">
        <x:v>424</x:v>
      </x:c>
      <x:c r="D202" s="8" t="s">
        <x:v>24</x:v>
      </x:c>
      <x:c r="E202" s="8" t="s">
        <x:v>558</x:v>
      </x:c>
      <x:c r="F202" s="8" t="s">
        <x:v>559</x:v>
      </x:c>
      <x:c r="G202" s="25">
        <x:v>46216</x:v>
      </x:c>
      <x:c r="H202" s="25">
        <x:v>46234</x:v>
      </x:c>
      <x:c r="I202" s="8" t="s">
        <x:v>2</x:v>
      </x:c>
      <x:c r="J202" s="8" t="s">
        <x:v>2</x:v>
      </x:c>
      <x:c r="K202" s="25">
        <x:v>46261</x:v>
      </x:c>
      <x:c r="L202" s="8" t="s">
        <x:v>367</x:v>
      </x:c>
      <x:c r="M202" s="8"/>
      <x:c r="N202" s="10"/>
      <x:c r="O202" s="8" t="s">
        <x:v>704</x:v>
      </x:c>
    </x:row>
    <x:row r="203" ht="32" customHeight="1">
      <x:c r="A203" s="8">
        <x:v>6</x:v>
      </x:c>
      <x:c r="B203" s="8" t="s">
        <x:v>428</x:v>
      </x:c>
      <x:c r="C203" s="8" t="s">
        <x:v>424</x:v>
      </x:c>
      <x:c r="D203" s="8" t="s">
        <x:v>24</x:v>
      </x:c>
      <x:c r="E203" s="8" t="s">
        <x:v>558</x:v>
      </x:c>
      <x:c r="F203" s="8" t="s">
        <x:v>559</x:v>
      </x:c>
      <x:c r="G203" s="25">
        <x:v>46216</x:v>
      </x:c>
      <x:c r="H203" s="25">
        <x:v>46234</x:v>
      </x:c>
      <x:c r="I203" s="8" t="s">
        <x:v>2</x:v>
      </x:c>
      <x:c r="J203" s="8" t="s">
        <x:v>2</x:v>
      </x:c>
      <x:c r="K203" s="25">
        <x:v>46261</x:v>
      </x:c>
      <x:c r="L203" s="8" t="s">
        <x:v>367</x:v>
      </x:c>
      <x:c r="M203" s="8"/>
      <x:c r="N203" s="10"/>
      <x:c r="O203" s="8" t="s">
        <x:v>705</x:v>
      </x:c>
    </x:row>
    <x:row r="204" ht="32" customHeight="1">
      <x:c r="A204" s="8">
        <x:v>6</x:v>
      </x:c>
      <x:c r="B204" s="8" t="s">
        <x:v>430</x:v>
      </x:c>
      <x:c r="C204" s="8" t="s">
        <x:v>424</x:v>
      </x:c>
      <x:c r="D204" s="8" t="s">
        <x:v>24</x:v>
      </x:c>
      <x:c r="E204" s="8" t="s">
        <x:v>558</x:v>
      </x:c>
      <x:c r="F204" s="8" t="s">
        <x:v>559</x:v>
      </x:c>
      <x:c r="G204" s="25">
        <x:v>46216</x:v>
      </x:c>
      <x:c r="H204" s="25">
        <x:v>46234</x:v>
      </x:c>
      <x:c r="I204" s="8" t="s">
        <x:v>2</x:v>
      </x:c>
      <x:c r="J204" s="8" t="s">
        <x:v>2</x:v>
      </x:c>
      <x:c r="K204" s="25">
        <x:v>46261</x:v>
      </x:c>
      <x:c r="L204" s="8" t="s">
        <x:v>367</x:v>
      </x:c>
      <x:c r="M204" s="8"/>
      <x:c r="N204" s="10"/>
      <x:c r="O204" s="8" t="s">
        <x:v>706</x:v>
      </x:c>
    </x:row>
    <x:row r="205" ht="32" customHeight="1">
      <x:c r="A205" s="8">
        <x:v>6</x:v>
      </x:c>
      <x:c r="B205" s="8" t="s">
        <x:v>470</x:v>
      </x:c>
      <x:c r="C205" s="8" t="s">
        <x:v>471</x:v>
      </x:c>
      <x:c r="D205" s="8" t="s">
        <x:v>24</x:v>
      </x:c>
      <x:c r="E205" s="8" t="s">
        <x:v>558</x:v>
      </x:c>
      <x:c r="F205" s="8" t="s">
        <x:v>559</x:v>
      </x:c>
      <x:c r="G205" s="25">
        <x:v>46216</x:v>
      </x:c>
      <x:c r="H205" s="25">
        <x:v>46234</x:v>
      </x:c>
      <x:c r="I205" s="8" t="s">
        <x:v>2</x:v>
      </x:c>
      <x:c r="J205" s="8" t="s">
        <x:v>2</x:v>
      </x:c>
      <x:c r="K205" s="25">
        <x:v>46224</x:v>
      </x:c>
      <x:c r="L205" s="8" t="s">
        <x:v>367</x:v>
      </x:c>
      <x:c r="M205" s="8"/>
      <x:c r="N205" s="10"/>
      <x:c r="O205" s="8" t="s">
        <x:v>707</x:v>
      </x:c>
    </x:row>
    <x:row r="206" ht="32" customHeight="1">
      <x:c r="A206" s="8">
        <x:v>6</x:v>
      </x:c>
      <x:c r="B206" s="8" t="s">
        <x:v>432</x:v>
      </x:c>
      <x:c r="C206" s="8" t="s">
        <x:v>433</x:v>
      </x:c>
      <x:c r="D206" s="8" t="s">
        <x:v>24</x:v>
      </x:c>
      <x:c r="E206" s="8" t="s">
        <x:v>558</x:v>
      </x:c>
      <x:c r="F206" s="8" t="s">
        <x:v>559</x:v>
      </x:c>
      <x:c r="G206" s="25">
        <x:v>46216</x:v>
      </x:c>
      <x:c r="H206" s="25">
        <x:v>46234</x:v>
      </x:c>
      <x:c r="I206" s="8" t="s">
        <x:v>2</x:v>
      </x:c>
      <x:c r="J206" s="8" t="s">
        <x:v>2</x:v>
      </x:c>
      <x:c r="K206" s="25"/>
      <x:c r="L206" s="8" t="s">
        <x:v>367</x:v>
      </x:c>
      <x:c r="M206" s="8" t="s">
        <x:v>368</x:v>
      </x:c>
      <x:c r="N206" s="10"/>
      <x:c r="O206" s="8" t="s">
        <x:v>708</x:v>
      </x:c>
    </x:row>
    <x:row r="207" ht="32" customHeight="1">
      <x:c r="A207" s="8">
        <x:v>6</x:v>
      </x:c>
      <x:c r="B207" s="8" t="s">
        <x:v>435</x:v>
      </x:c>
      <x:c r="C207" s="8" t="s">
        <x:v>436</x:v>
      </x:c>
      <x:c r="D207" s="8" t="s">
        <x:v>24</x:v>
      </x:c>
      <x:c r="E207" s="8" t="s">
        <x:v>558</x:v>
      </x:c>
      <x:c r="F207" s="8" t="s">
        <x:v>559</x:v>
      </x:c>
      <x:c r="G207" s="25">
        <x:v>46216</x:v>
      </x:c>
      <x:c r="H207" s="25">
        <x:v>46234</x:v>
      </x:c>
      <x:c r="I207" s="8" t="s">
        <x:v>2</x:v>
      </x:c>
      <x:c r="J207" s="8" t="s">
        <x:v>2</x:v>
      </x:c>
      <x:c r="K207" s="25">
        <x:v>46224</x:v>
      </x:c>
      <x:c r="L207" s="8" t="s">
        <x:v>367</x:v>
      </x:c>
      <x:c r="M207" s="8"/>
      <x:c r="N207" s="10"/>
      <x:c r="O207" s="8" t="s">
        <x:v>709</x:v>
      </x:c>
    </x:row>
    <x:row r="208" ht="32" customHeight="1">
      <x:c r="A208" s="8">
        <x:v>6</x:v>
      </x:c>
      <x:c r="B208" s="8" t="s">
        <x:v>438</x:v>
      </x:c>
      <x:c r="C208" s="8" t="s">
        <x:v>439</x:v>
      </x:c>
      <x:c r="D208" s="8" t="s">
        <x:v>24</x:v>
      </x:c>
      <x:c r="E208" s="8" t="s">
        <x:v>558</x:v>
      </x:c>
      <x:c r="F208" s="8" t="s">
        <x:v>559</x:v>
      </x:c>
      <x:c r="G208" s="25">
        <x:v>46216</x:v>
      </x:c>
      <x:c r="H208" s="25">
        <x:v>46234</x:v>
      </x:c>
      <x:c r="I208" s="8" t="s">
        <x:v>2</x:v>
      </x:c>
      <x:c r="J208" s="8" t="s">
        <x:v>2</x:v>
      </x:c>
      <x:c r="K208" s="25">
        <x:v>46224</x:v>
      </x:c>
      <x:c r="L208" s="8" t="s">
        <x:v>367</x:v>
      </x:c>
      <x:c r="M208" s="8"/>
      <x:c r="N208" s="10"/>
      <x:c r="O208" s="8" t="s">
        <x:v>710</x:v>
      </x:c>
    </x:row>
    <x:row r="209" ht="32" customHeight="1">
      <x:c r="A209" s="8">
        <x:v>6</x:v>
      </x:c>
      <x:c r="B209" s="8" t="s">
        <x:v>441</x:v>
      </x:c>
      <x:c r="C209" s="8" t="s">
        <x:v>442</x:v>
      </x:c>
      <x:c r="D209" s="8" t="s">
        <x:v>24</x:v>
      </x:c>
      <x:c r="E209" s="8" t="s">
        <x:v>558</x:v>
      </x:c>
      <x:c r="F209" s="8" t="s">
        <x:v>559</x:v>
      </x:c>
      <x:c r="G209" s="25">
        <x:v>46216</x:v>
      </x:c>
      <x:c r="H209" s="25">
        <x:v>46234</x:v>
      </x:c>
      <x:c r="I209" s="8" t="s">
        <x:v>2</x:v>
      </x:c>
      <x:c r="J209" s="8" t="s">
        <x:v>2</x:v>
      </x:c>
      <x:c r="K209" s="25">
        <x:v>46224</x:v>
      </x:c>
      <x:c r="L209" s="8" t="s">
        <x:v>367</x:v>
      </x:c>
      <x:c r="M209" s="8"/>
      <x:c r="N209" s="10"/>
      <x:c r="O209" s="8" t="s">
        <x:v>711</x:v>
      </x:c>
    </x:row>
    <x:row r="210" ht="32" customHeight="1">
      <x:c r="A210" s="8">
        <x:v>6</x:v>
      </x:c>
      <x:c r="B210" s="8" t="s">
        <x:v>444</x:v>
      </x:c>
      <x:c r="C210" s="8" t="s">
        <x:v>445</x:v>
      </x:c>
      <x:c r="D210" s="8" t="s">
        <x:v>24</x:v>
      </x:c>
      <x:c r="E210" s="8" t="s">
        <x:v>558</x:v>
      </x:c>
      <x:c r="F210" s="8" t="s">
        <x:v>559</x:v>
      </x:c>
      <x:c r="G210" s="25">
        <x:v>46216</x:v>
      </x:c>
      <x:c r="H210" s="25">
        <x:v>46234</x:v>
      </x:c>
      <x:c r="I210" s="8" t="s">
        <x:v>2</x:v>
      </x:c>
      <x:c r="J210" s="8" t="s">
        <x:v>2</x:v>
      </x:c>
      <x:c r="K210" s="25">
        <x:v>46224</x:v>
      </x:c>
      <x:c r="L210" s="8" t="s">
        <x:v>367</x:v>
      </x:c>
      <x:c r="M210" s="8"/>
      <x:c r="N210" s="10"/>
      <x:c r="O210" s="8" t="s">
        <x:v>712</x:v>
      </x:c>
    </x:row>
    <x:row r="211" ht="32" customHeight="1">
      <x:c r="A211" s="8">
        <x:v>6</x:v>
      </x:c>
      <x:c r="B211" s="8" t="s">
        <x:v>447</x:v>
      </x:c>
      <x:c r="C211" s="8" t="s">
        <x:v>448</x:v>
      </x:c>
      <x:c r="D211" s="8" t="s">
        <x:v>24</x:v>
      </x:c>
      <x:c r="E211" s="8" t="s">
        <x:v>558</x:v>
      </x:c>
      <x:c r="F211" s="8" t="s">
        <x:v>559</x:v>
      </x:c>
      <x:c r="G211" s="25">
        <x:v>46216</x:v>
      </x:c>
      <x:c r="H211" s="25">
        <x:v>46234</x:v>
      </x:c>
      <x:c r="I211" s="8" t="s">
        <x:v>2</x:v>
      </x:c>
      <x:c r="J211" s="8" t="s">
        <x:v>2</x:v>
      </x:c>
      <x:c r="K211" s="25">
        <x:v>46224</x:v>
      </x:c>
      <x:c r="L211" s="8" t="s">
        <x:v>367</x:v>
      </x:c>
      <x:c r="M211" s="8"/>
      <x:c r="N211" s="10"/>
      <x:c r="O211" s="8" t="s">
        <x:v>713</x:v>
      </x:c>
    </x:row>
    <x:row r="212" ht="32" customHeight="1">
      <x:c r="A212" s="8">
        <x:v>6</x:v>
      </x:c>
      <x:c r="B212" s="8" t="s">
        <x:v>450</x:v>
      </x:c>
      <x:c r="C212" s="8" t="s">
        <x:v>451</x:v>
      </x:c>
      <x:c r="D212" s="8" t="s">
        <x:v>24</x:v>
      </x:c>
      <x:c r="E212" s="8" t="s">
        <x:v>558</x:v>
      </x:c>
      <x:c r="F212" s="8" t="s">
        <x:v>559</x:v>
      </x:c>
      <x:c r="G212" s="25">
        <x:v>46216</x:v>
      </x:c>
      <x:c r="H212" s="25">
        <x:v>46234</x:v>
      </x:c>
      <x:c r="I212" s="8" t="s">
        <x:v>3</x:v>
      </x:c>
      <x:c r="J212" s="8" t="s">
        <x:v>3</x:v>
      </x:c>
      <x:c r="K212" s="25"/>
      <x:c r="L212" s="8" t="s">
        <x:v>595</x:v>
      </x:c>
      <x:c r="M212" s="8"/>
      <x:c r="N212" s="10"/>
      <x:c r="O212" s="8" t="s">
        <x:v>714</x:v>
      </x:c>
    </x:row>
    <x:row r="213" ht="32" customHeight="1">
      <x:c r="A213" s="8">
        <x:v>6</x:v>
      </x:c>
      <x:c r="B213" s="8" t="s">
        <x:v>453</x:v>
      </x:c>
      <x:c r="C213" s="8" t="s">
        <x:v>454</x:v>
      </x:c>
      <x:c r="D213" s="8" t="s">
        <x:v>24</x:v>
      </x:c>
      <x:c r="E213" s="8" t="s">
        <x:v>558</x:v>
      </x:c>
      <x:c r="F213" s="8" t="s">
        <x:v>559</x:v>
      </x:c>
      <x:c r="G213" s="25">
        <x:v>46216</x:v>
      </x:c>
      <x:c r="H213" s="25">
        <x:v>46234</x:v>
      </x:c>
      <x:c r="I213" s="8" t="s">
        <x:v>2</x:v>
      </x:c>
      <x:c r="J213" s="8" t="s">
        <x:v>2</x:v>
      </x:c>
      <x:c r="K213" s="25">
        <x:v>46261</x:v>
      </x:c>
      <x:c r="L213" s="8" t="s">
        <x:v>367</x:v>
      </x:c>
      <x:c r="M213" s="8"/>
      <x:c r="N213" s="10"/>
      <x:c r="O213" s="8" t="s">
        <x:v>715</x:v>
      </x:c>
    </x:row>
    <x:row r="214" ht="32" customHeight="1">
      <x:c r="A214" s="8">
        <x:v>6</x:v>
      </x:c>
      <x:c r="B214" s="8" t="s">
        <x:v>456</x:v>
      </x:c>
      <x:c r="C214" s="8" t="s">
        <x:v>457</x:v>
      </x:c>
      <x:c r="D214" s="8" t="s">
        <x:v>24</x:v>
      </x:c>
      <x:c r="E214" s="8" t="s">
        <x:v>558</x:v>
      </x:c>
      <x:c r="F214" s="8" t="s">
        <x:v>559</x:v>
      </x:c>
      <x:c r="G214" s="25">
        <x:v>46216</x:v>
      </x:c>
      <x:c r="H214" s="25">
        <x:v>46234</x:v>
      </x:c>
      <x:c r="I214" s="8" t="s">
        <x:v>2</x:v>
      </x:c>
      <x:c r="J214" s="8" t="s">
        <x:v>2</x:v>
      </x:c>
      <x:c r="K214" s="25"/>
      <x:c r="L214" s="8" t="s">
        <x:v>367</x:v>
      </x:c>
      <x:c r="M214" s="8" t="s">
        <x:v>368</x:v>
      </x:c>
      <x:c r="N214" s="10"/>
      <x:c r="O214" s="8" t="s">
        <x:v>716</x:v>
      </x:c>
    </x:row>
    <x:row r="215" ht="32" customHeight="1">
      <x:c r="A215" s="8">
        <x:v>6</x:v>
      </x:c>
      <x:c r="B215" s="8" t="s">
        <x:v>459</x:v>
      </x:c>
      <x:c r="C215" s="8" t="s">
        <x:v>460</x:v>
      </x:c>
      <x:c r="D215" s="8" t="s">
        <x:v>24</x:v>
      </x:c>
      <x:c r="E215" s="8" t="s">
        <x:v>558</x:v>
      </x:c>
      <x:c r="F215" s="8" t="s">
        <x:v>559</x:v>
      </x:c>
      <x:c r="G215" s="25">
        <x:v>46216</x:v>
      </x:c>
      <x:c r="H215" s="25">
        <x:v>46234</x:v>
      </x:c>
      <x:c r="I215" s="8" t="s">
        <x:v>2</x:v>
      </x:c>
      <x:c r="J215" s="8" t="s">
        <x:v>2</x:v>
      </x:c>
      <x:c r="K215" s="25">
        <x:v>46224</x:v>
      </x:c>
      <x:c r="L215" s="8" t="s">
        <x:v>367</x:v>
      </x:c>
      <x:c r="M215" s="8"/>
      <x:c r="N215" s="10"/>
      <x:c r="O215" s="8" t="s">
        <x:v>717</x:v>
      </x:c>
    </x:row>
    <x:row r="216" ht="32" customHeight="1">
      <x:c r="A216" s="8">
        <x:v>6</x:v>
      </x:c>
      <x:c r="B216" s="8" t="s">
        <x:v>462</x:v>
      </x:c>
      <x:c r="C216" s="8" t="s">
        <x:v>463</x:v>
      </x:c>
      <x:c r="D216" s="8" t="s">
        <x:v>24</x:v>
      </x:c>
      <x:c r="E216" s="8" t="s">
        <x:v>558</x:v>
      </x:c>
      <x:c r="F216" s="8" t="s">
        <x:v>559</x:v>
      </x:c>
      <x:c r="G216" s="25">
        <x:v>46216</x:v>
      </x:c>
      <x:c r="H216" s="25">
        <x:v>46234</x:v>
      </x:c>
      <x:c r="I216" s="8" t="s">
        <x:v>2</x:v>
      </x:c>
      <x:c r="J216" s="8" t="s">
        <x:v>2</x:v>
      </x:c>
      <x:c r="K216" s="25">
        <x:v>46224</x:v>
      </x:c>
      <x:c r="L216" s="8" t="s">
        <x:v>367</x:v>
      </x:c>
      <x:c r="M216" s="8"/>
      <x:c r="N216" s="10"/>
      <x:c r="O216" s="8" t="s">
        <x:v>718</x:v>
      </x:c>
    </x:row>
    <x:row r="217" ht="32" customHeight="1">
      <x:c r="A217" s="8">
        <x:v>7</x:v>
      </x:c>
      <x:c r="B217" s="8" t="s">
        <x:v>719</x:v>
      </x:c>
      <x:c r="C217" s="8" t="s">
        <x:v>720</x:v>
      </x:c>
      <x:c r="D217" s="8" t="s">
        <x:v>25</x:v>
      </x:c>
      <x:c r="E217" s="8" t="s">
        <x:v>365</x:v>
      </x:c>
      <x:c r="F217" s="8" t="s">
        <x:v>366</x:v>
      </x:c>
      <x:c r="G217" s="25">
        <x:v>46230</x:v>
      </x:c>
      <x:c r="H217" s="25">
        <x:v>46241</x:v>
      </x:c>
      <x:c r="I217" s="8" t="s">
        <x:v>2</x:v>
      </x:c>
      <x:c r="J217" s="8" t="s">
        <x:v>2</x:v>
      </x:c>
      <x:c r="K217" s="25"/>
      <x:c r="L217" s="8" t="s">
        <x:v>367</x:v>
      </x:c>
      <x:c r="M217" s="8" t="s">
        <x:v>368</x:v>
      </x:c>
      <x:c r="N217" s="10"/>
      <x:c r="O217" s="8" t="s">
        <x:v>721</x:v>
      </x:c>
    </x:row>
    <x:row r="218" ht="32" customHeight="1">
      <x:c r="A218" s="8">
        <x:v>7</x:v>
      </x:c>
      <x:c r="B218" s="8" t="s">
        <x:v>722</x:v>
      </x:c>
      <x:c r="C218" s="8" t="s">
        <x:v>723</x:v>
      </x:c>
      <x:c r="D218" s="8" t="s">
        <x:v>25</x:v>
      </x:c>
      <x:c r="E218" s="8" t="s">
        <x:v>365</x:v>
      </x:c>
      <x:c r="F218" s="8" t="s">
        <x:v>366</x:v>
      </x:c>
      <x:c r="G218" s="25">
        <x:v>46230</x:v>
      </x:c>
      <x:c r="H218" s="25">
        <x:v>46241</x:v>
      </x:c>
      <x:c r="I218" s="8" t="s">
        <x:v>2</x:v>
      </x:c>
      <x:c r="J218" s="8" t="s">
        <x:v>3</x:v>
      </x:c>
      <x:c r="K218" s="25"/>
      <x:c r="L218" s="8" t="s">
        <x:v>367</x:v>
      </x:c>
      <x:c r="M218" s="8" t="s">
        <x:v>368</x:v>
      </x:c>
      <x:c r="N218" s="10"/>
      <x:c r="O218" s="8" t="s">
        <x:v>724</x:v>
      </x:c>
    </x:row>
    <x:row r="219" ht="32" customHeight="1">
      <x:c r="A219" s="8">
        <x:v>7</x:v>
      </x:c>
      <x:c r="B219" s="8" t="s">
        <x:v>725</x:v>
      </x:c>
      <x:c r="C219" s="8" t="s">
        <x:v>726</x:v>
      </x:c>
      <x:c r="D219" s="8" t="s">
        <x:v>25</x:v>
      </x:c>
      <x:c r="E219" s="8" t="s">
        <x:v>365</x:v>
      </x:c>
      <x:c r="F219" s="8" t="s">
        <x:v>366</x:v>
      </x:c>
      <x:c r="G219" s="25">
        <x:v>46230</x:v>
      </x:c>
      <x:c r="H219" s="25">
        <x:v>46241</x:v>
      </x:c>
      <x:c r="I219" s="8" t="s">
        <x:v>2</x:v>
      </x:c>
      <x:c r="J219" s="8" t="s">
        <x:v>3</x:v>
      </x:c>
      <x:c r="K219" s="25"/>
      <x:c r="L219" s="8" t="s">
        <x:v>367</x:v>
      </x:c>
      <x:c r="M219" s="8" t="s">
        <x:v>368</x:v>
      </x:c>
      <x:c r="N219" s="10"/>
      <x:c r="O219" s="8" t="s">
        <x:v>727</x:v>
      </x:c>
    </x:row>
    <x:row r="220" ht="32" customHeight="1">
      <x:c r="A220" s="8">
        <x:v>7</x:v>
      </x:c>
      <x:c r="B220" s="8" t="s">
        <x:v>728</x:v>
      </x:c>
      <x:c r="C220" s="8" t="s">
        <x:v>729</x:v>
      </x:c>
      <x:c r="D220" s="8" t="s">
        <x:v>25</x:v>
      </x:c>
      <x:c r="E220" s="8" t="s">
        <x:v>365</x:v>
      </x:c>
      <x:c r="F220" s="8" t="s">
        <x:v>366</x:v>
      </x:c>
      <x:c r="G220" s="25">
        <x:v>46230</x:v>
      </x:c>
      <x:c r="H220" s="25">
        <x:v>46241</x:v>
      </x:c>
      <x:c r="I220" s="8" t="s">
        <x:v>2</x:v>
      </x:c>
      <x:c r="J220" s="8" t="s">
        <x:v>3</x:v>
      </x:c>
      <x:c r="K220" s="25"/>
      <x:c r="L220" s="8" t="s">
        <x:v>367</x:v>
      </x:c>
      <x:c r="M220" s="8" t="s">
        <x:v>368</x:v>
      </x:c>
      <x:c r="N220" s="10"/>
      <x:c r="O220" s="8" t="s">
        <x:v>730</x:v>
      </x:c>
    </x:row>
    <x:row r="221" ht="32" customHeight="1">
      <x:c r="A221" s="8">
        <x:v>7</x:v>
      </x:c>
      <x:c r="B221" s="8" t="s">
        <x:v>731</x:v>
      </x:c>
      <x:c r="C221" s="8" t="s">
        <x:v>732</x:v>
      </x:c>
      <x:c r="D221" s="8" t="s">
        <x:v>25</x:v>
      </x:c>
      <x:c r="E221" s="8" t="s">
        <x:v>365</x:v>
      </x:c>
      <x:c r="F221" s="8" t="s">
        <x:v>366</x:v>
      </x:c>
      <x:c r="G221" s="25">
        <x:v>46230</x:v>
      </x:c>
      <x:c r="H221" s="25">
        <x:v>46241</x:v>
      </x:c>
      <x:c r="I221" s="8" t="s">
        <x:v>4</x:v>
      </x:c>
      <x:c r="J221" s="8" t="s">
        <x:v>4</x:v>
      </x:c>
      <x:c r="K221" s="25"/>
      <x:c r="L221" s="8" t="s">
        <x:v>595</x:v>
      </x:c>
      <x:c r="M221" s="8"/>
      <x:c r="N221" s="10"/>
      <x:c r="O221" s="8" t="s">
        <x:v>733</x:v>
      </x:c>
    </x:row>
    <x:row r="222" ht="32" customHeight="1">
      <x:c r="A222" s="8">
        <x:v>7</x:v>
      </x:c>
      <x:c r="B222" s="8" t="s">
        <x:v>734</x:v>
      </x:c>
      <x:c r="C222" s="8" t="s">
        <x:v>735</x:v>
      </x:c>
      <x:c r="D222" s="8" t="s">
        <x:v>25</x:v>
      </x:c>
      <x:c r="E222" s="8" t="s">
        <x:v>365</x:v>
      </x:c>
      <x:c r="F222" s="8" t="s">
        <x:v>366</x:v>
      </x:c>
      <x:c r="G222" s="25">
        <x:v>46230</x:v>
      </x:c>
      <x:c r="H222" s="25">
        <x:v>46241</x:v>
      </x:c>
      <x:c r="I222" s="8" t="s">
        <x:v>4</x:v>
      </x:c>
      <x:c r="J222" s="8" t="s">
        <x:v>4</x:v>
      </x:c>
      <x:c r="K222" s="25"/>
      <x:c r="L222" s="8" t="s">
        <x:v>595</x:v>
      </x:c>
      <x:c r="M222" s="8"/>
      <x:c r="N222" s="10"/>
      <x:c r="O222" s="8" t="s">
        <x:v>736</x:v>
      </x:c>
    </x:row>
    <x:row r="223" ht="32" customHeight="1">
      <x:c r="A223" s="8">
        <x:v>7</x:v>
      </x:c>
      <x:c r="B223" s="8" t="s">
        <x:v>737</x:v>
      </x:c>
      <x:c r="C223" s="8" t="s">
        <x:v>738</x:v>
      </x:c>
      <x:c r="D223" s="8" t="s">
        <x:v>25</x:v>
      </x:c>
      <x:c r="E223" s="8" t="s">
        <x:v>365</x:v>
      </x:c>
      <x:c r="F223" s="8" t="s">
        <x:v>366</x:v>
      </x:c>
      <x:c r="G223" s="25">
        <x:v>46230</x:v>
      </x:c>
      <x:c r="H223" s="25">
        <x:v>46241</x:v>
      </x:c>
      <x:c r="I223" s="8" t="s">
        <x:v>4</x:v>
      </x:c>
      <x:c r="J223" s="8" t="s">
        <x:v>4</x:v>
      </x:c>
      <x:c r="K223" s="25"/>
      <x:c r="L223" s="8" t="s">
        <x:v>595</x:v>
      </x:c>
      <x:c r="M223" s="8"/>
      <x:c r="N223" s="10"/>
      <x:c r="O223" s="8" t="s">
        <x:v>739</x:v>
      </x:c>
    </x:row>
    <x:row r="224" ht="32" customHeight="1">
      <x:c r="A224" s="8">
        <x:v>7</x:v>
      </x:c>
      <x:c r="B224" s="8" t="s">
        <x:v>740</x:v>
      </x:c>
      <x:c r="C224" s="8" t="s">
        <x:v>741</x:v>
      </x:c>
      <x:c r="D224" s="8" t="s">
        <x:v>25</x:v>
      </x:c>
      <x:c r="E224" s="8" t="s">
        <x:v>365</x:v>
      </x:c>
      <x:c r="F224" s="8" t="s">
        <x:v>366</x:v>
      </x:c>
      <x:c r="G224" s="25">
        <x:v>46230</x:v>
      </x:c>
      <x:c r="H224" s="25">
        <x:v>46241</x:v>
      </x:c>
      <x:c r="I224" s="8" t="s">
        <x:v>4</x:v>
      </x:c>
      <x:c r="J224" s="8" t="s">
        <x:v>4</x:v>
      </x:c>
      <x:c r="K224" s="25">
        <x:v>46261</x:v>
      </x:c>
      <x:c r="L224" s="8" t="s">
        <x:v>595</x:v>
      </x:c>
      <x:c r="M224" s="8"/>
      <x:c r="N224" s="10"/>
      <x:c r="O224" s="8" t="s">
        <x:v>742</x:v>
      </x:c>
    </x:row>
    <x:row r="225" ht="32" customHeight="1">
      <x:c r="A225" s="8">
        <x:v>7</x:v>
      </x:c>
      <x:c r="B225" s="8" t="s">
        <x:v>743</x:v>
      </x:c>
      <x:c r="C225" s="8" t="s">
        <x:v>744</x:v>
      </x:c>
      <x:c r="D225" s="8" t="s">
        <x:v>25</x:v>
      </x:c>
      <x:c r="E225" s="8" t="s">
        <x:v>365</x:v>
      </x:c>
      <x:c r="F225" s="8" t="s">
        <x:v>366</x:v>
      </x:c>
      <x:c r="G225" s="25">
        <x:v>46230</x:v>
      </x:c>
      <x:c r="H225" s="25">
        <x:v>46241</x:v>
      </x:c>
      <x:c r="I225" s="8" t="s">
        <x:v>2</x:v>
      </x:c>
      <x:c r="J225" s="8" t="s">
        <x:v>3</x:v>
      </x:c>
      <x:c r="K225" s="25">
        <x:v>46261</x:v>
      </x:c>
      <x:c r="L225" s="8" t="s">
        <x:v>367</x:v>
      </x:c>
      <x:c r="M225" s="8"/>
      <x:c r="N225" s="10"/>
      <x:c r="O225" s="8" t="s">
        <x:v>745</x:v>
      </x:c>
    </x:row>
    <x:row r="226" ht="32" customHeight="1">
      <x:c r="A226" s="8">
        <x:v>7</x:v>
      </x:c>
      <x:c r="B226" s="8" t="s">
        <x:v>746</x:v>
      </x:c>
      <x:c r="C226" s="8" t="s">
        <x:v>747</x:v>
      </x:c>
      <x:c r="D226" s="8" t="s">
        <x:v>25</x:v>
      </x:c>
      <x:c r="E226" s="8" t="s">
        <x:v>365</x:v>
      </x:c>
      <x:c r="F226" s="8" t="s">
        <x:v>366</x:v>
      </x:c>
      <x:c r="G226" s="25">
        <x:v>46230</x:v>
      </x:c>
      <x:c r="H226" s="25">
        <x:v>46241</x:v>
      </x:c>
      <x:c r="I226" s="8" t="s">
        <x:v>2</x:v>
      </x:c>
      <x:c r="J226" s="8" t="s">
        <x:v>3</x:v>
      </x:c>
      <x:c r="K226" s="25">
        <x:v>46261</x:v>
      </x:c>
      <x:c r="L226" s="8" t="s">
        <x:v>367</x:v>
      </x:c>
      <x:c r="M226" s="8"/>
      <x:c r="N226" s="10"/>
      <x:c r="O226" s="8" t="s">
        <x:v>748</x:v>
      </x:c>
    </x:row>
    <x:row r="227" ht="32" customHeight="1">
      <x:c r="A227" s="8">
        <x:v>7</x:v>
      </x:c>
      <x:c r="B227" s="8" t="s">
        <x:v>749</x:v>
      </x:c>
      <x:c r="C227" s="8" t="s">
        <x:v>750</x:v>
      </x:c>
      <x:c r="D227" s="8" t="s">
        <x:v>25</x:v>
      </x:c>
      <x:c r="E227" s="8" t="s">
        <x:v>365</x:v>
      </x:c>
      <x:c r="F227" s="8" t="s">
        <x:v>366</x:v>
      </x:c>
      <x:c r="G227" s="25">
        <x:v>46230</x:v>
      </x:c>
      <x:c r="H227" s="25">
        <x:v>46241</x:v>
      </x:c>
      <x:c r="I227" s="8" t="s">
        <x:v>3</x:v>
      </x:c>
      <x:c r="J227" s="8" t="s">
        <x:v>3</x:v>
      </x:c>
      <x:c r="K227" s="25">
        <x:v>46261</x:v>
      </x:c>
      <x:c r="L227" s="8" t="s">
        <x:v>595</x:v>
      </x:c>
      <x:c r="M227" s="8"/>
      <x:c r="N227" s="10"/>
      <x:c r="O227" s="8" t="s">
        <x:v>751</x:v>
      </x:c>
    </x:row>
    <x:row r="228" ht="32" customHeight="1">
      <x:c r="A228" s="8">
        <x:v>7</x:v>
      </x:c>
      <x:c r="B228" s="8" t="s">
        <x:v>752</x:v>
      </x:c>
      <x:c r="C228" s="8" t="s">
        <x:v>753</x:v>
      </x:c>
      <x:c r="D228" s="8" t="s">
        <x:v>25</x:v>
      </x:c>
      <x:c r="E228" s="8" t="s">
        <x:v>365</x:v>
      </x:c>
      <x:c r="F228" s="8" t="s">
        <x:v>366</x:v>
      </x:c>
      <x:c r="G228" s="25">
        <x:v>46230</x:v>
      </x:c>
      <x:c r="H228" s="25">
        <x:v>46241</x:v>
      </x:c>
      <x:c r="I228" s="8" t="s">
        <x:v>3</x:v>
      </x:c>
      <x:c r="J228" s="8" t="s">
        <x:v>3</x:v>
      </x:c>
      <x:c r="K228" s="25">
        <x:v>46261</x:v>
      </x:c>
      <x:c r="L228" s="8" t="s">
        <x:v>595</x:v>
      </x:c>
      <x:c r="M228" s="8"/>
      <x:c r="N228" s="10"/>
      <x:c r="O228" s="8" t="s">
        <x:v>754</x:v>
      </x:c>
    </x:row>
    <x:row r="229" ht="32" customHeight="1">
      <x:c r="A229" s="8">
        <x:v>7</x:v>
      </x:c>
      <x:c r="B229" s="8" t="s">
        <x:v>755</x:v>
      </x:c>
      <x:c r="C229" s="8" t="s">
        <x:v>756</x:v>
      </x:c>
      <x:c r="D229" s="8" t="s">
        <x:v>25</x:v>
      </x:c>
      <x:c r="E229" s="8" t="s">
        <x:v>365</x:v>
      </x:c>
      <x:c r="F229" s="8" t="s">
        <x:v>366</x:v>
      </x:c>
      <x:c r="G229" s="25">
        <x:v>46230</x:v>
      </x:c>
      <x:c r="H229" s="25">
        <x:v>46241</x:v>
      </x:c>
      <x:c r="I229" s="8" t="s">
        <x:v>2</x:v>
      </x:c>
      <x:c r="J229" s="8" t="s">
        <x:v>3</x:v>
      </x:c>
      <x:c r="K229" s="25">
        <x:v>46261</x:v>
      </x:c>
      <x:c r="L229" s="8" t="s">
        <x:v>367</x:v>
      </x:c>
      <x:c r="M229" s="8"/>
      <x:c r="N229" s="10"/>
      <x:c r="O229" s="8" t="s">
        <x:v>757</x:v>
      </x:c>
    </x:row>
    <x:row r="230" ht="32" customHeight="1">
      <x:c r="A230" s="8">
        <x:v>7</x:v>
      </x:c>
      <x:c r="B230" s="8" t="s">
        <x:v>758</x:v>
      </x:c>
      <x:c r="C230" s="8" t="s">
        <x:v>759</x:v>
      </x:c>
      <x:c r="D230" s="8" t="s">
        <x:v>25</x:v>
      </x:c>
      <x:c r="E230" s="8" t="s">
        <x:v>365</x:v>
      </x:c>
      <x:c r="F230" s="8" t="s">
        <x:v>366</x:v>
      </x:c>
      <x:c r="G230" s="25">
        <x:v>46230</x:v>
      </x:c>
      <x:c r="H230" s="25">
        <x:v>46241</x:v>
      </x:c>
      <x:c r="I230" s="8" t="s">
        <x:v>4</x:v>
      </x:c>
      <x:c r="J230" s="8" t="s">
        <x:v>4</x:v>
      </x:c>
      <x:c r="K230" s="25"/>
      <x:c r="L230" s="8" t="s">
        <x:v>595</x:v>
      </x:c>
      <x:c r="M230" s="8"/>
      <x:c r="N230" s="10"/>
      <x:c r="O230" s="8" t="s">
        <x:v>760</x:v>
      </x:c>
    </x:row>
    <x:row r="231" ht="32" customHeight="1">
      <x:c r="A231" s="8">
        <x:v>7</x:v>
      </x:c>
      <x:c r="B231" s="8" t="s">
        <x:v>761</x:v>
      </x:c>
      <x:c r="C231" s="8" t="s">
        <x:v>762</x:v>
      </x:c>
      <x:c r="D231" s="8" t="s">
        <x:v>25</x:v>
      </x:c>
      <x:c r="E231" s="8" t="s">
        <x:v>365</x:v>
      </x:c>
      <x:c r="F231" s="8" t="s">
        <x:v>366</x:v>
      </x:c>
      <x:c r="G231" s="25">
        <x:v>46230</x:v>
      </x:c>
      <x:c r="H231" s="25">
        <x:v>46241</x:v>
      </x:c>
      <x:c r="I231" s="8" t="s">
        <x:v>4</x:v>
      </x:c>
      <x:c r="J231" s="8" t="s">
        <x:v>4</x:v>
      </x:c>
      <x:c r="K231" s="25"/>
      <x:c r="L231" s="8" t="s">
        <x:v>595</x:v>
      </x:c>
      <x:c r="M231" s="8"/>
      <x:c r="N231" s="10"/>
      <x:c r="O231" s="8" t="s">
        <x:v>763</x:v>
      </x:c>
    </x:row>
    <x:row r="232" ht="32" customHeight="1">
      <x:c r="A232" s="8">
        <x:v>7</x:v>
      </x:c>
      <x:c r="B232" s="8" t="s">
        <x:v>764</x:v>
      </x:c>
      <x:c r="C232" s="8" t="s">
        <x:v>765</x:v>
      </x:c>
      <x:c r="D232" s="8" t="s">
        <x:v>25</x:v>
      </x:c>
      <x:c r="E232" s="8" t="s">
        <x:v>365</x:v>
      </x:c>
      <x:c r="F232" s="8" t="s">
        <x:v>366</x:v>
      </x:c>
      <x:c r="G232" s="25">
        <x:v>46230</x:v>
      </x:c>
      <x:c r="H232" s="25">
        <x:v>46241</x:v>
      </x:c>
      <x:c r="I232" s="8" t="s">
        <x:v>4</x:v>
      </x:c>
      <x:c r="J232" s="8" t="s">
        <x:v>4</x:v>
      </x:c>
      <x:c r="K232" s="25"/>
      <x:c r="L232" s="8" t="s">
        <x:v>595</x:v>
      </x:c>
      <x:c r="M232" s="8"/>
      <x:c r="N232" s="10"/>
      <x:c r="O232" s="8" t="s">
        <x:v>766</x:v>
      </x:c>
    </x:row>
    <x:row r="233" ht="32" customHeight="1">
      <x:c r="A233" s="8">
        <x:v>7</x:v>
      </x:c>
      <x:c r="B233" s="8" t="s">
        <x:v>767</x:v>
      </x:c>
      <x:c r="C233" s="8" t="s">
        <x:v>768</x:v>
      </x:c>
      <x:c r="D233" s="8" t="s">
        <x:v>25</x:v>
      </x:c>
      <x:c r="E233" s="8" t="s">
        <x:v>365</x:v>
      </x:c>
      <x:c r="F233" s="8" t="s">
        <x:v>366</x:v>
      </x:c>
      <x:c r="G233" s="25">
        <x:v>46230</x:v>
      </x:c>
      <x:c r="H233" s="25">
        <x:v>46241</x:v>
      </x:c>
      <x:c r="I233" s="8" t="s">
        <x:v>2</x:v>
      </x:c>
      <x:c r="J233" s="8" t="s">
        <x:v>3</x:v>
      </x:c>
      <x:c r="K233" s="25"/>
      <x:c r="L233" s="8" t="s">
        <x:v>367</x:v>
      </x:c>
      <x:c r="M233" s="8" t="s">
        <x:v>368</x:v>
      </x:c>
      <x:c r="N233" s="10"/>
      <x:c r="O233" s="8" t="s">
        <x:v>769</x:v>
      </x:c>
    </x:row>
    <x:row r="234" ht="32" customHeight="1">
      <x:c r="A234" s="8">
        <x:v>7</x:v>
      </x:c>
      <x:c r="B234" s="8" t="s">
        <x:v>770</x:v>
      </x:c>
      <x:c r="C234" s="8" t="s">
        <x:v>771</x:v>
      </x:c>
      <x:c r="D234" s="8" t="s">
        <x:v>25</x:v>
      </x:c>
      <x:c r="E234" s="8" t="s">
        <x:v>365</x:v>
      </x:c>
      <x:c r="F234" s="8" t="s">
        <x:v>366</x:v>
      </x:c>
      <x:c r="G234" s="25">
        <x:v>46230</x:v>
      </x:c>
      <x:c r="H234" s="25">
        <x:v>46241</x:v>
      </x:c>
      <x:c r="I234" s="8" t="s">
        <x:v>2</x:v>
      </x:c>
      <x:c r="J234" s="8" t="s">
        <x:v>3</x:v>
      </x:c>
      <x:c r="K234" s="25"/>
      <x:c r="L234" s="8" t="s">
        <x:v>367</x:v>
      </x:c>
      <x:c r="M234" s="8" t="s">
        <x:v>368</x:v>
      </x:c>
      <x:c r="N234" s="10"/>
      <x:c r="O234" s="8" t="s">
        <x:v>772</x:v>
      </x:c>
    </x:row>
    <x:row r="235" ht="32" customHeight="1">
      <x:c r="A235" s="8">
        <x:v>7</x:v>
      </x:c>
      <x:c r="B235" s="8" t="s">
        <x:v>773</x:v>
      </x:c>
      <x:c r="C235" s="8" t="s">
        <x:v>774</x:v>
      </x:c>
      <x:c r="D235" s="8" t="s">
        <x:v>25</x:v>
      </x:c>
      <x:c r="E235" s="8" t="s">
        <x:v>365</x:v>
      </x:c>
      <x:c r="F235" s="8" t="s">
        <x:v>366</x:v>
      </x:c>
      <x:c r="G235" s="25">
        <x:v>46230</x:v>
      </x:c>
      <x:c r="H235" s="25">
        <x:v>46241</x:v>
      </x:c>
      <x:c r="I235" s="8" t="s">
        <x:v>2</x:v>
      </x:c>
      <x:c r="J235" s="8" t="s">
        <x:v>3</x:v>
      </x:c>
      <x:c r="K235" s="25"/>
      <x:c r="L235" s="8" t="s">
        <x:v>367</x:v>
      </x:c>
      <x:c r="M235" s="8" t="s">
        <x:v>368</x:v>
      </x:c>
      <x:c r="N235" s="10"/>
      <x:c r="O235" s="8" t="s">
        <x:v>775</x:v>
      </x:c>
    </x:row>
    <x:row r="236" ht="32" customHeight="1">
      <x:c r="A236" s="8">
        <x:v>7</x:v>
      </x:c>
      <x:c r="B236" s="8" t="s">
        <x:v>776</x:v>
      </x:c>
      <x:c r="C236" s="8" t="s">
        <x:v>777</x:v>
      </x:c>
      <x:c r="D236" s="8" t="s">
        <x:v>25</x:v>
      </x:c>
      <x:c r="E236" s="8" t="s">
        <x:v>365</x:v>
      </x:c>
      <x:c r="F236" s="8" t="s">
        <x:v>366</x:v>
      </x:c>
      <x:c r="G236" s="25">
        <x:v>46230</x:v>
      </x:c>
      <x:c r="H236" s="25">
        <x:v>46241</x:v>
      </x:c>
      <x:c r="I236" s="8" t="s">
        <x:v>2</x:v>
      </x:c>
      <x:c r="J236" s="8" t="s">
        <x:v>2</x:v>
      </x:c>
      <x:c r="K236" s="25"/>
      <x:c r="L236" s="8" t="s">
        <x:v>367</x:v>
      </x:c>
      <x:c r="M236" s="8" t="s">
        <x:v>368</x:v>
      </x:c>
      <x:c r="N236" s="10"/>
      <x:c r="O236" s="8" t="s">
        <x:v>778</x:v>
      </x:c>
    </x:row>
    <x:row r="237" ht="32" customHeight="1">
      <x:c r="A237" s="8">
        <x:v>7</x:v>
      </x:c>
      <x:c r="B237" s="8" t="s">
        <x:v>779</x:v>
      </x:c>
      <x:c r="C237" s="8" t="s">
        <x:v>780</x:v>
      </x:c>
      <x:c r="D237" s="8" t="s">
        <x:v>25</x:v>
      </x:c>
      <x:c r="E237" s="8" t="s">
        <x:v>365</x:v>
      </x:c>
      <x:c r="F237" s="8" t="s">
        <x:v>366</x:v>
      </x:c>
      <x:c r="G237" s="25">
        <x:v>46230</x:v>
      </x:c>
      <x:c r="H237" s="25">
        <x:v>46241</x:v>
      </x:c>
      <x:c r="I237" s="8" t="s">
        <x:v>4</x:v>
      </x:c>
      <x:c r="J237" s="8" t="s">
        <x:v>4</x:v>
      </x:c>
      <x:c r="K237" s="25"/>
      <x:c r="L237" s="8" t="s">
        <x:v>595</x:v>
      </x:c>
      <x:c r="M237" s="8"/>
      <x:c r="N237" s="10"/>
      <x:c r="O237" s="8" t="s">
        <x:v>781</x:v>
      </x:c>
    </x:row>
    <x:row r="238" ht="32" customHeight="1">
      <x:c r="A238" s="8">
        <x:v>7</x:v>
      </x:c>
      <x:c r="B238" s="8" t="s">
        <x:v>782</x:v>
      </x:c>
      <x:c r="C238" s="8" t="s">
        <x:v>780</x:v>
      </x:c>
      <x:c r="D238" s="8" t="s">
        <x:v>25</x:v>
      </x:c>
      <x:c r="E238" s="8" t="s">
        <x:v>365</x:v>
      </x:c>
      <x:c r="F238" s="8" t="s">
        <x:v>366</x:v>
      </x:c>
      <x:c r="G238" s="25">
        <x:v>46230</x:v>
      </x:c>
      <x:c r="H238" s="25">
        <x:v>46241</x:v>
      </x:c>
      <x:c r="I238" s="8" t="s">
        <x:v>4</x:v>
      </x:c>
      <x:c r="J238" s="8" t="s">
        <x:v>4</x:v>
      </x:c>
      <x:c r="K238" s="25">
        <x:v>46261</x:v>
      </x:c>
      <x:c r="L238" s="8" t="s">
        <x:v>595</x:v>
      </x:c>
      <x:c r="M238" s="8"/>
      <x:c r="N238" s="10"/>
      <x:c r="O238" s="8" t="s">
        <x:v>783</x:v>
      </x:c>
    </x:row>
    <x:row r="239" ht="32" customHeight="1">
      <x:c r="A239" s="8">
        <x:v>7</x:v>
      </x:c>
      <x:c r="B239" s="8" t="s">
        <x:v>784</x:v>
      </x:c>
      <x:c r="C239" s="8" t="s">
        <x:v>785</x:v>
      </x:c>
      <x:c r="D239" s="8" t="s">
        <x:v>25</x:v>
      </x:c>
      <x:c r="E239" s="8" t="s">
        <x:v>365</x:v>
      </x:c>
      <x:c r="F239" s="8" t="s">
        <x:v>366</x:v>
      </x:c>
      <x:c r="G239" s="25">
        <x:v>46230</x:v>
      </x:c>
      <x:c r="H239" s="25">
        <x:v>46241</x:v>
      </x:c>
      <x:c r="I239" s="8" t="s">
        <x:v>2</x:v>
      </x:c>
      <x:c r="J239" s="8" t="s">
        <x:v>2</x:v>
      </x:c>
      <x:c r="K239" s="25">
        <x:v>46261</x:v>
      </x:c>
      <x:c r="L239" s="8" t="s">
        <x:v>367</x:v>
      </x:c>
      <x:c r="M239" s="8"/>
      <x:c r="N239" s="10"/>
      <x:c r="O239" s="8" t="s">
        <x:v>786</x:v>
      </x:c>
    </x:row>
    <x:row r="240" ht="32" customHeight="1">
      <x:c r="A240" s="8">
        <x:v>7</x:v>
      </x:c>
      <x:c r="B240" s="8" t="s">
        <x:v>787</x:v>
      </x:c>
      <x:c r="C240" s="8" t="s">
        <x:v>788</x:v>
      </x:c>
      <x:c r="D240" s="8" t="s">
        <x:v>24</x:v>
      </x:c>
      <x:c r="E240" s="8" t="s">
        <x:v>365</x:v>
      </x:c>
      <x:c r="F240" s="8" t="s">
        <x:v>366</x:v>
      </x:c>
      <x:c r="G240" s="25">
        <x:v>46230</x:v>
      </x:c>
      <x:c r="H240" s="25">
        <x:v>46241</x:v>
      </x:c>
      <x:c r="I240" s="8" t="s">
        <x:v>2</x:v>
      </x:c>
      <x:c r="J240" s="8" t="s">
        <x:v>2</x:v>
      </x:c>
      <x:c r="K240" s="25"/>
      <x:c r="L240" s="8" t="s">
        <x:v>367</x:v>
      </x:c>
      <x:c r="M240" s="8" t="s">
        <x:v>368</x:v>
      </x:c>
      <x:c r="N240" s="10"/>
      <x:c r="O240" s="8" t="s">
        <x:v>789</x:v>
      </x:c>
    </x:row>
    <x:row r="241" ht="32" customHeight="1">
      <x:c r="A241" s="8">
        <x:v>7</x:v>
      </x:c>
      <x:c r="B241" s="8" t="s">
        <x:v>790</x:v>
      </x:c>
      <x:c r="C241" s="8" t="s">
        <x:v>791</x:v>
      </x:c>
      <x:c r="D241" s="8" t="s">
        <x:v>25</x:v>
      </x:c>
      <x:c r="E241" s="8" t="s">
        <x:v>365</x:v>
      </x:c>
      <x:c r="F241" s="8" t="s">
        <x:v>366</x:v>
      </x:c>
      <x:c r="G241" s="25">
        <x:v>46230</x:v>
      </x:c>
      <x:c r="H241" s="25">
        <x:v>46241</x:v>
      </x:c>
      <x:c r="I241" s="8" t="s">
        <x:v>4</x:v>
      </x:c>
      <x:c r="J241" s="8" t="s">
        <x:v>4</x:v>
      </x:c>
      <x:c r="K241" s="25"/>
      <x:c r="L241" s="8" t="s">
        <x:v>595</x:v>
      </x:c>
      <x:c r="M241" s="8"/>
      <x:c r="N241" s="10"/>
      <x:c r="O241" s="8" t="s">
        <x:v>792</x:v>
      </x:c>
    </x:row>
    <x:row r="242" ht="32" customHeight="1">
      <x:c r="A242" s="8">
        <x:v>7</x:v>
      </x:c>
      <x:c r="B242" s="8" t="s">
        <x:v>793</x:v>
      </x:c>
      <x:c r="C242" s="8" t="s">
        <x:v>794</x:v>
      </x:c>
      <x:c r="D242" s="8" t="s">
        <x:v>25</x:v>
      </x:c>
      <x:c r="E242" s="8" t="s">
        <x:v>365</x:v>
      </x:c>
      <x:c r="F242" s="8" t="s">
        <x:v>366</x:v>
      </x:c>
      <x:c r="G242" s="25">
        <x:v>46230</x:v>
      </x:c>
      <x:c r="H242" s="25">
        <x:v>46241</x:v>
      </x:c>
      <x:c r="I242" s="8" t="s">
        <x:v>4</x:v>
      </x:c>
      <x:c r="J242" s="8" t="s">
        <x:v>4</x:v>
      </x:c>
      <x:c r="K242" s="25">
        <x:v>46224</x:v>
      </x:c>
      <x:c r="L242" s="8" t="s">
        <x:v>595</x:v>
      </x:c>
      <x:c r="M242" s="8"/>
      <x:c r="N242" s="10"/>
      <x:c r="O242" s="8" t="s">
        <x:v>795</x:v>
      </x:c>
    </x:row>
    <x:row r="243" ht="32" customHeight="1">
      <x:c r="A243" s="8">
        <x:v>7</x:v>
      </x:c>
      <x:c r="B243" s="8" t="s">
        <x:v>796</x:v>
      </x:c>
      <x:c r="C243" s="8" t="s">
        <x:v>791</x:v>
      </x:c>
      <x:c r="D243" s="8" t="s">
        <x:v>25</x:v>
      </x:c>
      <x:c r="E243" s="8" t="s">
        <x:v>365</x:v>
      </x:c>
      <x:c r="F243" s="8" t="s">
        <x:v>366</x:v>
      </x:c>
      <x:c r="G243" s="25">
        <x:v>46230</x:v>
      </x:c>
      <x:c r="H243" s="25">
        <x:v>46241</x:v>
      </x:c>
      <x:c r="I243" s="8" t="s">
        <x:v>4</x:v>
      </x:c>
      <x:c r="J243" s="8" t="s">
        <x:v>4</x:v>
      </x:c>
      <x:c r="K243" s="25">
        <x:v>46224</x:v>
      </x:c>
      <x:c r="L243" s="8" t="s">
        <x:v>595</x:v>
      </x:c>
      <x:c r="M243" s="8"/>
      <x:c r="N243" s="10"/>
      <x:c r="O243" s="8" t="s">
        <x:v>797</x:v>
      </x:c>
    </x:row>
    <x:row r="244" ht="32" customHeight="1">
      <x:c r="A244" s="8">
        <x:v>7</x:v>
      </x:c>
      <x:c r="B244" s="8" t="s">
        <x:v>798</x:v>
      </x:c>
      <x:c r="C244" s="8" t="s">
        <x:v>799</x:v>
      </x:c>
      <x:c r="D244" s="8" t="s">
        <x:v>25</x:v>
      </x:c>
      <x:c r="E244" s="8" t="s">
        <x:v>365</x:v>
      </x:c>
      <x:c r="F244" s="8" t="s">
        <x:v>366</x:v>
      </x:c>
      <x:c r="G244" s="25">
        <x:v>46230</x:v>
      </x:c>
      <x:c r="H244" s="25">
        <x:v>46241</x:v>
      </x:c>
      <x:c r="I244" s="8" t="s">
        <x:v>4</x:v>
      </x:c>
      <x:c r="J244" s="8" t="s">
        <x:v>4</x:v>
      </x:c>
      <x:c r="K244" s="25">
        <x:v>46224</x:v>
      </x:c>
      <x:c r="L244" s="8" t="s">
        <x:v>595</x:v>
      </x:c>
      <x:c r="M244" s="8"/>
      <x:c r="N244" s="10"/>
      <x:c r="O244" s="8" t="s">
        <x:v>800</x:v>
      </x:c>
    </x:row>
    <x:row r="245" ht="32" customHeight="1">
      <x:c r="A245" s="8">
        <x:v>7</x:v>
      </x:c>
      <x:c r="B245" s="8" t="s">
        <x:v>801</x:v>
      </x:c>
      <x:c r="C245" s="8" t="s">
        <x:v>791</x:v>
      </x:c>
      <x:c r="D245" s="8" t="s">
        <x:v>25</x:v>
      </x:c>
      <x:c r="E245" s="8" t="s">
        <x:v>365</x:v>
      </x:c>
      <x:c r="F245" s="8" t="s">
        <x:v>366</x:v>
      </x:c>
      <x:c r="G245" s="25">
        <x:v>46230</x:v>
      </x:c>
      <x:c r="H245" s="25">
        <x:v>46241</x:v>
      </x:c>
      <x:c r="I245" s="8" t="s">
        <x:v>4</x:v>
      </x:c>
      <x:c r="J245" s="8" t="s">
        <x:v>4</x:v>
      </x:c>
      <x:c r="K245" s="25">
        <x:v>46224</x:v>
      </x:c>
      <x:c r="L245" s="8" t="s">
        <x:v>595</x:v>
      </x:c>
      <x:c r="M245" s="8"/>
      <x:c r="N245" s="10"/>
      <x:c r="O245" s="8" t="s">
        <x:v>802</x:v>
      </x:c>
    </x:row>
    <x:row r="246" ht="32" customHeight="1">
      <x:c r="A246" s="8">
        <x:v>7</x:v>
      </x:c>
      <x:c r="B246" s="8" t="s">
        <x:v>803</x:v>
      </x:c>
      <x:c r="C246" s="8" t="s">
        <x:v>794</x:v>
      </x:c>
      <x:c r="D246" s="8" t="s">
        <x:v>25</x:v>
      </x:c>
      <x:c r="E246" s="8" t="s">
        <x:v>365</x:v>
      </x:c>
      <x:c r="F246" s="8" t="s">
        <x:v>366</x:v>
      </x:c>
      <x:c r="G246" s="25">
        <x:v>46230</x:v>
      </x:c>
      <x:c r="H246" s="25">
        <x:v>46241</x:v>
      </x:c>
      <x:c r="I246" s="8" t="s">
        <x:v>4</x:v>
      </x:c>
      <x:c r="J246" s="8" t="s">
        <x:v>4</x:v>
      </x:c>
      <x:c r="K246" s="25">
        <x:v>46224</x:v>
      </x:c>
      <x:c r="L246" s="8" t="s">
        <x:v>595</x:v>
      </x:c>
      <x:c r="M246" s="8"/>
      <x:c r="N246" s="10"/>
      <x:c r="O246" s="8" t="s">
        <x:v>804</x:v>
      </x:c>
    </x:row>
    <x:row r="247" ht="32" customHeight="1">
      <x:c r="A247" s="8">
        <x:v>7</x:v>
      </x:c>
      <x:c r="B247" s="8" t="s">
        <x:v>805</x:v>
      </x:c>
      <x:c r="C247" s="8" t="s">
        <x:v>791</x:v>
      </x:c>
      <x:c r="D247" s="8" t="s">
        <x:v>25</x:v>
      </x:c>
      <x:c r="E247" s="8" t="s">
        <x:v>365</x:v>
      </x:c>
      <x:c r="F247" s="8" t="s">
        <x:v>366</x:v>
      </x:c>
      <x:c r="G247" s="25">
        <x:v>46230</x:v>
      </x:c>
      <x:c r="H247" s="25">
        <x:v>46241</x:v>
      </x:c>
      <x:c r="I247" s="8" t="s">
        <x:v>4</x:v>
      </x:c>
      <x:c r="J247" s="8" t="s">
        <x:v>4</x:v>
      </x:c>
      <x:c r="K247" s="25">
        <x:v>46224</x:v>
      </x:c>
      <x:c r="L247" s="8" t="s">
        <x:v>595</x:v>
      </x:c>
      <x:c r="M247" s="8"/>
      <x:c r="N247" s="10"/>
      <x:c r="O247" s="8" t="s">
        <x:v>806</x:v>
      </x:c>
    </x:row>
    <x:row r="248" ht="32" customHeight="1">
      <x:c r="A248" s="8">
        <x:v>7</x:v>
      </x:c>
      <x:c r="B248" s="8" t="s">
        <x:v>807</x:v>
      </x:c>
      <x:c r="C248" s="8" t="s">
        <x:v>794</x:v>
      </x:c>
      <x:c r="D248" s="8" t="s">
        <x:v>25</x:v>
      </x:c>
      <x:c r="E248" s="8" t="s">
        <x:v>365</x:v>
      </x:c>
      <x:c r="F248" s="8" t="s">
        <x:v>366</x:v>
      </x:c>
      <x:c r="G248" s="25">
        <x:v>46230</x:v>
      </x:c>
      <x:c r="H248" s="25">
        <x:v>46241</x:v>
      </x:c>
      <x:c r="I248" s="8" t="s">
        <x:v>4</x:v>
      </x:c>
      <x:c r="J248" s="8" t="s">
        <x:v>4</x:v>
      </x:c>
      <x:c r="K248" s="25"/>
      <x:c r="L248" s="8" t="s">
        <x:v>595</x:v>
      </x:c>
      <x:c r="M248" s="8"/>
      <x:c r="N248" s="10"/>
      <x:c r="O248" s="8" t="s">
        <x:v>808</x:v>
      </x:c>
    </x:row>
    <x:row r="249" ht="32" customHeight="1">
      <x:c r="A249" s="8">
        <x:v>7</x:v>
      </x:c>
      <x:c r="B249" s="8" t="s">
        <x:v>809</x:v>
      </x:c>
      <x:c r="C249" s="8" t="s">
        <x:v>810</x:v>
      </x:c>
      <x:c r="D249" s="8" t="s">
        <x:v>25</x:v>
      </x:c>
      <x:c r="E249" s="8" t="s">
        <x:v>365</x:v>
      </x:c>
      <x:c r="F249" s="8" t="s">
        <x:v>366</x:v>
      </x:c>
      <x:c r="G249" s="25">
        <x:v>46230</x:v>
      </x:c>
      <x:c r="H249" s="25">
        <x:v>46241</x:v>
      </x:c>
      <x:c r="I249" s="8" t="s">
        <x:v>4</x:v>
      </x:c>
      <x:c r="J249" s="8" t="s">
        <x:v>4</x:v>
      </x:c>
      <x:c r="K249" s="25"/>
      <x:c r="L249" s="8" t="s">
        <x:v>595</x:v>
      </x:c>
      <x:c r="M249" s="8"/>
      <x:c r="N249" s="10"/>
      <x:c r="O249" s="8" t="s">
        <x:v>811</x:v>
      </x:c>
    </x:row>
    <x:row r="250" ht="32" customHeight="1">
      <x:c r="A250" s="8">
        <x:v>7</x:v>
      </x:c>
      <x:c r="B250" s="8" t="s">
        <x:v>812</x:v>
      </x:c>
      <x:c r="C250" s="8" t="s">
        <x:v>813</x:v>
      </x:c>
      <x:c r="D250" s="8" t="s">
        <x:v>25</x:v>
      </x:c>
      <x:c r="E250" s="8" t="s">
        <x:v>365</x:v>
      </x:c>
      <x:c r="F250" s="8" t="s">
        <x:v>366</x:v>
      </x:c>
      <x:c r="G250" s="25">
        <x:v>46230</x:v>
      </x:c>
      <x:c r="H250" s="25">
        <x:v>46241</x:v>
      </x:c>
      <x:c r="I250" s="8" t="s">
        <x:v>4</x:v>
      </x:c>
      <x:c r="J250" s="8" t="s">
        <x:v>4</x:v>
      </x:c>
      <x:c r="K250" s="25"/>
      <x:c r="L250" s="8" t="s">
        <x:v>595</x:v>
      </x:c>
      <x:c r="M250" s="8"/>
      <x:c r="N250" s="10"/>
      <x:c r="O250" s="8" t="s">
        <x:v>814</x:v>
      </x:c>
    </x:row>
    <x:row r="251" ht="32" customHeight="1">
      <x:c r="A251" s="8">
        <x:v>7</x:v>
      </x:c>
      <x:c r="B251" s="8" t="s">
        <x:v>815</x:v>
      </x:c>
      <x:c r="C251" s="8" t="s">
        <x:v>816</x:v>
      </x:c>
      <x:c r="D251" s="8" t="s">
        <x:v>25</x:v>
      </x:c>
      <x:c r="E251" s="8" t="s">
        <x:v>365</x:v>
      </x:c>
      <x:c r="F251" s="8" t="s">
        <x:v>366</x:v>
      </x:c>
      <x:c r="G251" s="25">
        <x:v>46230</x:v>
      </x:c>
      <x:c r="H251" s="25">
        <x:v>46241</x:v>
      </x:c>
      <x:c r="I251" s="8" t="s">
        <x:v>4</x:v>
      </x:c>
      <x:c r="J251" s="8" t="s">
        <x:v>4</x:v>
      </x:c>
      <x:c r="K251" s="25"/>
      <x:c r="L251" s="8" t="s">
        <x:v>595</x:v>
      </x:c>
      <x:c r="M251" s="8"/>
      <x:c r="N251" s="10"/>
      <x:c r="O251" s="8" t="s">
        <x:v>817</x:v>
      </x:c>
    </x:row>
    <x:row r="252" ht="32" customHeight="1">
      <x:c r="A252" s="8">
        <x:v>7</x:v>
      </x:c>
      <x:c r="B252" s="8" t="s">
        <x:v>818</x:v>
      </x:c>
      <x:c r="C252" s="8" t="s">
        <x:v>819</x:v>
      </x:c>
      <x:c r="D252" s="8" t="s">
        <x:v>25</x:v>
      </x:c>
      <x:c r="E252" s="8" t="s">
        <x:v>365</x:v>
      </x:c>
      <x:c r="F252" s="8" t="s">
        <x:v>366</x:v>
      </x:c>
      <x:c r="G252" s="25">
        <x:v>46230</x:v>
      </x:c>
      <x:c r="H252" s="25">
        <x:v>46241</x:v>
      </x:c>
      <x:c r="I252" s="8" t="s">
        <x:v>4</x:v>
      </x:c>
      <x:c r="J252" s="8" t="s">
        <x:v>4</x:v>
      </x:c>
      <x:c r="K252" s="25"/>
      <x:c r="L252" s="8" t="s">
        <x:v>595</x:v>
      </x:c>
      <x:c r="M252" s="8"/>
      <x:c r="N252" s="10"/>
      <x:c r="O252" s="8" t="s">
        <x:v>820</x:v>
      </x:c>
    </x:row>
    <x:row r="253" ht="32" customHeight="1">
      <x:c r="A253" s="8">
        <x:v>7</x:v>
      </x:c>
      <x:c r="B253" s="8" t="s">
        <x:v>821</x:v>
      </x:c>
      <x:c r="C253" s="8" t="s">
        <x:v>791</x:v>
      </x:c>
      <x:c r="D253" s="8" t="s">
        <x:v>25</x:v>
      </x:c>
      <x:c r="E253" s="8" t="s">
        <x:v>365</x:v>
      </x:c>
      <x:c r="F253" s="8" t="s">
        <x:v>366</x:v>
      </x:c>
      <x:c r="G253" s="25">
        <x:v>46230</x:v>
      </x:c>
      <x:c r="H253" s="25">
        <x:v>46241</x:v>
      </x:c>
      <x:c r="I253" s="8" t="s">
        <x:v>4</x:v>
      </x:c>
      <x:c r="J253" s="8" t="s">
        <x:v>4</x:v>
      </x:c>
      <x:c r="K253" s="25"/>
      <x:c r="L253" s="8" t="s">
        <x:v>595</x:v>
      </x:c>
      <x:c r="M253" s="8"/>
      <x:c r="N253" s="10"/>
      <x:c r="O253" s="8" t="s">
        <x:v>822</x:v>
      </x:c>
    </x:row>
    <x:row r="254" ht="32" customHeight="1">
      <x:c r="A254" s="8">
        <x:v>7</x:v>
      </x:c>
      <x:c r="B254" s="8" t="s">
        <x:v>823</x:v>
      </x:c>
      <x:c r="C254" s="8" t="s">
        <x:v>794</x:v>
      </x:c>
      <x:c r="D254" s="8" t="s">
        <x:v>25</x:v>
      </x:c>
      <x:c r="E254" s="8" t="s">
        <x:v>365</x:v>
      </x:c>
      <x:c r="F254" s="8" t="s">
        <x:v>366</x:v>
      </x:c>
      <x:c r="G254" s="25">
        <x:v>46230</x:v>
      </x:c>
      <x:c r="H254" s="25">
        <x:v>46241</x:v>
      </x:c>
      <x:c r="I254" s="8" t="s">
        <x:v>4</x:v>
      </x:c>
      <x:c r="J254" s="8" t="s">
        <x:v>4</x:v>
      </x:c>
      <x:c r="K254" s="25"/>
      <x:c r="L254" s="8" t="s">
        <x:v>595</x:v>
      </x:c>
      <x:c r="M254" s="8"/>
      <x:c r="N254" s="10"/>
      <x:c r="O254" s="8" t="s">
        <x:v>824</x:v>
      </x:c>
    </x:row>
    <x:row r="255" ht="32" customHeight="1">
      <x:c r="A255" s="8">
        <x:v>7</x:v>
      </x:c>
      <x:c r="B255" s="8" t="s">
        <x:v>825</x:v>
      </x:c>
      <x:c r="C255" s="8" t="s">
        <x:v>826</x:v>
      </x:c>
      <x:c r="D255" s="8" t="s">
        <x:v>25</x:v>
      </x:c>
      <x:c r="E255" s="8" t="s">
        <x:v>365</x:v>
      </x:c>
      <x:c r="F255" s="8" t="s">
        <x:v>366</x:v>
      </x:c>
      <x:c r="G255" s="25">
        <x:v>46230</x:v>
      </x:c>
      <x:c r="H255" s="25">
        <x:v>46241</x:v>
      </x:c>
      <x:c r="I255" s="8" t="s">
        <x:v>4</x:v>
      </x:c>
      <x:c r="J255" s="8" t="s">
        <x:v>4</x:v>
      </x:c>
      <x:c r="K255" s="25"/>
      <x:c r="L255" s="8" t="s">
        <x:v>595</x:v>
      </x:c>
      <x:c r="M255" s="8"/>
      <x:c r="N255" s="10"/>
      <x:c r="O255" s="8" t="s">
        <x:v>827</x:v>
      </x:c>
    </x:row>
    <x:row r="256" ht="32" customHeight="1">
      <x:c r="A256" s="8">
        <x:v>7</x:v>
      </x:c>
      <x:c r="B256" s="8" t="s">
        <x:v>828</x:v>
      </x:c>
      <x:c r="C256" s="8" t="s">
        <x:v>829</x:v>
      </x:c>
      <x:c r="D256" s="8" t="s">
        <x:v>25</x:v>
      </x:c>
      <x:c r="E256" s="8" t="s">
        <x:v>365</x:v>
      </x:c>
      <x:c r="F256" s="8" t="s">
        <x:v>366</x:v>
      </x:c>
      <x:c r="G256" s="25">
        <x:v>46230</x:v>
      </x:c>
      <x:c r="H256" s="25">
        <x:v>46241</x:v>
      </x:c>
      <x:c r="I256" s="8" t="s">
        <x:v>4</x:v>
      </x:c>
      <x:c r="J256" s="8" t="s">
        <x:v>4</x:v>
      </x:c>
      <x:c r="K256" s="25">
        <x:v>46261</x:v>
      </x:c>
      <x:c r="L256" s="8" t="s">
        <x:v>595</x:v>
      </x:c>
      <x:c r="M256" s="8"/>
      <x:c r="N256" s="10"/>
      <x:c r="O256" s="8" t="s">
        <x:v>830</x:v>
      </x:c>
    </x:row>
    <x:row r="257" ht="32" customHeight="1">
      <x:c r="A257" s="8">
        <x:v>7</x:v>
      </x:c>
      <x:c r="B257" s="8" t="s">
        <x:v>831</x:v>
      </x:c>
      <x:c r="C257" s="8" t="s">
        <x:v>832</x:v>
      </x:c>
      <x:c r="D257" s="8" t="s">
        <x:v>25</x:v>
      </x:c>
      <x:c r="E257" s="8" t="s">
        <x:v>365</x:v>
      </x:c>
      <x:c r="F257" s="8" t="s">
        <x:v>366</x:v>
      </x:c>
      <x:c r="G257" s="25">
        <x:v>46230</x:v>
      </x:c>
      <x:c r="H257" s="25">
        <x:v>46241</x:v>
      </x:c>
      <x:c r="I257" s="8" t="s">
        <x:v>4</x:v>
      </x:c>
      <x:c r="J257" s="8" t="s">
        <x:v>4</x:v>
      </x:c>
      <x:c r="K257" s="25">
        <x:v>46261</x:v>
      </x:c>
      <x:c r="L257" s="8" t="s">
        <x:v>595</x:v>
      </x:c>
      <x:c r="M257" s="8"/>
      <x:c r="N257" s="10"/>
      <x:c r="O257" s="8" t="s">
        <x:v>833</x:v>
      </x:c>
    </x:row>
    <x:row r="258" ht="32" customHeight="1">
      <x:c r="A258" s="8">
        <x:v>7</x:v>
      </x:c>
      <x:c r="B258" s="8" t="s">
        <x:v>834</x:v>
      </x:c>
      <x:c r="C258" s="8" t="s">
        <x:v>835</x:v>
      </x:c>
      <x:c r="D258" s="8" t="s">
        <x:v>25</x:v>
      </x:c>
      <x:c r="E258" s="8" t="s">
        <x:v>365</x:v>
      </x:c>
      <x:c r="F258" s="8" t="s">
        <x:v>366</x:v>
      </x:c>
      <x:c r="G258" s="25">
        <x:v>46230</x:v>
      </x:c>
      <x:c r="H258" s="25">
        <x:v>46241</x:v>
      </x:c>
      <x:c r="I258" s="8" t="s">
        <x:v>4</x:v>
      </x:c>
      <x:c r="J258" s="8" t="s">
        <x:v>4</x:v>
      </x:c>
      <x:c r="K258" s="25"/>
      <x:c r="L258" s="8" t="s">
        <x:v>595</x:v>
      </x:c>
      <x:c r="M258" s="8"/>
      <x:c r="N258" s="10"/>
      <x:c r="O258" s="8" t="s">
        <x:v>836</x:v>
      </x:c>
    </x:row>
    <x:row r="259" ht="32" customHeight="1">
      <x:c r="A259" s="8">
        <x:v>7</x:v>
      </x:c>
      <x:c r="B259" s="8" t="s">
        <x:v>837</x:v>
      </x:c>
      <x:c r="C259" s="8" t="s">
        <x:v>838</x:v>
      </x:c>
      <x:c r="D259" s="8" t="s">
        <x:v>25</x:v>
      </x:c>
      <x:c r="E259" s="8" t="s">
        <x:v>365</x:v>
      </x:c>
      <x:c r="F259" s="8" t="s">
        <x:v>366</x:v>
      </x:c>
      <x:c r="G259" s="25">
        <x:v>46230</x:v>
      </x:c>
      <x:c r="H259" s="25">
        <x:v>46241</x:v>
      </x:c>
      <x:c r="I259" s="8" t="s">
        <x:v>4</x:v>
      </x:c>
      <x:c r="J259" s="8" t="s">
        <x:v>4</x:v>
      </x:c>
      <x:c r="K259" s="25"/>
      <x:c r="L259" s="8" t="s">
        <x:v>595</x:v>
      </x:c>
      <x:c r="M259" s="8"/>
      <x:c r="N259" s="10"/>
      <x:c r="O259" s="8" t="s">
        <x:v>839</x:v>
      </x:c>
    </x:row>
    <x:row r="260" ht="32" customHeight="1">
      <x:c r="A260" s="8">
        <x:v>7</x:v>
      </x:c>
      <x:c r="B260" s="8" t="s">
        <x:v>840</x:v>
      </x:c>
      <x:c r="C260" s="8" t="s">
        <x:v>841</x:v>
      </x:c>
      <x:c r="D260" s="8" t="s">
        <x:v>25</x:v>
      </x:c>
      <x:c r="E260" s="8" t="s">
        <x:v>365</x:v>
      </x:c>
      <x:c r="F260" s="8" t="s">
        <x:v>366</x:v>
      </x:c>
      <x:c r="G260" s="25">
        <x:v>46230</x:v>
      </x:c>
      <x:c r="H260" s="25">
        <x:v>46241</x:v>
      </x:c>
      <x:c r="I260" s="8" t="s">
        <x:v>4</x:v>
      </x:c>
      <x:c r="J260" s="8" t="s">
        <x:v>4</x:v>
      </x:c>
      <x:c r="K260" s="25"/>
      <x:c r="L260" s="8" t="s">
        <x:v>595</x:v>
      </x:c>
      <x:c r="M260" s="8"/>
      <x:c r="N260" s="10"/>
      <x:c r="O260" s="8" t="s">
        <x:v>842</x:v>
      </x:c>
    </x:row>
    <x:row r="261" ht="32" customHeight="1">
      <x:c r="A261" s="8">
        <x:v>7</x:v>
      </x:c>
      <x:c r="B261" s="8" t="s">
        <x:v>843</x:v>
      </x:c>
      <x:c r="C261" s="8" t="s">
        <x:v>768</x:v>
      </x:c>
      <x:c r="D261" s="8" t="s">
        <x:v>25</x:v>
      </x:c>
      <x:c r="E261" s="8" t="s">
        <x:v>365</x:v>
      </x:c>
      <x:c r="F261" s="8" t="s">
        <x:v>366</x:v>
      </x:c>
      <x:c r="G261" s="25">
        <x:v>46230</x:v>
      </x:c>
      <x:c r="H261" s="25">
        <x:v>46241</x:v>
      </x:c>
      <x:c r="I261" s="8" t="s">
        <x:v>4</x:v>
      </x:c>
      <x:c r="J261" s="8" t="s">
        <x:v>4</x:v>
      </x:c>
      <x:c r="K261" s="25"/>
      <x:c r="L261" s="8" t="s">
        <x:v>595</x:v>
      </x:c>
      <x:c r="M261" s="8"/>
      <x:c r="N261" s="10"/>
      <x:c r="O261" s="8" t="s">
        <x:v>844</x:v>
      </x:c>
    </x:row>
    <x:row r="262" ht="32" customHeight="1">
      <x:c r="A262" s="8">
        <x:v>7</x:v>
      </x:c>
      <x:c r="B262" s="8" t="s">
        <x:v>845</x:v>
      </x:c>
      <x:c r="C262" s="8" t="s">
        <x:v>774</x:v>
      </x:c>
      <x:c r="D262" s="8" t="s">
        <x:v>25</x:v>
      </x:c>
      <x:c r="E262" s="8" t="s">
        <x:v>365</x:v>
      </x:c>
      <x:c r="F262" s="8" t="s">
        <x:v>366</x:v>
      </x:c>
      <x:c r="G262" s="25">
        <x:v>46230</x:v>
      </x:c>
      <x:c r="H262" s="25">
        <x:v>46241</x:v>
      </x:c>
      <x:c r="I262" s="8" t="s">
        <x:v>4</x:v>
      </x:c>
      <x:c r="J262" s="8" t="s">
        <x:v>4</x:v>
      </x:c>
      <x:c r="K262" s="25"/>
      <x:c r="L262" s="8" t="s">
        <x:v>595</x:v>
      </x:c>
      <x:c r="M262" s="8"/>
      <x:c r="N262" s="10"/>
      <x:c r="O262" s="8" t="s">
        <x:v>846</x:v>
      </x:c>
    </x:row>
    <x:row r="263" ht="32" customHeight="1">
      <x:c r="A263" s="8">
        <x:v>7</x:v>
      </x:c>
      <x:c r="B263" s="8" t="s">
        <x:v>847</x:v>
      </x:c>
      <x:c r="C263" s="8" t="s">
        <x:v>848</x:v>
      </x:c>
      <x:c r="D263" s="8" t="s">
        <x:v>25</x:v>
      </x:c>
      <x:c r="E263" s="8" t="s">
        <x:v>365</x:v>
      </x:c>
      <x:c r="F263" s="8" t="s">
        <x:v>366</x:v>
      </x:c>
      <x:c r="G263" s="25">
        <x:v>46230</x:v>
      </x:c>
      <x:c r="H263" s="25">
        <x:v>46241</x:v>
      </x:c>
      <x:c r="I263" s="8" t="s">
        <x:v>4</x:v>
      </x:c>
      <x:c r="J263" s="8" t="s">
        <x:v>4</x:v>
      </x:c>
      <x:c r="K263" s="25"/>
      <x:c r="L263" s="8" t="s">
        <x:v>595</x:v>
      </x:c>
      <x:c r="M263" s="8"/>
      <x:c r="N263" s="10"/>
      <x:c r="O263" s="8" t="s">
        <x:v>849</x:v>
      </x:c>
    </x:row>
    <x:row r="264" ht="32" customHeight="1">
      <x:c r="A264" s="8">
        <x:v>7</x:v>
      </x:c>
      <x:c r="B264" s="8" t="s">
        <x:v>850</x:v>
      </x:c>
      <x:c r="C264" s="8" t="s">
        <x:v>851</x:v>
      </x:c>
      <x:c r="D264" s="8" t="s">
        <x:v>25</x:v>
      </x:c>
      <x:c r="E264" s="8" t="s">
        <x:v>365</x:v>
      </x:c>
      <x:c r="F264" s="8" t="s">
        <x:v>366</x:v>
      </x:c>
      <x:c r="G264" s="25">
        <x:v>46230</x:v>
      </x:c>
      <x:c r="H264" s="25">
        <x:v>46241</x:v>
      </x:c>
      <x:c r="I264" s="8" t="s">
        <x:v>4</x:v>
      </x:c>
      <x:c r="J264" s="8" t="s">
        <x:v>4</x:v>
      </x:c>
      <x:c r="K264" s="25"/>
      <x:c r="L264" s="8" t="s">
        <x:v>595</x:v>
      </x:c>
      <x:c r="M264" s="8"/>
      <x:c r="N264" s="10"/>
      <x:c r="O264" s="8" t="s">
        <x:v>852</x:v>
      </x:c>
    </x:row>
    <x:row r="265" ht="32" customHeight="1">
      <x:c r="A265" s="8">
        <x:v>7</x:v>
      </x:c>
      <x:c r="B265" s="8" t="s">
        <x:v>853</x:v>
      </x:c>
      <x:c r="C265" s="8" t="s">
        <x:v>854</x:v>
      </x:c>
      <x:c r="D265" s="8" t="s">
        <x:v>25</x:v>
      </x:c>
      <x:c r="E265" s="8" t="s">
        <x:v>365</x:v>
      </x:c>
      <x:c r="F265" s="8" t="s">
        <x:v>366</x:v>
      </x:c>
      <x:c r="G265" s="25">
        <x:v>46230</x:v>
      </x:c>
      <x:c r="H265" s="25">
        <x:v>46241</x:v>
      </x:c>
      <x:c r="I265" s="8" t="s">
        <x:v>4</x:v>
      </x:c>
      <x:c r="J265" s="8" t="s">
        <x:v>4</x:v>
      </x:c>
      <x:c r="K265" s="25"/>
      <x:c r="L265" s="8" t="s">
        <x:v>595</x:v>
      </x:c>
      <x:c r="M265" s="8"/>
      <x:c r="N265" s="10"/>
      <x:c r="O265" s="8" t="s">
        <x:v>855</x:v>
      </x:c>
    </x:row>
    <x:row r="266" ht="32" customHeight="1">
      <x:c r="A266" s="8">
        <x:v>7</x:v>
      </x:c>
      <x:c r="B266" s="8" t="s">
        <x:v>856</x:v>
      </x:c>
      <x:c r="C266" s="8" t="s">
        <x:v>857</x:v>
      </x:c>
      <x:c r="D266" s="8" t="s">
        <x:v>25</x:v>
      </x:c>
      <x:c r="E266" s="8" t="s">
        <x:v>365</x:v>
      </x:c>
      <x:c r="F266" s="8" t="s">
        <x:v>366</x:v>
      </x:c>
      <x:c r="G266" s="25">
        <x:v>46230</x:v>
      </x:c>
      <x:c r="H266" s="25">
        <x:v>46241</x:v>
      </x:c>
      <x:c r="I266" s="8" t="s">
        <x:v>4</x:v>
      </x:c>
      <x:c r="J266" s="8" t="s">
        <x:v>4</x:v>
      </x:c>
      <x:c r="K266" s="25"/>
      <x:c r="L266" s="8" t="s">
        <x:v>595</x:v>
      </x:c>
      <x:c r="M266" s="8"/>
      <x:c r="N266" s="10"/>
      <x:c r="O266" s="8" t="s">
        <x:v>858</x:v>
      </x:c>
    </x:row>
    <x:row r="267" ht="32" customHeight="1">
      <x:c r="A267" s="8">
        <x:v>7</x:v>
      </x:c>
      <x:c r="B267" s="8" t="s">
        <x:v>859</x:v>
      </x:c>
      <x:c r="C267" s="8" t="s">
        <x:v>771</x:v>
      </x:c>
      <x:c r="D267" s="8" t="s">
        <x:v>25</x:v>
      </x:c>
      <x:c r="E267" s="8" t="s">
        <x:v>365</x:v>
      </x:c>
      <x:c r="F267" s="8" t="s">
        <x:v>366</x:v>
      </x:c>
      <x:c r="G267" s="25">
        <x:v>46230</x:v>
      </x:c>
      <x:c r="H267" s="25">
        <x:v>46241</x:v>
      </x:c>
      <x:c r="I267" s="8" t="s">
        <x:v>4</x:v>
      </x:c>
      <x:c r="J267" s="8" t="s">
        <x:v>4</x:v>
      </x:c>
      <x:c r="K267" s="25"/>
      <x:c r="L267" s="8" t="s">
        <x:v>595</x:v>
      </x:c>
      <x:c r="M267" s="8"/>
      <x:c r="N267" s="10"/>
      <x:c r="O267" s="8" t="s">
        <x:v>860</x:v>
      </x:c>
    </x:row>
    <x:row r="268" ht="32" customHeight="1">
      <x:c r="A268" s="8">
        <x:v>7</x:v>
      </x:c>
      <x:c r="B268" s="8" t="s">
        <x:v>787</x:v>
      </x:c>
      <x:c r="C268" s="8" t="s">
        <x:v>788</x:v>
      </x:c>
      <x:c r="D268" s="8" t="s">
        <x:v>24</x:v>
      </x:c>
      <x:c r="E268" s="8" t="s">
        <x:v>467</x:v>
      </x:c>
      <x:c r="F268" s="8" t="s">
        <x:v>468</x:v>
      </x:c>
      <x:c r="G268" s="25">
        <x:v>46230</x:v>
      </x:c>
      <x:c r="H268" s="25">
        <x:v>46241</x:v>
      </x:c>
      <x:c r="I268" s="8" t="s">
        <x:v>2</x:v>
      </x:c>
      <x:c r="J268" s="8" t="s">
        <x:v>2</x:v>
      </x:c>
      <x:c r="K268" s="25"/>
      <x:c r="L268" s="8" t="s">
        <x:v>367</x:v>
      </x:c>
      <x:c r="M268" s="8" t="s">
        <x:v>368</x:v>
      </x:c>
      <x:c r="N268" s="10"/>
      <x:c r="O268" s="8" t="s">
        <x:v>861</x:v>
      </x:c>
    </x:row>
    <x:row r="269" ht="32" customHeight="1">
      <x:c r="A269" s="8">
        <x:v>7</x:v>
      </x:c>
      <x:c r="B269" s="8" t="s">
        <x:v>787</x:v>
      </x:c>
      <x:c r="C269" s="8" t="s">
        <x:v>788</x:v>
      </x:c>
      <x:c r="D269" s="8" t="s">
        <x:v>24</x:v>
      </x:c>
      <x:c r="E269" s="8" t="s">
        <x:v>479</x:v>
      </x:c>
      <x:c r="F269" s="8" t="s">
        <x:v>480</x:v>
      </x:c>
      <x:c r="G269" s="25">
        <x:v>46230</x:v>
      </x:c>
      <x:c r="H269" s="25">
        <x:v>46241</x:v>
      </x:c>
      <x:c r="I269" s="8" t="s">
        <x:v>2</x:v>
      </x:c>
      <x:c r="J269" s="8" t="s">
        <x:v>2</x:v>
      </x:c>
      <x:c r="K269" s="25"/>
      <x:c r="L269" s="8" t="s">
        <x:v>367</x:v>
      </x:c>
      <x:c r="M269" s="8" t="s">
        <x:v>368</x:v>
      </x:c>
      <x:c r="N269" s="10"/>
      <x:c r="O269" s="8" t="s">
        <x:v>862</x:v>
      </x:c>
    </x:row>
    <x:row r="270" ht="32" customHeight="1">
      <x:c r="A270" s="8">
        <x:v>9</x:v>
      </x:c>
      <x:c r="B270" s="8" t="s">
        <x:v>551</x:v>
      </x:c>
      <x:c r="C270" s="8" t="s">
        <x:v>552</x:v>
      </x:c>
      <x:c r="D270" s="8" t="s">
        <x:v>24</x:v>
      </x:c>
      <x:c r="E270" s="8" t="s">
        <x:v>467</x:v>
      </x:c>
      <x:c r="F270" s="8" t="s">
        <x:v>468</x:v>
      </x:c>
      <x:c r="G270" s="25">
        <x:v>46237</x:v>
      </x:c>
      <x:c r="H270" s="25">
        <x:v>46252</x:v>
      </x:c>
      <x:c r="I270" s="8" t="s">
        <x:v>2</x:v>
      </x:c>
      <x:c r="J270" s="8" t="s">
        <x:v>2</x:v>
      </x:c>
      <x:c r="K270" s="25">
        <x:v>46261</x:v>
      </x:c>
      <x:c r="L270" s="8" t="s">
        <x:v>367</x:v>
      </x:c>
      <x:c r="M270" s="8"/>
      <x:c r="N270" s="10"/>
      <x:c r="O270" s="8" t="s">
        <x:v>863</x:v>
      </x:c>
    </x:row>
    <x:row r="271" ht="32" customHeight="1">
      <x:c r="A271" s="8">
        <x:v>9</x:v>
      </x:c>
      <x:c r="B271" s="8" t="s">
        <x:v>554</x:v>
      </x:c>
      <x:c r="C271" s="8" t="s">
        <x:v>552</x:v>
      </x:c>
      <x:c r="D271" s="8" t="s">
        <x:v>24</x:v>
      </x:c>
      <x:c r="E271" s="8" t="s">
        <x:v>467</x:v>
      </x:c>
      <x:c r="F271" s="8" t="s">
        <x:v>468</x:v>
      </x:c>
      <x:c r="G271" s="25">
        <x:v>46237</x:v>
      </x:c>
      <x:c r="H271" s="25">
        <x:v>46252</x:v>
      </x:c>
      <x:c r="I271" s="8" t="s">
        <x:v>2</x:v>
      </x:c>
      <x:c r="J271" s="8" t="s">
        <x:v>2</x:v>
      </x:c>
      <x:c r="K271" s="25">
        <x:v>46261</x:v>
      </x:c>
      <x:c r="L271" s="8" t="s">
        <x:v>367</x:v>
      </x:c>
      <x:c r="M271" s="8"/>
      <x:c r="N271" s="10"/>
      <x:c r="O271" s="8" t="s">
        <x:v>864</x:v>
      </x:c>
    </x:row>
    <x:row r="272" ht="32" customHeight="1">
      <x:c r="A272" s="8">
        <x:v>9</x:v>
      </x:c>
      <x:c r="B272" s="8" t="s">
        <x:v>556</x:v>
      </x:c>
      <x:c r="C272" s="8" t="s">
        <x:v>552</x:v>
      </x:c>
      <x:c r="D272" s="8" t="s">
        <x:v>25</x:v>
      </x:c>
      <x:c r="E272" s="8" t="s">
        <x:v>467</x:v>
      </x:c>
      <x:c r="F272" s="8" t="s">
        <x:v>468</x:v>
      </x:c>
      <x:c r="G272" s="25">
        <x:v>46237</x:v>
      </x:c>
      <x:c r="H272" s="25">
        <x:v>46252</x:v>
      </x:c>
      <x:c r="I272" s="8" t="s">
        <x:v>2</x:v>
      </x:c>
      <x:c r="J272" s="8" t="s">
        <x:v>2</x:v>
      </x:c>
      <x:c r="K272" s="25"/>
      <x:c r="L272" s="8" t="s">
        <x:v>367</x:v>
      </x:c>
      <x:c r="M272" s="8" t="s">
        <x:v>368</x:v>
      </x:c>
      <x:c r="N272" s="10"/>
      <x:c r="O272" s="8" t="s">
        <x:v>865</x:v>
      </x:c>
    </x:row>
    <x:row r="273" ht="32" customHeight="1">
      <x:c r="A273" s="8">
        <x:v>9</x:v>
      </x:c>
      <x:c r="B273" s="8" t="s">
        <x:v>551</x:v>
      </x:c>
      <x:c r="C273" s="8" t="s">
        <x:v>552</x:v>
      </x:c>
      <x:c r="D273" s="8" t="s">
        <x:v>24</x:v>
      </x:c>
      <x:c r="E273" s="8" t="s">
        <x:v>479</x:v>
      </x:c>
      <x:c r="F273" s="8" t="s">
        <x:v>480</x:v>
      </x:c>
      <x:c r="G273" s="25">
        <x:v>46237</x:v>
      </x:c>
      <x:c r="H273" s="25">
        <x:v>46252</x:v>
      </x:c>
      <x:c r="I273" s="8" t="s">
        <x:v>2</x:v>
      </x:c>
      <x:c r="J273" s="8" t="s">
        <x:v>2</x:v>
      </x:c>
      <x:c r="K273" s="25">
        <x:v>46261</x:v>
      </x:c>
      <x:c r="L273" s="8" t="s">
        <x:v>367</x:v>
      </x:c>
      <x:c r="M273" s="8"/>
      <x:c r="N273" s="10"/>
      <x:c r="O273" s="8" t="s">
        <x:v>866</x:v>
      </x:c>
    </x:row>
    <x:row r="274" ht="32" customHeight="1">
      <x:c r="A274" s="8">
        <x:v>9</x:v>
      </x:c>
      <x:c r="B274" s="8" t="s">
        <x:v>554</x:v>
      </x:c>
      <x:c r="C274" s="8" t="s">
        <x:v>552</x:v>
      </x:c>
      <x:c r="D274" s="8" t="s">
        <x:v>24</x:v>
      </x:c>
      <x:c r="E274" s="8" t="s">
        <x:v>479</x:v>
      </x:c>
      <x:c r="F274" s="8" t="s">
        <x:v>480</x:v>
      </x:c>
      <x:c r="G274" s="25">
        <x:v>46237</x:v>
      </x:c>
      <x:c r="H274" s="25">
        <x:v>46252</x:v>
      </x:c>
      <x:c r="I274" s="8" t="s">
        <x:v>2</x:v>
      </x:c>
      <x:c r="J274" s="8" t="s">
        <x:v>2</x:v>
      </x:c>
      <x:c r="K274" s="25">
        <x:v>46261</x:v>
      </x:c>
      <x:c r="L274" s="8" t="s">
        <x:v>367</x:v>
      </x:c>
      <x:c r="M274" s="8"/>
      <x:c r="N274" s="10"/>
      <x:c r="O274" s="8" t="s">
        <x:v>867</x:v>
      </x:c>
    </x:row>
    <x:row r="275" ht="32" customHeight="1">
      <x:c r="A275" s="8">
        <x:v>9</x:v>
      </x:c>
      <x:c r="B275" s="8" t="s">
        <x:v>556</x:v>
      </x:c>
      <x:c r="C275" s="8" t="s">
        <x:v>552</x:v>
      </x:c>
      <x:c r="D275" s="8" t="s">
        <x:v>25</x:v>
      </x:c>
      <x:c r="E275" s="8" t="s">
        <x:v>479</x:v>
      </x:c>
      <x:c r="F275" s="8" t="s">
        <x:v>480</x:v>
      </x:c>
      <x:c r="G275" s="25">
        <x:v>46237</x:v>
      </x:c>
      <x:c r="H275" s="25">
        <x:v>46252</x:v>
      </x:c>
      <x:c r="I275" s="8" t="s">
        <x:v>2</x:v>
      </x:c>
      <x:c r="J275" s="8" t="s">
        <x:v>2</x:v>
      </x:c>
      <x:c r="K275" s="25"/>
      <x:c r="L275" s="8" t="s">
        <x:v>367</x:v>
      </x:c>
      <x:c r="M275" s="8" t="s">
        <x:v>368</x:v>
      </x:c>
      <x:c r="N275" s="10"/>
      <x:c r="O275" s="8" t="s">
        <x:v>868</x:v>
      </x:c>
    </x:row>
    <x:row r="276" ht="32" customHeight="1">
      <x:c r="A276" s="8">
        <x:v>10</x:v>
      </x:c>
      <x:c r="B276" s="8" t="s">
        <x:v>485</x:v>
      </x:c>
      <x:c r="C276" s="8" t="s">
        <x:v>486</x:v>
      </x:c>
      <x:c r="D276" s="8" t="s">
        <x:v>24</x:v>
      </x:c>
      <x:c r="E276" s="8" t="s">
        <x:v>467</x:v>
      </x:c>
      <x:c r="F276" s="8" t="s">
        <x:v>468</x:v>
      </x:c>
      <x:c r="G276" s="25">
        <x:v>46230</x:v>
      </x:c>
      <x:c r="H276" s="25">
        <x:v>46262</x:v>
      </x:c>
      <x:c r="I276" s="8" t="s">
        <x:v>2</x:v>
      </x:c>
      <x:c r="J276" s="8" t="s">
        <x:v>2</x:v>
      </x:c>
      <x:c r="K276" s="25">
        <x:v>46261</x:v>
      </x:c>
      <x:c r="L276" s="8" t="s">
        <x:v>367</x:v>
      </x:c>
      <x:c r="M276" s="8"/>
      <x:c r="N276" s="10"/>
      <x:c r="O276" s="8" t="s">
        <x:v>869</x:v>
      </x:c>
    </x:row>
    <x:row r="277" ht="32" customHeight="1">
      <x:c r="A277" s="8">
        <x:v>10</x:v>
      </x:c>
      <x:c r="B277" s="8" t="s">
        <x:v>488</x:v>
      </x:c>
      <x:c r="C277" s="8" t="s">
        <x:v>489</x:v>
      </x:c>
      <x:c r="D277" s="8" t="s">
        <x:v>24</x:v>
      </x:c>
      <x:c r="E277" s="8" t="s">
        <x:v>467</x:v>
      </x:c>
      <x:c r="F277" s="8" t="s">
        <x:v>468</x:v>
      </x:c>
      <x:c r="G277" s="25">
        <x:v>46230</x:v>
      </x:c>
      <x:c r="H277" s="25">
        <x:v>46262</x:v>
      </x:c>
      <x:c r="I277" s="8" t="s">
        <x:v>2</x:v>
      </x:c>
      <x:c r="J277" s="8" t="s">
        <x:v>2</x:v>
      </x:c>
      <x:c r="K277" s="25">
        <x:v>46261</x:v>
      </x:c>
      <x:c r="L277" s="8" t="s">
        <x:v>367</x:v>
      </x:c>
      <x:c r="M277" s="8"/>
      <x:c r="N277" s="10"/>
      <x:c r="O277" s="8" t="s">
        <x:v>870</x:v>
      </x:c>
    </x:row>
    <x:row r="278" ht="32" customHeight="1">
      <x:c r="A278" s="8">
        <x:v>10</x:v>
      </x:c>
      <x:c r="B278" s="8" t="s">
        <x:v>491</x:v>
      </x:c>
      <x:c r="C278" s="8" t="s">
        <x:v>492</x:v>
      </x:c>
      <x:c r="D278" s="8" t="s">
        <x:v>24</x:v>
      </x:c>
      <x:c r="E278" s="8" t="s">
        <x:v>467</x:v>
      </x:c>
      <x:c r="F278" s="8" t="s">
        <x:v>468</x:v>
      </x:c>
      <x:c r="G278" s="25">
        <x:v>46230</x:v>
      </x:c>
      <x:c r="H278" s="25">
        <x:v>46262</x:v>
      </x:c>
      <x:c r="I278" s="8" t="s">
        <x:v>2</x:v>
      </x:c>
      <x:c r="J278" s="8" t="s">
        <x:v>2</x:v>
      </x:c>
      <x:c r="K278" s="25">
        <x:v>46261</x:v>
      </x:c>
      <x:c r="L278" s="8" t="s">
        <x:v>367</x:v>
      </x:c>
      <x:c r="M278" s="8"/>
      <x:c r="N278" s="10"/>
      <x:c r="O278" s="8" t="s">
        <x:v>871</x:v>
      </x:c>
    </x:row>
    <x:row r="279" ht="32" customHeight="1">
      <x:c r="A279" s="8">
        <x:v>10</x:v>
      </x:c>
      <x:c r="B279" s="8" t="s">
        <x:v>494</x:v>
      </x:c>
      <x:c r="C279" s="8" t="s">
        <x:v>495</x:v>
      </x:c>
      <x:c r="D279" s="8" t="s">
        <x:v>24</x:v>
      </x:c>
      <x:c r="E279" s="8" t="s">
        <x:v>467</x:v>
      </x:c>
      <x:c r="F279" s="8" t="s">
        <x:v>468</x:v>
      </x:c>
      <x:c r="G279" s="25">
        <x:v>46230</x:v>
      </x:c>
      <x:c r="H279" s="25">
        <x:v>46262</x:v>
      </x:c>
      <x:c r="I279" s="8" t="s">
        <x:v>2</x:v>
      </x:c>
      <x:c r="J279" s="8" t="s">
        <x:v>2</x:v>
      </x:c>
      <x:c r="K279" s="25">
        <x:v>46261</x:v>
      </x:c>
      <x:c r="L279" s="8" t="s">
        <x:v>367</x:v>
      </x:c>
      <x:c r="M279" s="8"/>
      <x:c r="N279" s="10"/>
      <x:c r="O279" s="8" t="s">
        <x:v>872</x:v>
      </x:c>
    </x:row>
    <x:row r="280" ht="32" customHeight="1">
      <x:c r="A280" s="8">
        <x:v>10</x:v>
      </x:c>
      <x:c r="B280" s="8" t="s">
        <x:v>497</x:v>
      </x:c>
      <x:c r="C280" s="8" t="s">
        <x:v>498</x:v>
      </x:c>
      <x:c r="D280" s="8" t="s">
        <x:v>24</x:v>
      </x:c>
      <x:c r="E280" s="8" t="s">
        <x:v>467</x:v>
      </x:c>
      <x:c r="F280" s="8" t="s">
        <x:v>468</x:v>
      </x:c>
      <x:c r="G280" s="25">
        <x:v>46230</x:v>
      </x:c>
      <x:c r="H280" s="25">
        <x:v>46262</x:v>
      </x:c>
      <x:c r="I280" s="8" t="s">
        <x:v>2</x:v>
      </x:c>
      <x:c r="J280" s="8" t="s">
        <x:v>2</x:v>
      </x:c>
      <x:c r="K280" s="25">
        <x:v>46261</x:v>
      </x:c>
      <x:c r="L280" s="8" t="s">
        <x:v>367</x:v>
      </x:c>
      <x:c r="M280" s="8"/>
      <x:c r="N280" s="10"/>
      <x:c r="O280" s="8" t="s">
        <x:v>873</x:v>
      </x:c>
    </x:row>
    <x:row r="281" ht="32" customHeight="1">
      <x:c r="A281" s="8">
        <x:v>10</x:v>
      </x:c>
      <x:c r="B281" s="8" t="s">
        <x:v>500</x:v>
      </x:c>
      <x:c r="C281" s="8" t="s">
        <x:v>501</x:v>
      </x:c>
      <x:c r="D281" s="8" t="s">
        <x:v>24</x:v>
      </x:c>
      <x:c r="E281" s="8" t="s">
        <x:v>467</x:v>
      </x:c>
      <x:c r="F281" s="8" t="s">
        <x:v>468</x:v>
      </x:c>
      <x:c r="G281" s="25">
        <x:v>46230</x:v>
      </x:c>
      <x:c r="H281" s="25">
        <x:v>46262</x:v>
      </x:c>
      <x:c r="I281" s="8" t="s">
        <x:v>2</x:v>
      </x:c>
      <x:c r="J281" s="8" t="s">
        <x:v>2</x:v>
      </x:c>
      <x:c r="K281" s="25">
        <x:v>46261</x:v>
      </x:c>
      <x:c r="L281" s="8" t="s">
        <x:v>367</x:v>
      </x:c>
      <x:c r="M281" s="8"/>
      <x:c r="N281" s="10"/>
      <x:c r="O281" s="8" t="s">
        <x:v>874</x:v>
      </x:c>
    </x:row>
    <x:row r="282" ht="32" customHeight="1">
      <x:c r="A282" s="8">
        <x:v>10</x:v>
      </x:c>
      <x:c r="B282" s="8" t="s">
        <x:v>503</x:v>
      </x:c>
      <x:c r="C282" s="8" t="s">
        <x:v>504</x:v>
      </x:c>
      <x:c r="D282" s="8" t="s">
        <x:v>25</x:v>
      </x:c>
      <x:c r="E282" s="8" t="s">
        <x:v>467</x:v>
      </x:c>
      <x:c r="F282" s="8" t="s">
        <x:v>468</x:v>
      </x:c>
      <x:c r="G282" s="25">
        <x:v>46230</x:v>
      </x:c>
      <x:c r="H282" s="25">
        <x:v>46262</x:v>
      </x:c>
      <x:c r="I282" s="8" t="s">
        <x:v>2</x:v>
      </x:c>
      <x:c r="J282" s="8" t="s">
        <x:v>2</x:v>
      </x:c>
      <x:c r="K282" s="25"/>
      <x:c r="L282" s="8" t="s">
        <x:v>367</x:v>
      </x:c>
      <x:c r="M282" s="8" t="s">
        <x:v>368</x:v>
      </x:c>
      <x:c r="N282" s="10"/>
      <x:c r="O282" s="8" t="s">
        <x:v>875</x:v>
      </x:c>
    </x:row>
    <x:row r="283" ht="32" customHeight="1">
      <x:c r="A283" s="8">
        <x:v>10</x:v>
      </x:c>
      <x:c r="B283" s="8" t="s">
        <x:v>506</x:v>
      </x:c>
      <x:c r="C283" s="8" t="s">
        <x:v>507</x:v>
      </x:c>
      <x:c r="D283" s="8" t="s">
        <x:v>25</x:v>
      </x:c>
      <x:c r="E283" s="8" t="s">
        <x:v>467</x:v>
      </x:c>
      <x:c r="F283" s="8" t="s">
        <x:v>468</x:v>
      </x:c>
      <x:c r="G283" s="25">
        <x:v>46230</x:v>
      </x:c>
      <x:c r="H283" s="25">
        <x:v>46262</x:v>
      </x:c>
      <x:c r="I283" s="8" t="s">
        <x:v>2</x:v>
      </x:c>
      <x:c r="J283" s="8" t="s">
        <x:v>2</x:v>
      </x:c>
      <x:c r="K283" s="25"/>
      <x:c r="L283" s="8" t="s">
        <x:v>367</x:v>
      </x:c>
      <x:c r="M283" s="8" t="s">
        <x:v>368</x:v>
      </x:c>
      <x:c r="N283" s="10"/>
      <x:c r="O283" s="8" t="s">
        <x:v>876</x:v>
      </x:c>
    </x:row>
    <x:row r="284" ht="32" customHeight="1">
      <x:c r="A284" s="8">
        <x:v>10</x:v>
      </x:c>
      <x:c r="B284" s="8" t="s">
        <x:v>509</x:v>
      </x:c>
      <x:c r="C284" s="8" t="s">
        <x:v>510</x:v>
      </x:c>
      <x:c r="D284" s="8" t="s">
        <x:v>25</x:v>
      </x:c>
      <x:c r="E284" s="8" t="s">
        <x:v>467</x:v>
      </x:c>
      <x:c r="F284" s="8" t="s">
        <x:v>468</x:v>
      </x:c>
      <x:c r="G284" s="25">
        <x:v>46230</x:v>
      </x:c>
      <x:c r="H284" s="25">
        <x:v>46262</x:v>
      </x:c>
      <x:c r="I284" s="8" t="s">
        <x:v>2</x:v>
      </x:c>
      <x:c r="J284" s="8" t="s">
        <x:v>2</x:v>
      </x:c>
      <x:c r="K284" s="25"/>
      <x:c r="L284" s="8" t="s">
        <x:v>367</x:v>
      </x:c>
      <x:c r="M284" s="8" t="s">
        <x:v>368</x:v>
      </x:c>
      <x:c r="N284" s="10"/>
      <x:c r="O284" s="8" t="s">
        <x:v>877</x:v>
      </x:c>
    </x:row>
    <x:row r="285" ht="32" customHeight="1">
      <x:c r="A285" s="8">
        <x:v>10</x:v>
      </x:c>
      <x:c r="B285" s="8" t="s">
        <x:v>512</x:v>
      </x:c>
      <x:c r="C285" s="8" t="s">
        <x:v>513</x:v>
      </x:c>
      <x:c r="D285" s="8" t="s">
        <x:v>24</x:v>
      </x:c>
      <x:c r="E285" s="8" t="s">
        <x:v>467</x:v>
      </x:c>
      <x:c r="F285" s="8" t="s">
        <x:v>468</x:v>
      </x:c>
      <x:c r="G285" s="25">
        <x:v>46230</x:v>
      </x:c>
      <x:c r="H285" s="25">
        <x:v>46262</x:v>
      </x:c>
      <x:c r="I285" s="8" t="s">
        <x:v>2</x:v>
      </x:c>
      <x:c r="J285" s="8" t="s">
        <x:v>2</x:v>
      </x:c>
      <x:c r="K285" s="25">
        <x:v>46224</x:v>
      </x:c>
      <x:c r="L285" s="8" t="s">
        <x:v>367</x:v>
      </x:c>
      <x:c r="M285" s="8"/>
      <x:c r="N285" s="10"/>
      <x:c r="O285" s="8" t="s">
        <x:v>878</x:v>
      </x:c>
    </x:row>
    <x:row r="286" ht="32" customHeight="1">
      <x:c r="A286" s="8">
        <x:v>10</x:v>
      </x:c>
      <x:c r="B286" s="8" t="s">
        <x:v>515</x:v>
      </x:c>
      <x:c r="C286" s="8" t="s">
        <x:v>516</x:v>
      </x:c>
      <x:c r="D286" s="8" t="s">
        <x:v>24</x:v>
      </x:c>
      <x:c r="E286" s="8" t="s">
        <x:v>467</x:v>
      </x:c>
      <x:c r="F286" s="8" t="s">
        <x:v>468</x:v>
      </x:c>
      <x:c r="G286" s="25">
        <x:v>46230</x:v>
      </x:c>
      <x:c r="H286" s="25">
        <x:v>46262</x:v>
      </x:c>
      <x:c r="I286" s="8" t="s">
        <x:v>2</x:v>
      </x:c>
      <x:c r="J286" s="8" t="s">
        <x:v>2</x:v>
      </x:c>
      <x:c r="K286" s="25">
        <x:v>46224</x:v>
      </x:c>
      <x:c r="L286" s="8" t="s">
        <x:v>367</x:v>
      </x:c>
      <x:c r="M286" s="8"/>
      <x:c r="N286" s="10"/>
      <x:c r="O286" s="8" t="s">
        <x:v>879</x:v>
      </x:c>
    </x:row>
    <x:row r="287" ht="32" customHeight="1">
      <x:c r="A287" s="8">
        <x:v>10</x:v>
      </x:c>
      <x:c r="B287" s="8" t="s">
        <x:v>518</x:v>
      </x:c>
      <x:c r="C287" s="8" t="s">
        <x:v>519</x:v>
      </x:c>
      <x:c r="D287" s="8" t="s">
        <x:v>24</x:v>
      </x:c>
      <x:c r="E287" s="8" t="s">
        <x:v>467</x:v>
      </x:c>
      <x:c r="F287" s="8" t="s">
        <x:v>468</x:v>
      </x:c>
      <x:c r="G287" s="25">
        <x:v>46230</x:v>
      </x:c>
      <x:c r="H287" s="25">
        <x:v>46262</x:v>
      </x:c>
      <x:c r="I287" s="8" t="s">
        <x:v>2</x:v>
      </x:c>
      <x:c r="J287" s="8" t="s">
        <x:v>2</x:v>
      </x:c>
      <x:c r="K287" s="25">
        <x:v>46224</x:v>
      </x:c>
      <x:c r="L287" s="8" t="s">
        <x:v>367</x:v>
      </x:c>
      <x:c r="M287" s="8"/>
      <x:c r="N287" s="10"/>
      <x:c r="O287" s="8" t="s">
        <x:v>880</x:v>
      </x:c>
    </x:row>
    <x:row r="288" ht="32" customHeight="1">
      <x:c r="A288" s="8">
        <x:v>10</x:v>
      </x:c>
      <x:c r="B288" s="8" t="s">
        <x:v>521</x:v>
      </x:c>
      <x:c r="C288" s="8" t="s">
        <x:v>522</x:v>
      </x:c>
      <x:c r="D288" s="8" t="s">
        <x:v>24</x:v>
      </x:c>
      <x:c r="E288" s="8" t="s">
        <x:v>467</x:v>
      </x:c>
      <x:c r="F288" s="8" t="s">
        <x:v>468</x:v>
      </x:c>
      <x:c r="G288" s="25">
        <x:v>46230</x:v>
      </x:c>
      <x:c r="H288" s="25">
        <x:v>46262</x:v>
      </x:c>
      <x:c r="I288" s="8" t="s">
        <x:v>2</x:v>
      </x:c>
      <x:c r="J288" s="8" t="s">
        <x:v>2</x:v>
      </x:c>
      <x:c r="K288" s="25">
        <x:v>46224</x:v>
      </x:c>
      <x:c r="L288" s="8" t="s">
        <x:v>367</x:v>
      </x:c>
      <x:c r="M288" s="8"/>
      <x:c r="N288" s="10"/>
      <x:c r="O288" s="8" t="s">
        <x:v>881</x:v>
      </x:c>
    </x:row>
    <x:row r="289" ht="32" customHeight="1">
      <x:c r="A289" s="8">
        <x:v>10</x:v>
      </x:c>
      <x:c r="B289" s="8" t="s">
        <x:v>524</x:v>
      </x:c>
      <x:c r="C289" s="8" t="s">
        <x:v>525</x:v>
      </x:c>
      <x:c r="D289" s="8" t="s">
        <x:v>24</x:v>
      </x:c>
      <x:c r="E289" s="8" t="s">
        <x:v>467</x:v>
      </x:c>
      <x:c r="F289" s="8" t="s">
        <x:v>468</x:v>
      </x:c>
      <x:c r="G289" s="25">
        <x:v>46230</x:v>
      </x:c>
      <x:c r="H289" s="25">
        <x:v>46262</x:v>
      </x:c>
      <x:c r="I289" s="8" t="s">
        <x:v>2</x:v>
      </x:c>
      <x:c r="J289" s="8" t="s">
        <x:v>2</x:v>
      </x:c>
      <x:c r="K289" s="25"/>
      <x:c r="L289" s="8" t="s">
        <x:v>367</x:v>
      </x:c>
      <x:c r="M289" s="8" t="s">
        <x:v>368</x:v>
      </x:c>
      <x:c r="N289" s="10"/>
      <x:c r="O289" s="8" t="s">
        <x:v>882</x:v>
      </x:c>
    </x:row>
    <x:row r="290" ht="32" customHeight="1">
      <x:c r="A290" s="8">
        <x:v>10</x:v>
      </x:c>
      <x:c r="B290" s="8" t="s">
        <x:v>527</x:v>
      </x:c>
      <x:c r="C290" s="8" t="s">
        <x:v>528</x:v>
      </x:c>
      <x:c r="D290" s="8" t="s">
        <x:v>24</x:v>
      </x:c>
      <x:c r="E290" s="8" t="s">
        <x:v>467</x:v>
      </x:c>
      <x:c r="F290" s="8" t="s">
        <x:v>468</x:v>
      </x:c>
      <x:c r="G290" s="25">
        <x:v>46230</x:v>
      </x:c>
      <x:c r="H290" s="25">
        <x:v>46262</x:v>
      </x:c>
      <x:c r="I290" s="8" t="s">
        <x:v>2</x:v>
      </x:c>
      <x:c r="J290" s="8" t="s">
        <x:v>2</x:v>
      </x:c>
      <x:c r="K290" s="25"/>
      <x:c r="L290" s="8" t="s">
        <x:v>367</x:v>
      </x:c>
      <x:c r="M290" s="8" t="s">
        <x:v>368</x:v>
      </x:c>
      <x:c r="N290" s="10"/>
      <x:c r="O290" s="8" t="s">
        <x:v>883</x:v>
      </x:c>
    </x:row>
    <x:row r="291" ht="32" customHeight="1">
      <x:c r="A291" s="8">
        <x:v>10</x:v>
      </x:c>
      <x:c r="B291" s="8" t="s">
        <x:v>530</x:v>
      </x:c>
      <x:c r="C291" s="8" t="s">
        <x:v>531</x:v>
      </x:c>
      <x:c r="D291" s="8" t="s">
        <x:v>24</x:v>
      </x:c>
      <x:c r="E291" s="8" t="s">
        <x:v>467</x:v>
      </x:c>
      <x:c r="F291" s="8" t="s">
        <x:v>468</x:v>
      </x:c>
      <x:c r="G291" s="25">
        <x:v>46230</x:v>
      </x:c>
      <x:c r="H291" s="25">
        <x:v>46262</x:v>
      </x:c>
      <x:c r="I291" s="8" t="s">
        <x:v>2</x:v>
      </x:c>
      <x:c r="J291" s="8" t="s">
        <x:v>2</x:v>
      </x:c>
      <x:c r="K291" s="25"/>
      <x:c r="L291" s="8" t="s">
        <x:v>367</x:v>
      </x:c>
      <x:c r="M291" s="8" t="s">
        <x:v>368</x:v>
      </x:c>
      <x:c r="N291" s="10"/>
      <x:c r="O291" s="8" t="s">
        <x:v>884</x:v>
      </x:c>
    </x:row>
    <x:row r="292" ht="32" customHeight="1">
      <x:c r="A292" s="8">
        <x:v>10</x:v>
      </x:c>
      <x:c r="B292" s="8" t="s">
        <x:v>533</x:v>
      </x:c>
      <x:c r="C292" s="8" t="s">
        <x:v>534</x:v>
      </x:c>
      <x:c r="D292" s="8" t="s">
        <x:v>24</x:v>
      </x:c>
      <x:c r="E292" s="8" t="s">
        <x:v>467</x:v>
      </x:c>
      <x:c r="F292" s="8" t="s">
        <x:v>468</x:v>
      </x:c>
      <x:c r="G292" s="25">
        <x:v>46230</x:v>
      </x:c>
      <x:c r="H292" s="25">
        <x:v>46262</x:v>
      </x:c>
      <x:c r="I292" s="8" t="s">
        <x:v>2</x:v>
      </x:c>
      <x:c r="J292" s="8" t="s">
        <x:v>2</x:v>
      </x:c>
      <x:c r="K292" s="25"/>
      <x:c r="L292" s="8" t="s">
        <x:v>367</x:v>
      </x:c>
      <x:c r="M292" s="8" t="s">
        <x:v>368</x:v>
      </x:c>
      <x:c r="N292" s="10"/>
      <x:c r="O292" s="8" t="s">
        <x:v>885</x:v>
      </x:c>
    </x:row>
    <x:row r="293" ht="32" customHeight="1">
      <x:c r="A293" s="8">
        <x:v>10</x:v>
      </x:c>
      <x:c r="B293" s="8" t="s">
        <x:v>536</x:v>
      </x:c>
      <x:c r="C293" s="8" t="s">
        <x:v>537</x:v>
      </x:c>
      <x:c r="D293" s="8" t="s">
        <x:v>24</x:v>
      </x:c>
      <x:c r="E293" s="8" t="s">
        <x:v>467</x:v>
      </x:c>
      <x:c r="F293" s="8" t="s">
        <x:v>468</x:v>
      </x:c>
      <x:c r="G293" s="25">
        <x:v>46230</x:v>
      </x:c>
      <x:c r="H293" s="25">
        <x:v>46262</x:v>
      </x:c>
      <x:c r="I293" s="8" t="s">
        <x:v>2</x:v>
      </x:c>
      <x:c r="J293" s="8" t="s">
        <x:v>2</x:v>
      </x:c>
      <x:c r="K293" s="25"/>
      <x:c r="L293" s="8" t="s">
        <x:v>367</x:v>
      </x:c>
      <x:c r="M293" s="8" t="s">
        <x:v>368</x:v>
      </x:c>
      <x:c r="N293" s="10"/>
      <x:c r="O293" s="8" t="s">
        <x:v>886</x:v>
      </x:c>
    </x:row>
    <x:row r="294" ht="32" customHeight="1">
      <x:c r="A294" s="8">
        <x:v>10</x:v>
      </x:c>
      <x:c r="B294" s="8" t="s">
        <x:v>539</x:v>
      </x:c>
      <x:c r="C294" s="8" t="s">
        <x:v>540</x:v>
      </x:c>
      <x:c r="D294" s="8" t="s">
        <x:v>24</x:v>
      </x:c>
      <x:c r="E294" s="8" t="s">
        <x:v>467</x:v>
      </x:c>
      <x:c r="F294" s="8" t="s">
        <x:v>468</x:v>
      </x:c>
      <x:c r="G294" s="25">
        <x:v>46230</x:v>
      </x:c>
      <x:c r="H294" s="25">
        <x:v>46262</x:v>
      </x:c>
      <x:c r="I294" s="8" t="s">
        <x:v>2</x:v>
      </x:c>
      <x:c r="J294" s="8" t="s">
        <x:v>2</x:v>
      </x:c>
      <x:c r="K294" s="25"/>
      <x:c r="L294" s="8" t="s">
        <x:v>367</x:v>
      </x:c>
      <x:c r="M294" s="8" t="s">
        <x:v>368</x:v>
      </x:c>
      <x:c r="N294" s="10"/>
      <x:c r="O294" s="8" t="s">
        <x:v>887</x:v>
      </x:c>
    </x:row>
    <x:row r="295" ht="32" customHeight="1">
      <x:c r="A295" s="8">
        <x:v>10</x:v>
      </x:c>
      <x:c r="B295" s="8" t="s">
        <x:v>542</x:v>
      </x:c>
      <x:c r="C295" s="8" t="s">
        <x:v>543</x:v>
      </x:c>
      <x:c r="D295" s="8" t="s">
        <x:v>25</x:v>
      </x:c>
      <x:c r="E295" s="8" t="s">
        <x:v>467</x:v>
      </x:c>
      <x:c r="F295" s="8" t="s">
        <x:v>468</x:v>
      </x:c>
      <x:c r="G295" s="25">
        <x:v>46230</x:v>
      </x:c>
      <x:c r="H295" s="25">
        <x:v>46262</x:v>
      </x:c>
      <x:c r="I295" s="8" t="s">
        <x:v>2</x:v>
      </x:c>
      <x:c r="J295" s="8" t="s">
        <x:v>2</x:v>
      </x:c>
      <x:c r="K295" s="25"/>
      <x:c r="L295" s="8" t="s">
        <x:v>367</x:v>
      </x:c>
      <x:c r="M295" s="8" t="s">
        <x:v>368</x:v>
      </x:c>
      <x:c r="N295" s="10"/>
      <x:c r="O295" s="8" t="s">
        <x:v>888</x:v>
      </x:c>
    </x:row>
    <x:row r="296" ht="32" customHeight="1">
      <x:c r="A296" s="8">
        <x:v>10</x:v>
      </x:c>
      <x:c r="B296" s="8" t="s">
        <x:v>889</x:v>
      </x:c>
      <x:c r="C296" s="8" t="s">
        <x:v>890</x:v>
      </x:c>
      <x:c r="D296" s="8" t="s">
        <x:v>24</x:v>
      </x:c>
      <x:c r="E296" s="8" t="s">
        <x:v>467</x:v>
      </x:c>
      <x:c r="F296" s="8" t="s">
        <x:v>468</x:v>
      </x:c>
      <x:c r="G296" s="25">
        <x:v>46230</x:v>
      </x:c>
      <x:c r="H296" s="25">
        <x:v>46262</x:v>
      </x:c>
      <x:c r="I296" s="8" t="s">
        <x:v>2</x:v>
      </x:c>
      <x:c r="J296" s="8" t="s">
        <x:v>2</x:v>
      </x:c>
      <x:c r="K296" s="25"/>
      <x:c r="L296" s="8" t="s">
        <x:v>367</x:v>
      </x:c>
      <x:c r="M296" s="8" t="s">
        <x:v>368</x:v>
      </x:c>
      <x:c r="N296" s="10"/>
      <x:c r="O296" s="8" t="s">
        <x:v>891</x:v>
      </x:c>
    </x:row>
    <x:row r="297" ht="32" customHeight="1">
      <x:c r="A297" s="8">
        <x:v>10</x:v>
      </x:c>
      <x:c r="B297" s="8" t="s">
        <x:v>892</x:v>
      </x:c>
      <x:c r="C297" s="8" t="s">
        <x:v>893</x:v>
      </x:c>
      <x:c r="D297" s="8" t="s">
        <x:v>24</x:v>
      </x:c>
      <x:c r="E297" s="8" t="s">
        <x:v>467</x:v>
      </x:c>
      <x:c r="F297" s="8" t="s">
        <x:v>468</x:v>
      </x:c>
      <x:c r="G297" s="25">
        <x:v>46230</x:v>
      </x:c>
      <x:c r="H297" s="25">
        <x:v>46262</x:v>
      </x:c>
      <x:c r="I297" s="8" t="s">
        <x:v>2</x:v>
      </x:c>
      <x:c r="J297" s="8" t="s">
        <x:v>2</x:v>
      </x:c>
      <x:c r="K297" s="25"/>
      <x:c r="L297" s="8" t="s">
        <x:v>367</x:v>
      </x:c>
      <x:c r="M297" s="8" t="s">
        <x:v>368</x:v>
      </x:c>
      <x:c r="N297" s="10"/>
      <x:c r="O297" s="8" t="s">
        <x:v>894</x:v>
      </x:c>
    </x:row>
    <x:row r="298" ht="32" customHeight="1">
      <x:c r="A298" s="8">
        <x:v>10</x:v>
      </x:c>
      <x:c r="B298" s="8" t="s">
        <x:v>895</x:v>
      </x:c>
      <x:c r="C298" s="8" t="s">
        <x:v>896</x:v>
      </x:c>
      <x:c r="D298" s="8" t="s">
        <x:v>24</x:v>
      </x:c>
      <x:c r="E298" s="8" t="s">
        <x:v>467</x:v>
      </x:c>
      <x:c r="F298" s="8" t="s">
        <x:v>468</x:v>
      </x:c>
      <x:c r="G298" s="25">
        <x:v>46230</x:v>
      </x:c>
      <x:c r="H298" s="25">
        <x:v>46262</x:v>
      </x:c>
      <x:c r="I298" s="8" t="s">
        <x:v>2</x:v>
      </x:c>
      <x:c r="J298" s="8" t="s">
        <x:v>2</x:v>
      </x:c>
      <x:c r="K298" s="25"/>
      <x:c r="L298" s="8" t="s">
        <x:v>367</x:v>
      </x:c>
      <x:c r="M298" s="8" t="s">
        <x:v>368</x:v>
      </x:c>
      <x:c r="N298" s="10"/>
      <x:c r="O298" s="8" t="s">
        <x:v>897</x:v>
      </x:c>
    </x:row>
    <x:row r="299" ht="32" customHeight="1">
      <x:c r="A299" s="8">
        <x:v>10</x:v>
      </x:c>
      <x:c r="B299" s="8" t="s">
        <x:v>898</x:v>
      </x:c>
      <x:c r="C299" s="8" t="s">
        <x:v>899</x:v>
      </x:c>
      <x:c r="D299" s="8" t="s">
        <x:v>24</x:v>
      </x:c>
      <x:c r="E299" s="8" t="s">
        <x:v>467</x:v>
      </x:c>
      <x:c r="F299" s="8" t="s">
        <x:v>468</x:v>
      </x:c>
      <x:c r="G299" s="25">
        <x:v>46230</x:v>
      </x:c>
      <x:c r="H299" s="25">
        <x:v>46262</x:v>
      </x:c>
      <x:c r="I299" s="8" t="s">
        <x:v>2</x:v>
      </x:c>
      <x:c r="J299" s="8" t="s">
        <x:v>2</x:v>
      </x:c>
      <x:c r="K299" s="25"/>
      <x:c r="L299" s="8" t="s">
        <x:v>367</x:v>
      </x:c>
      <x:c r="M299" s="8" t="s">
        <x:v>368</x:v>
      </x:c>
      <x:c r="N299" s="10"/>
      <x:c r="O299" s="8" t="s">
        <x:v>900</x:v>
      </x:c>
    </x:row>
    <x:row r="300" ht="32" customHeight="1">
      <x:c r="A300" s="8">
        <x:v>10</x:v>
      </x:c>
      <x:c r="B300" s="8" t="s">
        <x:v>545</x:v>
      </x:c>
      <x:c r="C300" s="8" t="s">
        <x:v>489</x:v>
      </x:c>
      <x:c r="D300" s="8" t="s">
        <x:v>25</x:v>
      </x:c>
      <x:c r="E300" s="8" t="s">
        <x:v>467</x:v>
      </x:c>
      <x:c r="F300" s="8" t="s">
        <x:v>468</x:v>
      </x:c>
      <x:c r="G300" s="25">
        <x:v>46230</x:v>
      </x:c>
      <x:c r="H300" s="25">
        <x:v>46262</x:v>
      </x:c>
      <x:c r="I300" s="8" t="s">
        <x:v>2</x:v>
      </x:c>
      <x:c r="J300" s="8" t="s">
        <x:v>2</x:v>
      </x:c>
      <x:c r="K300" s="25">
        <x:v>46261</x:v>
      </x:c>
      <x:c r="L300" s="8" t="s">
        <x:v>367</x:v>
      </x:c>
      <x:c r="M300" s="8"/>
      <x:c r="N300" s="10"/>
      <x:c r="O300" s="8" t="s">
        <x:v>901</x:v>
      </x:c>
    </x:row>
    <x:row r="301" ht="32" customHeight="1">
      <x:c r="A301" s="8">
        <x:v>10</x:v>
      </x:c>
      <x:c r="B301" s="8" t="s">
        <x:v>547</x:v>
      </x:c>
      <x:c r="C301" s="8" t="s">
        <x:v>498</x:v>
      </x:c>
      <x:c r="D301" s="8" t="s">
        <x:v>25</x:v>
      </x:c>
      <x:c r="E301" s="8" t="s">
        <x:v>467</x:v>
      </x:c>
      <x:c r="F301" s="8" t="s">
        <x:v>468</x:v>
      </x:c>
      <x:c r="G301" s="25">
        <x:v>46230</x:v>
      </x:c>
      <x:c r="H301" s="25">
        <x:v>46262</x:v>
      </x:c>
      <x:c r="I301" s="8" t="s">
        <x:v>2</x:v>
      </x:c>
      <x:c r="J301" s="8" t="s">
        <x:v>2</x:v>
      </x:c>
      <x:c r="K301" s="25">
        <x:v>46261</x:v>
      </x:c>
      <x:c r="L301" s="8" t="s">
        <x:v>367</x:v>
      </x:c>
      <x:c r="M301" s="8"/>
      <x:c r="N301" s="10"/>
      <x:c r="O301" s="8" t="s">
        <x:v>902</x:v>
      </x:c>
    </x:row>
    <x:row r="302" ht="32" customHeight="1">
      <x:c r="A302" s="8">
        <x:v>10</x:v>
      </x:c>
      <x:c r="B302" s="8" t="s">
        <x:v>549</x:v>
      </x:c>
      <x:c r="C302" s="8" t="s">
        <x:v>507</x:v>
      </x:c>
      <x:c r="D302" s="8" t="s">
        <x:v>25</x:v>
      </x:c>
      <x:c r="E302" s="8" t="s">
        <x:v>467</x:v>
      </x:c>
      <x:c r="F302" s="8" t="s">
        <x:v>468</x:v>
      </x:c>
      <x:c r="G302" s="25">
        <x:v>46230</x:v>
      </x:c>
      <x:c r="H302" s="25">
        <x:v>46262</x:v>
      </x:c>
      <x:c r="I302" s="8" t="s">
        <x:v>2</x:v>
      </x:c>
      <x:c r="J302" s="8" t="s">
        <x:v>2</x:v>
      </x:c>
      <x:c r="K302" s="25"/>
      <x:c r="L302" s="8" t="s">
        <x:v>367</x:v>
      </x:c>
      <x:c r="M302" s="8" t="s">
        <x:v>368</x:v>
      </x:c>
      <x:c r="N302" s="10"/>
      <x:c r="O302" s="8" t="s">
        <x:v>903</x:v>
      </x:c>
    </x:row>
    <x:row r="303" ht="32" customHeight="1">
      <x:c r="A303" s="8">
        <x:v>10</x:v>
      </x:c>
      <x:c r="B303" s="8" t="s">
        <x:v>485</x:v>
      </x:c>
      <x:c r="C303" s="8" t="s">
        <x:v>486</x:v>
      </x:c>
      <x:c r="D303" s="8" t="s">
        <x:v>24</x:v>
      </x:c>
      <x:c r="E303" s="8" t="s">
        <x:v>479</x:v>
      </x:c>
      <x:c r="F303" s="8" t="s">
        <x:v>480</x:v>
      </x:c>
      <x:c r="G303" s="25">
        <x:v>46230</x:v>
      </x:c>
      <x:c r="H303" s="25">
        <x:v>46262</x:v>
      </x:c>
      <x:c r="I303" s="8" t="s">
        <x:v>2</x:v>
      </x:c>
      <x:c r="J303" s="8" t="s">
        <x:v>2</x:v>
      </x:c>
      <x:c r="K303" s="25">
        <x:v>46261</x:v>
      </x:c>
      <x:c r="L303" s="8" t="s">
        <x:v>367</x:v>
      </x:c>
      <x:c r="M303" s="8"/>
      <x:c r="N303" s="10"/>
      <x:c r="O303" s="8" t="s">
        <x:v>904</x:v>
      </x:c>
    </x:row>
    <x:row r="304" ht="32" customHeight="1">
      <x:c r="A304" s="8">
        <x:v>10</x:v>
      </x:c>
      <x:c r="B304" s="8" t="s">
        <x:v>488</x:v>
      </x:c>
      <x:c r="C304" s="8" t="s">
        <x:v>489</x:v>
      </x:c>
      <x:c r="D304" s="8" t="s">
        <x:v>24</x:v>
      </x:c>
      <x:c r="E304" s="8" t="s">
        <x:v>479</x:v>
      </x:c>
      <x:c r="F304" s="8" t="s">
        <x:v>480</x:v>
      </x:c>
      <x:c r="G304" s="25">
        <x:v>46230</x:v>
      </x:c>
      <x:c r="H304" s="25">
        <x:v>46262</x:v>
      </x:c>
      <x:c r="I304" s="8" t="s">
        <x:v>2</x:v>
      </x:c>
      <x:c r="J304" s="8" t="s">
        <x:v>2</x:v>
      </x:c>
      <x:c r="K304" s="25">
        <x:v>46261</x:v>
      </x:c>
      <x:c r="L304" s="8" t="s">
        <x:v>367</x:v>
      </x:c>
      <x:c r="M304" s="8"/>
      <x:c r="N304" s="10"/>
      <x:c r="O304" s="8" t="s">
        <x:v>905</x:v>
      </x:c>
    </x:row>
    <x:row r="305" ht="32" customHeight="1">
      <x:c r="A305" s="8">
        <x:v>10</x:v>
      </x:c>
      <x:c r="B305" s="8" t="s">
        <x:v>491</x:v>
      </x:c>
      <x:c r="C305" s="8" t="s">
        <x:v>492</x:v>
      </x:c>
      <x:c r="D305" s="8" t="s">
        <x:v>24</x:v>
      </x:c>
      <x:c r="E305" s="8" t="s">
        <x:v>479</x:v>
      </x:c>
      <x:c r="F305" s="8" t="s">
        <x:v>480</x:v>
      </x:c>
      <x:c r="G305" s="25">
        <x:v>46230</x:v>
      </x:c>
      <x:c r="H305" s="25">
        <x:v>46262</x:v>
      </x:c>
      <x:c r="I305" s="8" t="s">
        <x:v>2</x:v>
      </x:c>
      <x:c r="J305" s="8" t="s">
        <x:v>2</x:v>
      </x:c>
      <x:c r="K305" s="25">
        <x:v>46261</x:v>
      </x:c>
      <x:c r="L305" s="8" t="s">
        <x:v>367</x:v>
      </x:c>
      <x:c r="M305" s="8"/>
      <x:c r="N305" s="10"/>
      <x:c r="O305" s="8" t="s">
        <x:v>906</x:v>
      </x:c>
    </x:row>
    <x:row r="306" ht="32" customHeight="1">
      <x:c r="A306" s="8">
        <x:v>10</x:v>
      </x:c>
      <x:c r="B306" s="8" t="s">
        <x:v>494</x:v>
      </x:c>
      <x:c r="C306" s="8" t="s">
        <x:v>495</x:v>
      </x:c>
      <x:c r="D306" s="8" t="s">
        <x:v>24</x:v>
      </x:c>
      <x:c r="E306" s="8" t="s">
        <x:v>479</x:v>
      </x:c>
      <x:c r="F306" s="8" t="s">
        <x:v>480</x:v>
      </x:c>
      <x:c r="G306" s="25">
        <x:v>46230</x:v>
      </x:c>
      <x:c r="H306" s="25">
        <x:v>46262</x:v>
      </x:c>
      <x:c r="I306" s="8" t="s">
        <x:v>2</x:v>
      </x:c>
      <x:c r="J306" s="8" t="s">
        <x:v>2</x:v>
      </x:c>
      <x:c r="K306" s="25">
        <x:v>46261</x:v>
      </x:c>
      <x:c r="L306" s="8" t="s">
        <x:v>367</x:v>
      </x:c>
      <x:c r="M306" s="8"/>
      <x:c r="N306" s="10"/>
      <x:c r="O306" s="8" t="s">
        <x:v>907</x:v>
      </x:c>
    </x:row>
    <x:row r="307" ht="32" customHeight="1">
      <x:c r="A307" s="8">
        <x:v>10</x:v>
      </x:c>
      <x:c r="B307" s="8" t="s">
        <x:v>497</x:v>
      </x:c>
      <x:c r="C307" s="8" t="s">
        <x:v>498</x:v>
      </x:c>
      <x:c r="D307" s="8" t="s">
        <x:v>24</x:v>
      </x:c>
      <x:c r="E307" s="8" t="s">
        <x:v>479</x:v>
      </x:c>
      <x:c r="F307" s="8" t="s">
        <x:v>480</x:v>
      </x:c>
      <x:c r="G307" s="25">
        <x:v>46230</x:v>
      </x:c>
      <x:c r="H307" s="25">
        <x:v>46262</x:v>
      </x:c>
      <x:c r="I307" s="8" t="s">
        <x:v>2</x:v>
      </x:c>
      <x:c r="J307" s="8" t="s">
        <x:v>2</x:v>
      </x:c>
      <x:c r="K307" s="25">
        <x:v>46261</x:v>
      </x:c>
      <x:c r="L307" s="8" t="s">
        <x:v>367</x:v>
      </x:c>
      <x:c r="M307" s="8"/>
      <x:c r="N307" s="10"/>
      <x:c r="O307" s="8" t="s">
        <x:v>908</x:v>
      </x:c>
    </x:row>
    <x:row r="308" ht="32" customHeight="1">
      <x:c r="A308" s="8">
        <x:v>10</x:v>
      </x:c>
      <x:c r="B308" s="8" t="s">
        <x:v>500</x:v>
      </x:c>
      <x:c r="C308" s="8" t="s">
        <x:v>501</x:v>
      </x:c>
      <x:c r="D308" s="8" t="s">
        <x:v>24</x:v>
      </x:c>
      <x:c r="E308" s="8" t="s">
        <x:v>479</x:v>
      </x:c>
      <x:c r="F308" s="8" t="s">
        <x:v>480</x:v>
      </x:c>
      <x:c r="G308" s="25">
        <x:v>46230</x:v>
      </x:c>
      <x:c r="H308" s="25">
        <x:v>46262</x:v>
      </x:c>
      <x:c r="I308" s="8" t="s">
        <x:v>2</x:v>
      </x:c>
      <x:c r="J308" s="8" t="s">
        <x:v>2</x:v>
      </x:c>
      <x:c r="K308" s="25">
        <x:v>46261</x:v>
      </x:c>
      <x:c r="L308" s="8" t="s">
        <x:v>367</x:v>
      </x:c>
      <x:c r="M308" s="8"/>
      <x:c r="N308" s="10"/>
      <x:c r="O308" s="8" t="s">
        <x:v>909</x:v>
      </x:c>
    </x:row>
    <x:row r="309" ht="32" customHeight="1">
      <x:c r="A309" s="8">
        <x:v>10</x:v>
      </x:c>
      <x:c r="B309" s="8" t="s">
        <x:v>503</x:v>
      </x:c>
      <x:c r="C309" s="8" t="s">
        <x:v>504</x:v>
      </x:c>
      <x:c r="D309" s="8" t="s">
        <x:v>25</x:v>
      </x:c>
      <x:c r="E309" s="8" t="s">
        <x:v>479</x:v>
      </x:c>
      <x:c r="F309" s="8" t="s">
        <x:v>480</x:v>
      </x:c>
      <x:c r="G309" s="25">
        <x:v>46230</x:v>
      </x:c>
      <x:c r="H309" s="25">
        <x:v>46262</x:v>
      </x:c>
      <x:c r="I309" s="8" t="s">
        <x:v>2</x:v>
      </x:c>
      <x:c r="J309" s="8" t="s">
        <x:v>2</x:v>
      </x:c>
      <x:c r="K309" s="25"/>
      <x:c r="L309" s="8" t="s">
        <x:v>367</x:v>
      </x:c>
      <x:c r="M309" s="8" t="s">
        <x:v>368</x:v>
      </x:c>
      <x:c r="N309" s="10"/>
      <x:c r="O309" s="8" t="s">
        <x:v>910</x:v>
      </x:c>
    </x:row>
    <x:row r="310" ht="32" customHeight="1">
      <x:c r="A310" s="8">
        <x:v>10</x:v>
      </x:c>
      <x:c r="B310" s="8" t="s">
        <x:v>506</x:v>
      </x:c>
      <x:c r="C310" s="8" t="s">
        <x:v>507</x:v>
      </x:c>
      <x:c r="D310" s="8" t="s">
        <x:v>25</x:v>
      </x:c>
      <x:c r="E310" s="8" t="s">
        <x:v>479</x:v>
      </x:c>
      <x:c r="F310" s="8" t="s">
        <x:v>480</x:v>
      </x:c>
      <x:c r="G310" s="25">
        <x:v>46230</x:v>
      </x:c>
      <x:c r="H310" s="25">
        <x:v>46262</x:v>
      </x:c>
      <x:c r="I310" s="8" t="s">
        <x:v>2</x:v>
      </x:c>
      <x:c r="J310" s="8" t="s">
        <x:v>2</x:v>
      </x:c>
      <x:c r="K310" s="25"/>
      <x:c r="L310" s="8" t="s">
        <x:v>367</x:v>
      </x:c>
      <x:c r="M310" s="8" t="s">
        <x:v>368</x:v>
      </x:c>
      <x:c r="N310" s="10"/>
      <x:c r="O310" s="8" t="s">
        <x:v>911</x:v>
      </x:c>
    </x:row>
    <x:row r="311" ht="32" customHeight="1">
      <x:c r="A311" s="8">
        <x:v>10</x:v>
      </x:c>
      <x:c r="B311" s="8" t="s">
        <x:v>509</x:v>
      </x:c>
      <x:c r="C311" s="8" t="s">
        <x:v>510</x:v>
      </x:c>
      <x:c r="D311" s="8" t="s">
        <x:v>25</x:v>
      </x:c>
      <x:c r="E311" s="8" t="s">
        <x:v>479</x:v>
      </x:c>
      <x:c r="F311" s="8" t="s">
        <x:v>480</x:v>
      </x:c>
      <x:c r="G311" s="25">
        <x:v>46230</x:v>
      </x:c>
      <x:c r="H311" s="25">
        <x:v>46262</x:v>
      </x:c>
      <x:c r="I311" s="8" t="s">
        <x:v>2</x:v>
      </x:c>
      <x:c r="J311" s="8" t="s">
        <x:v>2</x:v>
      </x:c>
      <x:c r="K311" s="25"/>
      <x:c r="L311" s="8" t="s">
        <x:v>367</x:v>
      </x:c>
      <x:c r="M311" s="8" t="s">
        <x:v>368</x:v>
      </x:c>
      <x:c r="N311" s="10"/>
      <x:c r="O311" s="8" t="s">
        <x:v>912</x:v>
      </x:c>
    </x:row>
    <x:row r="312" ht="32" customHeight="1">
      <x:c r="A312" s="8">
        <x:v>10</x:v>
      </x:c>
      <x:c r="B312" s="8" t="s">
        <x:v>512</x:v>
      </x:c>
      <x:c r="C312" s="8" t="s">
        <x:v>513</x:v>
      </x:c>
      <x:c r="D312" s="8" t="s">
        <x:v>24</x:v>
      </x:c>
      <x:c r="E312" s="8" t="s">
        <x:v>479</x:v>
      </x:c>
      <x:c r="F312" s="8" t="s">
        <x:v>480</x:v>
      </x:c>
      <x:c r="G312" s="25">
        <x:v>46230</x:v>
      </x:c>
      <x:c r="H312" s="25">
        <x:v>46262</x:v>
      </x:c>
      <x:c r="I312" s="8" t="s">
        <x:v>2</x:v>
      </x:c>
      <x:c r="J312" s="8" t="s">
        <x:v>2</x:v>
      </x:c>
      <x:c r="K312" s="25">
        <x:v>46224</x:v>
      </x:c>
      <x:c r="L312" s="8" t="s">
        <x:v>367</x:v>
      </x:c>
      <x:c r="M312" s="8"/>
      <x:c r="N312" s="10"/>
      <x:c r="O312" s="8" t="s">
        <x:v>913</x:v>
      </x:c>
    </x:row>
    <x:row r="313" ht="32" customHeight="1">
      <x:c r="A313" s="8">
        <x:v>10</x:v>
      </x:c>
      <x:c r="B313" s="8" t="s">
        <x:v>515</x:v>
      </x:c>
      <x:c r="C313" s="8" t="s">
        <x:v>516</x:v>
      </x:c>
      <x:c r="D313" s="8" t="s">
        <x:v>24</x:v>
      </x:c>
      <x:c r="E313" s="8" t="s">
        <x:v>479</x:v>
      </x:c>
      <x:c r="F313" s="8" t="s">
        <x:v>480</x:v>
      </x:c>
      <x:c r="G313" s="25">
        <x:v>46230</x:v>
      </x:c>
      <x:c r="H313" s="25">
        <x:v>46262</x:v>
      </x:c>
      <x:c r="I313" s="8" t="s">
        <x:v>2</x:v>
      </x:c>
      <x:c r="J313" s="8" t="s">
        <x:v>2</x:v>
      </x:c>
      <x:c r="K313" s="25">
        <x:v>46224</x:v>
      </x:c>
      <x:c r="L313" s="8" t="s">
        <x:v>367</x:v>
      </x:c>
      <x:c r="M313" s="8"/>
      <x:c r="N313" s="10"/>
      <x:c r="O313" s="8" t="s">
        <x:v>914</x:v>
      </x:c>
    </x:row>
    <x:row r="314" ht="32" customHeight="1">
      <x:c r="A314" s="8">
        <x:v>10</x:v>
      </x:c>
      <x:c r="B314" s="8" t="s">
        <x:v>518</x:v>
      </x:c>
      <x:c r="C314" s="8" t="s">
        <x:v>519</x:v>
      </x:c>
      <x:c r="D314" s="8" t="s">
        <x:v>24</x:v>
      </x:c>
      <x:c r="E314" s="8" t="s">
        <x:v>479</x:v>
      </x:c>
      <x:c r="F314" s="8" t="s">
        <x:v>480</x:v>
      </x:c>
      <x:c r="G314" s="25">
        <x:v>46230</x:v>
      </x:c>
      <x:c r="H314" s="25">
        <x:v>46262</x:v>
      </x:c>
      <x:c r="I314" s="8" t="s">
        <x:v>2</x:v>
      </x:c>
      <x:c r="J314" s="8" t="s">
        <x:v>2</x:v>
      </x:c>
      <x:c r="K314" s="25">
        <x:v>46224</x:v>
      </x:c>
      <x:c r="L314" s="8" t="s">
        <x:v>367</x:v>
      </x:c>
      <x:c r="M314" s="8"/>
      <x:c r="N314" s="10"/>
      <x:c r="O314" s="8" t="s">
        <x:v>915</x:v>
      </x:c>
    </x:row>
    <x:row r="315" ht="32" customHeight="1">
      <x:c r="A315" s="8">
        <x:v>10</x:v>
      </x:c>
      <x:c r="B315" s="8" t="s">
        <x:v>521</x:v>
      </x:c>
      <x:c r="C315" s="8" t="s">
        <x:v>522</x:v>
      </x:c>
      <x:c r="D315" s="8" t="s">
        <x:v>24</x:v>
      </x:c>
      <x:c r="E315" s="8" t="s">
        <x:v>479</x:v>
      </x:c>
      <x:c r="F315" s="8" t="s">
        <x:v>480</x:v>
      </x:c>
      <x:c r="G315" s="25">
        <x:v>46230</x:v>
      </x:c>
      <x:c r="H315" s="25">
        <x:v>46262</x:v>
      </x:c>
      <x:c r="I315" s="8" t="s">
        <x:v>2</x:v>
      </x:c>
      <x:c r="J315" s="8" t="s">
        <x:v>2</x:v>
      </x:c>
      <x:c r="K315" s="25">
        <x:v>46224</x:v>
      </x:c>
      <x:c r="L315" s="8" t="s">
        <x:v>367</x:v>
      </x:c>
      <x:c r="M315" s="8"/>
      <x:c r="N315" s="10"/>
      <x:c r="O315" s="8" t="s">
        <x:v>916</x:v>
      </x:c>
    </x:row>
    <x:row r="316" ht="32" customHeight="1">
      <x:c r="A316" s="8">
        <x:v>10</x:v>
      </x:c>
      <x:c r="B316" s="8" t="s">
        <x:v>524</x:v>
      </x:c>
      <x:c r="C316" s="8" t="s">
        <x:v>525</x:v>
      </x:c>
      <x:c r="D316" s="8" t="s">
        <x:v>24</x:v>
      </x:c>
      <x:c r="E316" s="8" t="s">
        <x:v>479</x:v>
      </x:c>
      <x:c r="F316" s="8" t="s">
        <x:v>480</x:v>
      </x:c>
      <x:c r="G316" s="25">
        <x:v>46230</x:v>
      </x:c>
      <x:c r="H316" s="25">
        <x:v>46262</x:v>
      </x:c>
      <x:c r="I316" s="8" t="s">
        <x:v>2</x:v>
      </x:c>
      <x:c r="J316" s="8" t="s">
        <x:v>2</x:v>
      </x:c>
      <x:c r="K316" s="25"/>
      <x:c r="L316" s="8" t="s">
        <x:v>367</x:v>
      </x:c>
      <x:c r="M316" s="8" t="s">
        <x:v>368</x:v>
      </x:c>
      <x:c r="N316" s="10"/>
      <x:c r="O316" s="8" t="s">
        <x:v>917</x:v>
      </x:c>
    </x:row>
    <x:row r="317" ht="32" customHeight="1">
      <x:c r="A317" s="8">
        <x:v>10</x:v>
      </x:c>
      <x:c r="B317" s="8" t="s">
        <x:v>527</x:v>
      </x:c>
      <x:c r="C317" s="8" t="s">
        <x:v>528</x:v>
      </x:c>
      <x:c r="D317" s="8" t="s">
        <x:v>24</x:v>
      </x:c>
      <x:c r="E317" s="8" t="s">
        <x:v>479</x:v>
      </x:c>
      <x:c r="F317" s="8" t="s">
        <x:v>480</x:v>
      </x:c>
      <x:c r="G317" s="25">
        <x:v>46230</x:v>
      </x:c>
      <x:c r="H317" s="25">
        <x:v>46262</x:v>
      </x:c>
      <x:c r="I317" s="8" t="s">
        <x:v>2</x:v>
      </x:c>
      <x:c r="J317" s="8" t="s">
        <x:v>2</x:v>
      </x:c>
      <x:c r="K317" s="25"/>
      <x:c r="L317" s="8" t="s">
        <x:v>367</x:v>
      </x:c>
      <x:c r="M317" s="8" t="s">
        <x:v>368</x:v>
      </x:c>
      <x:c r="N317" s="10"/>
      <x:c r="O317" s="8" t="s">
        <x:v>918</x:v>
      </x:c>
    </x:row>
    <x:row r="318" ht="32" customHeight="1">
      <x:c r="A318" s="8">
        <x:v>10</x:v>
      </x:c>
      <x:c r="B318" s="8" t="s">
        <x:v>530</x:v>
      </x:c>
      <x:c r="C318" s="8" t="s">
        <x:v>531</x:v>
      </x:c>
      <x:c r="D318" s="8" t="s">
        <x:v>24</x:v>
      </x:c>
      <x:c r="E318" s="8" t="s">
        <x:v>479</x:v>
      </x:c>
      <x:c r="F318" s="8" t="s">
        <x:v>480</x:v>
      </x:c>
      <x:c r="G318" s="25">
        <x:v>46230</x:v>
      </x:c>
      <x:c r="H318" s="25">
        <x:v>46262</x:v>
      </x:c>
      <x:c r="I318" s="8" t="s">
        <x:v>2</x:v>
      </x:c>
      <x:c r="J318" s="8" t="s">
        <x:v>2</x:v>
      </x:c>
      <x:c r="K318" s="25"/>
      <x:c r="L318" s="8" t="s">
        <x:v>367</x:v>
      </x:c>
      <x:c r="M318" s="8" t="s">
        <x:v>368</x:v>
      </x:c>
      <x:c r="N318" s="10"/>
      <x:c r="O318" s="8" t="s">
        <x:v>919</x:v>
      </x:c>
    </x:row>
    <x:row r="319" ht="32" customHeight="1">
      <x:c r="A319" s="8">
        <x:v>10</x:v>
      </x:c>
      <x:c r="B319" s="8" t="s">
        <x:v>533</x:v>
      </x:c>
      <x:c r="C319" s="8" t="s">
        <x:v>534</x:v>
      </x:c>
      <x:c r="D319" s="8" t="s">
        <x:v>24</x:v>
      </x:c>
      <x:c r="E319" s="8" t="s">
        <x:v>479</x:v>
      </x:c>
      <x:c r="F319" s="8" t="s">
        <x:v>480</x:v>
      </x:c>
      <x:c r="G319" s="25">
        <x:v>46230</x:v>
      </x:c>
      <x:c r="H319" s="25">
        <x:v>46262</x:v>
      </x:c>
      <x:c r="I319" s="8" t="s">
        <x:v>2</x:v>
      </x:c>
      <x:c r="J319" s="8" t="s">
        <x:v>2</x:v>
      </x:c>
      <x:c r="K319" s="25"/>
      <x:c r="L319" s="8" t="s">
        <x:v>367</x:v>
      </x:c>
      <x:c r="M319" s="8" t="s">
        <x:v>368</x:v>
      </x:c>
      <x:c r="N319" s="10"/>
      <x:c r="O319" s="8" t="s">
        <x:v>920</x:v>
      </x:c>
    </x:row>
    <x:row r="320" ht="32" customHeight="1">
      <x:c r="A320" s="8">
        <x:v>10</x:v>
      </x:c>
      <x:c r="B320" s="8" t="s">
        <x:v>536</x:v>
      </x:c>
      <x:c r="C320" s="8" t="s">
        <x:v>537</x:v>
      </x:c>
      <x:c r="D320" s="8" t="s">
        <x:v>24</x:v>
      </x:c>
      <x:c r="E320" s="8" t="s">
        <x:v>479</x:v>
      </x:c>
      <x:c r="F320" s="8" t="s">
        <x:v>480</x:v>
      </x:c>
      <x:c r="G320" s="25">
        <x:v>46230</x:v>
      </x:c>
      <x:c r="H320" s="25">
        <x:v>46262</x:v>
      </x:c>
      <x:c r="I320" s="8" t="s">
        <x:v>2</x:v>
      </x:c>
      <x:c r="J320" s="8" t="s">
        <x:v>2</x:v>
      </x:c>
      <x:c r="K320" s="25"/>
      <x:c r="L320" s="8" t="s">
        <x:v>367</x:v>
      </x:c>
      <x:c r="M320" s="8" t="s">
        <x:v>368</x:v>
      </x:c>
      <x:c r="N320" s="10"/>
      <x:c r="O320" s="8" t="s">
        <x:v>921</x:v>
      </x:c>
    </x:row>
    <x:row r="321" ht="32" customHeight="1">
      <x:c r="A321" s="8">
        <x:v>10</x:v>
      </x:c>
      <x:c r="B321" s="8" t="s">
        <x:v>539</x:v>
      </x:c>
      <x:c r="C321" s="8" t="s">
        <x:v>540</x:v>
      </x:c>
      <x:c r="D321" s="8" t="s">
        <x:v>24</x:v>
      </x:c>
      <x:c r="E321" s="8" t="s">
        <x:v>479</x:v>
      </x:c>
      <x:c r="F321" s="8" t="s">
        <x:v>480</x:v>
      </x:c>
      <x:c r="G321" s="25">
        <x:v>46230</x:v>
      </x:c>
      <x:c r="H321" s="25">
        <x:v>46262</x:v>
      </x:c>
      <x:c r="I321" s="8" t="s">
        <x:v>2</x:v>
      </x:c>
      <x:c r="J321" s="8" t="s">
        <x:v>2</x:v>
      </x:c>
      <x:c r="K321" s="25"/>
      <x:c r="L321" s="8" t="s">
        <x:v>367</x:v>
      </x:c>
      <x:c r="M321" s="8" t="s">
        <x:v>368</x:v>
      </x:c>
      <x:c r="N321" s="10"/>
      <x:c r="O321" s="8" t="s">
        <x:v>922</x:v>
      </x:c>
    </x:row>
    <x:row r="322" ht="32" customHeight="1">
      <x:c r="A322" s="8">
        <x:v>10</x:v>
      </x:c>
      <x:c r="B322" s="8" t="s">
        <x:v>542</x:v>
      </x:c>
      <x:c r="C322" s="8" t="s">
        <x:v>543</x:v>
      </x:c>
      <x:c r="D322" s="8" t="s">
        <x:v>25</x:v>
      </x:c>
      <x:c r="E322" s="8" t="s">
        <x:v>479</x:v>
      </x:c>
      <x:c r="F322" s="8" t="s">
        <x:v>480</x:v>
      </x:c>
      <x:c r="G322" s="25">
        <x:v>46230</x:v>
      </x:c>
      <x:c r="H322" s="25">
        <x:v>46262</x:v>
      </x:c>
      <x:c r="I322" s="8" t="s">
        <x:v>2</x:v>
      </x:c>
      <x:c r="J322" s="8" t="s">
        <x:v>2</x:v>
      </x:c>
      <x:c r="K322" s="25"/>
      <x:c r="L322" s="8" t="s">
        <x:v>367</x:v>
      </x:c>
      <x:c r="M322" s="8" t="s">
        <x:v>368</x:v>
      </x:c>
      <x:c r="N322" s="10"/>
      <x:c r="O322" s="8" t="s">
        <x:v>923</x:v>
      </x:c>
    </x:row>
    <x:row r="323" ht="32" customHeight="1">
      <x:c r="A323" s="8">
        <x:v>10</x:v>
      </x:c>
      <x:c r="B323" s="8" t="s">
        <x:v>889</x:v>
      </x:c>
      <x:c r="C323" s="8" t="s">
        <x:v>890</x:v>
      </x:c>
      <x:c r="D323" s="8" t="s">
        <x:v>24</x:v>
      </x:c>
      <x:c r="E323" s="8" t="s">
        <x:v>479</x:v>
      </x:c>
      <x:c r="F323" s="8" t="s">
        <x:v>480</x:v>
      </x:c>
      <x:c r="G323" s="25">
        <x:v>46230</x:v>
      </x:c>
      <x:c r="H323" s="25">
        <x:v>46262</x:v>
      </x:c>
      <x:c r="I323" s="8" t="s">
        <x:v>2</x:v>
      </x:c>
      <x:c r="J323" s="8" t="s">
        <x:v>2</x:v>
      </x:c>
      <x:c r="K323" s="25"/>
      <x:c r="L323" s="8" t="s">
        <x:v>367</x:v>
      </x:c>
      <x:c r="M323" s="8" t="s">
        <x:v>368</x:v>
      </x:c>
      <x:c r="N323" s="10"/>
      <x:c r="O323" s="8" t="s">
        <x:v>924</x:v>
      </x:c>
    </x:row>
    <x:row r="324" ht="32" customHeight="1">
      <x:c r="A324" s="8">
        <x:v>10</x:v>
      </x:c>
      <x:c r="B324" s="8" t="s">
        <x:v>892</x:v>
      </x:c>
      <x:c r="C324" s="8" t="s">
        <x:v>893</x:v>
      </x:c>
      <x:c r="D324" s="8" t="s">
        <x:v>24</x:v>
      </x:c>
      <x:c r="E324" s="8" t="s">
        <x:v>479</x:v>
      </x:c>
      <x:c r="F324" s="8" t="s">
        <x:v>480</x:v>
      </x:c>
      <x:c r="G324" s="25">
        <x:v>46230</x:v>
      </x:c>
      <x:c r="H324" s="25">
        <x:v>46262</x:v>
      </x:c>
      <x:c r="I324" s="8" t="s">
        <x:v>2</x:v>
      </x:c>
      <x:c r="J324" s="8" t="s">
        <x:v>2</x:v>
      </x:c>
      <x:c r="K324" s="25"/>
      <x:c r="L324" s="8" t="s">
        <x:v>367</x:v>
      </x:c>
      <x:c r="M324" s="8" t="s">
        <x:v>368</x:v>
      </x:c>
      <x:c r="N324" s="10"/>
      <x:c r="O324" s="8" t="s">
        <x:v>925</x:v>
      </x:c>
    </x:row>
    <x:row r="325" ht="32" customHeight="1">
      <x:c r="A325" s="8">
        <x:v>10</x:v>
      </x:c>
      <x:c r="B325" s="8" t="s">
        <x:v>895</x:v>
      </x:c>
      <x:c r="C325" s="8" t="s">
        <x:v>896</x:v>
      </x:c>
      <x:c r="D325" s="8" t="s">
        <x:v>24</x:v>
      </x:c>
      <x:c r="E325" s="8" t="s">
        <x:v>479</x:v>
      </x:c>
      <x:c r="F325" s="8" t="s">
        <x:v>480</x:v>
      </x:c>
      <x:c r="G325" s="25">
        <x:v>46230</x:v>
      </x:c>
      <x:c r="H325" s="25">
        <x:v>46262</x:v>
      </x:c>
      <x:c r="I325" s="8" t="s">
        <x:v>2</x:v>
      </x:c>
      <x:c r="J325" s="8" t="s">
        <x:v>2</x:v>
      </x:c>
      <x:c r="K325" s="25"/>
      <x:c r="L325" s="8" t="s">
        <x:v>367</x:v>
      </x:c>
      <x:c r="M325" s="8" t="s">
        <x:v>368</x:v>
      </x:c>
      <x:c r="N325" s="10"/>
      <x:c r="O325" s="8" t="s">
        <x:v>926</x:v>
      </x:c>
    </x:row>
    <x:row r="326" ht="32" customHeight="1">
      <x:c r="A326" s="8">
        <x:v>10</x:v>
      </x:c>
      <x:c r="B326" s="8" t="s">
        <x:v>898</x:v>
      </x:c>
      <x:c r="C326" s="8" t="s">
        <x:v>899</x:v>
      </x:c>
      <x:c r="D326" s="8" t="s">
        <x:v>24</x:v>
      </x:c>
      <x:c r="E326" s="8" t="s">
        <x:v>479</x:v>
      </x:c>
      <x:c r="F326" s="8" t="s">
        <x:v>480</x:v>
      </x:c>
      <x:c r="G326" s="25">
        <x:v>46230</x:v>
      </x:c>
      <x:c r="H326" s="25">
        <x:v>46262</x:v>
      </x:c>
      <x:c r="I326" s="8" t="s">
        <x:v>2</x:v>
      </x:c>
      <x:c r="J326" s="8" t="s">
        <x:v>2</x:v>
      </x:c>
      <x:c r="K326" s="25"/>
      <x:c r="L326" s="8" t="s">
        <x:v>367</x:v>
      </x:c>
      <x:c r="M326" s="8" t="s">
        <x:v>368</x:v>
      </x:c>
      <x:c r="N326" s="10"/>
      <x:c r="O326" s="8" t="s">
        <x:v>927</x:v>
      </x:c>
    </x:row>
    <x:row r="327" ht="32" customHeight="1">
      <x:c r="A327" s="8">
        <x:v>10</x:v>
      </x:c>
      <x:c r="B327" s="8" t="s">
        <x:v>545</x:v>
      </x:c>
      <x:c r="C327" s="8" t="s">
        <x:v>489</x:v>
      </x:c>
      <x:c r="D327" s="8" t="s">
        <x:v>25</x:v>
      </x:c>
      <x:c r="E327" s="8" t="s">
        <x:v>479</x:v>
      </x:c>
      <x:c r="F327" s="8" t="s">
        <x:v>480</x:v>
      </x:c>
      <x:c r="G327" s="25">
        <x:v>46230</x:v>
      </x:c>
      <x:c r="H327" s="25">
        <x:v>46262</x:v>
      </x:c>
      <x:c r="I327" s="8" t="s">
        <x:v>2</x:v>
      </x:c>
      <x:c r="J327" s="8" t="s">
        <x:v>2</x:v>
      </x:c>
      <x:c r="K327" s="25">
        <x:v>46261</x:v>
      </x:c>
      <x:c r="L327" s="8" t="s">
        <x:v>367</x:v>
      </x:c>
      <x:c r="M327" s="8"/>
      <x:c r="N327" s="10"/>
      <x:c r="O327" s="8" t="s">
        <x:v>928</x:v>
      </x:c>
    </x:row>
    <x:row r="328" ht="32" customHeight="1">
      <x:c r="A328" s="8">
        <x:v>10</x:v>
      </x:c>
      <x:c r="B328" s="8" t="s">
        <x:v>547</x:v>
      </x:c>
      <x:c r="C328" s="8" t="s">
        <x:v>498</x:v>
      </x:c>
      <x:c r="D328" s="8" t="s">
        <x:v>25</x:v>
      </x:c>
      <x:c r="E328" s="8" t="s">
        <x:v>479</x:v>
      </x:c>
      <x:c r="F328" s="8" t="s">
        <x:v>480</x:v>
      </x:c>
      <x:c r="G328" s="25">
        <x:v>46230</x:v>
      </x:c>
      <x:c r="H328" s="25">
        <x:v>46262</x:v>
      </x:c>
      <x:c r="I328" s="8" t="s">
        <x:v>2</x:v>
      </x:c>
      <x:c r="J328" s="8" t="s">
        <x:v>2</x:v>
      </x:c>
      <x:c r="K328" s="25">
        <x:v>46261</x:v>
      </x:c>
      <x:c r="L328" s="8" t="s">
        <x:v>367</x:v>
      </x:c>
      <x:c r="M328" s="8"/>
      <x:c r="N328" s="10"/>
      <x:c r="O328" s="8" t="s">
        <x:v>929</x:v>
      </x:c>
    </x:row>
    <x:row r="329" ht="32" customHeight="1">
      <x:c r="A329" s="8">
        <x:v>10</x:v>
      </x:c>
      <x:c r="B329" s="8" t="s">
        <x:v>549</x:v>
      </x:c>
      <x:c r="C329" s="8" t="s">
        <x:v>507</x:v>
      </x:c>
      <x:c r="D329" s="8" t="s">
        <x:v>25</x:v>
      </x:c>
      <x:c r="E329" s="8" t="s">
        <x:v>479</x:v>
      </x:c>
      <x:c r="F329" s="8" t="s">
        <x:v>480</x:v>
      </x:c>
      <x:c r="G329" s="25">
        <x:v>46230</x:v>
      </x:c>
      <x:c r="H329" s="25">
        <x:v>46262</x:v>
      </x:c>
      <x:c r="I329" s="8" t="s">
        <x:v>2</x:v>
      </x:c>
      <x:c r="J329" s="8" t="s">
        <x:v>2</x:v>
      </x:c>
      <x:c r="K329" s="25"/>
      <x:c r="L329" s="8" t="s">
        <x:v>367</x:v>
      </x:c>
      <x:c r="M329" s="8" t="s">
        <x:v>368</x:v>
      </x:c>
      <x:c r="N329" s="10"/>
      <x:c r="O329" s="8" t="s">
        <x:v>930</x:v>
      </x:c>
    </x:row>
    <x:row r="330" ht="32" customHeight="1">
      <x:c r="A330" s="8">
        <x:v>11</x:v>
      </x:c>
      <x:c r="B330" s="8" t="s">
        <x:v>400</x:v>
      </x:c>
      <x:c r="C330" s="8" t="s">
        <x:v>401</x:v>
      </x:c>
      <x:c r="D330" s="8" t="s">
        <x:v>24</x:v>
      </x:c>
      <x:c r="E330" s="8" t="s">
        <x:v>467</x:v>
      </x:c>
      <x:c r="F330" s="8" t="s">
        <x:v>468</x:v>
      </x:c>
      <x:c r="G330" s="25">
        <x:v>46212</x:v>
      </x:c>
      <x:c r="H330" s="25">
        <x:v>46265</x:v>
      </x:c>
      <x:c r="I330" s="8" t="s">
        <x:v>2</x:v>
      </x:c>
      <x:c r="J330" s="8" t="s">
        <x:v>3</x:v>
      </x:c>
      <x:c r="K330" s="25"/>
      <x:c r="L330" s="8" t="s">
        <x:v>367</x:v>
      </x:c>
      <x:c r="M330" s="8" t="s">
        <x:v>368</x:v>
      </x:c>
      <x:c r="N330" s="10"/>
      <x:c r="O330" s="8" t="s">
        <x:v>931</x:v>
      </x:c>
    </x:row>
    <x:row r="331" ht="32" customHeight="1">
      <x:c r="A331" s="8">
        <x:v>11</x:v>
      </x:c>
      <x:c r="B331" s="8" t="s">
        <x:v>403</x:v>
      </x:c>
      <x:c r="C331" s="8" t="s">
        <x:v>404</x:v>
      </x:c>
      <x:c r="D331" s="8" t="s">
        <x:v>24</x:v>
      </x:c>
      <x:c r="E331" s="8" t="s">
        <x:v>467</x:v>
      </x:c>
      <x:c r="F331" s="8" t="s">
        <x:v>468</x:v>
      </x:c>
      <x:c r="G331" s="25">
        <x:v>46212</x:v>
      </x:c>
      <x:c r="H331" s="25">
        <x:v>46265</x:v>
      </x:c>
      <x:c r="I331" s="8" t="s">
        <x:v>2</x:v>
      </x:c>
      <x:c r="J331" s="8" t="s">
        <x:v>3</x:v>
      </x:c>
      <x:c r="K331" s="25">
        <x:v>46261</x:v>
      </x:c>
      <x:c r="L331" s="8" t="s">
        <x:v>367</x:v>
      </x:c>
      <x:c r="M331" s="8"/>
      <x:c r="N331" s="10"/>
      <x:c r="O331" s="8" t="s">
        <x:v>932</x:v>
      </x:c>
    </x:row>
    <x:row r="332" ht="32" customHeight="1">
      <x:c r="A332" s="8">
        <x:v>11</x:v>
      </x:c>
      <x:c r="B332" s="8" t="s">
        <x:v>406</x:v>
      </x:c>
      <x:c r="C332" s="8" t="s">
        <x:v>407</x:v>
      </x:c>
      <x:c r="D332" s="8" t="s">
        <x:v>24</x:v>
      </x:c>
      <x:c r="E332" s="8" t="s">
        <x:v>467</x:v>
      </x:c>
      <x:c r="F332" s="8" t="s">
        <x:v>468</x:v>
      </x:c>
      <x:c r="G332" s="25">
        <x:v>46212</x:v>
      </x:c>
      <x:c r="H332" s="25">
        <x:v>46265</x:v>
      </x:c>
      <x:c r="I332" s="8" t="s">
        <x:v>2</x:v>
      </x:c>
      <x:c r="J332" s="8" t="s">
        <x:v>3</x:v>
      </x:c>
      <x:c r="K332" s="25">
        <x:v>46261</x:v>
      </x:c>
      <x:c r="L332" s="8" t="s">
        <x:v>367</x:v>
      </x:c>
      <x:c r="M332" s="8"/>
      <x:c r="N332" s="10"/>
      <x:c r="O332" s="8" t="s">
        <x:v>933</x:v>
      </x:c>
    </x:row>
    <x:row r="333" ht="32" customHeight="1">
      <x:c r="A333" s="8">
        <x:v>11</x:v>
      </x:c>
      <x:c r="B333" s="8" t="s">
        <x:v>563</x:v>
      </x:c>
      <x:c r="C333" s="8" t="s">
        <x:v>564</x:v>
      </x:c>
      <x:c r="D333" s="8" t="s">
        <x:v>25</x:v>
      </x:c>
      <x:c r="E333" s="8" t="s">
        <x:v>467</x:v>
      </x:c>
      <x:c r="F333" s="8" t="s">
        <x:v>468</x:v>
      </x:c>
      <x:c r="G333" s="25">
        <x:v>46265</x:v>
      </x:c>
      <x:c r="H333" s="25">
        <x:v>46269</x:v>
      </x:c>
      <x:c r="I333" s="8" t="s">
        <x:v>2</x:v>
      </x:c>
      <x:c r="J333" s="8" t="s">
        <x:v>2</x:v>
      </x:c>
      <x:c r="K333" s="25">
        <x:v>46261</x:v>
      </x:c>
      <x:c r="L333" s="8" t="s">
        <x:v>367</x:v>
      </x:c>
      <x:c r="M333" s="8"/>
      <x:c r="N333" s="10"/>
      <x:c r="O333" s="8" t="s">
        <x:v>934</x:v>
      </x:c>
    </x:row>
    <x:row r="334" ht="32" customHeight="1">
      <x:c r="A334" s="8">
        <x:v>11</x:v>
      </x:c>
      <x:c r="B334" s="8" t="s">
        <x:v>566</x:v>
      </x:c>
      <x:c r="C334" s="8" t="s">
        <x:v>567</x:v>
      </x:c>
      <x:c r="D334" s="8" t="s">
        <x:v>25</x:v>
      </x:c>
      <x:c r="E334" s="8" t="s">
        <x:v>467</x:v>
      </x:c>
      <x:c r="F334" s="8" t="s">
        <x:v>468</x:v>
      </x:c>
      <x:c r="G334" s="25">
        <x:v>46265</x:v>
      </x:c>
      <x:c r="H334" s="25">
        <x:v>46269</x:v>
      </x:c>
      <x:c r="I334" s="8" t="s">
        <x:v>2</x:v>
      </x:c>
      <x:c r="J334" s="8" t="s">
        <x:v>2</x:v>
      </x:c>
      <x:c r="K334" s="25">
        <x:v>46261</x:v>
      </x:c>
      <x:c r="L334" s="8" t="s">
        <x:v>367</x:v>
      </x:c>
      <x:c r="M334" s="8"/>
      <x:c r="N334" s="10"/>
      <x:c r="O334" s="8" t="s">
        <x:v>935</x:v>
      </x:c>
    </x:row>
    <x:row r="335" ht="32" customHeight="1">
      <x:c r="A335" s="8">
        <x:v>11</x:v>
      </x:c>
      <x:c r="B335" s="8" t="s">
        <x:v>569</x:v>
      </x:c>
      <x:c r="C335" s="8" t="s">
        <x:v>570</x:v>
      </x:c>
      <x:c r="D335" s="8" t="s">
        <x:v>25</x:v>
      </x:c>
      <x:c r="E335" s="8" t="s">
        <x:v>467</x:v>
      </x:c>
      <x:c r="F335" s="8" t="s">
        <x:v>468</x:v>
      </x:c>
      <x:c r="G335" s="25">
        <x:v>46265</x:v>
      </x:c>
      <x:c r="H335" s="25">
        <x:v>46269</x:v>
      </x:c>
      <x:c r="I335" s="8" t="s">
        <x:v>2</x:v>
      </x:c>
      <x:c r="J335" s="8" t="s">
        <x:v>2</x:v>
      </x:c>
      <x:c r="K335" s="25">
        <x:v>46261</x:v>
      </x:c>
      <x:c r="L335" s="8" t="s">
        <x:v>367</x:v>
      </x:c>
      <x:c r="M335" s="8"/>
      <x:c r="N335" s="10"/>
      <x:c r="O335" s="8" t="s">
        <x:v>936</x:v>
      </x:c>
    </x:row>
    <x:row r="336" ht="32" customHeight="1">
      <x:c r="A336" s="8">
        <x:v>11</x:v>
      </x:c>
      <x:c r="B336" s="8" t="s">
        <x:v>572</x:v>
      </x:c>
      <x:c r="C336" s="8" t="s">
        <x:v>573</x:v>
      </x:c>
      <x:c r="D336" s="8" t="s">
        <x:v>25</x:v>
      </x:c>
      <x:c r="E336" s="8" t="s">
        <x:v>467</x:v>
      </x:c>
      <x:c r="F336" s="8" t="s">
        <x:v>468</x:v>
      </x:c>
      <x:c r="G336" s="25">
        <x:v>46265</x:v>
      </x:c>
      <x:c r="H336" s="25">
        <x:v>46269</x:v>
      </x:c>
      <x:c r="I336" s="8" t="s">
        <x:v>2</x:v>
      </x:c>
      <x:c r="J336" s="8" t="s">
        <x:v>2</x:v>
      </x:c>
      <x:c r="K336" s="25">
        <x:v>46261</x:v>
      </x:c>
      <x:c r="L336" s="8" t="s">
        <x:v>367</x:v>
      </x:c>
      <x:c r="M336" s="8"/>
      <x:c r="N336" s="10"/>
      <x:c r="O336" s="8" t="s">
        <x:v>937</x:v>
      </x:c>
    </x:row>
    <x:row r="337" ht="32" customHeight="1">
      <x:c r="A337" s="8">
        <x:v>11</x:v>
      </x:c>
      <x:c r="B337" s="8" t="s">
        <x:v>575</x:v>
      </x:c>
      <x:c r="C337" s="8" t="s">
        <x:v>576</x:v>
      </x:c>
      <x:c r="D337" s="8" t="s">
        <x:v>25</x:v>
      </x:c>
      <x:c r="E337" s="8" t="s">
        <x:v>467</x:v>
      </x:c>
      <x:c r="F337" s="8" t="s">
        <x:v>468</x:v>
      </x:c>
      <x:c r="G337" s="25">
        <x:v>46265</x:v>
      </x:c>
      <x:c r="H337" s="25">
        <x:v>46269</x:v>
      </x:c>
      <x:c r="I337" s="8" t="s">
        <x:v>2</x:v>
      </x:c>
      <x:c r="J337" s="8" t="s">
        <x:v>2</x:v>
      </x:c>
      <x:c r="K337" s="25">
        <x:v>46261</x:v>
      </x:c>
      <x:c r="L337" s="8" t="s">
        <x:v>367</x:v>
      </x:c>
      <x:c r="M337" s="8"/>
      <x:c r="N337" s="10"/>
      <x:c r="O337" s="8" t="s">
        <x:v>938</x:v>
      </x:c>
    </x:row>
    <x:row r="338" ht="32" customHeight="1">
      <x:c r="A338" s="8">
        <x:v>11</x:v>
      </x:c>
      <x:c r="B338" s="8" t="s">
        <x:v>400</x:v>
      </x:c>
      <x:c r="C338" s="8" t="s">
        <x:v>401</x:v>
      </x:c>
      <x:c r="D338" s="8" t="s">
        <x:v>24</x:v>
      </x:c>
      <x:c r="E338" s="8" t="s">
        <x:v>479</x:v>
      </x:c>
      <x:c r="F338" s="8" t="s">
        <x:v>939</x:v>
      </x:c>
      <x:c r="G338" s="25">
        <x:v>46212</x:v>
      </x:c>
      <x:c r="H338" s="25">
        <x:v>46265</x:v>
      </x:c>
      <x:c r="I338" s="8" t="s">
        <x:v>2</x:v>
      </x:c>
      <x:c r="J338" s="8" t="s">
        <x:v>3</x:v>
      </x:c>
      <x:c r="K338" s="25"/>
      <x:c r="L338" s="8" t="s">
        <x:v>367</x:v>
      </x:c>
      <x:c r="M338" s="8" t="s">
        <x:v>368</x:v>
      </x:c>
      <x:c r="N338" s="10"/>
      <x:c r="O338" s="8" t="s">
        <x:v>940</x:v>
      </x:c>
    </x:row>
    <x:row r="339" ht="32" customHeight="1">
      <x:c r="A339" s="8">
        <x:v>11</x:v>
      </x:c>
      <x:c r="B339" s="8" t="s">
        <x:v>403</x:v>
      </x:c>
      <x:c r="C339" s="8" t="s">
        <x:v>404</x:v>
      </x:c>
      <x:c r="D339" s="8" t="s">
        <x:v>24</x:v>
      </x:c>
      <x:c r="E339" s="8" t="s">
        <x:v>479</x:v>
      </x:c>
      <x:c r="F339" s="8" t="s">
        <x:v>939</x:v>
      </x:c>
      <x:c r="G339" s="25">
        <x:v>46212</x:v>
      </x:c>
      <x:c r="H339" s="25">
        <x:v>46265</x:v>
      </x:c>
      <x:c r="I339" s="8" t="s">
        <x:v>2</x:v>
      </x:c>
      <x:c r="J339" s="8" t="s">
        <x:v>3</x:v>
      </x:c>
      <x:c r="K339" s="25">
        <x:v>46261</x:v>
      </x:c>
      <x:c r="L339" s="8" t="s">
        <x:v>367</x:v>
      </x:c>
      <x:c r="M339" s="8"/>
      <x:c r="N339" s="10"/>
      <x:c r="O339" s="8" t="s">
        <x:v>941</x:v>
      </x:c>
    </x:row>
    <x:row r="340" ht="32" customHeight="1">
      <x:c r="A340" s="8">
        <x:v>11</x:v>
      </x:c>
      <x:c r="B340" s="8" t="s">
        <x:v>406</x:v>
      </x:c>
      <x:c r="C340" s="8" t="s">
        <x:v>407</x:v>
      </x:c>
      <x:c r="D340" s="8" t="s">
        <x:v>24</x:v>
      </x:c>
      <x:c r="E340" s="8" t="s">
        <x:v>479</x:v>
      </x:c>
      <x:c r="F340" s="8" t="s">
        <x:v>939</x:v>
      </x:c>
      <x:c r="G340" s="25">
        <x:v>46212</x:v>
      </x:c>
      <x:c r="H340" s="25">
        <x:v>46265</x:v>
      </x:c>
      <x:c r="I340" s="8" t="s">
        <x:v>2</x:v>
      </x:c>
      <x:c r="J340" s="8" t="s">
        <x:v>3</x:v>
      </x:c>
      <x:c r="K340" s="25">
        <x:v>46261</x:v>
      </x:c>
      <x:c r="L340" s="8" t="s">
        <x:v>367</x:v>
      </x:c>
      <x:c r="M340" s="8"/>
      <x:c r="N340" s="10"/>
      <x:c r="O340" s="8" t="s">
        <x:v>942</x:v>
      </x:c>
    </x:row>
    <x:row r="341" ht="32" customHeight="1">
      <x:c r="A341" s="8">
        <x:v>11</x:v>
      </x:c>
      <x:c r="B341" s="8" t="s">
        <x:v>563</x:v>
      </x:c>
      <x:c r="C341" s="8" t="s">
        <x:v>564</x:v>
      </x:c>
      <x:c r="D341" s="8" t="s">
        <x:v>25</x:v>
      </x:c>
      <x:c r="E341" s="8" t="s">
        <x:v>479</x:v>
      </x:c>
      <x:c r="F341" s="8" t="s">
        <x:v>480</x:v>
      </x:c>
      <x:c r="G341" s="25">
        <x:v>46265</x:v>
      </x:c>
      <x:c r="H341" s="25">
        <x:v>46269</x:v>
      </x:c>
      <x:c r="I341" s="8" t="s">
        <x:v>2</x:v>
      </x:c>
      <x:c r="J341" s="8" t="s">
        <x:v>2</x:v>
      </x:c>
      <x:c r="K341" s="25">
        <x:v>46261</x:v>
      </x:c>
      <x:c r="L341" s="8" t="s">
        <x:v>367</x:v>
      </x:c>
      <x:c r="M341" s="8"/>
      <x:c r="N341" s="10"/>
      <x:c r="O341" s="8" t="s">
        <x:v>943</x:v>
      </x:c>
    </x:row>
    <x:row r="342" ht="32" customHeight="1">
      <x:c r="A342" s="8">
        <x:v>11</x:v>
      </x:c>
      <x:c r="B342" s="8" t="s">
        <x:v>566</x:v>
      </x:c>
      <x:c r="C342" s="8" t="s">
        <x:v>567</x:v>
      </x:c>
      <x:c r="D342" s="8" t="s">
        <x:v>25</x:v>
      </x:c>
      <x:c r="E342" s="8" t="s">
        <x:v>479</x:v>
      </x:c>
      <x:c r="F342" s="8" t="s">
        <x:v>480</x:v>
      </x:c>
      <x:c r="G342" s="25">
        <x:v>46265</x:v>
      </x:c>
      <x:c r="H342" s="25">
        <x:v>46269</x:v>
      </x:c>
      <x:c r="I342" s="8" t="s">
        <x:v>2</x:v>
      </x:c>
      <x:c r="J342" s="8" t="s">
        <x:v>2</x:v>
      </x:c>
      <x:c r="K342" s="25">
        <x:v>46261</x:v>
      </x:c>
      <x:c r="L342" s="8" t="s">
        <x:v>367</x:v>
      </x:c>
      <x:c r="M342" s="8"/>
      <x:c r="N342" s="10"/>
      <x:c r="O342" s="8" t="s">
        <x:v>944</x:v>
      </x:c>
    </x:row>
    <x:row r="343" ht="32" customHeight="1">
      <x:c r="A343" s="8">
        <x:v>11</x:v>
      </x:c>
      <x:c r="B343" s="8" t="s">
        <x:v>569</x:v>
      </x:c>
      <x:c r="C343" s="8" t="s">
        <x:v>570</x:v>
      </x:c>
      <x:c r="D343" s="8" t="s">
        <x:v>25</x:v>
      </x:c>
      <x:c r="E343" s="8" t="s">
        <x:v>479</x:v>
      </x:c>
      <x:c r="F343" s="8" t="s">
        <x:v>480</x:v>
      </x:c>
      <x:c r="G343" s="25">
        <x:v>46265</x:v>
      </x:c>
      <x:c r="H343" s="25">
        <x:v>46269</x:v>
      </x:c>
      <x:c r="I343" s="8" t="s">
        <x:v>2</x:v>
      </x:c>
      <x:c r="J343" s="8" t="s">
        <x:v>2</x:v>
      </x:c>
      <x:c r="K343" s="25">
        <x:v>46261</x:v>
      </x:c>
      <x:c r="L343" s="8" t="s">
        <x:v>367</x:v>
      </x:c>
      <x:c r="M343" s="8"/>
      <x:c r="N343" s="10"/>
      <x:c r="O343" s="8" t="s">
        <x:v>945</x:v>
      </x:c>
    </x:row>
    <x:row r="344" ht="32" customHeight="1">
      <x:c r="A344" s="8">
        <x:v>11</x:v>
      </x:c>
      <x:c r="B344" s="8" t="s">
        <x:v>572</x:v>
      </x:c>
      <x:c r="C344" s="8" t="s">
        <x:v>573</x:v>
      </x:c>
      <x:c r="D344" s="8" t="s">
        <x:v>25</x:v>
      </x:c>
      <x:c r="E344" s="8" t="s">
        <x:v>479</x:v>
      </x:c>
      <x:c r="F344" s="8" t="s">
        <x:v>480</x:v>
      </x:c>
      <x:c r="G344" s="25">
        <x:v>46265</x:v>
      </x:c>
      <x:c r="H344" s="25">
        <x:v>46269</x:v>
      </x:c>
      <x:c r="I344" s="8" t="s">
        <x:v>2</x:v>
      </x:c>
      <x:c r="J344" s="8" t="s">
        <x:v>2</x:v>
      </x:c>
      <x:c r="K344" s="25">
        <x:v>46261</x:v>
      </x:c>
      <x:c r="L344" s="8" t="s">
        <x:v>367</x:v>
      </x:c>
      <x:c r="M344" s="8"/>
      <x:c r="N344" s="10"/>
      <x:c r="O344" s="8" t="s">
        <x:v>946</x:v>
      </x:c>
    </x:row>
    <x:row r="345" ht="32" customHeight="1">
      <x:c r="A345" s="8">
        <x:v>11</x:v>
      </x:c>
      <x:c r="B345" s="8" t="s">
        <x:v>575</x:v>
      </x:c>
      <x:c r="C345" s="8" t="s">
        <x:v>576</x:v>
      </x:c>
      <x:c r="D345" s="8" t="s">
        <x:v>25</x:v>
      </x:c>
      <x:c r="E345" s="8" t="s">
        <x:v>479</x:v>
      </x:c>
      <x:c r="F345" s="8" t="s">
        <x:v>480</x:v>
      </x:c>
      <x:c r="G345" s="25">
        <x:v>46265</x:v>
      </x:c>
      <x:c r="H345" s="25">
        <x:v>46269</x:v>
      </x:c>
      <x:c r="I345" s="8" t="s">
        <x:v>2</x:v>
      </x:c>
      <x:c r="J345" s="8" t="s">
        <x:v>2</x:v>
      </x:c>
      <x:c r="K345" s="25">
        <x:v>46261</x:v>
      </x:c>
      <x:c r="L345" s="8" t="s">
        <x:v>367</x:v>
      </x:c>
      <x:c r="M345" s="8"/>
      <x:c r="N345" s="10"/>
      <x:c r="O345" s="8" t="s">
        <x:v>947</x:v>
      </x:c>
    </x:row>
    <x:row r="346" ht="32" customHeight="1">
      <x:c r="A346" s="8">
        <x:v>11</x:v>
      </x:c>
      <x:c r="B346" s="8" t="s">
        <x:v>485</x:v>
      </x:c>
      <x:c r="C346" s="8" t="s">
        <x:v>486</x:v>
      </x:c>
      <x:c r="D346" s="8" t="s">
        <x:v>24</x:v>
      </x:c>
      <x:c r="E346" s="8" t="s">
        <x:v>558</x:v>
      </x:c>
      <x:c r="F346" s="8" t="s">
        <x:v>559</x:v>
      </x:c>
      <x:c r="G346" s="25">
        <x:v>46253</x:v>
      </x:c>
      <x:c r="H346" s="25">
        <x:v>46269</x:v>
      </x:c>
      <x:c r="I346" s="8" t="s">
        <x:v>2</x:v>
      </x:c>
      <x:c r="J346" s="8" t="s">
        <x:v>2</x:v>
      </x:c>
      <x:c r="K346" s="25">
        <x:v>46261</x:v>
      </x:c>
      <x:c r="L346" s="8" t="s">
        <x:v>367</x:v>
      </x:c>
      <x:c r="M346" s="8"/>
      <x:c r="N346" s="10"/>
      <x:c r="O346" s="8" t="s">
        <x:v>948</x:v>
      </x:c>
    </x:row>
    <x:row r="347" ht="32" customHeight="1">
      <x:c r="A347" s="8">
        <x:v>11</x:v>
      </x:c>
      <x:c r="B347" s="8" t="s">
        <x:v>488</x:v>
      </x:c>
      <x:c r="C347" s="8" t="s">
        <x:v>489</x:v>
      </x:c>
      <x:c r="D347" s="8" t="s">
        <x:v>24</x:v>
      </x:c>
      <x:c r="E347" s="8" t="s">
        <x:v>558</x:v>
      </x:c>
      <x:c r="F347" s="8" t="s">
        <x:v>559</x:v>
      </x:c>
      <x:c r="G347" s="25">
        <x:v>46253</x:v>
      </x:c>
      <x:c r="H347" s="25">
        <x:v>46269</x:v>
      </x:c>
      <x:c r="I347" s="8" t="s">
        <x:v>2</x:v>
      </x:c>
      <x:c r="J347" s="8" t="s">
        <x:v>2</x:v>
      </x:c>
      <x:c r="K347" s="25">
        <x:v>46261</x:v>
      </x:c>
      <x:c r="L347" s="8" t="s">
        <x:v>367</x:v>
      </x:c>
      <x:c r="M347" s="8"/>
      <x:c r="N347" s="10"/>
      <x:c r="O347" s="8" t="s">
        <x:v>949</x:v>
      </x:c>
    </x:row>
    <x:row r="348" ht="32" customHeight="1">
      <x:c r="A348" s="8">
        <x:v>11</x:v>
      </x:c>
      <x:c r="B348" s="8" t="s">
        <x:v>491</x:v>
      </x:c>
      <x:c r="C348" s="8" t="s">
        <x:v>492</x:v>
      </x:c>
      <x:c r="D348" s="8" t="s">
        <x:v>24</x:v>
      </x:c>
      <x:c r="E348" s="8" t="s">
        <x:v>558</x:v>
      </x:c>
      <x:c r="F348" s="8" t="s">
        <x:v>559</x:v>
      </x:c>
      <x:c r="G348" s="25">
        <x:v>46253</x:v>
      </x:c>
      <x:c r="H348" s="25">
        <x:v>46269</x:v>
      </x:c>
      <x:c r="I348" s="8" t="s">
        <x:v>2</x:v>
      </x:c>
      <x:c r="J348" s="8" t="s">
        <x:v>2</x:v>
      </x:c>
      <x:c r="K348" s="25">
        <x:v>46261</x:v>
      </x:c>
      <x:c r="L348" s="8" t="s">
        <x:v>367</x:v>
      </x:c>
      <x:c r="M348" s="8"/>
      <x:c r="N348" s="10"/>
      <x:c r="O348" s="8" t="s">
        <x:v>950</x:v>
      </x:c>
    </x:row>
    <x:row r="349" ht="32" customHeight="1">
      <x:c r="A349" s="8">
        <x:v>11</x:v>
      </x:c>
      <x:c r="B349" s="8" t="s">
        <x:v>494</x:v>
      </x:c>
      <x:c r="C349" s="8" t="s">
        <x:v>495</x:v>
      </x:c>
      <x:c r="D349" s="8" t="s">
        <x:v>24</x:v>
      </x:c>
      <x:c r="E349" s="8" t="s">
        <x:v>558</x:v>
      </x:c>
      <x:c r="F349" s="8" t="s">
        <x:v>559</x:v>
      </x:c>
      <x:c r="G349" s="25">
        <x:v>46253</x:v>
      </x:c>
      <x:c r="H349" s="25">
        <x:v>46269</x:v>
      </x:c>
      <x:c r="I349" s="8" t="s">
        <x:v>2</x:v>
      </x:c>
      <x:c r="J349" s="8" t="s">
        <x:v>2</x:v>
      </x:c>
      <x:c r="K349" s="25">
        <x:v>46261</x:v>
      </x:c>
      <x:c r="L349" s="8" t="s">
        <x:v>367</x:v>
      </x:c>
      <x:c r="M349" s="8"/>
      <x:c r="N349" s="10"/>
      <x:c r="O349" s="8" t="s">
        <x:v>951</x:v>
      </x:c>
    </x:row>
    <x:row r="350" ht="32" customHeight="1">
      <x:c r="A350" s="8">
        <x:v>11</x:v>
      </x:c>
      <x:c r="B350" s="8" t="s">
        <x:v>497</x:v>
      </x:c>
      <x:c r="C350" s="8" t="s">
        <x:v>498</x:v>
      </x:c>
      <x:c r="D350" s="8" t="s">
        <x:v>24</x:v>
      </x:c>
      <x:c r="E350" s="8" t="s">
        <x:v>558</x:v>
      </x:c>
      <x:c r="F350" s="8" t="s">
        <x:v>559</x:v>
      </x:c>
      <x:c r="G350" s="25">
        <x:v>46253</x:v>
      </x:c>
      <x:c r="H350" s="25">
        <x:v>46269</x:v>
      </x:c>
      <x:c r="I350" s="8" t="s">
        <x:v>2</x:v>
      </x:c>
      <x:c r="J350" s="8" t="s">
        <x:v>2</x:v>
      </x:c>
      <x:c r="K350" s="25">
        <x:v>46261</x:v>
      </x:c>
      <x:c r="L350" s="8" t="s">
        <x:v>367</x:v>
      </x:c>
      <x:c r="M350" s="8"/>
      <x:c r="N350" s="10"/>
      <x:c r="O350" s="8" t="s">
        <x:v>952</x:v>
      </x:c>
    </x:row>
    <x:row r="351" ht="32" customHeight="1">
      <x:c r="A351" s="8">
        <x:v>11</x:v>
      </x:c>
      <x:c r="B351" s="8" t="s">
        <x:v>500</x:v>
      </x:c>
      <x:c r="C351" s="8" t="s">
        <x:v>501</x:v>
      </x:c>
      <x:c r="D351" s="8" t="s">
        <x:v>24</x:v>
      </x:c>
      <x:c r="E351" s="8" t="s">
        <x:v>558</x:v>
      </x:c>
      <x:c r="F351" s="8" t="s">
        <x:v>559</x:v>
      </x:c>
      <x:c r="G351" s="25">
        <x:v>46253</x:v>
      </x:c>
      <x:c r="H351" s="25">
        <x:v>46269</x:v>
      </x:c>
      <x:c r="I351" s="8" t="s">
        <x:v>2</x:v>
      </x:c>
      <x:c r="J351" s="8" t="s">
        <x:v>2</x:v>
      </x:c>
      <x:c r="K351" s="25">
        <x:v>46261</x:v>
      </x:c>
      <x:c r="L351" s="8" t="s">
        <x:v>367</x:v>
      </x:c>
      <x:c r="M351" s="8"/>
      <x:c r="N351" s="10"/>
      <x:c r="O351" s="8" t="s">
        <x:v>953</x:v>
      </x:c>
    </x:row>
    <x:row r="352" ht="32" customHeight="1">
      <x:c r="A352" s="8">
        <x:v>11</x:v>
      </x:c>
      <x:c r="B352" s="8" t="s">
        <x:v>503</x:v>
      </x:c>
      <x:c r="C352" s="8" t="s">
        <x:v>504</x:v>
      </x:c>
      <x:c r="D352" s="8" t="s">
        <x:v>25</x:v>
      </x:c>
      <x:c r="E352" s="8" t="s">
        <x:v>558</x:v>
      </x:c>
      <x:c r="F352" s="8" t="s">
        <x:v>559</x:v>
      </x:c>
      <x:c r="G352" s="25">
        <x:v>46253</x:v>
      </x:c>
      <x:c r="H352" s="25">
        <x:v>46269</x:v>
      </x:c>
      <x:c r="I352" s="8" t="s">
        <x:v>2</x:v>
      </x:c>
      <x:c r="J352" s="8" t="s">
        <x:v>2</x:v>
      </x:c>
      <x:c r="K352" s="25"/>
      <x:c r="L352" s="8" t="s">
        <x:v>367</x:v>
      </x:c>
      <x:c r="M352" s="8" t="s">
        <x:v>368</x:v>
      </x:c>
      <x:c r="N352" s="10"/>
      <x:c r="O352" s="8" t="s">
        <x:v>954</x:v>
      </x:c>
    </x:row>
    <x:row r="353" ht="32" customHeight="1">
      <x:c r="A353" s="8">
        <x:v>11</x:v>
      </x:c>
      <x:c r="B353" s="8" t="s">
        <x:v>506</x:v>
      </x:c>
      <x:c r="C353" s="8" t="s">
        <x:v>507</x:v>
      </x:c>
      <x:c r="D353" s="8" t="s">
        <x:v>25</x:v>
      </x:c>
      <x:c r="E353" s="8" t="s">
        <x:v>558</x:v>
      </x:c>
      <x:c r="F353" s="8" t="s">
        <x:v>559</x:v>
      </x:c>
      <x:c r="G353" s="25">
        <x:v>46253</x:v>
      </x:c>
      <x:c r="H353" s="25">
        <x:v>46269</x:v>
      </x:c>
      <x:c r="I353" s="8" t="s">
        <x:v>2</x:v>
      </x:c>
      <x:c r="J353" s="8" t="s">
        <x:v>2</x:v>
      </x:c>
      <x:c r="K353" s="25"/>
      <x:c r="L353" s="8" t="s">
        <x:v>367</x:v>
      </x:c>
      <x:c r="M353" s="8" t="s">
        <x:v>368</x:v>
      </x:c>
      <x:c r="N353" s="10"/>
      <x:c r="O353" s="8" t="s">
        <x:v>955</x:v>
      </x:c>
    </x:row>
    <x:row r="354" ht="32" customHeight="1">
      <x:c r="A354" s="8">
        <x:v>11</x:v>
      </x:c>
      <x:c r="B354" s="8" t="s">
        <x:v>509</x:v>
      </x:c>
      <x:c r="C354" s="8" t="s">
        <x:v>510</x:v>
      </x:c>
      <x:c r="D354" s="8" t="s">
        <x:v>25</x:v>
      </x:c>
      <x:c r="E354" s="8" t="s">
        <x:v>558</x:v>
      </x:c>
      <x:c r="F354" s="8" t="s">
        <x:v>559</x:v>
      </x:c>
      <x:c r="G354" s="25">
        <x:v>46253</x:v>
      </x:c>
      <x:c r="H354" s="25">
        <x:v>46269</x:v>
      </x:c>
      <x:c r="I354" s="8" t="s">
        <x:v>2</x:v>
      </x:c>
      <x:c r="J354" s="8" t="s">
        <x:v>2</x:v>
      </x:c>
      <x:c r="K354" s="25"/>
      <x:c r="L354" s="8" t="s">
        <x:v>367</x:v>
      </x:c>
      <x:c r="M354" s="8" t="s">
        <x:v>368</x:v>
      </x:c>
      <x:c r="N354" s="10"/>
      <x:c r="O354" s="8" t="s">
        <x:v>956</x:v>
      </x:c>
    </x:row>
    <x:row r="355" ht="32" customHeight="1">
      <x:c r="A355" s="8">
        <x:v>11</x:v>
      </x:c>
      <x:c r="B355" s="8" t="s">
        <x:v>512</x:v>
      </x:c>
      <x:c r="C355" s="8" t="s">
        <x:v>513</x:v>
      </x:c>
      <x:c r="D355" s="8" t="s">
        <x:v>24</x:v>
      </x:c>
      <x:c r="E355" s="8" t="s">
        <x:v>558</x:v>
      </x:c>
      <x:c r="F355" s="8" t="s">
        <x:v>559</x:v>
      </x:c>
      <x:c r="G355" s="25">
        <x:v>46253</x:v>
      </x:c>
      <x:c r="H355" s="25">
        <x:v>46269</x:v>
      </x:c>
      <x:c r="I355" s="8" t="s">
        <x:v>2</x:v>
      </x:c>
      <x:c r="J355" s="8" t="s">
        <x:v>2</x:v>
      </x:c>
      <x:c r="K355" s="25">
        <x:v>46224</x:v>
      </x:c>
      <x:c r="L355" s="8" t="s">
        <x:v>367</x:v>
      </x:c>
      <x:c r="M355" s="8"/>
      <x:c r="N355" s="10"/>
      <x:c r="O355" s="8" t="s">
        <x:v>957</x:v>
      </x:c>
    </x:row>
    <x:row r="356" ht="32" customHeight="1">
      <x:c r="A356" s="8">
        <x:v>11</x:v>
      </x:c>
      <x:c r="B356" s="8" t="s">
        <x:v>515</x:v>
      </x:c>
      <x:c r="C356" s="8" t="s">
        <x:v>516</x:v>
      </x:c>
      <x:c r="D356" s="8" t="s">
        <x:v>24</x:v>
      </x:c>
      <x:c r="E356" s="8" t="s">
        <x:v>558</x:v>
      </x:c>
      <x:c r="F356" s="8" t="s">
        <x:v>559</x:v>
      </x:c>
      <x:c r="G356" s="25">
        <x:v>46253</x:v>
      </x:c>
      <x:c r="H356" s="25">
        <x:v>46269</x:v>
      </x:c>
      <x:c r="I356" s="8" t="s">
        <x:v>2</x:v>
      </x:c>
      <x:c r="J356" s="8" t="s">
        <x:v>2</x:v>
      </x:c>
      <x:c r="K356" s="25">
        <x:v>46224</x:v>
      </x:c>
      <x:c r="L356" s="8" t="s">
        <x:v>367</x:v>
      </x:c>
      <x:c r="M356" s="8"/>
      <x:c r="N356" s="10"/>
      <x:c r="O356" s="8" t="s">
        <x:v>958</x:v>
      </x:c>
    </x:row>
    <x:row r="357" ht="32" customHeight="1">
      <x:c r="A357" s="8">
        <x:v>11</x:v>
      </x:c>
      <x:c r="B357" s="8" t="s">
        <x:v>518</x:v>
      </x:c>
      <x:c r="C357" s="8" t="s">
        <x:v>519</x:v>
      </x:c>
      <x:c r="D357" s="8" t="s">
        <x:v>24</x:v>
      </x:c>
      <x:c r="E357" s="8" t="s">
        <x:v>558</x:v>
      </x:c>
      <x:c r="F357" s="8" t="s">
        <x:v>559</x:v>
      </x:c>
      <x:c r="G357" s="25">
        <x:v>46253</x:v>
      </x:c>
      <x:c r="H357" s="25">
        <x:v>46269</x:v>
      </x:c>
      <x:c r="I357" s="8" t="s">
        <x:v>2</x:v>
      </x:c>
      <x:c r="J357" s="8" t="s">
        <x:v>2</x:v>
      </x:c>
      <x:c r="K357" s="25">
        <x:v>46224</x:v>
      </x:c>
      <x:c r="L357" s="8" t="s">
        <x:v>367</x:v>
      </x:c>
      <x:c r="M357" s="8"/>
      <x:c r="N357" s="10"/>
      <x:c r="O357" s="8" t="s">
        <x:v>959</x:v>
      </x:c>
    </x:row>
    <x:row r="358" ht="32" customHeight="1">
      <x:c r="A358" s="8">
        <x:v>11</x:v>
      </x:c>
      <x:c r="B358" s="8" t="s">
        <x:v>521</x:v>
      </x:c>
      <x:c r="C358" s="8" t="s">
        <x:v>522</x:v>
      </x:c>
      <x:c r="D358" s="8" t="s">
        <x:v>24</x:v>
      </x:c>
      <x:c r="E358" s="8" t="s">
        <x:v>558</x:v>
      </x:c>
      <x:c r="F358" s="8" t="s">
        <x:v>559</x:v>
      </x:c>
      <x:c r="G358" s="25">
        <x:v>46253</x:v>
      </x:c>
      <x:c r="H358" s="25">
        <x:v>46269</x:v>
      </x:c>
      <x:c r="I358" s="8" t="s">
        <x:v>2</x:v>
      </x:c>
      <x:c r="J358" s="8" t="s">
        <x:v>2</x:v>
      </x:c>
      <x:c r="K358" s="25">
        <x:v>46224</x:v>
      </x:c>
      <x:c r="L358" s="8" t="s">
        <x:v>367</x:v>
      </x:c>
      <x:c r="M358" s="8"/>
      <x:c r="N358" s="10"/>
      <x:c r="O358" s="8" t="s">
        <x:v>960</x:v>
      </x:c>
    </x:row>
    <x:row r="359" ht="32" customHeight="1">
      <x:c r="A359" s="8">
        <x:v>11</x:v>
      </x:c>
      <x:c r="B359" s="8" t="s">
        <x:v>524</x:v>
      </x:c>
      <x:c r="C359" s="8" t="s">
        <x:v>525</x:v>
      </x:c>
      <x:c r="D359" s="8" t="s">
        <x:v>24</x:v>
      </x:c>
      <x:c r="E359" s="8" t="s">
        <x:v>558</x:v>
      </x:c>
      <x:c r="F359" s="8" t="s">
        <x:v>559</x:v>
      </x:c>
      <x:c r="G359" s="25">
        <x:v>46253</x:v>
      </x:c>
      <x:c r="H359" s="25">
        <x:v>46269</x:v>
      </x:c>
      <x:c r="I359" s="8" t="s">
        <x:v>2</x:v>
      </x:c>
      <x:c r="J359" s="8" t="s">
        <x:v>2</x:v>
      </x:c>
      <x:c r="K359" s="25"/>
      <x:c r="L359" s="8" t="s">
        <x:v>367</x:v>
      </x:c>
      <x:c r="M359" s="8" t="s">
        <x:v>368</x:v>
      </x:c>
      <x:c r="N359" s="10"/>
      <x:c r="O359" s="8" t="s">
        <x:v>961</x:v>
      </x:c>
    </x:row>
    <x:row r="360" ht="32" customHeight="1">
      <x:c r="A360" s="8">
        <x:v>11</x:v>
      </x:c>
      <x:c r="B360" s="8" t="s">
        <x:v>527</x:v>
      </x:c>
      <x:c r="C360" s="8" t="s">
        <x:v>528</x:v>
      </x:c>
      <x:c r="D360" s="8" t="s">
        <x:v>24</x:v>
      </x:c>
      <x:c r="E360" s="8" t="s">
        <x:v>558</x:v>
      </x:c>
      <x:c r="F360" s="8" t="s">
        <x:v>559</x:v>
      </x:c>
      <x:c r="G360" s="25">
        <x:v>46253</x:v>
      </x:c>
      <x:c r="H360" s="25">
        <x:v>46269</x:v>
      </x:c>
      <x:c r="I360" s="8" t="s">
        <x:v>2</x:v>
      </x:c>
      <x:c r="J360" s="8" t="s">
        <x:v>2</x:v>
      </x:c>
      <x:c r="K360" s="25"/>
      <x:c r="L360" s="8" t="s">
        <x:v>367</x:v>
      </x:c>
      <x:c r="M360" s="8" t="s">
        <x:v>368</x:v>
      </x:c>
      <x:c r="N360" s="10"/>
      <x:c r="O360" s="8" t="s">
        <x:v>962</x:v>
      </x:c>
    </x:row>
    <x:row r="361" ht="32" customHeight="1">
      <x:c r="A361" s="8">
        <x:v>11</x:v>
      </x:c>
      <x:c r="B361" s="8" t="s">
        <x:v>530</x:v>
      </x:c>
      <x:c r="C361" s="8" t="s">
        <x:v>531</x:v>
      </x:c>
      <x:c r="D361" s="8" t="s">
        <x:v>24</x:v>
      </x:c>
      <x:c r="E361" s="8" t="s">
        <x:v>558</x:v>
      </x:c>
      <x:c r="F361" s="8" t="s">
        <x:v>559</x:v>
      </x:c>
      <x:c r="G361" s="25">
        <x:v>46253</x:v>
      </x:c>
      <x:c r="H361" s="25">
        <x:v>46269</x:v>
      </x:c>
      <x:c r="I361" s="8" t="s">
        <x:v>2</x:v>
      </x:c>
      <x:c r="J361" s="8" t="s">
        <x:v>2</x:v>
      </x:c>
      <x:c r="K361" s="25"/>
      <x:c r="L361" s="8" t="s">
        <x:v>367</x:v>
      </x:c>
      <x:c r="M361" s="8" t="s">
        <x:v>368</x:v>
      </x:c>
      <x:c r="N361" s="10"/>
      <x:c r="O361" s="8" t="s">
        <x:v>963</x:v>
      </x:c>
    </x:row>
    <x:row r="362" ht="32" customHeight="1">
      <x:c r="A362" s="8">
        <x:v>11</x:v>
      </x:c>
      <x:c r="B362" s="8" t="s">
        <x:v>533</x:v>
      </x:c>
      <x:c r="C362" s="8" t="s">
        <x:v>534</x:v>
      </x:c>
      <x:c r="D362" s="8" t="s">
        <x:v>24</x:v>
      </x:c>
      <x:c r="E362" s="8" t="s">
        <x:v>558</x:v>
      </x:c>
      <x:c r="F362" s="8" t="s">
        <x:v>559</x:v>
      </x:c>
      <x:c r="G362" s="25">
        <x:v>46253</x:v>
      </x:c>
      <x:c r="H362" s="25">
        <x:v>46269</x:v>
      </x:c>
      <x:c r="I362" s="8" t="s">
        <x:v>2</x:v>
      </x:c>
      <x:c r="J362" s="8" t="s">
        <x:v>2</x:v>
      </x:c>
      <x:c r="K362" s="25"/>
      <x:c r="L362" s="8" t="s">
        <x:v>367</x:v>
      </x:c>
      <x:c r="M362" s="8" t="s">
        <x:v>368</x:v>
      </x:c>
      <x:c r="N362" s="10"/>
      <x:c r="O362" s="8" t="s">
        <x:v>964</x:v>
      </x:c>
    </x:row>
    <x:row r="363" ht="32" customHeight="1">
      <x:c r="A363" s="8">
        <x:v>11</x:v>
      </x:c>
      <x:c r="B363" s="8" t="s">
        <x:v>536</x:v>
      </x:c>
      <x:c r="C363" s="8" t="s">
        <x:v>537</x:v>
      </x:c>
      <x:c r="D363" s="8" t="s">
        <x:v>24</x:v>
      </x:c>
      <x:c r="E363" s="8" t="s">
        <x:v>558</x:v>
      </x:c>
      <x:c r="F363" s="8" t="s">
        <x:v>559</x:v>
      </x:c>
      <x:c r="G363" s="25">
        <x:v>46253</x:v>
      </x:c>
      <x:c r="H363" s="25">
        <x:v>46269</x:v>
      </x:c>
      <x:c r="I363" s="8" t="s">
        <x:v>2</x:v>
      </x:c>
      <x:c r="J363" s="8" t="s">
        <x:v>2</x:v>
      </x:c>
      <x:c r="K363" s="25"/>
      <x:c r="L363" s="8" t="s">
        <x:v>367</x:v>
      </x:c>
      <x:c r="M363" s="8" t="s">
        <x:v>368</x:v>
      </x:c>
      <x:c r="N363" s="10"/>
      <x:c r="O363" s="8" t="s">
        <x:v>965</x:v>
      </x:c>
    </x:row>
    <x:row r="364" ht="32" customHeight="1">
      <x:c r="A364" s="8">
        <x:v>11</x:v>
      </x:c>
      <x:c r="B364" s="8" t="s">
        <x:v>539</x:v>
      </x:c>
      <x:c r="C364" s="8" t="s">
        <x:v>540</x:v>
      </x:c>
      <x:c r="D364" s="8" t="s">
        <x:v>24</x:v>
      </x:c>
      <x:c r="E364" s="8" t="s">
        <x:v>558</x:v>
      </x:c>
      <x:c r="F364" s="8" t="s">
        <x:v>559</x:v>
      </x:c>
      <x:c r="G364" s="25">
        <x:v>46253</x:v>
      </x:c>
      <x:c r="H364" s="25">
        <x:v>46269</x:v>
      </x:c>
      <x:c r="I364" s="8" t="s">
        <x:v>2</x:v>
      </x:c>
      <x:c r="J364" s="8" t="s">
        <x:v>2</x:v>
      </x:c>
      <x:c r="K364" s="25"/>
      <x:c r="L364" s="8" t="s">
        <x:v>367</x:v>
      </x:c>
      <x:c r="M364" s="8" t="s">
        <x:v>368</x:v>
      </x:c>
      <x:c r="N364" s="10"/>
      <x:c r="O364" s="8" t="s">
        <x:v>966</x:v>
      </x:c>
    </x:row>
    <x:row r="365" ht="32" customHeight="1">
      <x:c r="A365" s="8">
        <x:v>11</x:v>
      </x:c>
      <x:c r="B365" s="8" t="s">
        <x:v>542</x:v>
      </x:c>
      <x:c r="C365" s="8" t="s">
        <x:v>543</x:v>
      </x:c>
      <x:c r="D365" s="8" t="s">
        <x:v>25</x:v>
      </x:c>
      <x:c r="E365" s="8" t="s">
        <x:v>558</x:v>
      </x:c>
      <x:c r="F365" s="8" t="s">
        <x:v>559</x:v>
      </x:c>
      <x:c r="G365" s="25">
        <x:v>46253</x:v>
      </x:c>
      <x:c r="H365" s="25">
        <x:v>46269</x:v>
      </x:c>
      <x:c r="I365" s="8" t="s">
        <x:v>2</x:v>
      </x:c>
      <x:c r="J365" s="8" t="s">
        <x:v>2</x:v>
      </x:c>
      <x:c r="K365" s="25"/>
      <x:c r="L365" s="8" t="s">
        <x:v>367</x:v>
      </x:c>
      <x:c r="M365" s="8" t="s">
        <x:v>368</x:v>
      </x:c>
      <x:c r="N365" s="10"/>
      <x:c r="O365" s="8" t="s">
        <x:v>967</x:v>
      </x:c>
    </x:row>
    <x:row r="366" ht="32" customHeight="1">
      <x:c r="A366" s="8">
        <x:v>11</x:v>
      </x:c>
      <x:c r="B366" s="8" t="s">
        <x:v>889</x:v>
      </x:c>
      <x:c r="C366" s="8" t="s">
        <x:v>890</x:v>
      </x:c>
      <x:c r="D366" s="8" t="s">
        <x:v>24</x:v>
      </x:c>
      <x:c r="E366" s="8" t="s">
        <x:v>558</x:v>
      </x:c>
      <x:c r="F366" s="8" t="s">
        <x:v>559</x:v>
      </x:c>
      <x:c r="G366" s="25">
        <x:v>46253</x:v>
      </x:c>
      <x:c r="H366" s="25">
        <x:v>46269</x:v>
      </x:c>
      <x:c r="I366" s="8" t="s">
        <x:v>2</x:v>
      </x:c>
      <x:c r="J366" s="8" t="s">
        <x:v>2</x:v>
      </x:c>
      <x:c r="K366" s="25"/>
      <x:c r="L366" s="8" t="s">
        <x:v>367</x:v>
      </x:c>
      <x:c r="M366" s="8" t="s">
        <x:v>368</x:v>
      </x:c>
      <x:c r="N366" s="10"/>
      <x:c r="O366" s="8" t="s">
        <x:v>968</x:v>
      </x:c>
    </x:row>
    <x:row r="367" ht="32" customHeight="1">
      <x:c r="A367" s="8">
        <x:v>11</x:v>
      </x:c>
      <x:c r="B367" s="8" t="s">
        <x:v>892</x:v>
      </x:c>
      <x:c r="C367" s="8" t="s">
        <x:v>893</x:v>
      </x:c>
      <x:c r="D367" s="8" t="s">
        <x:v>24</x:v>
      </x:c>
      <x:c r="E367" s="8" t="s">
        <x:v>558</x:v>
      </x:c>
      <x:c r="F367" s="8" t="s">
        <x:v>559</x:v>
      </x:c>
      <x:c r="G367" s="25">
        <x:v>46253</x:v>
      </x:c>
      <x:c r="H367" s="25">
        <x:v>46269</x:v>
      </x:c>
      <x:c r="I367" s="8" t="s">
        <x:v>2</x:v>
      </x:c>
      <x:c r="J367" s="8" t="s">
        <x:v>2</x:v>
      </x:c>
      <x:c r="K367" s="25"/>
      <x:c r="L367" s="8" t="s">
        <x:v>367</x:v>
      </x:c>
      <x:c r="M367" s="8" t="s">
        <x:v>368</x:v>
      </x:c>
      <x:c r="N367" s="10"/>
      <x:c r="O367" s="8" t="s">
        <x:v>969</x:v>
      </x:c>
    </x:row>
    <x:row r="368" ht="32" customHeight="1">
      <x:c r="A368" s="8">
        <x:v>11</x:v>
      </x:c>
      <x:c r="B368" s="8" t="s">
        <x:v>895</x:v>
      </x:c>
      <x:c r="C368" s="8" t="s">
        <x:v>896</x:v>
      </x:c>
      <x:c r="D368" s="8" t="s">
        <x:v>24</x:v>
      </x:c>
      <x:c r="E368" s="8" t="s">
        <x:v>558</x:v>
      </x:c>
      <x:c r="F368" s="8" t="s">
        <x:v>559</x:v>
      </x:c>
      <x:c r="G368" s="25">
        <x:v>46253</x:v>
      </x:c>
      <x:c r="H368" s="25">
        <x:v>46269</x:v>
      </x:c>
      <x:c r="I368" s="8" t="s">
        <x:v>2</x:v>
      </x:c>
      <x:c r="J368" s="8" t="s">
        <x:v>2</x:v>
      </x:c>
      <x:c r="K368" s="25"/>
      <x:c r="L368" s="8" t="s">
        <x:v>367</x:v>
      </x:c>
      <x:c r="M368" s="8" t="s">
        <x:v>368</x:v>
      </x:c>
      <x:c r="N368" s="10"/>
      <x:c r="O368" s="8" t="s">
        <x:v>970</x:v>
      </x:c>
    </x:row>
    <x:row r="369" ht="32" customHeight="1">
      <x:c r="A369" s="8">
        <x:v>11</x:v>
      </x:c>
      <x:c r="B369" s="8" t="s">
        <x:v>898</x:v>
      </x:c>
      <x:c r="C369" s="8" t="s">
        <x:v>899</x:v>
      </x:c>
      <x:c r="D369" s="8" t="s">
        <x:v>24</x:v>
      </x:c>
      <x:c r="E369" s="8" t="s">
        <x:v>558</x:v>
      </x:c>
      <x:c r="F369" s="8" t="s">
        <x:v>559</x:v>
      </x:c>
      <x:c r="G369" s="25">
        <x:v>46253</x:v>
      </x:c>
      <x:c r="H369" s="25">
        <x:v>46269</x:v>
      </x:c>
      <x:c r="I369" s="8" t="s">
        <x:v>2</x:v>
      </x:c>
      <x:c r="J369" s="8" t="s">
        <x:v>2</x:v>
      </x:c>
      <x:c r="K369" s="25"/>
      <x:c r="L369" s="8" t="s">
        <x:v>367</x:v>
      </x:c>
      <x:c r="M369" s="8" t="s">
        <x:v>368</x:v>
      </x:c>
      <x:c r="N369" s="10"/>
      <x:c r="O369" s="8" t="s">
        <x:v>971</x:v>
      </x:c>
    </x:row>
    <x:row r="370" ht="32" customHeight="1">
      <x:c r="A370" s="8">
        <x:v>11</x:v>
      </x:c>
      <x:c r="B370" s="8" t="s">
        <x:v>551</x:v>
      </x:c>
      <x:c r="C370" s="8" t="s">
        <x:v>552</x:v>
      </x:c>
      <x:c r="D370" s="8" t="s">
        <x:v>24</x:v>
      </x:c>
      <x:c r="E370" s="8" t="s">
        <x:v>558</x:v>
      </x:c>
      <x:c r="F370" s="8" t="s">
        <x:v>559</x:v>
      </x:c>
      <x:c r="G370" s="25">
        <x:v>46251</x:v>
      </x:c>
      <x:c r="H370" s="25">
        <x:v>46269</x:v>
      </x:c>
      <x:c r="I370" s="8" t="s">
        <x:v>2</x:v>
      </x:c>
      <x:c r="J370" s="8" t="s">
        <x:v>2</x:v>
      </x:c>
      <x:c r="K370" s="25">
        <x:v>46261</x:v>
      </x:c>
      <x:c r="L370" s="8" t="s">
        <x:v>367</x:v>
      </x:c>
      <x:c r="M370" s="8"/>
      <x:c r="N370" s="10"/>
      <x:c r="O370" s="8" t="s">
        <x:v>972</x:v>
      </x:c>
    </x:row>
    <x:row r="371" ht="32" customHeight="1">
      <x:c r="A371" s="8">
        <x:v>11</x:v>
      </x:c>
      <x:c r="B371" s="8" t="s">
        <x:v>554</x:v>
      </x:c>
      <x:c r="C371" s="8" t="s">
        <x:v>552</x:v>
      </x:c>
      <x:c r="D371" s="8" t="s">
        <x:v>24</x:v>
      </x:c>
      <x:c r="E371" s="8" t="s">
        <x:v>558</x:v>
      </x:c>
      <x:c r="F371" s="8" t="s">
        <x:v>559</x:v>
      </x:c>
      <x:c r="G371" s="25">
        <x:v>46251</x:v>
      </x:c>
      <x:c r="H371" s="25">
        <x:v>46269</x:v>
      </x:c>
      <x:c r="I371" s="8" t="s">
        <x:v>2</x:v>
      </x:c>
      <x:c r="J371" s="8" t="s">
        <x:v>2</x:v>
      </x:c>
      <x:c r="K371" s="25">
        <x:v>46261</x:v>
      </x:c>
      <x:c r="L371" s="8" t="s">
        <x:v>367</x:v>
      </x:c>
      <x:c r="M371" s="8"/>
      <x:c r="N371" s="10"/>
      <x:c r="O371" s="8" t="s">
        <x:v>973</x:v>
      </x:c>
    </x:row>
    <x:row r="372" ht="32" customHeight="1">
      <x:c r="A372" s="8">
        <x:v>11</x:v>
      </x:c>
      <x:c r="B372" s="8" t="s">
        <x:v>556</x:v>
      </x:c>
      <x:c r="C372" s="8" t="s">
        <x:v>552</x:v>
      </x:c>
      <x:c r="D372" s="8" t="s">
        <x:v>25</x:v>
      </x:c>
      <x:c r="E372" s="8" t="s">
        <x:v>558</x:v>
      </x:c>
      <x:c r="F372" s="8" t="s">
        <x:v>559</x:v>
      </x:c>
      <x:c r="G372" s="25">
        <x:v>46251</x:v>
      </x:c>
      <x:c r="H372" s="25">
        <x:v>46269</x:v>
      </x:c>
      <x:c r="I372" s="8" t="s">
        <x:v>2</x:v>
      </x:c>
      <x:c r="J372" s="8" t="s">
        <x:v>2</x:v>
      </x:c>
      <x:c r="K372" s="25"/>
      <x:c r="L372" s="8" t="s">
        <x:v>367</x:v>
      </x:c>
      <x:c r="M372" s="8" t="s">
        <x:v>368</x:v>
      </x:c>
      <x:c r="N372" s="10"/>
      <x:c r="O372" s="8" t="s">
        <x:v>974</x:v>
      </x:c>
    </x:row>
    <x:row r="373" ht="32" customHeight="1">
      <x:c r="A373" s="8">
        <x:v>12</x:v>
      </x:c>
      <x:c r="B373" s="8" t="s">
        <x:v>725</x:v>
      </x:c>
      <x:c r="C373" s="8" t="s">
        <x:v>726</x:v>
      </x:c>
      <x:c r="D373" s="8" t="s">
        <x:v>25</x:v>
      </x:c>
      <x:c r="E373" s="8" t="s">
        <x:v>467</x:v>
      </x:c>
      <x:c r="F373" s="8" t="s">
        <x:v>468</x:v>
      </x:c>
      <x:c r="G373" s="25">
        <x:v>46266</x:v>
      </x:c>
      <x:c r="H373" s="25">
        <x:v>46272</x:v>
      </x:c>
      <x:c r="I373" s="8" t="s">
        <x:v>2</x:v>
      </x:c>
      <x:c r="J373" s="8" t="s">
        <x:v>3</x:v>
      </x:c>
      <x:c r="K373" s="25"/>
      <x:c r="L373" s="8" t="s">
        <x:v>367</x:v>
      </x:c>
      <x:c r="M373" s="8" t="s">
        <x:v>368</x:v>
      </x:c>
      <x:c r="N373" s="10"/>
      <x:c r="O373" s="8" t="s">
        <x:v>975</x:v>
      </x:c>
    </x:row>
    <x:row r="374" ht="32" customHeight="1">
      <x:c r="A374" s="8">
        <x:v>12</x:v>
      </x:c>
      <x:c r="B374" s="8" t="s">
        <x:v>728</x:v>
      </x:c>
      <x:c r="C374" s="8" t="s">
        <x:v>729</x:v>
      </x:c>
      <x:c r="D374" s="8" t="s">
        <x:v>25</x:v>
      </x:c>
      <x:c r="E374" s="8" t="s">
        <x:v>467</x:v>
      </x:c>
      <x:c r="F374" s="8" t="s">
        <x:v>468</x:v>
      </x:c>
      <x:c r="G374" s="25">
        <x:v>46266</x:v>
      </x:c>
      <x:c r="H374" s="25">
        <x:v>46272</x:v>
      </x:c>
      <x:c r="I374" s="8" t="s">
        <x:v>2</x:v>
      </x:c>
      <x:c r="J374" s="8" t="s">
        <x:v>3</x:v>
      </x:c>
      <x:c r="K374" s="25"/>
      <x:c r="L374" s="8" t="s">
        <x:v>367</x:v>
      </x:c>
      <x:c r="M374" s="8" t="s">
        <x:v>368</x:v>
      </x:c>
      <x:c r="N374" s="10"/>
      <x:c r="O374" s="8" t="s">
        <x:v>976</x:v>
      </x:c>
    </x:row>
    <x:row r="375" ht="32" customHeight="1">
      <x:c r="A375" s="8">
        <x:v>12</x:v>
      </x:c>
      <x:c r="B375" s="8" t="s">
        <x:v>743</x:v>
      </x:c>
      <x:c r="C375" s="8" t="s">
        <x:v>744</x:v>
      </x:c>
      <x:c r="D375" s="8" t="s">
        <x:v>25</x:v>
      </x:c>
      <x:c r="E375" s="8" t="s">
        <x:v>467</x:v>
      </x:c>
      <x:c r="F375" s="8" t="s">
        <x:v>468</x:v>
      </x:c>
      <x:c r="G375" s="25">
        <x:v>46266</x:v>
      </x:c>
      <x:c r="H375" s="25">
        <x:v>46272</x:v>
      </x:c>
      <x:c r="I375" s="8" t="s">
        <x:v>2</x:v>
      </x:c>
      <x:c r="J375" s="8" t="s">
        <x:v>3</x:v>
      </x:c>
      <x:c r="K375" s="25">
        <x:v>46261</x:v>
      </x:c>
      <x:c r="L375" s="8" t="s">
        <x:v>367</x:v>
      </x:c>
      <x:c r="M375" s="8"/>
      <x:c r="N375" s="10"/>
      <x:c r="O375" s="8" t="s">
        <x:v>977</x:v>
      </x:c>
    </x:row>
    <x:row r="376" ht="32" customHeight="1">
      <x:c r="A376" s="8">
        <x:v>12</x:v>
      </x:c>
      <x:c r="B376" s="8" t="s">
        <x:v>746</x:v>
      </x:c>
      <x:c r="C376" s="8" t="s">
        <x:v>747</x:v>
      </x:c>
      <x:c r="D376" s="8" t="s">
        <x:v>25</x:v>
      </x:c>
      <x:c r="E376" s="8" t="s">
        <x:v>467</x:v>
      </x:c>
      <x:c r="F376" s="8" t="s">
        <x:v>468</x:v>
      </x:c>
      <x:c r="G376" s="25">
        <x:v>46266</x:v>
      </x:c>
      <x:c r="H376" s="25">
        <x:v>46272</x:v>
      </x:c>
      <x:c r="I376" s="8" t="s">
        <x:v>2</x:v>
      </x:c>
      <x:c r="J376" s="8" t="s">
        <x:v>3</x:v>
      </x:c>
      <x:c r="K376" s="25">
        <x:v>46261</x:v>
      </x:c>
      <x:c r="L376" s="8" t="s">
        <x:v>367</x:v>
      </x:c>
      <x:c r="M376" s="8"/>
      <x:c r="N376" s="10"/>
      <x:c r="O376" s="8" t="s">
        <x:v>978</x:v>
      </x:c>
    </x:row>
    <x:row r="377" ht="32" customHeight="1">
      <x:c r="A377" s="8">
        <x:v>12</x:v>
      </x:c>
      <x:c r="B377" s="8" t="s">
        <x:v>755</x:v>
      </x:c>
      <x:c r="C377" s="8" t="s">
        <x:v>756</x:v>
      </x:c>
      <x:c r="D377" s="8" t="s">
        <x:v>25</x:v>
      </x:c>
      <x:c r="E377" s="8" t="s">
        <x:v>467</x:v>
      </x:c>
      <x:c r="F377" s="8" t="s">
        <x:v>468</x:v>
      </x:c>
      <x:c r="G377" s="25">
        <x:v>46266</x:v>
      </x:c>
      <x:c r="H377" s="25">
        <x:v>46272</x:v>
      </x:c>
      <x:c r="I377" s="8" t="s">
        <x:v>2</x:v>
      </x:c>
      <x:c r="J377" s="8" t="s">
        <x:v>3</x:v>
      </x:c>
      <x:c r="K377" s="25">
        <x:v>46261</x:v>
      </x:c>
      <x:c r="L377" s="8" t="s">
        <x:v>367</x:v>
      </x:c>
      <x:c r="M377" s="8"/>
      <x:c r="N377" s="10"/>
      <x:c r="O377" s="8" t="s">
        <x:v>979</x:v>
      </x:c>
    </x:row>
    <x:row r="378" ht="32" customHeight="1">
      <x:c r="A378" s="8">
        <x:v>12</x:v>
      </x:c>
      <x:c r="B378" s="8" t="s">
        <x:v>767</x:v>
      </x:c>
      <x:c r="C378" s="8" t="s">
        <x:v>768</x:v>
      </x:c>
      <x:c r="D378" s="8" t="s">
        <x:v>25</x:v>
      </x:c>
      <x:c r="E378" s="8" t="s">
        <x:v>467</x:v>
      </x:c>
      <x:c r="F378" s="8" t="s">
        <x:v>468</x:v>
      </x:c>
      <x:c r="G378" s="25">
        <x:v>46266</x:v>
      </x:c>
      <x:c r="H378" s="25">
        <x:v>46272</x:v>
      </x:c>
      <x:c r="I378" s="8" t="s">
        <x:v>2</x:v>
      </x:c>
      <x:c r="J378" s="8" t="s">
        <x:v>3</x:v>
      </x:c>
      <x:c r="K378" s="25"/>
      <x:c r="L378" s="8" t="s">
        <x:v>367</x:v>
      </x:c>
      <x:c r="M378" s="8" t="s">
        <x:v>368</x:v>
      </x:c>
      <x:c r="N378" s="10"/>
      <x:c r="O378" s="8" t="s">
        <x:v>980</x:v>
      </x:c>
    </x:row>
    <x:row r="379" ht="32" customHeight="1">
      <x:c r="A379" s="8">
        <x:v>12</x:v>
      </x:c>
      <x:c r="B379" s="8" t="s">
        <x:v>770</x:v>
      </x:c>
      <x:c r="C379" s="8" t="s">
        <x:v>771</x:v>
      </x:c>
      <x:c r="D379" s="8" t="s">
        <x:v>25</x:v>
      </x:c>
      <x:c r="E379" s="8" t="s">
        <x:v>467</x:v>
      </x:c>
      <x:c r="F379" s="8" t="s">
        <x:v>468</x:v>
      </x:c>
      <x:c r="G379" s="25">
        <x:v>46266</x:v>
      </x:c>
      <x:c r="H379" s="25">
        <x:v>46272</x:v>
      </x:c>
      <x:c r="I379" s="8" t="s">
        <x:v>2</x:v>
      </x:c>
      <x:c r="J379" s="8" t="s">
        <x:v>3</x:v>
      </x:c>
      <x:c r="K379" s="25"/>
      <x:c r="L379" s="8" t="s">
        <x:v>367</x:v>
      </x:c>
      <x:c r="M379" s="8" t="s">
        <x:v>368</x:v>
      </x:c>
      <x:c r="N379" s="10"/>
      <x:c r="O379" s="8" t="s">
        <x:v>981</x:v>
      </x:c>
    </x:row>
    <x:row r="380" ht="32" customHeight="1">
      <x:c r="A380" s="8">
        <x:v>12</x:v>
      </x:c>
      <x:c r="B380" s="8" t="s">
        <x:v>773</x:v>
      </x:c>
      <x:c r="C380" s="8" t="s">
        <x:v>774</x:v>
      </x:c>
      <x:c r="D380" s="8" t="s">
        <x:v>25</x:v>
      </x:c>
      <x:c r="E380" s="8" t="s">
        <x:v>467</x:v>
      </x:c>
      <x:c r="F380" s="8" t="s">
        <x:v>468</x:v>
      </x:c>
      <x:c r="G380" s="25">
        <x:v>46266</x:v>
      </x:c>
      <x:c r="H380" s="25">
        <x:v>46272</x:v>
      </x:c>
      <x:c r="I380" s="8" t="s">
        <x:v>2</x:v>
      </x:c>
      <x:c r="J380" s="8" t="s">
        <x:v>3</x:v>
      </x:c>
      <x:c r="K380" s="25"/>
      <x:c r="L380" s="8" t="s">
        <x:v>367</x:v>
      </x:c>
      <x:c r="M380" s="8" t="s">
        <x:v>368</x:v>
      </x:c>
      <x:c r="N380" s="10"/>
      <x:c r="O380" s="8" t="s">
        <x:v>982</x:v>
      </x:c>
    </x:row>
    <x:row r="381" ht="32" customHeight="1">
      <x:c r="A381" s="8">
        <x:v>12</x:v>
      </x:c>
      <x:c r="B381" s="8" t="s">
        <x:v>450</x:v>
      </x:c>
      <x:c r="C381" s="8" t="s">
        <x:v>451</x:v>
      </x:c>
      <x:c r="D381" s="8" t="s">
        <x:v>24</x:v>
      </x:c>
      <x:c r="E381" s="8" t="s">
        <x:v>467</x:v>
      </x:c>
      <x:c r="F381" s="8" t="s">
        <x:v>939</x:v>
      </x:c>
      <x:c r="G381" s="25">
        <x:v>46265</x:v>
      </x:c>
      <x:c r="H381" s="25">
        <x:v>46273</x:v>
      </x:c>
      <x:c r="I381" s="8" t="s">
        <x:v>2</x:v>
      </x:c>
      <x:c r="J381" s="8" t="s">
        <x:v>3</x:v>
      </x:c>
      <x:c r="K381" s="25"/>
      <x:c r="L381" s="8" t="s">
        <x:v>367</x:v>
      </x:c>
      <x:c r="M381" s="8" t="s">
        <x:v>368</x:v>
      </x:c>
      <x:c r="N381" s="10"/>
      <x:c r="O381" s="8" t="s">
        <x:v>983</x:v>
      </x:c>
    </x:row>
    <x:row r="382" ht="32" customHeight="1">
      <x:c r="A382" s="8">
        <x:v>12</x:v>
      </x:c>
      <x:c r="B382" s="8" t="s">
        <x:v>725</x:v>
      </x:c>
      <x:c r="C382" s="8" t="s">
        <x:v>726</x:v>
      </x:c>
      <x:c r="D382" s="8" t="s">
        <x:v>25</x:v>
      </x:c>
      <x:c r="E382" s="8" t="s">
        <x:v>479</x:v>
      </x:c>
      <x:c r="F382" s="8" t="s">
        <x:v>480</x:v>
      </x:c>
      <x:c r="G382" s="25">
        <x:v>46266</x:v>
      </x:c>
      <x:c r="H382" s="25">
        <x:v>46272</x:v>
      </x:c>
      <x:c r="I382" s="8" t="s">
        <x:v>2</x:v>
      </x:c>
      <x:c r="J382" s="8" t="s">
        <x:v>3</x:v>
      </x:c>
      <x:c r="K382" s="25"/>
      <x:c r="L382" s="8" t="s">
        <x:v>367</x:v>
      </x:c>
      <x:c r="M382" s="8" t="s">
        <x:v>368</x:v>
      </x:c>
      <x:c r="N382" s="10"/>
      <x:c r="O382" s="8" t="s">
        <x:v>984</x:v>
      </x:c>
    </x:row>
    <x:row r="383" ht="32" customHeight="1">
      <x:c r="A383" s="8">
        <x:v>12</x:v>
      </x:c>
      <x:c r="B383" s="8" t="s">
        <x:v>728</x:v>
      </x:c>
      <x:c r="C383" s="8" t="s">
        <x:v>729</x:v>
      </x:c>
      <x:c r="D383" s="8" t="s">
        <x:v>25</x:v>
      </x:c>
      <x:c r="E383" s="8" t="s">
        <x:v>479</x:v>
      </x:c>
      <x:c r="F383" s="8" t="s">
        <x:v>480</x:v>
      </x:c>
      <x:c r="G383" s="25">
        <x:v>46266</x:v>
      </x:c>
      <x:c r="H383" s="25">
        <x:v>46272</x:v>
      </x:c>
      <x:c r="I383" s="8" t="s">
        <x:v>2</x:v>
      </x:c>
      <x:c r="J383" s="8" t="s">
        <x:v>3</x:v>
      </x:c>
      <x:c r="K383" s="25"/>
      <x:c r="L383" s="8" t="s">
        <x:v>367</x:v>
      </x:c>
      <x:c r="M383" s="8" t="s">
        <x:v>368</x:v>
      </x:c>
      <x:c r="N383" s="10"/>
      <x:c r="O383" s="8" t="s">
        <x:v>985</x:v>
      </x:c>
    </x:row>
    <x:row r="384" ht="32" customHeight="1">
      <x:c r="A384" s="8">
        <x:v>12</x:v>
      </x:c>
      <x:c r="B384" s="8" t="s">
        <x:v>743</x:v>
      </x:c>
      <x:c r="C384" s="8" t="s">
        <x:v>744</x:v>
      </x:c>
      <x:c r="D384" s="8" t="s">
        <x:v>25</x:v>
      </x:c>
      <x:c r="E384" s="8" t="s">
        <x:v>479</x:v>
      </x:c>
      <x:c r="F384" s="8" t="s">
        <x:v>480</x:v>
      </x:c>
      <x:c r="G384" s="25">
        <x:v>46266</x:v>
      </x:c>
      <x:c r="H384" s="25">
        <x:v>46272</x:v>
      </x:c>
      <x:c r="I384" s="8" t="s">
        <x:v>2</x:v>
      </x:c>
      <x:c r="J384" s="8" t="s">
        <x:v>3</x:v>
      </x:c>
      <x:c r="K384" s="25">
        <x:v>46261</x:v>
      </x:c>
      <x:c r="L384" s="8" t="s">
        <x:v>367</x:v>
      </x:c>
      <x:c r="M384" s="8"/>
      <x:c r="N384" s="10"/>
      <x:c r="O384" s="8" t="s">
        <x:v>986</x:v>
      </x:c>
    </x:row>
    <x:row r="385" ht="32" customHeight="1">
      <x:c r="A385" s="8">
        <x:v>12</x:v>
      </x:c>
      <x:c r="B385" s="8" t="s">
        <x:v>746</x:v>
      </x:c>
      <x:c r="C385" s="8" t="s">
        <x:v>747</x:v>
      </x:c>
      <x:c r="D385" s="8" t="s">
        <x:v>25</x:v>
      </x:c>
      <x:c r="E385" s="8" t="s">
        <x:v>479</x:v>
      </x:c>
      <x:c r="F385" s="8" t="s">
        <x:v>480</x:v>
      </x:c>
      <x:c r="G385" s="25">
        <x:v>46266</x:v>
      </x:c>
      <x:c r="H385" s="25">
        <x:v>46272</x:v>
      </x:c>
      <x:c r="I385" s="8" t="s">
        <x:v>2</x:v>
      </x:c>
      <x:c r="J385" s="8" t="s">
        <x:v>3</x:v>
      </x:c>
      <x:c r="K385" s="25">
        <x:v>46261</x:v>
      </x:c>
      <x:c r="L385" s="8" t="s">
        <x:v>367</x:v>
      </x:c>
      <x:c r="M385" s="8"/>
      <x:c r="N385" s="10"/>
      <x:c r="O385" s="8" t="s">
        <x:v>987</x:v>
      </x:c>
    </x:row>
    <x:row r="386" ht="32" customHeight="1">
      <x:c r="A386" s="8">
        <x:v>12</x:v>
      </x:c>
      <x:c r="B386" s="8" t="s">
        <x:v>755</x:v>
      </x:c>
      <x:c r="C386" s="8" t="s">
        <x:v>756</x:v>
      </x:c>
      <x:c r="D386" s="8" t="s">
        <x:v>25</x:v>
      </x:c>
      <x:c r="E386" s="8" t="s">
        <x:v>479</x:v>
      </x:c>
      <x:c r="F386" s="8" t="s">
        <x:v>480</x:v>
      </x:c>
      <x:c r="G386" s="25">
        <x:v>46266</x:v>
      </x:c>
      <x:c r="H386" s="25">
        <x:v>46272</x:v>
      </x:c>
      <x:c r="I386" s="8" t="s">
        <x:v>2</x:v>
      </x:c>
      <x:c r="J386" s="8" t="s">
        <x:v>3</x:v>
      </x:c>
      <x:c r="K386" s="25">
        <x:v>46261</x:v>
      </x:c>
      <x:c r="L386" s="8" t="s">
        <x:v>367</x:v>
      </x:c>
      <x:c r="M386" s="8"/>
      <x:c r="N386" s="10"/>
      <x:c r="O386" s="8" t="s">
        <x:v>988</x:v>
      </x:c>
    </x:row>
    <x:row r="387" ht="32" customHeight="1">
      <x:c r="A387" s="8">
        <x:v>12</x:v>
      </x:c>
      <x:c r="B387" s="8" t="s">
        <x:v>767</x:v>
      </x:c>
      <x:c r="C387" s="8" t="s">
        <x:v>768</x:v>
      </x:c>
      <x:c r="D387" s="8" t="s">
        <x:v>25</x:v>
      </x:c>
      <x:c r="E387" s="8" t="s">
        <x:v>479</x:v>
      </x:c>
      <x:c r="F387" s="8" t="s">
        <x:v>480</x:v>
      </x:c>
      <x:c r="G387" s="25">
        <x:v>46266</x:v>
      </x:c>
      <x:c r="H387" s="25">
        <x:v>46272</x:v>
      </x:c>
      <x:c r="I387" s="8" t="s">
        <x:v>2</x:v>
      </x:c>
      <x:c r="J387" s="8" t="s">
        <x:v>3</x:v>
      </x:c>
      <x:c r="K387" s="25"/>
      <x:c r="L387" s="8" t="s">
        <x:v>367</x:v>
      </x:c>
      <x:c r="M387" s="8" t="s">
        <x:v>368</x:v>
      </x:c>
      <x:c r="N387" s="10"/>
      <x:c r="O387" s="8" t="s">
        <x:v>989</x:v>
      </x:c>
    </x:row>
    <x:row r="388" ht="32" customHeight="1">
      <x:c r="A388" s="8">
        <x:v>12</x:v>
      </x:c>
      <x:c r="B388" s="8" t="s">
        <x:v>770</x:v>
      </x:c>
      <x:c r="C388" s="8" t="s">
        <x:v>771</x:v>
      </x:c>
      <x:c r="D388" s="8" t="s">
        <x:v>25</x:v>
      </x:c>
      <x:c r="E388" s="8" t="s">
        <x:v>479</x:v>
      </x:c>
      <x:c r="F388" s="8" t="s">
        <x:v>480</x:v>
      </x:c>
      <x:c r="G388" s="25">
        <x:v>46266</x:v>
      </x:c>
      <x:c r="H388" s="25">
        <x:v>46272</x:v>
      </x:c>
      <x:c r="I388" s="8" t="s">
        <x:v>2</x:v>
      </x:c>
      <x:c r="J388" s="8" t="s">
        <x:v>3</x:v>
      </x:c>
      <x:c r="K388" s="25"/>
      <x:c r="L388" s="8" t="s">
        <x:v>367</x:v>
      </x:c>
      <x:c r="M388" s="8" t="s">
        <x:v>368</x:v>
      </x:c>
      <x:c r="N388" s="10"/>
      <x:c r="O388" s="8" t="s">
        <x:v>990</x:v>
      </x:c>
    </x:row>
    <x:row r="389" ht="32" customHeight="1">
      <x:c r="A389" s="8">
        <x:v>12</x:v>
      </x:c>
      <x:c r="B389" s="8" t="s">
        <x:v>773</x:v>
      </x:c>
      <x:c r="C389" s="8" t="s">
        <x:v>774</x:v>
      </x:c>
      <x:c r="D389" s="8" t="s">
        <x:v>25</x:v>
      </x:c>
      <x:c r="E389" s="8" t="s">
        <x:v>479</x:v>
      </x:c>
      <x:c r="F389" s="8" t="s">
        <x:v>480</x:v>
      </x:c>
      <x:c r="G389" s="25">
        <x:v>46266</x:v>
      </x:c>
      <x:c r="H389" s="25">
        <x:v>46272</x:v>
      </x:c>
      <x:c r="I389" s="8" t="s">
        <x:v>2</x:v>
      </x:c>
      <x:c r="J389" s="8" t="s">
        <x:v>3</x:v>
      </x:c>
      <x:c r="K389" s="25"/>
      <x:c r="L389" s="8" t="s">
        <x:v>367</x:v>
      </x:c>
      <x:c r="M389" s="8" t="s">
        <x:v>368</x:v>
      </x:c>
      <x:c r="N389" s="10"/>
      <x:c r="O389" s="8" t="s">
        <x:v>991</x:v>
      </x:c>
    </x:row>
    <x:row r="390" ht="32" customHeight="1">
      <x:c r="A390" s="8">
        <x:v>12</x:v>
      </x:c>
      <x:c r="B390" s="8" t="s">
        <x:v>450</x:v>
      </x:c>
      <x:c r="C390" s="8" t="s">
        <x:v>451</x:v>
      </x:c>
      <x:c r="D390" s="8" t="s">
        <x:v>24</x:v>
      </x:c>
      <x:c r="E390" s="8" t="s">
        <x:v>479</x:v>
      </x:c>
      <x:c r="F390" s="8" t="s">
        <x:v>939</x:v>
      </x:c>
      <x:c r="G390" s="25">
        <x:v>46265</x:v>
      </x:c>
      <x:c r="H390" s="25">
        <x:v>46273</x:v>
      </x:c>
      <x:c r="I390" s="8" t="s">
        <x:v>2</x:v>
      </x:c>
      <x:c r="J390" s="8" t="s">
        <x:v>3</x:v>
      </x:c>
      <x:c r="K390" s="25"/>
      <x:c r="L390" s="8" t="s">
        <x:v>367</x:v>
      </x:c>
      <x:c r="M390" s="8" t="s">
        <x:v>368</x:v>
      </x:c>
      <x:c r="N390" s="10"/>
      <x:c r="O390" s="8" t="s">
        <x:v>992</x:v>
      </x:c>
    </x:row>
    <x:row r="391" ht="32" customHeight="1">
      <x:c r="A391" s="8">
        <x:v>12</x:v>
      </x:c>
      <x:c r="B391" s="8" t="s">
        <x:v>563</x:v>
      </x:c>
      <x:c r="C391" s="8" t="s">
        <x:v>564</x:v>
      </x:c>
      <x:c r="D391" s="8" t="s">
        <x:v>25</x:v>
      </x:c>
      <x:c r="E391" s="8" t="s">
        <x:v>558</x:v>
      </x:c>
      <x:c r="F391" s="8" t="s">
        <x:v>559</x:v>
      </x:c>
      <x:c r="G391" s="25">
        <x:v>46272</x:v>
      </x:c>
      <x:c r="H391" s="25">
        <x:v>46276</x:v>
      </x:c>
      <x:c r="I391" s="8" t="s">
        <x:v>2</x:v>
      </x:c>
      <x:c r="J391" s="8" t="s">
        <x:v>2</x:v>
      </x:c>
      <x:c r="K391" s="25">
        <x:v>46261</x:v>
      </x:c>
      <x:c r="L391" s="8" t="s">
        <x:v>367</x:v>
      </x:c>
      <x:c r="M391" s="8"/>
      <x:c r="N391" s="10"/>
      <x:c r="O391" s="8" t="s">
        <x:v>993</x:v>
      </x:c>
    </x:row>
    <x:row r="392" ht="32" customHeight="1">
      <x:c r="A392" s="8">
        <x:v>12</x:v>
      </x:c>
      <x:c r="B392" s="8" t="s">
        <x:v>566</x:v>
      </x:c>
      <x:c r="C392" s="8" t="s">
        <x:v>567</x:v>
      </x:c>
      <x:c r="D392" s="8" t="s">
        <x:v>25</x:v>
      </x:c>
      <x:c r="E392" s="8" t="s">
        <x:v>558</x:v>
      </x:c>
      <x:c r="F392" s="8" t="s">
        <x:v>559</x:v>
      </x:c>
      <x:c r="G392" s="25">
        <x:v>46272</x:v>
      </x:c>
      <x:c r="H392" s="25">
        <x:v>46276</x:v>
      </x:c>
      <x:c r="I392" s="8" t="s">
        <x:v>2</x:v>
      </x:c>
      <x:c r="J392" s="8" t="s">
        <x:v>2</x:v>
      </x:c>
      <x:c r="K392" s="25">
        <x:v>46261</x:v>
      </x:c>
      <x:c r="L392" s="8" t="s">
        <x:v>367</x:v>
      </x:c>
      <x:c r="M392" s="8"/>
      <x:c r="N392" s="10"/>
      <x:c r="O392" s="8" t="s">
        <x:v>994</x:v>
      </x:c>
    </x:row>
    <x:row r="393" ht="32" customHeight="1">
      <x:c r="A393" s="8">
        <x:v>12</x:v>
      </x:c>
      <x:c r="B393" s="8" t="s">
        <x:v>569</x:v>
      </x:c>
      <x:c r="C393" s="8" t="s">
        <x:v>570</x:v>
      </x:c>
      <x:c r="D393" s="8" t="s">
        <x:v>25</x:v>
      </x:c>
      <x:c r="E393" s="8" t="s">
        <x:v>558</x:v>
      </x:c>
      <x:c r="F393" s="8" t="s">
        <x:v>559</x:v>
      </x:c>
      <x:c r="G393" s="25">
        <x:v>46272</x:v>
      </x:c>
      <x:c r="H393" s="25">
        <x:v>46276</x:v>
      </x:c>
      <x:c r="I393" s="8" t="s">
        <x:v>2</x:v>
      </x:c>
      <x:c r="J393" s="8" t="s">
        <x:v>2</x:v>
      </x:c>
      <x:c r="K393" s="25">
        <x:v>46261</x:v>
      </x:c>
      <x:c r="L393" s="8" t="s">
        <x:v>367</x:v>
      </x:c>
      <x:c r="M393" s="8"/>
      <x:c r="N393" s="10"/>
      <x:c r="O393" s="8" t="s">
        <x:v>995</x:v>
      </x:c>
    </x:row>
    <x:row r="394" ht="32" customHeight="1">
      <x:c r="A394" s="8">
        <x:v>12</x:v>
      </x:c>
      <x:c r="B394" s="8" t="s">
        <x:v>572</x:v>
      </x:c>
      <x:c r="C394" s="8" t="s">
        <x:v>573</x:v>
      </x:c>
      <x:c r="D394" s="8" t="s">
        <x:v>25</x:v>
      </x:c>
      <x:c r="E394" s="8" t="s">
        <x:v>558</x:v>
      </x:c>
      <x:c r="F394" s="8" t="s">
        <x:v>559</x:v>
      </x:c>
      <x:c r="G394" s="25">
        <x:v>46272</x:v>
      </x:c>
      <x:c r="H394" s="25">
        <x:v>46276</x:v>
      </x:c>
      <x:c r="I394" s="8" t="s">
        <x:v>2</x:v>
      </x:c>
      <x:c r="J394" s="8" t="s">
        <x:v>2</x:v>
      </x:c>
      <x:c r="K394" s="25">
        <x:v>46261</x:v>
      </x:c>
      <x:c r="L394" s="8" t="s">
        <x:v>367</x:v>
      </x:c>
      <x:c r="M394" s="8"/>
      <x:c r="N394" s="10"/>
      <x:c r="O394" s="8" t="s">
        <x:v>996</x:v>
      </x:c>
    </x:row>
    <x:row r="395" ht="32" customHeight="1">
      <x:c r="A395" s="8">
        <x:v>12</x:v>
      </x:c>
      <x:c r="B395" s="8" t="s">
        <x:v>575</x:v>
      </x:c>
      <x:c r="C395" s="8" t="s">
        <x:v>576</x:v>
      </x:c>
      <x:c r="D395" s="8" t="s">
        <x:v>25</x:v>
      </x:c>
      <x:c r="E395" s="8" t="s">
        <x:v>558</x:v>
      </x:c>
      <x:c r="F395" s="8" t="s">
        <x:v>559</x:v>
      </x:c>
      <x:c r="G395" s="25">
        <x:v>46272</x:v>
      </x:c>
      <x:c r="H395" s="25">
        <x:v>46276</x:v>
      </x:c>
      <x:c r="I395" s="8" t="s">
        <x:v>2</x:v>
      </x:c>
      <x:c r="J395" s="8" t="s">
        <x:v>2</x:v>
      </x:c>
      <x:c r="K395" s="25">
        <x:v>46261</x:v>
      </x:c>
      <x:c r="L395" s="8" t="s">
        <x:v>367</x:v>
      </x:c>
      <x:c r="M395" s="8"/>
      <x:c r="N395" s="10"/>
      <x:c r="O395" s="8" t="s">
        <x:v>997</x:v>
      </x:c>
    </x:row>
    <x:row r="396" ht="32" customHeight="1">
      <x:c r="A396" s="8">
        <x:v>13</x:v>
      </x:c>
      <x:c r="B396" s="8" t="s">
        <x:v>578</x:v>
      </x:c>
      <x:c r="C396" s="8" t="s">
        <x:v>579</x:v>
      </x:c>
      <x:c r="D396" s="8" t="s">
        <x:v>25</x:v>
      </x:c>
      <x:c r="E396" s="8" t="s">
        <x:v>467</x:v>
      </x:c>
      <x:c r="F396" s="8" t="s">
        <x:v>468</x:v>
      </x:c>
      <x:c r="G396" s="25">
        <x:v>46272</x:v>
      </x:c>
      <x:c r="H396" s="25">
        <x:v>46279</x:v>
      </x:c>
      <x:c r="I396" s="8" t="s">
        <x:v>3</x:v>
      </x:c>
      <x:c r="J396" s="8" t="s">
        <x:v>3</x:v>
      </x:c>
      <x:c r="K396" s="25"/>
      <x:c r="L396" s="8" t="s">
        <x:v>367</x:v>
      </x:c>
      <x:c r="M396" s="8"/>
      <x:c r="N396" s="10"/>
      <x:c r="O396" s="8" t="s">
        <x:v>998</x:v>
      </x:c>
    </x:row>
    <x:row r="397" ht="32" customHeight="1">
      <x:c r="A397" s="8">
        <x:v>13</x:v>
      </x:c>
      <x:c r="B397" s="8" t="s">
        <x:v>581</x:v>
      </x:c>
      <x:c r="C397" s="8" t="s">
        <x:v>582</x:v>
      </x:c>
      <x:c r="D397" s="8" t="s">
        <x:v>25</x:v>
      </x:c>
      <x:c r="E397" s="8" t="s">
        <x:v>467</x:v>
      </x:c>
      <x:c r="F397" s="8" t="s">
        <x:v>468</x:v>
      </x:c>
      <x:c r="G397" s="25">
        <x:v>46272</x:v>
      </x:c>
      <x:c r="H397" s="25">
        <x:v>46279</x:v>
      </x:c>
      <x:c r="I397" s="8" t="s">
        <x:v>3</x:v>
      </x:c>
      <x:c r="J397" s="8" t="s">
        <x:v>3</x:v>
      </x:c>
      <x:c r="K397" s="25"/>
      <x:c r="L397" s="8" t="s">
        <x:v>367</x:v>
      </x:c>
      <x:c r="M397" s="8"/>
      <x:c r="N397" s="10"/>
      <x:c r="O397" s="8" t="s">
        <x:v>999</x:v>
      </x:c>
    </x:row>
    <x:row r="398" ht="32" customHeight="1">
      <x:c r="A398" s="8">
        <x:v>13</x:v>
      </x:c>
      <x:c r="B398" s="8" t="s">
        <x:v>584</x:v>
      </x:c>
      <x:c r="C398" s="8" t="s">
        <x:v>585</x:v>
      </x:c>
      <x:c r="D398" s="8" t="s">
        <x:v>25</x:v>
      </x:c>
      <x:c r="E398" s="8" t="s">
        <x:v>467</x:v>
      </x:c>
      <x:c r="F398" s="8" t="s">
        <x:v>468</x:v>
      </x:c>
      <x:c r="G398" s="25">
        <x:v>46272</x:v>
      </x:c>
      <x:c r="H398" s="25">
        <x:v>46279</x:v>
      </x:c>
      <x:c r="I398" s="8" t="s">
        <x:v>3</x:v>
      </x:c>
      <x:c r="J398" s="8" t="s">
        <x:v>3</x:v>
      </x:c>
      <x:c r="K398" s="25"/>
      <x:c r="L398" s="8" t="s">
        <x:v>367</x:v>
      </x:c>
      <x:c r="M398" s="8"/>
      <x:c r="N398" s="10"/>
      <x:c r="O398" s="8" t="s">
        <x:v>1000</x:v>
      </x:c>
    </x:row>
    <x:row r="399" ht="32" customHeight="1">
      <x:c r="A399" s="8">
        <x:v>13</x:v>
      </x:c>
      <x:c r="B399" s="8" t="s">
        <x:v>587</x:v>
      </x:c>
      <x:c r="C399" s="8" t="s">
        <x:v>588</x:v>
      </x:c>
      <x:c r="D399" s="8" t="s">
        <x:v>25</x:v>
      </x:c>
      <x:c r="E399" s="8" t="s">
        <x:v>467</x:v>
      </x:c>
      <x:c r="F399" s="8" t="s">
        <x:v>468</x:v>
      </x:c>
      <x:c r="G399" s="25">
        <x:v>46272</x:v>
      </x:c>
      <x:c r="H399" s="25">
        <x:v>46279</x:v>
      </x:c>
      <x:c r="I399" s="8" t="s">
        <x:v>3</x:v>
      </x:c>
      <x:c r="J399" s="8" t="s">
        <x:v>3</x:v>
      </x:c>
      <x:c r="K399" s="25"/>
      <x:c r="L399" s="8" t="s">
        <x:v>367</x:v>
      </x:c>
      <x:c r="M399" s="8"/>
      <x:c r="N399" s="10"/>
      <x:c r="O399" s="8" t="s">
        <x:v>1001</x:v>
      </x:c>
    </x:row>
    <x:row r="400" ht="32" customHeight="1">
      <x:c r="A400" s="8">
        <x:v>13</x:v>
      </x:c>
      <x:c r="B400" s="8" t="s">
        <x:v>590</x:v>
      </x:c>
      <x:c r="C400" s="8" t="s">
        <x:v>591</x:v>
      </x:c>
      <x:c r="D400" s="8" t="s">
        <x:v>25</x:v>
      </x:c>
      <x:c r="E400" s="8" t="s">
        <x:v>467</x:v>
      </x:c>
      <x:c r="F400" s="8" t="s">
        <x:v>468</x:v>
      </x:c>
      <x:c r="G400" s="25">
        <x:v>46272</x:v>
      </x:c>
      <x:c r="H400" s="25">
        <x:v>46279</x:v>
      </x:c>
      <x:c r="I400" s="8" t="s">
        <x:v>3</x:v>
      </x:c>
      <x:c r="J400" s="8" t="s">
        <x:v>3</x:v>
      </x:c>
      <x:c r="K400" s="25"/>
      <x:c r="L400" s="8" t="s">
        <x:v>367</x:v>
      </x:c>
      <x:c r="M400" s="8"/>
      <x:c r="N400" s="10"/>
      <x:c r="O400" s="8" t="s">
        <x:v>1002</x:v>
      </x:c>
    </x:row>
    <x:row r="401" ht="32" customHeight="1">
      <x:c r="A401" s="8">
        <x:v>13</x:v>
      </x:c>
      <x:c r="B401" s="8" t="s">
        <x:v>612</x:v>
      </x:c>
      <x:c r="C401" s="8" t="s">
        <x:v>613</x:v>
      </x:c>
      <x:c r="D401" s="8" t="s">
        <x:v>25</x:v>
      </x:c>
      <x:c r="E401" s="8" t="s">
        <x:v>467</x:v>
      </x:c>
      <x:c r="F401" s="8" t="s">
        <x:v>468</x:v>
      </x:c>
      <x:c r="G401" s="25">
        <x:v>46272</x:v>
      </x:c>
      <x:c r="H401" s="25">
        <x:v>46279</x:v>
      </x:c>
      <x:c r="I401" s="8" t="s">
        <x:v>3</x:v>
      </x:c>
      <x:c r="J401" s="8" t="s">
        <x:v>3</x:v>
      </x:c>
      <x:c r="K401" s="25"/>
      <x:c r="L401" s="8" t="s">
        <x:v>367</x:v>
      </x:c>
      <x:c r="M401" s="8"/>
      <x:c r="N401" s="10"/>
      <x:c r="O401" s="8" t="s">
        <x:v>1003</x:v>
      </x:c>
    </x:row>
    <x:row r="402" ht="32" customHeight="1">
      <x:c r="A402" s="8">
        <x:v>13</x:v>
      </x:c>
      <x:c r="B402" s="8" t="s">
        <x:v>615</x:v>
      </x:c>
      <x:c r="C402" s="8" t="s">
        <x:v>616</x:v>
      </x:c>
      <x:c r="D402" s="8" t="s">
        <x:v>25</x:v>
      </x:c>
      <x:c r="E402" s="8" t="s">
        <x:v>467</x:v>
      </x:c>
      <x:c r="F402" s="8" t="s">
        <x:v>468</x:v>
      </x:c>
      <x:c r="G402" s="25">
        <x:v>46272</x:v>
      </x:c>
      <x:c r="H402" s="25">
        <x:v>46279</x:v>
      </x:c>
      <x:c r="I402" s="8" t="s">
        <x:v>3</x:v>
      </x:c>
      <x:c r="J402" s="8" t="s">
        <x:v>3</x:v>
      </x:c>
      <x:c r="K402" s="25"/>
      <x:c r="L402" s="8" t="s">
        <x:v>367</x:v>
      </x:c>
      <x:c r="M402" s="8"/>
      <x:c r="N402" s="10"/>
      <x:c r="O402" s="8" t="s">
        <x:v>1004</x:v>
      </x:c>
    </x:row>
    <x:row r="403" ht="32" customHeight="1">
      <x:c r="A403" s="8">
        <x:v>13</x:v>
      </x:c>
      <x:c r="B403" s="8" t="s">
        <x:v>618</x:v>
      </x:c>
      <x:c r="C403" s="8" t="s">
        <x:v>619</x:v>
      </x:c>
      <x:c r="D403" s="8" t="s">
        <x:v>25</x:v>
      </x:c>
      <x:c r="E403" s="8" t="s">
        <x:v>467</x:v>
      </x:c>
      <x:c r="F403" s="8" t="s">
        <x:v>468</x:v>
      </x:c>
      <x:c r="G403" s="25">
        <x:v>46272</x:v>
      </x:c>
      <x:c r="H403" s="25">
        <x:v>46279</x:v>
      </x:c>
      <x:c r="I403" s="8" t="s">
        <x:v>3</x:v>
      </x:c>
      <x:c r="J403" s="8" t="s">
        <x:v>3</x:v>
      </x:c>
      <x:c r="K403" s="25">
        <x:v>46261</x:v>
      </x:c>
      <x:c r="L403" s="8" t="s">
        <x:v>367</x:v>
      </x:c>
      <x:c r="M403" s="8"/>
      <x:c r="N403" s="10"/>
      <x:c r="O403" s="8" t="s">
        <x:v>1005</x:v>
      </x:c>
    </x:row>
    <x:row r="404" ht="32" customHeight="1">
      <x:c r="A404" s="8">
        <x:v>13</x:v>
      </x:c>
      <x:c r="B404" s="8" t="s">
        <x:v>578</x:v>
      </x:c>
      <x:c r="C404" s="8" t="s">
        <x:v>579</x:v>
      </x:c>
      <x:c r="D404" s="8" t="s">
        <x:v>25</x:v>
      </x:c>
      <x:c r="E404" s="8" t="s">
        <x:v>479</x:v>
      </x:c>
      <x:c r="F404" s="8" t="s">
        <x:v>480</x:v>
      </x:c>
      <x:c r="G404" s="25">
        <x:v>46272</x:v>
      </x:c>
      <x:c r="H404" s="25">
        <x:v>46279</x:v>
      </x:c>
      <x:c r="I404" s="8" t="s">
        <x:v>3</x:v>
      </x:c>
      <x:c r="J404" s="8" t="s">
        <x:v>3</x:v>
      </x:c>
      <x:c r="K404" s="25"/>
      <x:c r="L404" s="8" t="s">
        <x:v>367</x:v>
      </x:c>
      <x:c r="M404" s="8"/>
      <x:c r="N404" s="10"/>
      <x:c r="O404" s="8" t="s">
        <x:v>1006</x:v>
      </x:c>
    </x:row>
    <x:row r="405" ht="32" customHeight="1">
      <x:c r="A405" s="8">
        <x:v>13</x:v>
      </x:c>
      <x:c r="B405" s="8" t="s">
        <x:v>581</x:v>
      </x:c>
      <x:c r="C405" s="8" t="s">
        <x:v>582</x:v>
      </x:c>
      <x:c r="D405" s="8" t="s">
        <x:v>25</x:v>
      </x:c>
      <x:c r="E405" s="8" t="s">
        <x:v>479</x:v>
      </x:c>
      <x:c r="F405" s="8" t="s">
        <x:v>480</x:v>
      </x:c>
      <x:c r="G405" s="25">
        <x:v>46272</x:v>
      </x:c>
      <x:c r="H405" s="25">
        <x:v>46279</x:v>
      </x:c>
      <x:c r="I405" s="8" t="s">
        <x:v>3</x:v>
      </x:c>
      <x:c r="J405" s="8" t="s">
        <x:v>3</x:v>
      </x:c>
      <x:c r="K405" s="25"/>
      <x:c r="L405" s="8" t="s">
        <x:v>367</x:v>
      </x:c>
      <x:c r="M405" s="8"/>
      <x:c r="N405" s="10"/>
      <x:c r="O405" s="8" t="s">
        <x:v>1007</x:v>
      </x:c>
    </x:row>
    <x:row r="406" ht="32" customHeight="1">
      <x:c r="A406" s="8">
        <x:v>13</x:v>
      </x:c>
      <x:c r="B406" s="8" t="s">
        <x:v>584</x:v>
      </x:c>
      <x:c r="C406" s="8" t="s">
        <x:v>585</x:v>
      </x:c>
      <x:c r="D406" s="8" t="s">
        <x:v>25</x:v>
      </x:c>
      <x:c r="E406" s="8" t="s">
        <x:v>479</x:v>
      </x:c>
      <x:c r="F406" s="8" t="s">
        <x:v>480</x:v>
      </x:c>
      <x:c r="G406" s="25">
        <x:v>46272</x:v>
      </x:c>
      <x:c r="H406" s="25">
        <x:v>46279</x:v>
      </x:c>
      <x:c r="I406" s="8" t="s">
        <x:v>3</x:v>
      </x:c>
      <x:c r="J406" s="8" t="s">
        <x:v>3</x:v>
      </x:c>
      <x:c r="K406" s="25"/>
      <x:c r="L406" s="8" t="s">
        <x:v>367</x:v>
      </x:c>
      <x:c r="M406" s="8"/>
      <x:c r="N406" s="10"/>
      <x:c r="O406" s="8" t="s">
        <x:v>1008</x:v>
      </x:c>
    </x:row>
    <x:row r="407" ht="32" customHeight="1">
      <x:c r="A407" s="8">
        <x:v>13</x:v>
      </x:c>
      <x:c r="B407" s="8" t="s">
        <x:v>587</x:v>
      </x:c>
      <x:c r="C407" s="8" t="s">
        <x:v>588</x:v>
      </x:c>
      <x:c r="D407" s="8" t="s">
        <x:v>25</x:v>
      </x:c>
      <x:c r="E407" s="8" t="s">
        <x:v>479</x:v>
      </x:c>
      <x:c r="F407" s="8" t="s">
        <x:v>480</x:v>
      </x:c>
      <x:c r="G407" s="25">
        <x:v>46272</x:v>
      </x:c>
      <x:c r="H407" s="25">
        <x:v>46279</x:v>
      </x:c>
      <x:c r="I407" s="8" t="s">
        <x:v>3</x:v>
      </x:c>
      <x:c r="J407" s="8" t="s">
        <x:v>3</x:v>
      </x:c>
      <x:c r="K407" s="25"/>
      <x:c r="L407" s="8" t="s">
        <x:v>367</x:v>
      </x:c>
      <x:c r="M407" s="8"/>
      <x:c r="N407" s="10"/>
      <x:c r="O407" s="8" t="s">
        <x:v>1009</x:v>
      </x:c>
    </x:row>
    <x:row r="408" ht="32" customHeight="1">
      <x:c r="A408" s="8">
        <x:v>13</x:v>
      </x:c>
      <x:c r="B408" s="8" t="s">
        <x:v>590</x:v>
      </x:c>
      <x:c r="C408" s="8" t="s">
        <x:v>591</x:v>
      </x:c>
      <x:c r="D408" s="8" t="s">
        <x:v>25</x:v>
      </x:c>
      <x:c r="E408" s="8" t="s">
        <x:v>479</x:v>
      </x:c>
      <x:c r="F408" s="8" t="s">
        <x:v>480</x:v>
      </x:c>
      <x:c r="G408" s="25">
        <x:v>46272</x:v>
      </x:c>
      <x:c r="H408" s="25">
        <x:v>46279</x:v>
      </x:c>
      <x:c r="I408" s="8" t="s">
        <x:v>3</x:v>
      </x:c>
      <x:c r="J408" s="8" t="s">
        <x:v>3</x:v>
      </x:c>
      <x:c r="K408" s="25"/>
      <x:c r="L408" s="8" t="s">
        <x:v>367</x:v>
      </x:c>
      <x:c r="M408" s="8"/>
      <x:c r="N408" s="10"/>
      <x:c r="O408" s="8" t="s">
        <x:v>1010</x:v>
      </x:c>
    </x:row>
    <x:row r="409" ht="32" customHeight="1">
      <x:c r="A409" s="8">
        <x:v>13</x:v>
      </x:c>
      <x:c r="B409" s="8" t="s">
        <x:v>612</x:v>
      </x:c>
      <x:c r="C409" s="8" t="s">
        <x:v>613</x:v>
      </x:c>
      <x:c r="D409" s="8" t="s">
        <x:v>25</x:v>
      </x:c>
      <x:c r="E409" s="8" t="s">
        <x:v>479</x:v>
      </x:c>
      <x:c r="F409" s="8" t="s">
        <x:v>480</x:v>
      </x:c>
      <x:c r="G409" s="25">
        <x:v>46272</x:v>
      </x:c>
      <x:c r="H409" s="25">
        <x:v>46279</x:v>
      </x:c>
      <x:c r="I409" s="8" t="s">
        <x:v>3</x:v>
      </x:c>
      <x:c r="J409" s="8" t="s">
        <x:v>3</x:v>
      </x:c>
      <x:c r="K409" s="25"/>
      <x:c r="L409" s="8" t="s">
        <x:v>367</x:v>
      </x:c>
      <x:c r="M409" s="8"/>
      <x:c r="N409" s="10"/>
      <x:c r="O409" s="8" t="s">
        <x:v>1011</x:v>
      </x:c>
    </x:row>
    <x:row r="410" ht="32" customHeight="1">
      <x:c r="A410" s="8">
        <x:v>13</x:v>
      </x:c>
      <x:c r="B410" s="8" t="s">
        <x:v>615</x:v>
      </x:c>
      <x:c r="C410" s="8" t="s">
        <x:v>616</x:v>
      </x:c>
      <x:c r="D410" s="8" t="s">
        <x:v>25</x:v>
      </x:c>
      <x:c r="E410" s="8" t="s">
        <x:v>479</x:v>
      </x:c>
      <x:c r="F410" s="8" t="s">
        <x:v>480</x:v>
      </x:c>
      <x:c r="G410" s="25">
        <x:v>46272</x:v>
      </x:c>
      <x:c r="H410" s="25">
        <x:v>46279</x:v>
      </x:c>
      <x:c r="I410" s="8" t="s">
        <x:v>3</x:v>
      </x:c>
      <x:c r="J410" s="8" t="s">
        <x:v>3</x:v>
      </x:c>
      <x:c r="K410" s="25"/>
      <x:c r="L410" s="8" t="s">
        <x:v>367</x:v>
      </x:c>
      <x:c r="M410" s="8"/>
      <x:c r="N410" s="10"/>
      <x:c r="O410" s="8" t="s">
        <x:v>1012</x:v>
      </x:c>
    </x:row>
    <x:row r="411" ht="32" customHeight="1">
      <x:c r="A411" s="8">
        <x:v>13</x:v>
      </x:c>
      <x:c r="B411" s="8" t="s">
        <x:v>618</x:v>
      </x:c>
      <x:c r="C411" s="8" t="s">
        <x:v>619</x:v>
      </x:c>
      <x:c r="D411" s="8" t="s">
        <x:v>25</x:v>
      </x:c>
      <x:c r="E411" s="8" t="s">
        <x:v>479</x:v>
      </x:c>
      <x:c r="F411" s="8" t="s">
        <x:v>480</x:v>
      </x:c>
      <x:c r="G411" s="25">
        <x:v>46272</x:v>
      </x:c>
      <x:c r="H411" s="25">
        <x:v>46279</x:v>
      </x:c>
      <x:c r="I411" s="8" t="s">
        <x:v>3</x:v>
      </x:c>
      <x:c r="J411" s="8" t="s">
        <x:v>3</x:v>
      </x:c>
      <x:c r="K411" s="25">
        <x:v>46261</x:v>
      </x:c>
      <x:c r="L411" s="8" t="s">
        <x:v>367</x:v>
      </x:c>
      <x:c r="M411" s="8"/>
      <x:c r="N411" s="10"/>
      <x:c r="O411" s="8" t="s">
        <x:v>1013</x:v>
      </x:c>
    </x:row>
    <x:row r="412" ht="32" customHeight="1">
      <x:c r="A412" s="8">
        <x:v>14</x:v>
      </x:c>
      <x:c r="B412" s="8" t="s">
        <x:v>758</x:v>
      </x:c>
      <x:c r="C412" s="8" t="s">
        <x:v>759</x:v>
      </x:c>
      <x:c r="D412" s="8" t="s">
        <x:v>25</x:v>
      </x:c>
      <x:c r="E412" s="8" t="s">
        <x:v>467</x:v>
      </x:c>
      <x:c r="F412" s="8" t="s">
        <x:v>939</x:v>
      </x:c>
      <x:c r="G412" s="25">
        <x:v>46286</x:v>
      </x:c>
      <x:c r="H412" s="25">
        <x:v>46289</x:v>
      </x:c>
      <x:c r="I412" s="8" t="s">
        <x:v>4</x:v>
      </x:c>
      <x:c r="J412" s="8" t="s">
        <x:v>4</x:v>
      </x:c>
      <x:c r="K412" s="25"/>
      <x:c r="L412" s="8" t="s">
        <x:v>367</x:v>
      </x:c>
      <x:c r="M412" s="8"/>
      <x:c r="N412" s="10"/>
      <x:c r="O412" s="8" t="s">
        <x:v>1014</x:v>
      </x:c>
    </x:row>
    <x:row r="413" ht="32" customHeight="1">
      <x:c r="A413" s="8">
        <x:v>14</x:v>
      </x:c>
      <x:c r="B413" s="8" t="s">
        <x:v>761</x:v>
      </x:c>
      <x:c r="C413" s="8" t="s">
        <x:v>762</x:v>
      </x:c>
      <x:c r="D413" s="8" t="s">
        <x:v>25</x:v>
      </x:c>
      <x:c r="E413" s="8" t="s">
        <x:v>467</x:v>
      </x:c>
      <x:c r="F413" s="8" t="s">
        <x:v>939</x:v>
      </x:c>
      <x:c r="G413" s="25">
        <x:v>46286</x:v>
      </x:c>
      <x:c r="H413" s="25">
        <x:v>46289</x:v>
      </x:c>
      <x:c r="I413" s="8" t="s">
        <x:v>4</x:v>
      </x:c>
      <x:c r="J413" s="8" t="s">
        <x:v>4</x:v>
      </x:c>
      <x:c r="K413" s="25"/>
      <x:c r="L413" s="8" t="s">
        <x:v>367</x:v>
      </x:c>
      <x:c r="M413" s="8"/>
      <x:c r="N413" s="10"/>
      <x:c r="O413" s="8" t="s">
        <x:v>1015</x:v>
      </x:c>
    </x:row>
    <x:row r="414" ht="32" customHeight="1">
      <x:c r="A414" s="8">
        <x:v>14</x:v>
      </x:c>
      <x:c r="B414" s="8" t="s">
        <x:v>764</x:v>
      </x:c>
      <x:c r="C414" s="8" t="s">
        <x:v>765</x:v>
      </x:c>
      <x:c r="D414" s="8" t="s">
        <x:v>25</x:v>
      </x:c>
      <x:c r="E414" s="8" t="s">
        <x:v>467</x:v>
      </x:c>
      <x:c r="F414" s="8" t="s">
        <x:v>939</x:v>
      </x:c>
      <x:c r="G414" s="25">
        <x:v>46286</x:v>
      </x:c>
      <x:c r="H414" s="25">
        <x:v>46289</x:v>
      </x:c>
      <x:c r="I414" s="8" t="s">
        <x:v>4</x:v>
      </x:c>
      <x:c r="J414" s="8" t="s">
        <x:v>4</x:v>
      </x:c>
      <x:c r="K414" s="25"/>
      <x:c r="L414" s="8" t="s">
        <x:v>367</x:v>
      </x:c>
      <x:c r="M414" s="8"/>
      <x:c r="N414" s="10"/>
      <x:c r="O414" s="8" t="s">
        <x:v>1016</x:v>
      </x:c>
    </x:row>
    <x:row r="415" ht="32" customHeight="1">
      <x:c r="A415" s="8">
        <x:v>14</x:v>
      </x:c>
      <x:c r="B415" s="8" t="s">
        <x:v>758</x:v>
      </x:c>
      <x:c r="C415" s="8" t="s">
        <x:v>759</x:v>
      </x:c>
      <x:c r="D415" s="8" t="s">
        <x:v>25</x:v>
      </x:c>
      <x:c r="E415" s="8" t="s">
        <x:v>479</x:v>
      </x:c>
      <x:c r="F415" s="8" t="s">
        <x:v>939</x:v>
      </x:c>
      <x:c r="G415" s="25">
        <x:v>46286</x:v>
      </x:c>
      <x:c r="H415" s="25">
        <x:v>46289</x:v>
      </x:c>
      <x:c r="I415" s="8" t="s">
        <x:v>4</x:v>
      </x:c>
      <x:c r="J415" s="8" t="s">
        <x:v>4</x:v>
      </x:c>
      <x:c r="K415" s="25"/>
      <x:c r="L415" s="8" t="s">
        <x:v>367</x:v>
      </x:c>
      <x:c r="M415" s="8"/>
      <x:c r="N415" s="10"/>
      <x:c r="O415" s="8" t="s">
        <x:v>1017</x:v>
      </x:c>
    </x:row>
    <x:row r="416" ht="32" customHeight="1">
      <x:c r="A416" s="8">
        <x:v>14</x:v>
      </x:c>
      <x:c r="B416" s="8" t="s">
        <x:v>761</x:v>
      </x:c>
      <x:c r="C416" s="8" t="s">
        <x:v>762</x:v>
      </x:c>
      <x:c r="D416" s="8" t="s">
        <x:v>25</x:v>
      </x:c>
      <x:c r="E416" s="8" t="s">
        <x:v>479</x:v>
      </x:c>
      <x:c r="F416" s="8" t="s">
        <x:v>939</x:v>
      </x:c>
      <x:c r="G416" s="25">
        <x:v>46286</x:v>
      </x:c>
      <x:c r="H416" s="25">
        <x:v>46289</x:v>
      </x:c>
      <x:c r="I416" s="8" t="s">
        <x:v>4</x:v>
      </x:c>
      <x:c r="J416" s="8" t="s">
        <x:v>4</x:v>
      </x:c>
      <x:c r="K416" s="25"/>
      <x:c r="L416" s="8" t="s">
        <x:v>367</x:v>
      </x:c>
      <x:c r="M416" s="8"/>
      <x:c r="N416" s="10"/>
      <x:c r="O416" s="8" t="s">
        <x:v>1018</x:v>
      </x:c>
    </x:row>
    <x:row r="417" ht="32" customHeight="1">
      <x:c r="A417" s="8">
        <x:v>14</x:v>
      </x:c>
      <x:c r="B417" s="8" t="s">
        <x:v>764</x:v>
      </x:c>
      <x:c r="C417" s="8" t="s">
        <x:v>765</x:v>
      </x:c>
      <x:c r="D417" s="8" t="s">
        <x:v>25</x:v>
      </x:c>
      <x:c r="E417" s="8" t="s">
        <x:v>479</x:v>
      </x:c>
      <x:c r="F417" s="8" t="s">
        <x:v>939</x:v>
      </x:c>
      <x:c r="G417" s="25">
        <x:v>46286</x:v>
      </x:c>
      <x:c r="H417" s="25">
        <x:v>46289</x:v>
      </x:c>
      <x:c r="I417" s="8" t="s">
        <x:v>4</x:v>
      </x:c>
      <x:c r="J417" s="8" t="s">
        <x:v>4</x:v>
      </x:c>
      <x:c r="K417" s="25"/>
      <x:c r="L417" s="8" t="s">
        <x:v>367</x:v>
      </x:c>
      <x:c r="M417" s="8"/>
      <x:c r="N417" s="10"/>
      <x:c r="O417" s="8" t="s">
        <x:v>1019</x:v>
      </x:c>
    </x:row>
    <x:row r="418" ht="32" customHeight="1">
      <x:c r="A418" s="8">
        <x:v>16</x:v>
      </x:c>
      <x:c r="B418" s="8" t="s">
        <x:v>593</x:v>
      </x:c>
      <x:c r="C418" s="8" t="s">
        <x:v>594</x:v>
      </x:c>
      <x:c r="D418" s="8" t="s">
        <x:v>25</x:v>
      </x:c>
      <x:c r="E418" s="8" t="s">
        <x:v>467</x:v>
      </x:c>
      <x:c r="F418" s="8" t="s">
        <x:v>468</x:v>
      </x:c>
      <x:c r="G418" s="25">
        <x:v>46272</x:v>
      </x:c>
      <x:c r="H418" s="25">
        <x:v>46304</x:v>
      </x:c>
      <x:c r="I418" s="8" t="s">
        <x:v>4</x:v>
      </x:c>
      <x:c r="J418" s="8" t="s">
        <x:v>4</x:v>
      </x:c>
      <x:c r="K418" s="25"/>
      <x:c r="L418" s="8" t="s">
        <x:v>367</x:v>
      </x:c>
      <x:c r="M418" s="8"/>
      <x:c r="N418" s="10"/>
      <x:c r="O418" s="8" t="s">
        <x:v>1020</x:v>
      </x:c>
    </x:row>
    <x:row r="419" ht="32" customHeight="1">
      <x:c r="A419" s="8">
        <x:v>16</x:v>
      </x:c>
      <x:c r="B419" s="8" t="s">
        <x:v>597</x:v>
      </x:c>
      <x:c r="C419" s="8" t="s">
        <x:v>598</x:v>
      </x:c>
      <x:c r="D419" s="8" t="s">
        <x:v>25</x:v>
      </x:c>
      <x:c r="E419" s="8" t="s">
        <x:v>467</x:v>
      </x:c>
      <x:c r="F419" s="8" t="s">
        <x:v>468</x:v>
      </x:c>
      <x:c r="G419" s="25">
        <x:v>46272</x:v>
      </x:c>
      <x:c r="H419" s="25">
        <x:v>46304</x:v>
      </x:c>
      <x:c r="I419" s="8" t="s">
        <x:v>4</x:v>
      </x:c>
      <x:c r="J419" s="8" t="s">
        <x:v>4</x:v>
      </x:c>
      <x:c r="K419" s="25">
        <x:v>46224</x:v>
      </x:c>
      <x:c r="L419" s="8" t="s">
        <x:v>367</x:v>
      </x:c>
      <x:c r="M419" s="8"/>
      <x:c r="N419" s="10"/>
      <x:c r="O419" s="8" t="s">
        <x:v>1021</x:v>
      </x:c>
    </x:row>
    <x:row r="420" ht="32" customHeight="1">
      <x:c r="A420" s="8">
        <x:v>16</x:v>
      </x:c>
      <x:c r="B420" s="8" t="s">
        <x:v>600</x:v>
      </x:c>
      <x:c r="C420" s="8" t="s">
        <x:v>601</x:v>
      </x:c>
      <x:c r="D420" s="8" t="s">
        <x:v>25</x:v>
      </x:c>
      <x:c r="E420" s="8" t="s">
        <x:v>467</x:v>
      </x:c>
      <x:c r="F420" s="8" t="s">
        <x:v>468</x:v>
      </x:c>
      <x:c r="G420" s="25">
        <x:v>46272</x:v>
      </x:c>
      <x:c r="H420" s="25">
        <x:v>46304</x:v>
      </x:c>
      <x:c r="I420" s="8" t="s">
        <x:v>4</x:v>
      </x:c>
      <x:c r="J420" s="8" t="s">
        <x:v>4</x:v>
      </x:c>
      <x:c r="K420" s="25">
        <x:v>46224</x:v>
      </x:c>
      <x:c r="L420" s="8" t="s">
        <x:v>367</x:v>
      </x:c>
      <x:c r="M420" s="8"/>
      <x:c r="N420" s="10"/>
      <x:c r="O420" s="8" t="s">
        <x:v>1022</x:v>
      </x:c>
    </x:row>
    <x:row r="421" ht="32" customHeight="1">
      <x:c r="A421" s="8">
        <x:v>16</x:v>
      </x:c>
      <x:c r="B421" s="8" t="s">
        <x:v>603</x:v>
      </x:c>
      <x:c r="C421" s="8" t="s">
        <x:v>604</x:v>
      </x:c>
      <x:c r="D421" s="8" t="s">
        <x:v>25</x:v>
      </x:c>
      <x:c r="E421" s="8" t="s">
        <x:v>467</x:v>
      </x:c>
      <x:c r="F421" s="8" t="s">
        <x:v>468</x:v>
      </x:c>
      <x:c r="G421" s="25">
        <x:v>46272</x:v>
      </x:c>
      <x:c r="H421" s="25">
        <x:v>46304</x:v>
      </x:c>
      <x:c r="I421" s="8" t="s">
        <x:v>4</x:v>
      </x:c>
      <x:c r="J421" s="8" t="s">
        <x:v>4</x:v>
      </x:c>
      <x:c r="K421" s="25">
        <x:v>46224</x:v>
      </x:c>
      <x:c r="L421" s="8" t="s">
        <x:v>367</x:v>
      </x:c>
      <x:c r="M421" s="8"/>
      <x:c r="N421" s="10"/>
      <x:c r="O421" s="8" t="s">
        <x:v>1023</x:v>
      </x:c>
    </x:row>
    <x:row r="422" ht="32" customHeight="1">
      <x:c r="A422" s="8">
        <x:v>16</x:v>
      </x:c>
      <x:c r="B422" s="8" t="s">
        <x:v>606</x:v>
      </x:c>
      <x:c r="C422" s="8" t="s">
        <x:v>607</x:v>
      </x:c>
      <x:c r="D422" s="8" t="s">
        <x:v>25</x:v>
      </x:c>
      <x:c r="E422" s="8" t="s">
        <x:v>467</x:v>
      </x:c>
      <x:c r="F422" s="8" t="s">
        <x:v>468</x:v>
      </x:c>
      <x:c r="G422" s="25">
        <x:v>46272</x:v>
      </x:c>
      <x:c r="H422" s="25">
        <x:v>46304</x:v>
      </x:c>
      <x:c r="I422" s="8" t="s">
        <x:v>4</x:v>
      </x:c>
      <x:c r="J422" s="8" t="s">
        <x:v>4</x:v>
      </x:c>
      <x:c r="K422" s="25"/>
      <x:c r="L422" s="8" t="s">
        <x:v>367</x:v>
      </x:c>
      <x:c r="M422" s="8"/>
      <x:c r="N422" s="10"/>
      <x:c r="O422" s="8" t="s">
        <x:v>1024</x:v>
      </x:c>
    </x:row>
    <x:row r="423" ht="32" customHeight="1">
      <x:c r="A423" s="8">
        <x:v>16</x:v>
      </x:c>
      <x:c r="B423" s="8" t="s">
        <x:v>609</x:v>
      </x:c>
      <x:c r="C423" s="8" t="s">
        <x:v>610</x:v>
      </x:c>
      <x:c r="D423" s="8" t="s">
        <x:v>25</x:v>
      </x:c>
      <x:c r="E423" s="8" t="s">
        <x:v>467</x:v>
      </x:c>
      <x:c r="F423" s="8" t="s">
        <x:v>468</x:v>
      </x:c>
      <x:c r="G423" s="25">
        <x:v>46272</x:v>
      </x:c>
      <x:c r="H423" s="25">
        <x:v>46304</x:v>
      </x:c>
      <x:c r="I423" s="8" t="s">
        <x:v>4</x:v>
      </x:c>
      <x:c r="J423" s="8" t="s">
        <x:v>4</x:v>
      </x:c>
      <x:c r="K423" s="25">
        <x:v>46224</x:v>
      </x:c>
      <x:c r="L423" s="8" t="s">
        <x:v>367</x:v>
      </x:c>
      <x:c r="M423" s="8"/>
      <x:c r="N423" s="10"/>
      <x:c r="O423" s="8" t="s">
        <x:v>1025</x:v>
      </x:c>
    </x:row>
    <x:row r="424" ht="32" customHeight="1">
      <x:c r="A424" s="8">
        <x:v>16</x:v>
      </x:c>
      <x:c r="B424" s="8" t="s">
        <x:v>621</x:v>
      </x:c>
      <x:c r="C424" s="8" t="s">
        <x:v>622</x:v>
      </x:c>
      <x:c r="D424" s="8" t="s">
        <x:v>25</x:v>
      </x:c>
      <x:c r="E424" s="8" t="s">
        <x:v>467</x:v>
      </x:c>
      <x:c r="F424" s="8" t="s">
        <x:v>468</x:v>
      </x:c>
      <x:c r="G424" s="25">
        <x:v>46272</x:v>
      </x:c>
      <x:c r="H424" s="25">
        <x:v>46304</x:v>
      </x:c>
      <x:c r="I424" s="8" t="s">
        <x:v>4</x:v>
      </x:c>
      <x:c r="J424" s="8" t="s">
        <x:v>4</x:v>
      </x:c>
      <x:c r="K424" s="25"/>
      <x:c r="L424" s="8" t="s">
        <x:v>367</x:v>
      </x:c>
      <x:c r="M424" s="8"/>
      <x:c r="N424" s="10"/>
      <x:c r="O424" s="8" t="s">
        <x:v>1026</x:v>
      </x:c>
    </x:row>
    <x:row r="425" ht="32" customHeight="1">
      <x:c r="A425" s="8">
        <x:v>16</x:v>
      </x:c>
      <x:c r="B425" s="8" t="s">
        <x:v>593</x:v>
      </x:c>
      <x:c r="C425" s="8" t="s">
        <x:v>594</x:v>
      </x:c>
      <x:c r="D425" s="8" t="s">
        <x:v>25</x:v>
      </x:c>
      <x:c r="E425" s="8" t="s">
        <x:v>479</x:v>
      </x:c>
      <x:c r="F425" s="8" t="s">
        <x:v>480</x:v>
      </x:c>
      <x:c r="G425" s="25">
        <x:v>46272</x:v>
      </x:c>
      <x:c r="H425" s="25">
        <x:v>46304</x:v>
      </x:c>
      <x:c r="I425" s="8" t="s">
        <x:v>4</x:v>
      </x:c>
      <x:c r="J425" s="8" t="s">
        <x:v>4</x:v>
      </x:c>
      <x:c r="K425" s="25"/>
      <x:c r="L425" s="8" t="s">
        <x:v>367</x:v>
      </x:c>
      <x:c r="M425" s="8"/>
      <x:c r="N425" s="10"/>
      <x:c r="O425" s="8" t="s">
        <x:v>1027</x:v>
      </x:c>
    </x:row>
    <x:row r="426" ht="32" customHeight="1">
      <x:c r="A426" s="8">
        <x:v>16</x:v>
      </x:c>
      <x:c r="B426" s="8" t="s">
        <x:v>597</x:v>
      </x:c>
      <x:c r="C426" s="8" t="s">
        <x:v>598</x:v>
      </x:c>
      <x:c r="D426" s="8" t="s">
        <x:v>25</x:v>
      </x:c>
      <x:c r="E426" s="8" t="s">
        <x:v>479</x:v>
      </x:c>
      <x:c r="F426" s="8" t="s">
        <x:v>480</x:v>
      </x:c>
      <x:c r="G426" s="25">
        <x:v>46272</x:v>
      </x:c>
      <x:c r="H426" s="25">
        <x:v>46304</x:v>
      </x:c>
      <x:c r="I426" s="8" t="s">
        <x:v>4</x:v>
      </x:c>
      <x:c r="J426" s="8" t="s">
        <x:v>4</x:v>
      </x:c>
      <x:c r="K426" s="25">
        <x:v>46224</x:v>
      </x:c>
      <x:c r="L426" s="8" t="s">
        <x:v>367</x:v>
      </x:c>
      <x:c r="M426" s="8"/>
      <x:c r="N426" s="10"/>
      <x:c r="O426" s="8" t="s">
        <x:v>1028</x:v>
      </x:c>
    </x:row>
    <x:row r="427" ht="32" customHeight="1">
      <x:c r="A427" s="8">
        <x:v>16</x:v>
      </x:c>
      <x:c r="B427" s="8" t="s">
        <x:v>600</x:v>
      </x:c>
      <x:c r="C427" s="8" t="s">
        <x:v>601</x:v>
      </x:c>
      <x:c r="D427" s="8" t="s">
        <x:v>25</x:v>
      </x:c>
      <x:c r="E427" s="8" t="s">
        <x:v>479</x:v>
      </x:c>
      <x:c r="F427" s="8" t="s">
        <x:v>480</x:v>
      </x:c>
      <x:c r="G427" s="25">
        <x:v>46272</x:v>
      </x:c>
      <x:c r="H427" s="25">
        <x:v>46304</x:v>
      </x:c>
      <x:c r="I427" s="8" t="s">
        <x:v>4</x:v>
      </x:c>
      <x:c r="J427" s="8" t="s">
        <x:v>4</x:v>
      </x:c>
      <x:c r="K427" s="25">
        <x:v>46224</x:v>
      </x:c>
      <x:c r="L427" s="8" t="s">
        <x:v>367</x:v>
      </x:c>
      <x:c r="M427" s="8"/>
      <x:c r="N427" s="10"/>
      <x:c r="O427" s="8" t="s">
        <x:v>1029</x:v>
      </x:c>
    </x:row>
    <x:row r="428" ht="32" customHeight="1">
      <x:c r="A428" s="8">
        <x:v>16</x:v>
      </x:c>
      <x:c r="B428" s="8" t="s">
        <x:v>603</x:v>
      </x:c>
      <x:c r="C428" s="8" t="s">
        <x:v>604</x:v>
      </x:c>
      <x:c r="D428" s="8" t="s">
        <x:v>25</x:v>
      </x:c>
      <x:c r="E428" s="8" t="s">
        <x:v>479</x:v>
      </x:c>
      <x:c r="F428" s="8" t="s">
        <x:v>480</x:v>
      </x:c>
      <x:c r="G428" s="25">
        <x:v>46272</x:v>
      </x:c>
      <x:c r="H428" s="25">
        <x:v>46304</x:v>
      </x:c>
      <x:c r="I428" s="8" t="s">
        <x:v>4</x:v>
      </x:c>
      <x:c r="J428" s="8" t="s">
        <x:v>4</x:v>
      </x:c>
      <x:c r="K428" s="25">
        <x:v>46224</x:v>
      </x:c>
      <x:c r="L428" s="8" t="s">
        <x:v>367</x:v>
      </x:c>
      <x:c r="M428" s="8"/>
      <x:c r="N428" s="10"/>
      <x:c r="O428" s="8" t="s">
        <x:v>1030</x:v>
      </x:c>
    </x:row>
    <x:row r="429" ht="32" customHeight="1">
      <x:c r="A429" s="8">
        <x:v>16</x:v>
      </x:c>
      <x:c r="B429" s="8" t="s">
        <x:v>606</x:v>
      </x:c>
      <x:c r="C429" s="8" t="s">
        <x:v>607</x:v>
      </x:c>
      <x:c r="D429" s="8" t="s">
        <x:v>25</x:v>
      </x:c>
      <x:c r="E429" s="8" t="s">
        <x:v>479</x:v>
      </x:c>
      <x:c r="F429" s="8" t="s">
        <x:v>480</x:v>
      </x:c>
      <x:c r="G429" s="25">
        <x:v>46272</x:v>
      </x:c>
      <x:c r="H429" s="25">
        <x:v>46304</x:v>
      </x:c>
      <x:c r="I429" s="8" t="s">
        <x:v>4</x:v>
      </x:c>
      <x:c r="J429" s="8" t="s">
        <x:v>4</x:v>
      </x:c>
      <x:c r="K429" s="25"/>
      <x:c r="L429" s="8" t="s">
        <x:v>367</x:v>
      </x:c>
      <x:c r="M429" s="8"/>
      <x:c r="N429" s="10"/>
      <x:c r="O429" s="8" t="s">
        <x:v>1031</x:v>
      </x:c>
    </x:row>
    <x:row r="430" ht="32" customHeight="1">
      <x:c r="A430" s="8">
        <x:v>16</x:v>
      </x:c>
      <x:c r="B430" s="8" t="s">
        <x:v>609</x:v>
      </x:c>
      <x:c r="C430" s="8" t="s">
        <x:v>610</x:v>
      </x:c>
      <x:c r="D430" s="8" t="s">
        <x:v>25</x:v>
      </x:c>
      <x:c r="E430" s="8" t="s">
        <x:v>479</x:v>
      </x:c>
      <x:c r="F430" s="8" t="s">
        <x:v>480</x:v>
      </x:c>
      <x:c r="G430" s="25">
        <x:v>46272</x:v>
      </x:c>
      <x:c r="H430" s="25">
        <x:v>46304</x:v>
      </x:c>
      <x:c r="I430" s="8" t="s">
        <x:v>4</x:v>
      </x:c>
      <x:c r="J430" s="8" t="s">
        <x:v>4</x:v>
      </x:c>
      <x:c r="K430" s="25">
        <x:v>46224</x:v>
      </x:c>
      <x:c r="L430" s="8" t="s">
        <x:v>367</x:v>
      </x:c>
      <x:c r="M430" s="8"/>
      <x:c r="N430" s="10"/>
      <x:c r="O430" s="8" t="s">
        <x:v>1032</x:v>
      </x:c>
    </x:row>
    <x:row r="431" ht="32" customHeight="1">
      <x:c r="A431" s="8">
        <x:v>16</x:v>
      </x:c>
      <x:c r="B431" s="8" t="s">
        <x:v>621</x:v>
      </x:c>
      <x:c r="C431" s="8" t="s">
        <x:v>622</x:v>
      </x:c>
      <x:c r="D431" s="8" t="s">
        <x:v>25</x:v>
      </x:c>
      <x:c r="E431" s="8" t="s">
        <x:v>479</x:v>
      </x:c>
      <x:c r="F431" s="8" t="s">
        <x:v>480</x:v>
      </x:c>
      <x:c r="G431" s="25">
        <x:v>46272</x:v>
      </x:c>
      <x:c r="H431" s="25">
        <x:v>46304</x:v>
      </x:c>
      <x:c r="I431" s="8" t="s">
        <x:v>4</x:v>
      </x:c>
      <x:c r="J431" s="8" t="s">
        <x:v>4</x:v>
      </x:c>
      <x:c r="K431" s="25"/>
      <x:c r="L431" s="8" t="s">
        <x:v>367</x:v>
      </x:c>
      <x:c r="M431" s="8"/>
      <x:c r="N431" s="10"/>
      <x:c r="O431" s="8" t="s">
        <x:v>1033</x:v>
      </x:c>
    </x:row>
    <x:row r="432" ht="32" customHeight="1">
      <x:c r="A432" s="8">
        <x:v>17</x:v>
      </x:c>
      <x:c r="B432" s="8" t="s">
        <x:v>801</x:v>
      </x:c>
      <x:c r="C432" s="8" t="s">
        <x:v>791</x:v>
      </x:c>
      <x:c r="D432" s="8" t="s">
        <x:v>25</x:v>
      </x:c>
      <x:c r="E432" s="8" t="s">
        <x:v>467</x:v>
      </x:c>
      <x:c r="F432" s="8" t="s">
        <x:v>939</x:v>
      </x:c>
      <x:c r="G432" s="25">
        <x:v>46293</x:v>
      </x:c>
      <x:c r="H432" s="25">
        <x:v>46311</x:v>
      </x:c>
      <x:c r="I432" s="8" t="s">
        <x:v>4</x:v>
      </x:c>
      <x:c r="J432" s="8" t="s">
        <x:v>4</x:v>
      </x:c>
      <x:c r="K432" s="25">
        <x:v>46224</x:v>
      </x:c>
      <x:c r="L432" s="8" t="s">
        <x:v>367</x:v>
      </x:c>
      <x:c r="M432" s="8"/>
      <x:c r="N432" s="10"/>
      <x:c r="O432" s="8" t="s">
        <x:v>1034</x:v>
      </x:c>
    </x:row>
    <x:row r="433" ht="32" customHeight="1">
      <x:c r="A433" s="8">
        <x:v>17</x:v>
      </x:c>
      <x:c r="B433" s="8" t="s">
        <x:v>803</x:v>
      </x:c>
      <x:c r="C433" s="8" t="s">
        <x:v>794</x:v>
      </x:c>
      <x:c r="D433" s="8" t="s">
        <x:v>25</x:v>
      </x:c>
      <x:c r="E433" s="8" t="s">
        <x:v>467</x:v>
      </x:c>
      <x:c r="F433" s="8" t="s">
        <x:v>468</x:v>
      </x:c>
      <x:c r="G433" s="25">
        <x:v>46293</x:v>
      </x:c>
      <x:c r="H433" s="25">
        <x:v>46311</x:v>
      </x:c>
      <x:c r="I433" s="8" t="s">
        <x:v>4</x:v>
      </x:c>
      <x:c r="J433" s="8" t="s">
        <x:v>4</x:v>
      </x:c>
      <x:c r="K433" s="25">
        <x:v>46224</x:v>
      </x:c>
      <x:c r="L433" s="8" t="s">
        <x:v>367</x:v>
      </x:c>
      <x:c r="M433" s="8"/>
      <x:c r="N433" s="10"/>
      <x:c r="O433" s="8" t="s">
        <x:v>1035</x:v>
      </x:c>
    </x:row>
    <x:row r="434" ht="32" customHeight="1">
      <x:c r="A434" s="8">
        <x:v>17</x:v>
      </x:c>
      <x:c r="B434" s="8" t="s">
        <x:v>805</x:v>
      </x:c>
      <x:c r="C434" s="8" t="s">
        <x:v>791</x:v>
      </x:c>
      <x:c r="D434" s="8" t="s">
        <x:v>25</x:v>
      </x:c>
      <x:c r="E434" s="8" t="s">
        <x:v>467</x:v>
      </x:c>
      <x:c r="F434" s="8" t="s">
        <x:v>939</x:v>
      </x:c>
      <x:c r="G434" s="25">
        <x:v>46293</x:v>
      </x:c>
      <x:c r="H434" s="25">
        <x:v>46311</x:v>
      </x:c>
      <x:c r="I434" s="8" t="s">
        <x:v>4</x:v>
      </x:c>
      <x:c r="J434" s="8" t="s">
        <x:v>4</x:v>
      </x:c>
      <x:c r="K434" s="25">
        <x:v>46224</x:v>
      </x:c>
      <x:c r="L434" s="8" t="s">
        <x:v>367</x:v>
      </x:c>
      <x:c r="M434" s="8"/>
      <x:c r="N434" s="10"/>
      <x:c r="O434" s="8" t="s">
        <x:v>1036</x:v>
      </x:c>
    </x:row>
    <x:row r="435" ht="32" customHeight="1">
      <x:c r="A435" s="8">
        <x:v>17</x:v>
      </x:c>
      <x:c r="B435" s="8" t="s">
        <x:v>807</x:v>
      </x:c>
      <x:c r="C435" s="8" t="s">
        <x:v>794</x:v>
      </x:c>
      <x:c r="D435" s="8" t="s">
        <x:v>25</x:v>
      </x:c>
      <x:c r="E435" s="8" t="s">
        <x:v>467</x:v>
      </x:c>
      <x:c r="F435" s="8" t="s">
        <x:v>939</x:v>
      </x:c>
      <x:c r="G435" s="25">
        <x:v>46293</x:v>
      </x:c>
      <x:c r="H435" s="25">
        <x:v>46311</x:v>
      </x:c>
      <x:c r="I435" s="8" t="s">
        <x:v>4</x:v>
      </x:c>
      <x:c r="J435" s="8" t="s">
        <x:v>4</x:v>
      </x:c>
      <x:c r="K435" s="25"/>
      <x:c r="L435" s="8" t="s">
        <x:v>367</x:v>
      </x:c>
      <x:c r="M435" s="8"/>
      <x:c r="N435" s="10"/>
      <x:c r="O435" s="8" t="s">
        <x:v>1037</x:v>
      </x:c>
    </x:row>
    <x:row r="436" ht="32" customHeight="1">
      <x:c r="A436" s="8">
        <x:v>17</x:v>
      </x:c>
      <x:c r="B436" s="8" t="s">
        <x:v>801</x:v>
      </x:c>
      <x:c r="C436" s="8" t="s">
        <x:v>791</x:v>
      </x:c>
      <x:c r="D436" s="8" t="s">
        <x:v>25</x:v>
      </x:c>
      <x:c r="E436" s="8" t="s">
        <x:v>479</x:v>
      </x:c>
      <x:c r="F436" s="8" t="s">
        <x:v>939</x:v>
      </x:c>
      <x:c r="G436" s="25">
        <x:v>46293</x:v>
      </x:c>
      <x:c r="H436" s="25">
        <x:v>46311</x:v>
      </x:c>
      <x:c r="I436" s="8" t="s">
        <x:v>4</x:v>
      </x:c>
      <x:c r="J436" s="8" t="s">
        <x:v>4</x:v>
      </x:c>
      <x:c r="K436" s="25">
        <x:v>46224</x:v>
      </x:c>
      <x:c r="L436" s="8" t="s">
        <x:v>367</x:v>
      </x:c>
      <x:c r="M436" s="8"/>
      <x:c r="N436" s="10"/>
      <x:c r="O436" s="8" t="s">
        <x:v>1038</x:v>
      </x:c>
    </x:row>
    <x:row r="437" ht="32" customHeight="1">
      <x:c r="A437" s="8">
        <x:v>17</x:v>
      </x:c>
      <x:c r="B437" s="8" t="s">
        <x:v>803</x:v>
      </x:c>
      <x:c r="C437" s="8" t="s">
        <x:v>794</x:v>
      </x:c>
      <x:c r="D437" s="8" t="s">
        <x:v>25</x:v>
      </x:c>
      <x:c r="E437" s="8" t="s">
        <x:v>479</x:v>
      </x:c>
      <x:c r="F437" s="8" t="s">
        <x:v>939</x:v>
      </x:c>
      <x:c r="G437" s="25">
        <x:v>46293</x:v>
      </x:c>
      <x:c r="H437" s="25">
        <x:v>46311</x:v>
      </x:c>
      <x:c r="I437" s="8" t="s">
        <x:v>4</x:v>
      </x:c>
      <x:c r="J437" s="8" t="s">
        <x:v>4</x:v>
      </x:c>
      <x:c r="K437" s="25">
        <x:v>46224</x:v>
      </x:c>
      <x:c r="L437" s="8" t="s">
        <x:v>367</x:v>
      </x:c>
      <x:c r="M437" s="8"/>
      <x:c r="N437" s="10"/>
      <x:c r="O437" s="8" t="s">
        <x:v>1039</x:v>
      </x:c>
    </x:row>
    <x:row r="438" ht="32" customHeight="1">
      <x:c r="A438" s="8">
        <x:v>17</x:v>
      </x:c>
      <x:c r="B438" s="8" t="s">
        <x:v>805</x:v>
      </x:c>
      <x:c r="C438" s="8" t="s">
        <x:v>791</x:v>
      </x:c>
      <x:c r="D438" s="8" t="s">
        <x:v>25</x:v>
      </x:c>
      <x:c r="E438" s="8" t="s">
        <x:v>479</x:v>
      </x:c>
      <x:c r="F438" s="8" t="s">
        <x:v>939</x:v>
      </x:c>
      <x:c r="G438" s="25">
        <x:v>46293</x:v>
      </x:c>
      <x:c r="H438" s="25">
        <x:v>46311</x:v>
      </x:c>
      <x:c r="I438" s="8" t="s">
        <x:v>4</x:v>
      </x:c>
      <x:c r="J438" s="8" t="s">
        <x:v>4</x:v>
      </x:c>
      <x:c r="K438" s="25">
        <x:v>46224</x:v>
      </x:c>
      <x:c r="L438" s="8" t="s">
        <x:v>367</x:v>
      </x:c>
      <x:c r="M438" s="8"/>
      <x:c r="N438" s="10"/>
      <x:c r="O438" s="8" t="s">
        <x:v>1040</x:v>
      </x:c>
    </x:row>
    <x:row r="439" ht="32" customHeight="1">
      <x:c r="A439" s="8">
        <x:v>17</x:v>
      </x:c>
      <x:c r="B439" s="8" t="s">
        <x:v>807</x:v>
      </x:c>
      <x:c r="C439" s="8" t="s">
        <x:v>794</x:v>
      </x:c>
      <x:c r="D439" s="8" t="s">
        <x:v>25</x:v>
      </x:c>
      <x:c r="E439" s="8" t="s">
        <x:v>479</x:v>
      </x:c>
      <x:c r="F439" s="8" t="s">
        <x:v>939</x:v>
      </x:c>
      <x:c r="G439" s="25">
        <x:v>46293</x:v>
      </x:c>
      <x:c r="H439" s="25">
        <x:v>46311</x:v>
      </x:c>
      <x:c r="I439" s="8" t="s">
        <x:v>4</x:v>
      </x:c>
      <x:c r="J439" s="8" t="s">
        <x:v>4</x:v>
      </x:c>
      <x:c r="K439" s="25"/>
      <x:c r="L439" s="8" t="s">
        <x:v>367</x:v>
      </x:c>
      <x:c r="M439" s="8"/>
      <x:c r="N439" s="10"/>
      <x:c r="O439" s="8" t="s">
        <x:v>1041</x:v>
      </x:c>
    </x:row>
    <x:row r="440" ht="32" customHeight="1">
      <x:c r="A440" s="8">
        <x:v>18</x:v>
      </x:c>
      <x:c r="B440" s="8" t="s">
        <x:v>578</x:v>
      </x:c>
      <x:c r="C440" s="8" t="s">
        <x:v>579</x:v>
      </x:c>
      <x:c r="D440" s="8" t="s">
        <x:v>25</x:v>
      </x:c>
      <x:c r="E440" s="8" t="s">
        <x:v>558</x:v>
      </x:c>
      <x:c r="F440" s="8" t="s">
        <x:v>559</x:v>
      </x:c>
      <x:c r="G440" s="25">
        <x:v>46307</x:v>
      </x:c>
      <x:c r="H440" s="25">
        <x:v>46318</x:v>
      </x:c>
      <x:c r="I440" s="8" t="s">
        <x:v>4</x:v>
      </x:c>
      <x:c r="J440" s="8" t="s">
        <x:v>3</x:v>
      </x:c>
      <x:c r="K440" s="25"/>
      <x:c r="L440" s="8" t="s">
        <x:v>367</x:v>
      </x:c>
      <x:c r="M440" s="8"/>
      <x:c r="N440" s="10"/>
      <x:c r="O440" s="8" t="s">
        <x:v>1042</x:v>
      </x:c>
    </x:row>
    <x:row r="441" ht="32" customHeight="1">
      <x:c r="A441" s="8">
        <x:v>18</x:v>
      </x:c>
      <x:c r="B441" s="8" t="s">
        <x:v>581</x:v>
      </x:c>
      <x:c r="C441" s="8" t="s">
        <x:v>582</x:v>
      </x:c>
      <x:c r="D441" s="8" t="s">
        <x:v>25</x:v>
      </x:c>
      <x:c r="E441" s="8" t="s">
        <x:v>558</x:v>
      </x:c>
      <x:c r="F441" s="8" t="s">
        <x:v>559</x:v>
      </x:c>
      <x:c r="G441" s="25">
        <x:v>46307</x:v>
      </x:c>
      <x:c r="H441" s="25">
        <x:v>46318</x:v>
      </x:c>
      <x:c r="I441" s="8" t="s">
        <x:v>4</x:v>
      </x:c>
      <x:c r="J441" s="8" t="s">
        <x:v>3</x:v>
      </x:c>
      <x:c r="K441" s="25"/>
      <x:c r="L441" s="8" t="s">
        <x:v>367</x:v>
      </x:c>
      <x:c r="M441" s="8"/>
      <x:c r="N441" s="10"/>
      <x:c r="O441" s="8" t="s">
        <x:v>1043</x:v>
      </x:c>
    </x:row>
    <x:row r="442" ht="32" customHeight="1">
      <x:c r="A442" s="8">
        <x:v>18</x:v>
      </x:c>
      <x:c r="B442" s="8" t="s">
        <x:v>584</x:v>
      </x:c>
      <x:c r="C442" s="8" t="s">
        <x:v>585</x:v>
      </x:c>
      <x:c r="D442" s="8" t="s">
        <x:v>25</x:v>
      </x:c>
      <x:c r="E442" s="8" t="s">
        <x:v>558</x:v>
      </x:c>
      <x:c r="F442" s="8" t="s">
        <x:v>559</x:v>
      </x:c>
      <x:c r="G442" s="25">
        <x:v>46307</x:v>
      </x:c>
      <x:c r="H442" s="25">
        <x:v>46318</x:v>
      </x:c>
      <x:c r="I442" s="8" t="s">
        <x:v>4</x:v>
      </x:c>
      <x:c r="J442" s="8" t="s">
        <x:v>3</x:v>
      </x:c>
      <x:c r="K442" s="25"/>
      <x:c r="L442" s="8" t="s">
        <x:v>367</x:v>
      </x:c>
      <x:c r="M442" s="8"/>
      <x:c r="N442" s="10"/>
      <x:c r="O442" s="8" t="s">
        <x:v>1044</x:v>
      </x:c>
    </x:row>
    <x:row r="443" ht="32" customHeight="1">
      <x:c r="A443" s="8">
        <x:v>18</x:v>
      </x:c>
      <x:c r="B443" s="8" t="s">
        <x:v>587</x:v>
      </x:c>
      <x:c r="C443" s="8" t="s">
        <x:v>588</x:v>
      </x:c>
      <x:c r="D443" s="8" t="s">
        <x:v>25</x:v>
      </x:c>
      <x:c r="E443" s="8" t="s">
        <x:v>558</x:v>
      </x:c>
      <x:c r="F443" s="8" t="s">
        <x:v>559</x:v>
      </x:c>
      <x:c r="G443" s="25">
        <x:v>46307</x:v>
      </x:c>
      <x:c r="H443" s="25">
        <x:v>46318</x:v>
      </x:c>
      <x:c r="I443" s="8" t="s">
        <x:v>4</x:v>
      </x:c>
      <x:c r="J443" s="8" t="s">
        <x:v>3</x:v>
      </x:c>
      <x:c r="K443" s="25"/>
      <x:c r="L443" s="8" t="s">
        <x:v>367</x:v>
      </x:c>
      <x:c r="M443" s="8"/>
      <x:c r="N443" s="10"/>
      <x:c r="O443" s="8" t="s">
        <x:v>1045</x:v>
      </x:c>
    </x:row>
    <x:row r="444" ht="32" customHeight="1">
      <x:c r="A444" s="8">
        <x:v>18</x:v>
      </x:c>
      <x:c r="B444" s="8" t="s">
        <x:v>590</x:v>
      </x:c>
      <x:c r="C444" s="8" t="s">
        <x:v>591</x:v>
      </x:c>
      <x:c r="D444" s="8" t="s">
        <x:v>25</x:v>
      </x:c>
      <x:c r="E444" s="8" t="s">
        <x:v>558</x:v>
      </x:c>
      <x:c r="F444" s="8" t="s">
        <x:v>559</x:v>
      </x:c>
      <x:c r="G444" s="25">
        <x:v>46307</x:v>
      </x:c>
      <x:c r="H444" s="25">
        <x:v>46318</x:v>
      </x:c>
      <x:c r="I444" s="8" t="s">
        <x:v>4</x:v>
      </x:c>
      <x:c r="J444" s="8" t="s">
        <x:v>3</x:v>
      </x:c>
      <x:c r="K444" s="25"/>
      <x:c r="L444" s="8" t="s">
        <x:v>367</x:v>
      </x:c>
      <x:c r="M444" s="8"/>
      <x:c r="N444" s="10"/>
      <x:c r="O444" s="8" t="s">
        <x:v>1046</x:v>
      </x:c>
    </x:row>
    <x:row r="445" ht="32" customHeight="1">
      <x:c r="A445" s="8">
        <x:v>18</x:v>
      </x:c>
      <x:c r="B445" s="8" t="s">
        <x:v>593</x:v>
      </x:c>
      <x:c r="C445" s="8" t="s">
        <x:v>594</x:v>
      </x:c>
      <x:c r="D445" s="8" t="s">
        <x:v>25</x:v>
      </x:c>
      <x:c r="E445" s="8" t="s">
        <x:v>558</x:v>
      </x:c>
      <x:c r="F445" s="8" t="s">
        <x:v>559</x:v>
      </x:c>
      <x:c r="G445" s="25">
        <x:v>46307</x:v>
      </x:c>
      <x:c r="H445" s="25">
        <x:v>46318</x:v>
      </x:c>
      <x:c r="I445" s="8" t="s">
        <x:v>4</x:v>
      </x:c>
      <x:c r="J445" s="8" t="s">
        <x:v>4</x:v>
      </x:c>
      <x:c r="K445" s="25"/>
      <x:c r="L445" s="8" t="s">
        <x:v>367</x:v>
      </x:c>
      <x:c r="M445" s="8"/>
      <x:c r="N445" s="10"/>
      <x:c r="O445" s="8" t="s">
        <x:v>1047</x:v>
      </x:c>
    </x:row>
    <x:row r="446" ht="32" customHeight="1">
      <x:c r="A446" s="8">
        <x:v>18</x:v>
      </x:c>
      <x:c r="B446" s="8" t="s">
        <x:v>597</x:v>
      </x:c>
      <x:c r="C446" s="8" t="s">
        <x:v>598</x:v>
      </x:c>
      <x:c r="D446" s="8" t="s">
        <x:v>25</x:v>
      </x:c>
      <x:c r="E446" s="8" t="s">
        <x:v>558</x:v>
      </x:c>
      <x:c r="F446" s="8" t="s">
        <x:v>559</x:v>
      </x:c>
      <x:c r="G446" s="25">
        <x:v>46307</x:v>
      </x:c>
      <x:c r="H446" s="25">
        <x:v>46318</x:v>
      </x:c>
      <x:c r="I446" s="8" t="s">
        <x:v>4</x:v>
      </x:c>
      <x:c r="J446" s="8" t="s">
        <x:v>4</x:v>
      </x:c>
      <x:c r="K446" s="25">
        <x:v>46224</x:v>
      </x:c>
      <x:c r="L446" s="8" t="s">
        <x:v>367</x:v>
      </x:c>
      <x:c r="M446" s="8"/>
      <x:c r="N446" s="10"/>
      <x:c r="O446" s="8" t="s">
        <x:v>1048</x:v>
      </x:c>
    </x:row>
    <x:row r="447" ht="32" customHeight="1">
      <x:c r="A447" s="8">
        <x:v>18</x:v>
      </x:c>
      <x:c r="B447" s="8" t="s">
        <x:v>600</x:v>
      </x:c>
      <x:c r="C447" s="8" t="s">
        <x:v>601</x:v>
      </x:c>
      <x:c r="D447" s="8" t="s">
        <x:v>25</x:v>
      </x:c>
      <x:c r="E447" s="8" t="s">
        <x:v>558</x:v>
      </x:c>
      <x:c r="F447" s="8" t="s">
        <x:v>559</x:v>
      </x:c>
      <x:c r="G447" s="25">
        <x:v>46307</x:v>
      </x:c>
      <x:c r="H447" s="25">
        <x:v>46318</x:v>
      </x:c>
      <x:c r="I447" s="8" t="s">
        <x:v>4</x:v>
      </x:c>
      <x:c r="J447" s="8" t="s">
        <x:v>4</x:v>
      </x:c>
      <x:c r="K447" s="25">
        <x:v>46224</x:v>
      </x:c>
      <x:c r="L447" s="8" t="s">
        <x:v>367</x:v>
      </x:c>
      <x:c r="M447" s="8"/>
      <x:c r="N447" s="10"/>
      <x:c r="O447" s="8" t="s">
        <x:v>1049</x:v>
      </x:c>
    </x:row>
    <x:row r="448" ht="32" customHeight="1">
      <x:c r="A448" s="8">
        <x:v>18</x:v>
      </x:c>
      <x:c r="B448" s="8" t="s">
        <x:v>603</x:v>
      </x:c>
      <x:c r="C448" s="8" t="s">
        <x:v>604</x:v>
      </x:c>
      <x:c r="D448" s="8" t="s">
        <x:v>25</x:v>
      </x:c>
      <x:c r="E448" s="8" t="s">
        <x:v>558</x:v>
      </x:c>
      <x:c r="F448" s="8" t="s">
        <x:v>559</x:v>
      </x:c>
      <x:c r="G448" s="25">
        <x:v>46307</x:v>
      </x:c>
      <x:c r="H448" s="25">
        <x:v>46318</x:v>
      </x:c>
      <x:c r="I448" s="8" t="s">
        <x:v>4</x:v>
      </x:c>
      <x:c r="J448" s="8" t="s">
        <x:v>4</x:v>
      </x:c>
      <x:c r="K448" s="25">
        <x:v>46224</x:v>
      </x:c>
      <x:c r="L448" s="8" t="s">
        <x:v>367</x:v>
      </x:c>
      <x:c r="M448" s="8"/>
      <x:c r="N448" s="10"/>
      <x:c r="O448" s="8" t="s">
        <x:v>1050</x:v>
      </x:c>
    </x:row>
    <x:row r="449" ht="32" customHeight="1">
      <x:c r="A449" s="8">
        <x:v>18</x:v>
      </x:c>
      <x:c r="B449" s="8" t="s">
        <x:v>606</x:v>
      </x:c>
      <x:c r="C449" s="8" t="s">
        <x:v>607</x:v>
      </x:c>
      <x:c r="D449" s="8" t="s">
        <x:v>25</x:v>
      </x:c>
      <x:c r="E449" s="8" t="s">
        <x:v>558</x:v>
      </x:c>
      <x:c r="F449" s="8" t="s">
        <x:v>559</x:v>
      </x:c>
      <x:c r="G449" s="25">
        <x:v>46307</x:v>
      </x:c>
      <x:c r="H449" s="25">
        <x:v>46318</x:v>
      </x:c>
      <x:c r="I449" s="8" t="s">
        <x:v>4</x:v>
      </x:c>
      <x:c r="J449" s="8" t="s">
        <x:v>4</x:v>
      </x:c>
      <x:c r="K449" s="25"/>
      <x:c r="L449" s="8" t="s">
        <x:v>367</x:v>
      </x:c>
      <x:c r="M449" s="8"/>
      <x:c r="N449" s="10"/>
      <x:c r="O449" s="8" t="s">
        <x:v>1051</x:v>
      </x:c>
    </x:row>
    <x:row r="450" ht="32" customHeight="1">
      <x:c r="A450" s="8">
        <x:v>18</x:v>
      </x:c>
      <x:c r="B450" s="8" t="s">
        <x:v>609</x:v>
      </x:c>
      <x:c r="C450" s="8" t="s">
        <x:v>610</x:v>
      </x:c>
      <x:c r="D450" s="8" t="s">
        <x:v>25</x:v>
      </x:c>
      <x:c r="E450" s="8" t="s">
        <x:v>558</x:v>
      </x:c>
      <x:c r="F450" s="8" t="s">
        <x:v>559</x:v>
      </x:c>
      <x:c r="G450" s="25">
        <x:v>46307</x:v>
      </x:c>
      <x:c r="H450" s="25">
        <x:v>46318</x:v>
      </x:c>
      <x:c r="I450" s="8" t="s">
        <x:v>4</x:v>
      </x:c>
      <x:c r="J450" s="8" t="s">
        <x:v>4</x:v>
      </x:c>
      <x:c r="K450" s="25">
        <x:v>46224</x:v>
      </x:c>
      <x:c r="L450" s="8" t="s">
        <x:v>367</x:v>
      </x:c>
      <x:c r="M450" s="8"/>
      <x:c r="N450" s="10"/>
      <x:c r="O450" s="8" t="s">
        <x:v>1052</x:v>
      </x:c>
    </x:row>
    <x:row r="451" ht="32" customHeight="1">
      <x:c r="A451" s="8">
        <x:v>18</x:v>
      </x:c>
      <x:c r="B451" s="8" t="s">
        <x:v>787</x:v>
      </x:c>
      <x:c r="C451" s="8" t="s">
        <x:v>788</x:v>
      </x:c>
      <x:c r="D451" s="8" t="s">
        <x:v>24</x:v>
      </x:c>
      <x:c r="E451" s="8" t="s">
        <x:v>558</x:v>
      </x:c>
      <x:c r="F451" s="8" t="s">
        <x:v>559</x:v>
      </x:c>
      <x:c r="G451" s="25">
        <x:v>46307</x:v>
      </x:c>
      <x:c r="H451" s="25">
        <x:v>46318</x:v>
      </x:c>
      <x:c r="I451" s="8" t="s">
        <x:v>2</x:v>
      </x:c>
      <x:c r="J451" s="8" t="s">
        <x:v>2</x:v>
      </x:c>
      <x:c r="K451" s="25"/>
      <x:c r="L451" s="8" t="s">
        <x:v>367</x:v>
      </x:c>
      <x:c r="M451" s="8" t="s">
        <x:v>368</x:v>
      </x:c>
      <x:c r="N451" s="10"/>
      <x:c r="O451" s="8" t="s">
        <x:v>1053</x:v>
      </x:c>
    </x:row>
    <x:row r="452" ht="32" customHeight="1">
      <x:c r="A452" s="8">
        <x:v>18</x:v>
      </x:c>
      <x:c r="B452" s="8" t="s">
        <x:v>612</x:v>
      </x:c>
      <x:c r="C452" s="8" t="s">
        <x:v>613</x:v>
      </x:c>
      <x:c r="D452" s="8" t="s">
        <x:v>25</x:v>
      </x:c>
      <x:c r="E452" s="8" t="s">
        <x:v>558</x:v>
      </x:c>
      <x:c r="F452" s="8" t="s">
        <x:v>559</x:v>
      </x:c>
      <x:c r="G452" s="25">
        <x:v>46307</x:v>
      </x:c>
      <x:c r="H452" s="25">
        <x:v>46318</x:v>
      </x:c>
      <x:c r="I452" s="8" t="s">
        <x:v>4</x:v>
      </x:c>
      <x:c r="J452" s="8" t="s">
        <x:v>3</x:v>
      </x:c>
      <x:c r="K452" s="25"/>
      <x:c r="L452" s="8" t="s">
        <x:v>367</x:v>
      </x:c>
      <x:c r="M452" s="8"/>
      <x:c r="N452" s="10"/>
      <x:c r="O452" s="8" t="s">
        <x:v>1054</x:v>
      </x:c>
    </x:row>
    <x:row r="453" ht="32" customHeight="1">
      <x:c r="A453" s="8">
        <x:v>18</x:v>
      </x:c>
      <x:c r="B453" s="8" t="s">
        <x:v>615</x:v>
      </x:c>
      <x:c r="C453" s="8" t="s">
        <x:v>616</x:v>
      </x:c>
      <x:c r="D453" s="8" t="s">
        <x:v>25</x:v>
      </x:c>
      <x:c r="E453" s="8" t="s">
        <x:v>558</x:v>
      </x:c>
      <x:c r="F453" s="8" t="s">
        <x:v>559</x:v>
      </x:c>
      <x:c r="G453" s="25">
        <x:v>46307</x:v>
      </x:c>
      <x:c r="H453" s="25">
        <x:v>46318</x:v>
      </x:c>
      <x:c r="I453" s="8" t="s">
        <x:v>4</x:v>
      </x:c>
      <x:c r="J453" s="8" t="s">
        <x:v>3</x:v>
      </x:c>
      <x:c r="K453" s="25"/>
      <x:c r="L453" s="8" t="s">
        <x:v>367</x:v>
      </x:c>
      <x:c r="M453" s="8"/>
      <x:c r="N453" s="10"/>
      <x:c r="O453" s="8" t="s">
        <x:v>1055</x:v>
      </x:c>
    </x:row>
    <x:row r="454" ht="32" customHeight="1">
      <x:c r="A454" s="8">
        <x:v>18</x:v>
      </x:c>
      <x:c r="B454" s="8" t="s">
        <x:v>618</x:v>
      </x:c>
      <x:c r="C454" s="8" t="s">
        <x:v>619</x:v>
      </x:c>
      <x:c r="D454" s="8" t="s">
        <x:v>25</x:v>
      </x:c>
      <x:c r="E454" s="8" t="s">
        <x:v>558</x:v>
      </x:c>
      <x:c r="F454" s="8" t="s">
        <x:v>559</x:v>
      </x:c>
      <x:c r="G454" s="25">
        <x:v>46307</x:v>
      </x:c>
      <x:c r="H454" s="25">
        <x:v>46318</x:v>
      </x:c>
      <x:c r="I454" s="8" t="s">
        <x:v>4</x:v>
      </x:c>
      <x:c r="J454" s="8" t="s">
        <x:v>3</x:v>
      </x:c>
      <x:c r="K454" s="25">
        <x:v>46261</x:v>
      </x:c>
      <x:c r="L454" s="8" t="s">
        <x:v>367</x:v>
      </x:c>
      <x:c r="M454" s="8"/>
      <x:c r="N454" s="10"/>
      <x:c r="O454" s="8" t="s">
        <x:v>1056</x:v>
      </x:c>
    </x:row>
    <x:row r="455" ht="32" customHeight="1">
      <x:c r="A455" s="8">
        <x:v>18</x:v>
      </x:c>
      <x:c r="B455" s="8" t="s">
        <x:v>621</x:v>
      </x:c>
      <x:c r="C455" s="8" t="s">
        <x:v>622</x:v>
      </x:c>
      <x:c r="D455" s="8" t="s">
        <x:v>25</x:v>
      </x:c>
      <x:c r="E455" s="8" t="s">
        <x:v>558</x:v>
      </x:c>
      <x:c r="F455" s="8" t="s">
        <x:v>559</x:v>
      </x:c>
      <x:c r="G455" s="25">
        <x:v>46307</x:v>
      </x:c>
      <x:c r="H455" s="25">
        <x:v>46318</x:v>
      </x:c>
      <x:c r="I455" s="8" t="s">
        <x:v>4</x:v>
      </x:c>
      <x:c r="J455" s="8" t="s">
        <x:v>4</x:v>
      </x:c>
      <x:c r="K455" s="25"/>
      <x:c r="L455" s="8" t="s">
        <x:v>367</x:v>
      </x:c>
      <x:c r="M455" s="8"/>
      <x:c r="N455" s="10"/>
      <x:c r="O455" s="8" t="s">
        <x:v>1057</x:v>
      </x:c>
    </x:row>
    <x:row r="456" ht="32" customHeight="1">
      <x:c r="A456" s="8">
        <x:v>21</x:v>
      </x:c>
      <x:c r="B456" s="8" t="s">
        <x:v>719</x:v>
      </x:c>
      <x:c r="C456" s="8" t="s">
        <x:v>720</x:v>
      </x:c>
      <x:c r="D456" s="8" t="s">
        <x:v>25</x:v>
      </x:c>
      <x:c r="E456" s="8" t="s">
        <x:v>467</x:v>
      </x:c>
      <x:c r="F456" s="8" t="s">
        <x:v>468</x:v>
      </x:c>
      <x:c r="G456" s="25">
        <x:v>46307</x:v>
      </x:c>
      <x:c r="H456" s="25">
        <x:v>46339</x:v>
      </x:c>
      <x:c r="I456" s="8" t="s">
        <x:v>2</x:v>
      </x:c>
      <x:c r="J456" s="8" t="s">
        <x:v>2</x:v>
      </x:c>
      <x:c r="K456" s="25"/>
      <x:c r="L456" s="8" t="s">
        <x:v>367</x:v>
      </x:c>
      <x:c r="M456" s="8" t="s">
        <x:v>368</x:v>
      </x:c>
      <x:c r="N456" s="10"/>
      <x:c r="O456" s="8" t="s">
        <x:v>1058</x:v>
      </x:c>
    </x:row>
    <x:row r="457" ht="32" customHeight="1">
      <x:c r="A457" s="8">
        <x:v>21</x:v>
      </x:c>
      <x:c r="B457" s="8" t="s">
        <x:v>722</x:v>
      </x:c>
      <x:c r="C457" s="8" t="s">
        <x:v>723</x:v>
      </x:c>
      <x:c r="D457" s="8" t="s">
        <x:v>25</x:v>
      </x:c>
      <x:c r="E457" s="8" t="s">
        <x:v>467</x:v>
      </x:c>
      <x:c r="F457" s="8" t="s">
        <x:v>468</x:v>
      </x:c>
      <x:c r="G457" s="25">
        <x:v>46307</x:v>
      </x:c>
      <x:c r="H457" s="25">
        <x:v>46339</x:v>
      </x:c>
      <x:c r="I457" s="8" t="s">
        <x:v>4</x:v>
      </x:c>
      <x:c r="J457" s="8" t="s">
        <x:v>3</x:v>
      </x:c>
      <x:c r="K457" s="25"/>
      <x:c r="L457" s="8" t="s">
        <x:v>367</x:v>
      </x:c>
      <x:c r="M457" s="8"/>
      <x:c r="N457" s="10"/>
      <x:c r="O457" s="8" t="s">
        <x:v>1059</x:v>
      </x:c>
    </x:row>
    <x:row r="458" ht="32" customHeight="1">
      <x:c r="A458" s="8">
        <x:v>21</x:v>
      </x:c>
      <x:c r="B458" s="8" t="s">
        <x:v>731</x:v>
      </x:c>
      <x:c r="C458" s="8" t="s">
        <x:v>732</x:v>
      </x:c>
      <x:c r="D458" s="8" t="s">
        <x:v>25</x:v>
      </x:c>
      <x:c r="E458" s="8" t="s">
        <x:v>467</x:v>
      </x:c>
      <x:c r="F458" s="8" t="s">
        <x:v>468</x:v>
      </x:c>
      <x:c r="G458" s="25">
        <x:v>46307</x:v>
      </x:c>
      <x:c r="H458" s="25">
        <x:v>46339</x:v>
      </x:c>
      <x:c r="I458" s="8" t="s">
        <x:v>4</x:v>
      </x:c>
      <x:c r="J458" s="8" t="s">
        <x:v>4</x:v>
      </x:c>
      <x:c r="K458" s="25"/>
      <x:c r="L458" s="8" t="s">
        <x:v>367</x:v>
      </x:c>
      <x:c r="M458" s="8"/>
      <x:c r="N458" s="10"/>
      <x:c r="O458" s="8" t="s">
        <x:v>1060</x:v>
      </x:c>
    </x:row>
    <x:row r="459" ht="32" customHeight="1">
      <x:c r="A459" s="8">
        <x:v>21</x:v>
      </x:c>
      <x:c r="B459" s="8" t="s">
        <x:v>734</x:v>
      </x:c>
      <x:c r="C459" s="8" t="s">
        <x:v>735</x:v>
      </x:c>
      <x:c r="D459" s="8" t="s">
        <x:v>25</x:v>
      </x:c>
      <x:c r="E459" s="8" t="s">
        <x:v>467</x:v>
      </x:c>
      <x:c r="F459" s="8" t="s">
        <x:v>468</x:v>
      </x:c>
      <x:c r="G459" s="25">
        <x:v>46307</x:v>
      </x:c>
      <x:c r="H459" s="25">
        <x:v>46339</x:v>
      </x:c>
      <x:c r="I459" s="8" t="s">
        <x:v>4</x:v>
      </x:c>
      <x:c r="J459" s="8" t="s">
        <x:v>4</x:v>
      </x:c>
      <x:c r="K459" s="25"/>
      <x:c r="L459" s="8" t="s">
        <x:v>367</x:v>
      </x:c>
      <x:c r="M459" s="8"/>
      <x:c r="N459" s="10"/>
      <x:c r="O459" s="8" t="s">
        <x:v>1061</x:v>
      </x:c>
    </x:row>
    <x:row r="460" ht="32" customHeight="1">
      <x:c r="A460" s="8">
        <x:v>21</x:v>
      </x:c>
      <x:c r="B460" s="8" t="s">
        <x:v>737</x:v>
      </x:c>
      <x:c r="C460" s="8" t="s">
        <x:v>738</x:v>
      </x:c>
      <x:c r="D460" s="8" t="s">
        <x:v>25</x:v>
      </x:c>
      <x:c r="E460" s="8" t="s">
        <x:v>467</x:v>
      </x:c>
      <x:c r="F460" s="8" t="s">
        <x:v>468</x:v>
      </x:c>
      <x:c r="G460" s="25">
        <x:v>46307</x:v>
      </x:c>
      <x:c r="H460" s="25">
        <x:v>46339</x:v>
      </x:c>
      <x:c r="I460" s="8" t="s">
        <x:v>4</x:v>
      </x:c>
      <x:c r="J460" s="8" t="s">
        <x:v>4</x:v>
      </x:c>
      <x:c r="K460" s="25"/>
      <x:c r="L460" s="8" t="s">
        <x:v>367</x:v>
      </x:c>
      <x:c r="M460" s="8"/>
      <x:c r="N460" s="10"/>
      <x:c r="O460" s="8" t="s">
        <x:v>1062</x:v>
      </x:c>
    </x:row>
    <x:row r="461" ht="32" customHeight="1">
      <x:c r="A461" s="8">
        <x:v>21</x:v>
      </x:c>
      <x:c r="B461" s="8" t="s">
        <x:v>740</x:v>
      </x:c>
      <x:c r="C461" s="8" t="s">
        <x:v>741</x:v>
      </x:c>
      <x:c r="D461" s="8" t="s">
        <x:v>25</x:v>
      </x:c>
      <x:c r="E461" s="8" t="s">
        <x:v>467</x:v>
      </x:c>
      <x:c r="F461" s="8" t="s">
        <x:v>468</x:v>
      </x:c>
      <x:c r="G461" s="25">
        <x:v>46307</x:v>
      </x:c>
      <x:c r="H461" s="25">
        <x:v>46339</x:v>
      </x:c>
      <x:c r="I461" s="8" t="s">
        <x:v>4</x:v>
      </x:c>
      <x:c r="J461" s="8" t="s">
        <x:v>4</x:v>
      </x:c>
      <x:c r="K461" s="25">
        <x:v>46261</x:v>
      </x:c>
      <x:c r="L461" s="8" t="s">
        <x:v>367</x:v>
      </x:c>
      <x:c r="M461" s="8"/>
      <x:c r="N461" s="10"/>
      <x:c r="O461" s="8" t="s">
        <x:v>1063</x:v>
      </x:c>
    </x:row>
    <x:row r="462" ht="32" customHeight="1">
      <x:c r="A462" s="8">
        <x:v>21</x:v>
      </x:c>
      <x:c r="B462" s="8" t="s">
        <x:v>749</x:v>
      </x:c>
      <x:c r="C462" s="8" t="s">
        <x:v>750</x:v>
      </x:c>
      <x:c r="D462" s="8" t="s">
        <x:v>25</x:v>
      </x:c>
      <x:c r="E462" s="8" t="s">
        <x:v>467</x:v>
      </x:c>
      <x:c r="F462" s="8" t="s">
        <x:v>468</x:v>
      </x:c>
      <x:c r="G462" s="25">
        <x:v>46307</x:v>
      </x:c>
      <x:c r="H462" s="25">
        <x:v>46339</x:v>
      </x:c>
      <x:c r="I462" s="8" t="s">
        <x:v>4</x:v>
      </x:c>
      <x:c r="J462" s="8" t="s">
        <x:v>3</x:v>
      </x:c>
      <x:c r="K462" s="25">
        <x:v>46261</x:v>
      </x:c>
      <x:c r="L462" s="8" t="s">
        <x:v>367</x:v>
      </x:c>
      <x:c r="M462" s="8"/>
      <x:c r="N462" s="10"/>
      <x:c r="O462" s="8" t="s">
        <x:v>1064</x:v>
      </x:c>
    </x:row>
    <x:row r="463" ht="32" customHeight="1">
      <x:c r="A463" s="8">
        <x:v>21</x:v>
      </x:c>
      <x:c r="B463" s="8" t="s">
        <x:v>752</x:v>
      </x:c>
      <x:c r="C463" s="8" t="s">
        <x:v>753</x:v>
      </x:c>
      <x:c r="D463" s="8" t="s">
        <x:v>25</x:v>
      </x:c>
      <x:c r="E463" s="8" t="s">
        <x:v>467</x:v>
      </x:c>
      <x:c r="F463" s="8" t="s">
        <x:v>468</x:v>
      </x:c>
      <x:c r="G463" s="25">
        <x:v>46307</x:v>
      </x:c>
      <x:c r="H463" s="25">
        <x:v>46339</x:v>
      </x:c>
      <x:c r="I463" s="8" t="s">
        <x:v>4</x:v>
      </x:c>
      <x:c r="J463" s="8" t="s">
        <x:v>3</x:v>
      </x:c>
      <x:c r="K463" s="25">
        <x:v>46261</x:v>
      </x:c>
      <x:c r="L463" s="8" t="s">
        <x:v>367</x:v>
      </x:c>
      <x:c r="M463" s="8"/>
      <x:c r="N463" s="10"/>
      <x:c r="O463" s="8" t="s">
        <x:v>1065</x:v>
      </x:c>
    </x:row>
    <x:row r="464" ht="32" customHeight="1">
      <x:c r="A464" s="8">
        <x:v>21</x:v>
      </x:c>
      <x:c r="B464" s="8" t="s">
        <x:v>776</x:v>
      </x:c>
      <x:c r="C464" s="8" t="s">
        <x:v>777</x:v>
      </x:c>
      <x:c r="D464" s="8" t="s">
        <x:v>25</x:v>
      </x:c>
      <x:c r="E464" s="8" t="s">
        <x:v>467</x:v>
      </x:c>
      <x:c r="F464" s="8" t="s">
        <x:v>468</x:v>
      </x:c>
      <x:c r="G464" s="25">
        <x:v>46307</x:v>
      </x:c>
      <x:c r="H464" s="25">
        <x:v>46339</x:v>
      </x:c>
      <x:c r="I464" s="8" t="s">
        <x:v>2</x:v>
      </x:c>
      <x:c r="J464" s="8" t="s">
        <x:v>2</x:v>
      </x:c>
      <x:c r="K464" s="25"/>
      <x:c r="L464" s="8" t="s">
        <x:v>367</x:v>
      </x:c>
      <x:c r="M464" s="8" t="s">
        <x:v>368</x:v>
      </x:c>
      <x:c r="N464" s="10"/>
      <x:c r="O464" s="8" t="s">
        <x:v>1066</x:v>
      </x:c>
    </x:row>
    <x:row r="465" ht="32" customHeight="1">
      <x:c r="A465" s="8">
        <x:v>21</x:v>
      </x:c>
      <x:c r="B465" s="8" t="s">
        <x:v>779</x:v>
      </x:c>
      <x:c r="C465" s="8" t="s">
        <x:v>780</x:v>
      </x:c>
      <x:c r="D465" s="8" t="s">
        <x:v>25</x:v>
      </x:c>
      <x:c r="E465" s="8" t="s">
        <x:v>467</x:v>
      </x:c>
      <x:c r="F465" s="8" t="s">
        <x:v>468</x:v>
      </x:c>
      <x:c r="G465" s="25">
        <x:v>46307</x:v>
      </x:c>
      <x:c r="H465" s="25">
        <x:v>46339</x:v>
      </x:c>
      <x:c r="I465" s="8" t="s">
        <x:v>4</x:v>
      </x:c>
      <x:c r="J465" s="8" t="s">
        <x:v>4</x:v>
      </x:c>
      <x:c r="K465" s="25"/>
      <x:c r="L465" s="8" t="s">
        <x:v>367</x:v>
      </x:c>
      <x:c r="M465" s="8"/>
      <x:c r="N465" s="10"/>
      <x:c r="O465" s="8" t="s">
        <x:v>1067</x:v>
      </x:c>
    </x:row>
    <x:row r="466" ht="32" customHeight="1">
      <x:c r="A466" s="8">
        <x:v>21</x:v>
      </x:c>
      <x:c r="B466" s="8" t="s">
        <x:v>782</x:v>
      </x:c>
      <x:c r="C466" s="8" t="s">
        <x:v>780</x:v>
      </x:c>
      <x:c r="D466" s="8" t="s">
        <x:v>25</x:v>
      </x:c>
      <x:c r="E466" s="8" t="s">
        <x:v>467</x:v>
      </x:c>
      <x:c r="F466" s="8" t="s">
        <x:v>468</x:v>
      </x:c>
      <x:c r="G466" s="25">
        <x:v>46307</x:v>
      </x:c>
      <x:c r="H466" s="25">
        <x:v>46339</x:v>
      </x:c>
      <x:c r="I466" s="8" t="s">
        <x:v>4</x:v>
      </x:c>
      <x:c r="J466" s="8" t="s">
        <x:v>4</x:v>
      </x:c>
      <x:c r="K466" s="25">
        <x:v>46261</x:v>
      </x:c>
      <x:c r="L466" s="8" t="s">
        <x:v>367</x:v>
      </x:c>
      <x:c r="M466" s="8"/>
      <x:c r="N466" s="10"/>
      <x:c r="O466" s="8" t="s">
        <x:v>1068</x:v>
      </x:c>
    </x:row>
    <x:row r="467" ht="32" customHeight="1">
      <x:c r="A467" s="8">
        <x:v>21</x:v>
      </x:c>
      <x:c r="B467" s="8" t="s">
        <x:v>784</x:v>
      </x:c>
      <x:c r="C467" s="8" t="s">
        <x:v>785</x:v>
      </x:c>
      <x:c r="D467" s="8" t="s">
        <x:v>25</x:v>
      </x:c>
      <x:c r="E467" s="8" t="s">
        <x:v>467</x:v>
      </x:c>
      <x:c r="F467" s="8" t="s">
        <x:v>468</x:v>
      </x:c>
      <x:c r="G467" s="25">
        <x:v>46307</x:v>
      </x:c>
      <x:c r="H467" s="25">
        <x:v>46339</x:v>
      </x:c>
      <x:c r="I467" s="8" t="s">
        <x:v>2</x:v>
      </x:c>
      <x:c r="J467" s="8" t="s">
        <x:v>2</x:v>
      </x:c>
      <x:c r="K467" s="25">
        <x:v>46261</x:v>
      </x:c>
      <x:c r="L467" s="8" t="s">
        <x:v>367</x:v>
      </x:c>
      <x:c r="M467" s="8"/>
      <x:c r="N467" s="10"/>
      <x:c r="O467" s="8" t="s">
        <x:v>1069</x:v>
      </x:c>
    </x:row>
    <x:row r="468" ht="32" customHeight="1">
      <x:c r="A468" s="8">
        <x:v>21</x:v>
      </x:c>
      <x:c r="B468" s="8" t="s">
        <x:v>790</x:v>
      </x:c>
      <x:c r="C468" s="8" t="s">
        <x:v>791</x:v>
      </x:c>
      <x:c r="D468" s="8" t="s">
        <x:v>25</x:v>
      </x:c>
      <x:c r="E468" s="8" t="s">
        <x:v>467</x:v>
      </x:c>
      <x:c r="F468" s="8" t="s">
        <x:v>468</x:v>
      </x:c>
      <x:c r="G468" s="25">
        <x:v>46307</x:v>
      </x:c>
      <x:c r="H468" s="25">
        <x:v>46339</x:v>
      </x:c>
      <x:c r="I468" s="8" t="s">
        <x:v>4</x:v>
      </x:c>
      <x:c r="J468" s="8" t="s">
        <x:v>4</x:v>
      </x:c>
      <x:c r="K468" s="25"/>
      <x:c r="L468" s="8" t="s">
        <x:v>367</x:v>
      </x:c>
      <x:c r="M468" s="8"/>
      <x:c r="N468" s="10"/>
      <x:c r="O468" s="8" t="s">
        <x:v>1070</x:v>
      </x:c>
    </x:row>
    <x:row r="469" ht="32" customHeight="1">
      <x:c r="A469" s="8">
        <x:v>21</x:v>
      </x:c>
      <x:c r="B469" s="8" t="s">
        <x:v>793</x:v>
      </x:c>
      <x:c r="C469" s="8" t="s">
        <x:v>794</x:v>
      </x:c>
      <x:c r="D469" s="8" t="s">
        <x:v>25</x:v>
      </x:c>
      <x:c r="E469" s="8" t="s">
        <x:v>467</x:v>
      </x:c>
      <x:c r="F469" s="8" t="s">
        <x:v>468</x:v>
      </x:c>
      <x:c r="G469" s="25">
        <x:v>46307</x:v>
      </x:c>
      <x:c r="H469" s="25">
        <x:v>46339</x:v>
      </x:c>
      <x:c r="I469" s="8" t="s">
        <x:v>4</x:v>
      </x:c>
      <x:c r="J469" s="8" t="s">
        <x:v>4</x:v>
      </x:c>
      <x:c r="K469" s="25">
        <x:v>46224</x:v>
      </x:c>
      <x:c r="L469" s="8" t="s">
        <x:v>367</x:v>
      </x:c>
      <x:c r="M469" s="8"/>
      <x:c r="N469" s="10"/>
      <x:c r="O469" s="8" t="s">
        <x:v>1071</x:v>
      </x:c>
    </x:row>
    <x:row r="470" ht="32" customHeight="1">
      <x:c r="A470" s="8">
        <x:v>21</x:v>
      </x:c>
      <x:c r="B470" s="8" t="s">
        <x:v>796</x:v>
      </x:c>
      <x:c r="C470" s="8" t="s">
        <x:v>791</x:v>
      </x:c>
      <x:c r="D470" s="8" t="s">
        <x:v>25</x:v>
      </x:c>
      <x:c r="E470" s="8" t="s">
        <x:v>467</x:v>
      </x:c>
      <x:c r="F470" s="8" t="s">
        <x:v>468</x:v>
      </x:c>
      <x:c r="G470" s="25">
        <x:v>46307</x:v>
      </x:c>
      <x:c r="H470" s="25">
        <x:v>46339</x:v>
      </x:c>
      <x:c r="I470" s="8" t="s">
        <x:v>4</x:v>
      </x:c>
      <x:c r="J470" s="8" t="s">
        <x:v>4</x:v>
      </x:c>
      <x:c r="K470" s="25">
        <x:v>46224</x:v>
      </x:c>
      <x:c r="L470" s="8" t="s">
        <x:v>367</x:v>
      </x:c>
      <x:c r="M470" s="8"/>
      <x:c r="N470" s="10"/>
      <x:c r="O470" s="8" t="s">
        <x:v>1072</x:v>
      </x:c>
    </x:row>
    <x:row r="471" ht="32" customHeight="1">
      <x:c r="A471" s="8">
        <x:v>21</x:v>
      </x:c>
      <x:c r="B471" s="8" t="s">
        <x:v>798</x:v>
      </x:c>
      <x:c r="C471" s="8" t="s">
        <x:v>799</x:v>
      </x:c>
      <x:c r="D471" s="8" t="s">
        <x:v>25</x:v>
      </x:c>
      <x:c r="E471" s="8" t="s">
        <x:v>467</x:v>
      </x:c>
      <x:c r="F471" s="8" t="s">
        <x:v>468</x:v>
      </x:c>
      <x:c r="G471" s="25">
        <x:v>46307</x:v>
      </x:c>
      <x:c r="H471" s="25">
        <x:v>46339</x:v>
      </x:c>
      <x:c r="I471" s="8" t="s">
        <x:v>4</x:v>
      </x:c>
      <x:c r="J471" s="8" t="s">
        <x:v>4</x:v>
      </x:c>
      <x:c r="K471" s="25">
        <x:v>46224</x:v>
      </x:c>
      <x:c r="L471" s="8" t="s">
        <x:v>367</x:v>
      </x:c>
      <x:c r="M471" s="8"/>
      <x:c r="N471" s="10"/>
      <x:c r="O471" s="8" t="s">
        <x:v>1073</x:v>
      </x:c>
    </x:row>
    <x:row r="472" ht="32" customHeight="1">
      <x:c r="A472" s="8">
        <x:v>21</x:v>
      </x:c>
      <x:c r="B472" s="8" t="s">
        <x:v>809</x:v>
      </x:c>
      <x:c r="C472" s="8" t="s">
        <x:v>810</x:v>
      </x:c>
      <x:c r="D472" s="8" t="s">
        <x:v>25</x:v>
      </x:c>
      <x:c r="E472" s="8" t="s">
        <x:v>467</x:v>
      </x:c>
      <x:c r="F472" s="8" t="s">
        <x:v>468</x:v>
      </x:c>
      <x:c r="G472" s="25">
        <x:v>46307</x:v>
      </x:c>
      <x:c r="H472" s="25">
        <x:v>46339</x:v>
      </x:c>
      <x:c r="I472" s="8" t="s">
        <x:v>4</x:v>
      </x:c>
      <x:c r="J472" s="8" t="s">
        <x:v>4</x:v>
      </x:c>
      <x:c r="K472" s="25"/>
      <x:c r="L472" s="8" t="s">
        <x:v>367</x:v>
      </x:c>
      <x:c r="M472" s="8"/>
      <x:c r="N472" s="10"/>
      <x:c r="O472" s="8" t="s">
        <x:v>1074</x:v>
      </x:c>
    </x:row>
    <x:row r="473" ht="32" customHeight="1">
      <x:c r="A473" s="8">
        <x:v>21</x:v>
      </x:c>
      <x:c r="B473" s="8" t="s">
        <x:v>812</x:v>
      </x:c>
      <x:c r="C473" s="8" t="s">
        <x:v>813</x:v>
      </x:c>
      <x:c r="D473" s="8" t="s">
        <x:v>25</x:v>
      </x:c>
      <x:c r="E473" s="8" t="s">
        <x:v>467</x:v>
      </x:c>
      <x:c r="F473" s="8" t="s">
        <x:v>468</x:v>
      </x:c>
      <x:c r="G473" s="25">
        <x:v>46307</x:v>
      </x:c>
      <x:c r="H473" s="25">
        <x:v>46339</x:v>
      </x:c>
      <x:c r="I473" s="8" t="s">
        <x:v>4</x:v>
      </x:c>
      <x:c r="J473" s="8" t="s">
        <x:v>4</x:v>
      </x:c>
      <x:c r="K473" s="25"/>
      <x:c r="L473" s="8" t="s">
        <x:v>367</x:v>
      </x:c>
      <x:c r="M473" s="8"/>
      <x:c r="N473" s="10"/>
      <x:c r="O473" s="8" t="s">
        <x:v>1075</x:v>
      </x:c>
    </x:row>
    <x:row r="474" ht="32" customHeight="1">
      <x:c r="A474" s="8">
        <x:v>21</x:v>
      </x:c>
      <x:c r="B474" s="8" t="s">
        <x:v>815</x:v>
      </x:c>
      <x:c r="C474" s="8" t="s">
        <x:v>816</x:v>
      </x:c>
      <x:c r="D474" s="8" t="s">
        <x:v>25</x:v>
      </x:c>
      <x:c r="E474" s="8" t="s">
        <x:v>467</x:v>
      </x:c>
      <x:c r="F474" s="8" t="s">
        <x:v>468</x:v>
      </x:c>
      <x:c r="G474" s="25">
        <x:v>46307</x:v>
      </x:c>
      <x:c r="H474" s="25">
        <x:v>46339</x:v>
      </x:c>
      <x:c r="I474" s="8" t="s">
        <x:v>4</x:v>
      </x:c>
      <x:c r="J474" s="8" t="s">
        <x:v>4</x:v>
      </x:c>
      <x:c r="K474" s="25"/>
      <x:c r="L474" s="8" t="s">
        <x:v>367</x:v>
      </x:c>
      <x:c r="M474" s="8"/>
      <x:c r="N474" s="10"/>
      <x:c r="O474" s="8" t="s">
        <x:v>1076</x:v>
      </x:c>
    </x:row>
    <x:row r="475" ht="32" customHeight="1">
      <x:c r="A475" s="8">
        <x:v>21</x:v>
      </x:c>
      <x:c r="B475" s="8" t="s">
        <x:v>818</x:v>
      </x:c>
      <x:c r="C475" s="8" t="s">
        <x:v>819</x:v>
      </x:c>
      <x:c r="D475" s="8" t="s">
        <x:v>25</x:v>
      </x:c>
      <x:c r="E475" s="8" t="s">
        <x:v>467</x:v>
      </x:c>
      <x:c r="F475" s="8" t="s">
        <x:v>468</x:v>
      </x:c>
      <x:c r="G475" s="25">
        <x:v>46307</x:v>
      </x:c>
      <x:c r="H475" s="25">
        <x:v>46339</x:v>
      </x:c>
      <x:c r="I475" s="8" t="s">
        <x:v>4</x:v>
      </x:c>
      <x:c r="J475" s="8" t="s">
        <x:v>4</x:v>
      </x:c>
      <x:c r="K475" s="25"/>
      <x:c r="L475" s="8" t="s">
        <x:v>367</x:v>
      </x:c>
      <x:c r="M475" s="8"/>
      <x:c r="N475" s="10"/>
      <x:c r="O475" s="8" t="s">
        <x:v>1077</x:v>
      </x:c>
    </x:row>
    <x:row r="476" ht="32" customHeight="1">
      <x:c r="A476" s="8">
        <x:v>21</x:v>
      </x:c>
      <x:c r="B476" s="8" t="s">
        <x:v>821</x:v>
      </x:c>
      <x:c r="C476" s="8" t="s">
        <x:v>791</x:v>
      </x:c>
      <x:c r="D476" s="8" t="s">
        <x:v>25</x:v>
      </x:c>
      <x:c r="E476" s="8" t="s">
        <x:v>467</x:v>
      </x:c>
      <x:c r="F476" s="8" t="s">
        <x:v>468</x:v>
      </x:c>
      <x:c r="G476" s="25">
        <x:v>46307</x:v>
      </x:c>
      <x:c r="H476" s="25">
        <x:v>46339</x:v>
      </x:c>
      <x:c r="I476" s="8" t="s">
        <x:v>4</x:v>
      </x:c>
      <x:c r="J476" s="8" t="s">
        <x:v>4</x:v>
      </x:c>
      <x:c r="K476" s="25"/>
      <x:c r="L476" s="8" t="s">
        <x:v>367</x:v>
      </x:c>
      <x:c r="M476" s="8"/>
      <x:c r="N476" s="10"/>
      <x:c r="O476" s="8" t="s">
        <x:v>1078</x:v>
      </x:c>
    </x:row>
    <x:row r="477" ht="32" customHeight="1">
      <x:c r="A477" s="8">
        <x:v>21</x:v>
      </x:c>
      <x:c r="B477" s="8" t="s">
        <x:v>823</x:v>
      </x:c>
      <x:c r="C477" s="8" t="s">
        <x:v>794</x:v>
      </x:c>
      <x:c r="D477" s="8" t="s">
        <x:v>25</x:v>
      </x:c>
      <x:c r="E477" s="8" t="s">
        <x:v>467</x:v>
      </x:c>
      <x:c r="F477" s="8" t="s">
        <x:v>468</x:v>
      </x:c>
      <x:c r="G477" s="25">
        <x:v>46307</x:v>
      </x:c>
      <x:c r="H477" s="25">
        <x:v>46339</x:v>
      </x:c>
      <x:c r="I477" s="8" t="s">
        <x:v>4</x:v>
      </x:c>
      <x:c r="J477" s="8" t="s">
        <x:v>4</x:v>
      </x:c>
      <x:c r="K477" s="25"/>
      <x:c r="L477" s="8" t="s">
        <x:v>367</x:v>
      </x:c>
      <x:c r="M477" s="8"/>
      <x:c r="N477" s="10"/>
      <x:c r="O477" s="8" t="s">
        <x:v>1079</x:v>
      </x:c>
    </x:row>
    <x:row r="478" ht="32" customHeight="1">
      <x:c r="A478" s="8">
        <x:v>21</x:v>
      </x:c>
      <x:c r="B478" s="8" t="s">
        <x:v>825</x:v>
      </x:c>
      <x:c r="C478" s="8" t="s">
        <x:v>826</x:v>
      </x:c>
      <x:c r="D478" s="8" t="s">
        <x:v>25</x:v>
      </x:c>
      <x:c r="E478" s="8" t="s">
        <x:v>467</x:v>
      </x:c>
      <x:c r="F478" s="8" t="s">
        <x:v>468</x:v>
      </x:c>
      <x:c r="G478" s="25">
        <x:v>46307</x:v>
      </x:c>
      <x:c r="H478" s="25">
        <x:v>46339</x:v>
      </x:c>
      <x:c r="I478" s="8" t="s">
        <x:v>4</x:v>
      </x:c>
      <x:c r="J478" s="8" t="s">
        <x:v>4</x:v>
      </x:c>
      <x:c r="K478" s="25"/>
      <x:c r="L478" s="8" t="s">
        <x:v>367</x:v>
      </x:c>
      <x:c r="M478" s="8"/>
      <x:c r="N478" s="10"/>
      <x:c r="O478" s="8" t="s">
        <x:v>1080</x:v>
      </x:c>
    </x:row>
    <x:row r="479" ht="32" customHeight="1">
      <x:c r="A479" s="8">
        <x:v>21</x:v>
      </x:c>
      <x:c r="B479" s="8" t="s">
        <x:v>828</x:v>
      </x:c>
      <x:c r="C479" s="8" t="s">
        <x:v>829</x:v>
      </x:c>
      <x:c r="D479" s="8" t="s">
        <x:v>25</x:v>
      </x:c>
      <x:c r="E479" s="8" t="s">
        <x:v>467</x:v>
      </x:c>
      <x:c r="F479" s="8" t="s">
        <x:v>468</x:v>
      </x:c>
      <x:c r="G479" s="25">
        <x:v>46307</x:v>
      </x:c>
      <x:c r="H479" s="25">
        <x:v>46339</x:v>
      </x:c>
      <x:c r="I479" s="8" t="s">
        <x:v>4</x:v>
      </x:c>
      <x:c r="J479" s="8" t="s">
        <x:v>4</x:v>
      </x:c>
      <x:c r="K479" s="25">
        <x:v>46261</x:v>
      </x:c>
      <x:c r="L479" s="8" t="s">
        <x:v>367</x:v>
      </x:c>
      <x:c r="M479" s="8"/>
      <x:c r="N479" s="10"/>
      <x:c r="O479" s="8" t="s">
        <x:v>1081</x:v>
      </x:c>
    </x:row>
    <x:row r="480" ht="32" customHeight="1">
      <x:c r="A480" s="8">
        <x:v>21</x:v>
      </x:c>
      <x:c r="B480" s="8" t="s">
        <x:v>831</x:v>
      </x:c>
      <x:c r="C480" s="8" t="s">
        <x:v>832</x:v>
      </x:c>
      <x:c r="D480" s="8" t="s">
        <x:v>25</x:v>
      </x:c>
      <x:c r="E480" s="8" t="s">
        <x:v>467</x:v>
      </x:c>
      <x:c r="F480" s="8" t="s">
        <x:v>939</x:v>
      </x:c>
      <x:c r="G480" s="25">
        <x:v>46307</x:v>
      </x:c>
      <x:c r="H480" s="25">
        <x:v>46339</x:v>
      </x:c>
      <x:c r="I480" s="8" t="s">
        <x:v>4</x:v>
      </x:c>
      <x:c r="J480" s="8" t="s">
        <x:v>4</x:v>
      </x:c>
      <x:c r="K480" s="25">
        <x:v>46261</x:v>
      </x:c>
      <x:c r="L480" s="8" t="s">
        <x:v>367</x:v>
      </x:c>
      <x:c r="M480" s="8"/>
      <x:c r="N480" s="10"/>
      <x:c r="O480" s="8" t="s">
        <x:v>1082</x:v>
      </x:c>
    </x:row>
    <x:row r="481" ht="32" customHeight="1">
      <x:c r="A481" s="8">
        <x:v>21</x:v>
      </x:c>
      <x:c r="B481" s="8" t="s">
        <x:v>834</x:v>
      </x:c>
      <x:c r="C481" s="8" t="s">
        <x:v>835</x:v>
      </x:c>
      <x:c r="D481" s="8" t="s">
        <x:v>25</x:v>
      </x:c>
      <x:c r="E481" s="8" t="s">
        <x:v>467</x:v>
      </x:c>
      <x:c r="F481" s="8" t="s">
        <x:v>939</x:v>
      </x:c>
      <x:c r="G481" s="25">
        <x:v>46307</x:v>
      </x:c>
      <x:c r="H481" s="25">
        <x:v>46339</x:v>
      </x:c>
      <x:c r="I481" s="8" t="s">
        <x:v>4</x:v>
      </x:c>
      <x:c r="J481" s="8" t="s">
        <x:v>4</x:v>
      </x:c>
      <x:c r="K481" s="25"/>
      <x:c r="L481" s="8" t="s">
        <x:v>367</x:v>
      </x:c>
      <x:c r="M481" s="8"/>
      <x:c r="N481" s="10"/>
      <x:c r="O481" s="8" t="s">
        <x:v>1083</x:v>
      </x:c>
    </x:row>
    <x:row r="482" ht="32" customHeight="1">
      <x:c r="A482" s="8">
        <x:v>21</x:v>
      </x:c>
      <x:c r="B482" s="8" t="s">
        <x:v>837</x:v>
      </x:c>
      <x:c r="C482" s="8" t="s">
        <x:v>838</x:v>
      </x:c>
      <x:c r="D482" s="8" t="s">
        <x:v>25</x:v>
      </x:c>
      <x:c r="E482" s="8" t="s">
        <x:v>467</x:v>
      </x:c>
      <x:c r="F482" s="8" t="s">
        <x:v>468</x:v>
      </x:c>
      <x:c r="G482" s="25">
        <x:v>46307</x:v>
      </x:c>
      <x:c r="H482" s="25">
        <x:v>46339</x:v>
      </x:c>
      <x:c r="I482" s="8" t="s">
        <x:v>4</x:v>
      </x:c>
      <x:c r="J482" s="8" t="s">
        <x:v>4</x:v>
      </x:c>
      <x:c r="K482" s="25"/>
      <x:c r="L482" s="8" t="s">
        <x:v>367</x:v>
      </x:c>
      <x:c r="M482" s="8"/>
      <x:c r="N482" s="10"/>
      <x:c r="O482" s="8" t="s">
        <x:v>1084</x:v>
      </x:c>
    </x:row>
    <x:row r="483" ht="32" customHeight="1">
      <x:c r="A483" s="8">
        <x:v>21</x:v>
      </x:c>
      <x:c r="B483" s="8" t="s">
        <x:v>840</x:v>
      </x:c>
      <x:c r="C483" s="8" t="s">
        <x:v>841</x:v>
      </x:c>
      <x:c r="D483" s="8" t="s">
        <x:v>25</x:v>
      </x:c>
      <x:c r="E483" s="8" t="s">
        <x:v>467</x:v>
      </x:c>
      <x:c r="F483" s="8" t="s">
        <x:v>468</x:v>
      </x:c>
      <x:c r="G483" s="25">
        <x:v>46307</x:v>
      </x:c>
      <x:c r="H483" s="25">
        <x:v>46339</x:v>
      </x:c>
      <x:c r="I483" s="8" t="s">
        <x:v>4</x:v>
      </x:c>
      <x:c r="J483" s="8" t="s">
        <x:v>4</x:v>
      </x:c>
      <x:c r="K483" s="25"/>
      <x:c r="L483" s="8" t="s">
        <x:v>367</x:v>
      </x:c>
      <x:c r="M483" s="8"/>
      <x:c r="N483" s="10"/>
      <x:c r="O483" s="8" t="s">
        <x:v>1085</x:v>
      </x:c>
    </x:row>
    <x:row r="484" ht="32" customHeight="1">
      <x:c r="A484" s="8">
        <x:v>21</x:v>
      </x:c>
      <x:c r="B484" s="8" t="s">
        <x:v>843</x:v>
      </x:c>
      <x:c r="C484" s="8" t="s">
        <x:v>768</x:v>
      </x:c>
      <x:c r="D484" s="8" t="s">
        <x:v>25</x:v>
      </x:c>
      <x:c r="E484" s="8" t="s">
        <x:v>467</x:v>
      </x:c>
      <x:c r="F484" s="8" t="s">
        <x:v>468</x:v>
      </x:c>
      <x:c r="G484" s="25">
        <x:v>46307</x:v>
      </x:c>
      <x:c r="H484" s="25">
        <x:v>46339</x:v>
      </x:c>
      <x:c r="I484" s="8" t="s">
        <x:v>4</x:v>
      </x:c>
      <x:c r="J484" s="8" t="s">
        <x:v>4</x:v>
      </x:c>
      <x:c r="K484" s="25"/>
      <x:c r="L484" s="8" t="s">
        <x:v>367</x:v>
      </x:c>
      <x:c r="M484" s="8"/>
      <x:c r="N484" s="10"/>
      <x:c r="O484" s="8" t="s">
        <x:v>1086</x:v>
      </x:c>
    </x:row>
    <x:row r="485" ht="32" customHeight="1">
      <x:c r="A485" s="8">
        <x:v>21</x:v>
      </x:c>
      <x:c r="B485" s="8" t="s">
        <x:v>845</x:v>
      </x:c>
      <x:c r="C485" s="8" t="s">
        <x:v>774</x:v>
      </x:c>
      <x:c r="D485" s="8" t="s">
        <x:v>25</x:v>
      </x:c>
      <x:c r="E485" s="8" t="s">
        <x:v>467</x:v>
      </x:c>
      <x:c r="F485" s="8" t="s">
        <x:v>468</x:v>
      </x:c>
      <x:c r="G485" s="25">
        <x:v>46307</x:v>
      </x:c>
      <x:c r="H485" s="25">
        <x:v>46339</x:v>
      </x:c>
      <x:c r="I485" s="8" t="s">
        <x:v>4</x:v>
      </x:c>
      <x:c r="J485" s="8" t="s">
        <x:v>4</x:v>
      </x:c>
      <x:c r="K485" s="25"/>
      <x:c r="L485" s="8" t="s">
        <x:v>367</x:v>
      </x:c>
      <x:c r="M485" s="8"/>
      <x:c r="N485" s="10"/>
      <x:c r="O485" s="8" t="s">
        <x:v>1087</x:v>
      </x:c>
    </x:row>
    <x:row r="486" ht="32" customHeight="1">
      <x:c r="A486" s="8">
        <x:v>21</x:v>
      </x:c>
      <x:c r="B486" s="8" t="s">
        <x:v>847</x:v>
      </x:c>
      <x:c r="C486" s="8" t="s">
        <x:v>848</x:v>
      </x:c>
      <x:c r="D486" s="8" t="s">
        <x:v>25</x:v>
      </x:c>
      <x:c r="E486" s="8" t="s">
        <x:v>467</x:v>
      </x:c>
      <x:c r="F486" s="8" t="s">
        <x:v>468</x:v>
      </x:c>
      <x:c r="G486" s="25">
        <x:v>46307</x:v>
      </x:c>
      <x:c r="H486" s="25">
        <x:v>46339</x:v>
      </x:c>
      <x:c r="I486" s="8" t="s">
        <x:v>4</x:v>
      </x:c>
      <x:c r="J486" s="8" t="s">
        <x:v>4</x:v>
      </x:c>
      <x:c r="K486" s="25"/>
      <x:c r="L486" s="8" t="s">
        <x:v>367</x:v>
      </x:c>
      <x:c r="M486" s="8"/>
      <x:c r="N486" s="10"/>
      <x:c r="O486" s="8" t="s">
        <x:v>1088</x:v>
      </x:c>
    </x:row>
    <x:row r="487" ht="32" customHeight="1">
      <x:c r="A487" s="8">
        <x:v>21</x:v>
      </x:c>
      <x:c r="B487" s="8" t="s">
        <x:v>850</x:v>
      </x:c>
      <x:c r="C487" s="8" t="s">
        <x:v>851</x:v>
      </x:c>
      <x:c r="D487" s="8" t="s">
        <x:v>25</x:v>
      </x:c>
      <x:c r="E487" s="8" t="s">
        <x:v>467</x:v>
      </x:c>
      <x:c r="F487" s="8" t="s">
        <x:v>468</x:v>
      </x:c>
      <x:c r="G487" s="25">
        <x:v>46307</x:v>
      </x:c>
      <x:c r="H487" s="25">
        <x:v>46339</x:v>
      </x:c>
      <x:c r="I487" s="8" t="s">
        <x:v>4</x:v>
      </x:c>
      <x:c r="J487" s="8" t="s">
        <x:v>4</x:v>
      </x:c>
      <x:c r="K487" s="25"/>
      <x:c r="L487" s="8" t="s">
        <x:v>367</x:v>
      </x:c>
      <x:c r="M487" s="8"/>
      <x:c r="N487" s="10"/>
      <x:c r="O487" s="8" t="s">
        <x:v>1089</x:v>
      </x:c>
    </x:row>
    <x:row r="488" ht="32" customHeight="1">
      <x:c r="A488" s="8">
        <x:v>21</x:v>
      </x:c>
      <x:c r="B488" s="8" t="s">
        <x:v>853</x:v>
      </x:c>
      <x:c r="C488" s="8" t="s">
        <x:v>854</x:v>
      </x:c>
      <x:c r="D488" s="8" t="s">
        <x:v>25</x:v>
      </x:c>
      <x:c r="E488" s="8" t="s">
        <x:v>467</x:v>
      </x:c>
      <x:c r="F488" s="8" t="s">
        <x:v>468</x:v>
      </x:c>
      <x:c r="G488" s="25">
        <x:v>46307</x:v>
      </x:c>
      <x:c r="H488" s="25">
        <x:v>46339</x:v>
      </x:c>
      <x:c r="I488" s="8" t="s">
        <x:v>4</x:v>
      </x:c>
      <x:c r="J488" s="8" t="s">
        <x:v>4</x:v>
      </x:c>
      <x:c r="K488" s="25"/>
      <x:c r="L488" s="8" t="s">
        <x:v>367</x:v>
      </x:c>
      <x:c r="M488" s="8"/>
      <x:c r="N488" s="10"/>
      <x:c r="O488" s="8" t="s">
        <x:v>1090</x:v>
      </x:c>
    </x:row>
    <x:row r="489" ht="32" customHeight="1">
      <x:c r="A489" s="8">
        <x:v>21</x:v>
      </x:c>
      <x:c r="B489" s="8" t="s">
        <x:v>856</x:v>
      </x:c>
      <x:c r="C489" s="8" t="s">
        <x:v>857</x:v>
      </x:c>
      <x:c r="D489" s="8" t="s">
        <x:v>25</x:v>
      </x:c>
      <x:c r="E489" s="8" t="s">
        <x:v>467</x:v>
      </x:c>
      <x:c r="F489" s="8" t="s">
        <x:v>939</x:v>
      </x:c>
      <x:c r="G489" s="25">
        <x:v>46307</x:v>
      </x:c>
      <x:c r="H489" s="25">
        <x:v>46339</x:v>
      </x:c>
      <x:c r="I489" s="8" t="s">
        <x:v>4</x:v>
      </x:c>
      <x:c r="J489" s="8" t="s">
        <x:v>4</x:v>
      </x:c>
      <x:c r="K489" s="25"/>
      <x:c r="L489" s="8" t="s">
        <x:v>367</x:v>
      </x:c>
      <x:c r="M489" s="8"/>
      <x:c r="N489" s="10"/>
      <x:c r="O489" s="8" t="s">
        <x:v>1091</x:v>
      </x:c>
    </x:row>
    <x:row r="490" ht="32" customHeight="1">
      <x:c r="A490" s="8">
        <x:v>21</x:v>
      </x:c>
      <x:c r="B490" s="8" t="s">
        <x:v>859</x:v>
      </x:c>
      <x:c r="C490" s="8" t="s">
        <x:v>771</x:v>
      </x:c>
      <x:c r="D490" s="8" t="s">
        <x:v>25</x:v>
      </x:c>
      <x:c r="E490" s="8" t="s">
        <x:v>467</x:v>
      </x:c>
      <x:c r="F490" s="8" t="s">
        <x:v>468</x:v>
      </x:c>
      <x:c r="G490" s="25">
        <x:v>46307</x:v>
      </x:c>
      <x:c r="H490" s="25">
        <x:v>46339</x:v>
      </x:c>
      <x:c r="I490" s="8" t="s">
        <x:v>4</x:v>
      </x:c>
      <x:c r="J490" s="8" t="s">
        <x:v>4</x:v>
      </x:c>
      <x:c r="K490" s="25"/>
      <x:c r="L490" s="8" t="s">
        <x:v>367</x:v>
      </x:c>
      <x:c r="M490" s="8"/>
      <x:c r="N490" s="10"/>
      <x:c r="O490" s="8" t="s">
        <x:v>1092</x:v>
      </x:c>
    </x:row>
    <x:row r="491" ht="32" customHeight="1">
      <x:c r="A491" s="8">
        <x:v>21</x:v>
      </x:c>
      <x:c r="B491" s="8" t="s">
        <x:v>719</x:v>
      </x:c>
      <x:c r="C491" s="8" t="s">
        <x:v>720</x:v>
      </x:c>
      <x:c r="D491" s="8" t="s">
        <x:v>25</x:v>
      </x:c>
      <x:c r="E491" s="8" t="s">
        <x:v>479</x:v>
      </x:c>
      <x:c r="F491" s="8" t="s">
        <x:v>480</x:v>
      </x:c>
      <x:c r="G491" s="25">
        <x:v>46307</x:v>
      </x:c>
      <x:c r="H491" s="25">
        <x:v>46339</x:v>
      </x:c>
      <x:c r="I491" s="8" t="s">
        <x:v>2</x:v>
      </x:c>
      <x:c r="J491" s="8" t="s">
        <x:v>2</x:v>
      </x:c>
      <x:c r="K491" s="25"/>
      <x:c r="L491" s="8" t="s">
        <x:v>367</x:v>
      </x:c>
      <x:c r="M491" s="8" t="s">
        <x:v>368</x:v>
      </x:c>
      <x:c r="N491" s="10"/>
      <x:c r="O491" s="8" t="s">
        <x:v>1093</x:v>
      </x:c>
    </x:row>
    <x:row r="492" ht="32" customHeight="1">
      <x:c r="A492" s="8">
        <x:v>21</x:v>
      </x:c>
      <x:c r="B492" s="8" t="s">
        <x:v>722</x:v>
      </x:c>
      <x:c r="C492" s="8" t="s">
        <x:v>723</x:v>
      </x:c>
      <x:c r="D492" s="8" t="s">
        <x:v>25</x:v>
      </x:c>
      <x:c r="E492" s="8" t="s">
        <x:v>479</x:v>
      </x:c>
      <x:c r="F492" s="8" t="s">
        <x:v>480</x:v>
      </x:c>
      <x:c r="G492" s="25">
        <x:v>46307</x:v>
      </x:c>
      <x:c r="H492" s="25">
        <x:v>46339</x:v>
      </x:c>
      <x:c r="I492" s="8" t="s">
        <x:v>4</x:v>
      </x:c>
      <x:c r="J492" s="8" t="s">
        <x:v>3</x:v>
      </x:c>
      <x:c r="K492" s="25"/>
      <x:c r="L492" s="8" t="s">
        <x:v>367</x:v>
      </x:c>
      <x:c r="M492" s="8"/>
      <x:c r="N492" s="10"/>
      <x:c r="O492" s="8" t="s">
        <x:v>1094</x:v>
      </x:c>
    </x:row>
    <x:row r="493" ht="32" customHeight="1">
      <x:c r="A493" s="8">
        <x:v>21</x:v>
      </x:c>
      <x:c r="B493" s="8" t="s">
        <x:v>731</x:v>
      </x:c>
      <x:c r="C493" s="8" t="s">
        <x:v>732</x:v>
      </x:c>
      <x:c r="D493" s="8" t="s">
        <x:v>25</x:v>
      </x:c>
      <x:c r="E493" s="8" t="s">
        <x:v>479</x:v>
      </x:c>
      <x:c r="F493" s="8" t="s">
        <x:v>480</x:v>
      </x:c>
      <x:c r="G493" s="25">
        <x:v>46307</x:v>
      </x:c>
      <x:c r="H493" s="25">
        <x:v>46339</x:v>
      </x:c>
      <x:c r="I493" s="8" t="s">
        <x:v>4</x:v>
      </x:c>
      <x:c r="J493" s="8" t="s">
        <x:v>4</x:v>
      </x:c>
      <x:c r="K493" s="25"/>
      <x:c r="L493" s="8" t="s">
        <x:v>367</x:v>
      </x:c>
      <x:c r="M493" s="8"/>
      <x:c r="N493" s="10"/>
      <x:c r="O493" s="8" t="s">
        <x:v>1095</x:v>
      </x:c>
    </x:row>
    <x:row r="494" ht="32" customHeight="1">
      <x:c r="A494" s="8">
        <x:v>21</x:v>
      </x:c>
      <x:c r="B494" s="8" t="s">
        <x:v>734</x:v>
      </x:c>
      <x:c r="C494" s="8" t="s">
        <x:v>735</x:v>
      </x:c>
      <x:c r="D494" s="8" t="s">
        <x:v>25</x:v>
      </x:c>
      <x:c r="E494" s="8" t="s">
        <x:v>479</x:v>
      </x:c>
      <x:c r="F494" s="8" t="s">
        <x:v>480</x:v>
      </x:c>
      <x:c r="G494" s="25">
        <x:v>46307</x:v>
      </x:c>
      <x:c r="H494" s="25">
        <x:v>46339</x:v>
      </x:c>
      <x:c r="I494" s="8" t="s">
        <x:v>4</x:v>
      </x:c>
      <x:c r="J494" s="8" t="s">
        <x:v>4</x:v>
      </x:c>
      <x:c r="K494" s="25"/>
      <x:c r="L494" s="8" t="s">
        <x:v>367</x:v>
      </x:c>
      <x:c r="M494" s="8"/>
      <x:c r="N494" s="10"/>
      <x:c r="O494" s="8" t="s">
        <x:v>1096</x:v>
      </x:c>
    </x:row>
    <x:row r="495" ht="32" customHeight="1">
      <x:c r="A495" s="8">
        <x:v>21</x:v>
      </x:c>
      <x:c r="B495" s="8" t="s">
        <x:v>737</x:v>
      </x:c>
      <x:c r="C495" s="8" t="s">
        <x:v>738</x:v>
      </x:c>
      <x:c r="D495" s="8" t="s">
        <x:v>25</x:v>
      </x:c>
      <x:c r="E495" s="8" t="s">
        <x:v>479</x:v>
      </x:c>
      <x:c r="F495" s="8" t="s">
        <x:v>480</x:v>
      </x:c>
      <x:c r="G495" s="25">
        <x:v>46307</x:v>
      </x:c>
      <x:c r="H495" s="25">
        <x:v>46339</x:v>
      </x:c>
      <x:c r="I495" s="8" t="s">
        <x:v>4</x:v>
      </x:c>
      <x:c r="J495" s="8" t="s">
        <x:v>4</x:v>
      </x:c>
      <x:c r="K495" s="25"/>
      <x:c r="L495" s="8" t="s">
        <x:v>367</x:v>
      </x:c>
      <x:c r="M495" s="8"/>
      <x:c r="N495" s="10"/>
      <x:c r="O495" s="8" t="s">
        <x:v>1097</x:v>
      </x:c>
    </x:row>
    <x:row r="496" ht="32" customHeight="1">
      <x:c r="A496" s="8">
        <x:v>21</x:v>
      </x:c>
      <x:c r="B496" s="8" t="s">
        <x:v>740</x:v>
      </x:c>
      <x:c r="C496" s="8" t="s">
        <x:v>741</x:v>
      </x:c>
      <x:c r="D496" s="8" t="s">
        <x:v>25</x:v>
      </x:c>
      <x:c r="E496" s="8" t="s">
        <x:v>479</x:v>
      </x:c>
      <x:c r="F496" s="8" t="s">
        <x:v>480</x:v>
      </x:c>
      <x:c r="G496" s="25">
        <x:v>46307</x:v>
      </x:c>
      <x:c r="H496" s="25">
        <x:v>46339</x:v>
      </x:c>
      <x:c r="I496" s="8" t="s">
        <x:v>4</x:v>
      </x:c>
      <x:c r="J496" s="8" t="s">
        <x:v>4</x:v>
      </x:c>
      <x:c r="K496" s="25">
        <x:v>46261</x:v>
      </x:c>
      <x:c r="L496" s="8" t="s">
        <x:v>367</x:v>
      </x:c>
      <x:c r="M496" s="8"/>
      <x:c r="N496" s="10"/>
      <x:c r="O496" s="8" t="s">
        <x:v>1098</x:v>
      </x:c>
    </x:row>
    <x:row r="497" ht="32" customHeight="1">
      <x:c r="A497" s="8">
        <x:v>21</x:v>
      </x:c>
      <x:c r="B497" s="8" t="s">
        <x:v>749</x:v>
      </x:c>
      <x:c r="C497" s="8" t="s">
        <x:v>750</x:v>
      </x:c>
      <x:c r="D497" s="8" t="s">
        <x:v>25</x:v>
      </x:c>
      <x:c r="E497" s="8" t="s">
        <x:v>479</x:v>
      </x:c>
      <x:c r="F497" s="8" t="s">
        <x:v>480</x:v>
      </x:c>
      <x:c r="G497" s="25">
        <x:v>46307</x:v>
      </x:c>
      <x:c r="H497" s="25">
        <x:v>46339</x:v>
      </x:c>
      <x:c r="I497" s="8" t="s">
        <x:v>4</x:v>
      </x:c>
      <x:c r="J497" s="8" t="s">
        <x:v>3</x:v>
      </x:c>
      <x:c r="K497" s="25">
        <x:v>46261</x:v>
      </x:c>
      <x:c r="L497" s="8" t="s">
        <x:v>367</x:v>
      </x:c>
      <x:c r="M497" s="8"/>
      <x:c r="N497" s="10"/>
      <x:c r="O497" s="8" t="s">
        <x:v>1099</x:v>
      </x:c>
    </x:row>
    <x:row r="498" ht="32" customHeight="1">
      <x:c r="A498" s="8">
        <x:v>21</x:v>
      </x:c>
      <x:c r="B498" s="8" t="s">
        <x:v>752</x:v>
      </x:c>
      <x:c r="C498" s="8" t="s">
        <x:v>753</x:v>
      </x:c>
      <x:c r="D498" s="8" t="s">
        <x:v>25</x:v>
      </x:c>
      <x:c r="E498" s="8" t="s">
        <x:v>479</x:v>
      </x:c>
      <x:c r="F498" s="8" t="s">
        <x:v>480</x:v>
      </x:c>
      <x:c r="G498" s="25">
        <x:v>46307</x:v>
      </x:c>
      <x:c r="H498" s="25">
        <x:v>46339</x:v>
      </x:c>
      <x:c r="I498" s="8" t="s">
        <x:v>4</x:v>
      </x:c>
      <x:c r="J498" s="8" t="s">
        <x:v>3</x:v>
      </x:c>
      <x:c r="K498" s="25">
        <x:v>46261</x:v>
      </x:c>
      <x:c r="L498" s="8" t="s">
        <x:v>367</x:v>
      </x:c>
      <x:c r="M498" s="8"/>
      <x:c r="N498" s="10"/>
      <x:c r="O498" s="8" t="s">
        <x:v>1100</x:v>
      </x:c>
    </x:row>
    <x:row r="499" ht="32" customHeight="1">
      <x:c r="A499" s="8">
        <x:v>21</x:v>
      </x:c>
      <x:c r="B499" s="8" t="s">
        <x:v>776</x:v>
      </x:c>
      <x:c r="C499" s="8" t="s">
        <x:v>777</x:v>
      </x:c>
      <x:c r="D499" s="8" t="s">
        <x:v>25</x:v>
      </x:c>
      <x:c r="E499" s="8" t="s">
        <x:v>479</x:v>
      </x:c>
      <x:c r="F499" s="8" t="s">
        <x:v>480</x:v>
      </x:c>
      <x:c r="G499" s="25">
        <x:v>46307</x:v>
      </x:c>
      <x:c r="H499" s="25">
        <x:v>46339</x:v>
      </x:c>
      <x:c r="I499" s="8" t="s">
        <x:v>2</x:v>
      </x:c>
      <x:c r="J499" s="8" t="s">
        <x:v>2</x:v>
      </x:c>
      <x:c r="K499" s="25"/>
      <x:c r="L499" s="8" t="s">
        <x:v>367</x:v>
      </x:c>
      <x:c r="M499" s="8" t="s">
        <x:v>368</x:v>
      </x:c>
      <x:c r="N499" s="10"/>
      <x:c r="O499" s="8" t="s">
        <x:v>1101</x:v>
      </x:c>
    </x:row>
    <x:row r="500" ht="32" customHeight="1">
      <x:c r="A500" s="8">
        <x:v>21</x:v>
      </x:c>
      <x:c r="B500" s="8" t="s">
        <x:v>779</x:v>
      </x:c>
      <x:c r="C500" s="8" t="s">
        <x:v>780</x:v>
      </x:c>
      <x:c r="D500" s="8" t="s">
        <x:v>25</x:v>
      </x:c>
      <x:c r="E500" s="8" t="s">
        <x:v>479</x:v>
      </x:c>
      <x:c r="F500" s="8" t="s">
        <x:v>480</x:v>
      </x:c>
      <x:c r="G500" s="25">
        <x:v>46307</x:v>
      </x:c>
      <x:c r="H500" s="25">
        <x:v>46339</x:v>
      </x:c>
      <x:c r="I500" s="8" t="s">
        <x:v>4</x:v>
      </x:c>
      <x:c r="J500" s="8" t="s">
        <x:v>4</x:v>
      </x:c>
      <x:c r="K500" s="25"/>
      <x:c r="L500" s="8" t="s">
        <x:v>367</x:v>
      </x:c>
      <x:c r="M500" s="8"/>
      <x:c r="N500" s="10"/>
      <x:c r="O500" s="8" t="s">
        <x:v>1102</x:v>
      </x:c>
    </x:row>
    <x:row r="501" ht="32" customHeight="1">
      <x:c r="A501" s="8">
        <x:v>21</x:v>
      </x:c>
      <x:c r="B501" s="8" t="s">
        <x:v>782</x:v>
      </x:c>
      <x:c r="C501" s="8" t="s">
        <x:v>780</x:v>
      </x:c>
      <x:c r="D501" s="8" t="s">
        <x:v>25</x:v>
      </x:c>
      <x:c r="E501" s="8" t="s">
        <x:v>479</x:v>
      </x:c>
      <x:c r="F501" s="8" t="s">
        <x:v>480</x:v>
      </x:c>
      <x:c r="G501" s="25">
        <x:v>46307</x:v>
      </x:c>
      <x:c r="H501" s="25">
        <x:v>46339</x:v>
      </x:c>
      <x:c r="I501" s="8" t="s">
        <x:v>4</x:v>
      </x:c>
      <x:c r="J501" s="8" t="s">
        <x:v>4</x:v>
      </x:c>
      <x:c r="K501" s="25">
        <x:v>46261</x:v>
      </x:c>
      <x:c r="L501" s="8" t="s">
        <x:v>367</x:v>
      </x:c>
      <x:c r="M501" s="8"/>
      <x:c r="N501" s="10"/>
      <x:c r="O501" s="8" t="s">
        <x:v>1103</x:v>
      </x:c>
    </x:row>
    <x:row r="502" ht="32" customHeight="1">
      <x:c r="A502" s="8">
        <x:v>21</x:v>
      </x:c>
      <x:c r="B502" s="8" t="s">
        <x:v>784</x:v>
      </x:c>
      <x:c r="C502" s="8" t="s">
        <x:v>785</x:v>
      </x:c>
      <x:c r="D502" s="8" t="s">
        <x:v>25</x:v>
      </x:c>
      <x:c r="E502" s="8" t="s">
        <x:v>479</x:v>
      </x:c>
      <x:c r="F502" s="8" t="s">
        <x:v>480</x:v>
      </x:c>
      <x:c r="G502" s="25">
        <x:v>46307</x:v>
      </x:c>
      <x:c r="H502" s="25">
        <x:v>46339</x:v>
      </x:c>
      <x:c r="I502" s="8" t="s">
        <x:v>2</x:v>
      </x:c>
      <x:c r="J502" s="8" t="s">
        <x:v>2</x:v>
      </x:c>
      <x:c r="K502" s="25">
        <x:v>46261</x:v>
      </x:c>
      <x:c r="L502" s="8" t="s">
        <x:v>367</x:v>
      </x:c>
      <x:c r="M502" s="8"/>
      <x:c r="N502" s="10"/>
      <x:c r="O502" s="8" t="s">
        <x:v>1104</x:v>
      </x:c>
    </x:row>
    <x:row r="503" ht="32" customHeight="1">
      <x:c r="A503" s="8">
        <x:v>21</x:v>
      </x:c>
      <x:c r="B503" s="8" t="s">
        <x:v>790</x:v>
      </x:c>
      <x:c r="C503" s="8" t="s">
        <x:v>791</x:v>
      </x:c>
      <x:c r="D503" s="8" t="s">
        <x:v>25</x:v>
      </x:c>
      <x:c r="E503" s="8" t="s">
        <x:v>479</x:v>
      </x:c>
      <x:c r="F503" s="8" t="s">
        <x:v>480</x:v>
      </x:c>
      <x:c r="G503" s="25">
        <x:v>46307</x:v>
      </x:c>
      <x:c r="H503" s="25">
        <x:v>46339</x:v>
      </x:c>
      <x:c r="I503" s="8" t="s">
        <x:v>4</x:v>
      </x:c>
      <x:c r="J503" s="8" t="s">
        <x:v>4</x:v>
      </x:c>
      <x:c r="K503" s="25"/>
      <x:c r="L503" s="8" t="s">
        <x:v>367</x:v>
      </x:c>
      <x:c r="M503" s="8"/>
      <x:c r="N503" s="10"/>
      <x:c r="O503" s="8" t="s">
        <x:v>1105</x:v>
      </x:c>
    </x:row>
    <x:row r="504" ht="32" customHeight="1">
      <x:c r="A504" s="8">
        <x:v>21</x:v>
      </x:c>
      <x:c r="B504" s="8" t="s">
        <x:v>793</x:v>
      </x:c>
      <x:c r="C504" s="8" t="s">
        <x:v>794</x:v>
      </x:c>
      <x:c r="D504" s="8" t="s">
        <x:v>25</x:v>
      </x:c>
      <x:c r="E504" s="8" t="s">
        <x:v>479</x:v>
      </x:c>
      <x:c r="F504" s="8" t="s">
        <x:v>480</x:v>
      </x:c>
      <x:c r="G504" s="25">
        <x:v>46307</x:v>
      </x:c>
      <x:c r="H504" s="25">
        <x:v>46339</x:v>
      </x:c>
      <x:c r="I504" s="8" t="s">
        <x:v>4</x:v>
      </x:c>
      <x:c r="J504" s="8" t="s">
        <x:v>4</x:v>
      </x:c>
      <x:c r="K504" s="25">
        <x:v>46224</x:v>
      </x:c>
      <x:c r="L504" s="8" t="s">
        <x:v>367</x:v>
      </x:c>
      <x:c r="M504" s="8"/>
      <x:c r="N504" s="10"/>
      <x:c r="O504" s="8" t="s">
        <x:v>1106</x:v>
      </x:c>
    </x:row>
    <x:row r="505" ht="32" customHeight="1">
      <x:c r="A505" s="8">
        <x:v>21</x:v>
      </x:c>
      <x:c r="B505" s="8" t="s">
        <x:v>796</x:v>
      </x:c>
      <x:c r="C505" s="8" t="s">
        <x:v>791</x:v>
      </x:c>
      <x:c r="D505" s="8" t="s">
        <x:v>25</x:v>
      </x:c>
      <x:c r="E505" s="8" t="s">
        <x:v>479</x:v>
      </x:c>
      <x:c r="F505" s="8" t="s">
        <x:v>480</x:v>
      </x:c>
      <x:c r="G505" s="25">
        <x:v>46307</x:v>
      </x:c>
      <x:c r="H505" s="25">
        <x:v>46339</x:v>
      </x:c>
      <x:c r="I505" s="8" t="s">
        <x:v>4</x:v>
      </x:c>
      <x:c r="J505" s="8" t="s">
        <x:v>4</x:v>
      </x:c>
      <x:c r="K505" s="25">
        <x:v>46224</x:v>
      </x:c>
      <x:c r="L505" s="8" t="s">
        <x:v>367</x:v>
      </x:c>
      <x:c r="M505" s="8"/>
      <x:c r="N505" s="10"/>
      <x:c r="O505" s="8" t="s">
        <x:v>1107</x:v>
      </x:c>
    </x:row>
    <x:row r="506" ht="32" customHeight="1">
      <x:c r="A506" s="8">
        <x:v>21</x:v>
      </x:c>
      <x:c r="B506" s="8" t="s">
        <x:v>798</x:v>
      </x:c>
      <x:c r="C506" s="8" t="s">
        <x:v>799</x:v>
      </x:c>
      <x:c r="D506" s="8" t="s">
        <x:v>25</x:v>
      </x:c>
      <x:c r="E506" s="8" t="s">
        <x:v>479</x:v>
      </x:c>
      <x:c r="F506" s="8" t="s">
        <x:v>480</x:v>
      </x:c>
      <x:c r="G506" s="25">
        <x:v>46307</x:v>
      </x:c>
      <x:c r="H506" s="25">
        <x:v>46339</x:v>
      </x:c>
      <x:c r="I506" s="8" t="s">
        <x:v>4</x:v>
      </x:c>
      <x:c r="J506" s="8" t="s">
        <x:v>4</x:v>
      </x:c>
      <x:c r="K506" s="25">
        <x:v>46224</x:v>
      </x:c>
      <x:c r="L506" s="8" t="s">
        <x:v>367</x:v>
      </x:c>
      <x:c r="M506" s="8"/>
      <x:c r="N506" s="10"/>
      <x:c r="O506" s="8" t="s">
        <x:v>1108</x:v>
      </x:c>
    </x:row>
    <x:row r="507" ht="32" customHeight="1">
      <x:c r="A507" s="8">
        <x:v>21</x:v>
      </x:c>
      <x:c r="B507" s="8" t="s">
        <x:v>809</x:v>
      </x:c>
      <x:c r="C507" s="8" t="s">
        <x:v>810</x:v>
      </x:c>
      <x:c r="D507" s="8" t="s">
        <x:v>25</x:v>
      </x:c>
      <x:c r="E507" s="8" t="s">
        <x:v>479</x:v>
      </x:c>
      <x:c r="F507" s="8" t="s">
        <x:v>480</x:v>
      </x:c>
      <x:c r="G507" s="25">
        <x:v>46307</x:v>
      </x:c>
      <x:c r="H507" s="25">
        <x:v>46339</x:v>
      </x:c>
      <x:c r="I507" s="8" t="s">
        <x:v>4</x:v>
      </x:c>
      <x:c r="J507" s="8" t="s">
        <x:v>4</x:v>
      </x:c>
      <x:c r="K507" s="25"/>
      <x:c r="L507" s="8" t="s">
        <x:v>367</x:v>
      </x:c>
      <x:c r="M507" s="8"/>
      <x:c r="N507" s="10"/>
      <x:c r="O507" s="8" t="s">
        <x:v>1109</x:v>
      </x:c>
    </x:row>
    <x:row r="508" ht="32" customHeight="1">
      <x:c r="A508" s="8">
        <x:v>21</x:v>
      </x:c>
      <x:c r="B508" s="8" t="s">
        <x:v>812</x:v>
      </x:c>
      <x:c r="C508" s="8" t="s">
        <x:v>813</x:v>
      </x:c>
      <x:c r="D508" s="8" t="s">
        <x:v>25</x:v>
      </x:c>
      <x:c r="E508" s="8" t="s">
        <x:v>479</x:v>
      </x:c>
      <x:c r="F508" s="8" t="s">
        <x:v>480</x:v>
      </x:c>
      <x:c r="G508" s="25">
        <x:v>46307</x:v>
      </x:c>
      <x:c r="H508" s="25">
        <x:v>46339</x:v>
      </x:c>
      <x:c r="I508" s="8" t="s">
        <x:v>4</x:v>
      </x:c>
      <x:c r="J508" s="8" t="s">
        <x:v>4</x:v>
      </x:c>
      <x:c r="K508" s="25"/>
      <x:c r="L508" s="8" t="s">
        <x:v>367</x:v>
      </x:c>
      <x:c r="M508" s="8"/>
      <x:c r="N508" s="10"/>
      <x:c r="O508" s="8" t="s">
        <x:v>1110</x:v>
      </x:c>
    </x:row>
    <x:row r="509" ht="32" customHeight="1">
      <x:c r="A509" s="8">
        <x:v>21</x:v>
      </x:c>
      <x:c r="B509" s="8" t="s">
        <x:v>815</x:v>
      </x:c>
      <x:c r="C509" s="8" t="s">
        <x:v>816</x:v>
      </x:c>
      <x:c r="D509" s="8" t="s">
        <x:v>25</x:v>
      </x:c>
      <x:c r="E509" s="8" t="s">
        <x:v>479</x:v>
      </x:c>
      <x:c r="F509" s="8" t="s">
        <x:v>480</x:v>
      </x:c>
      <x:c r="G509" s="25">
        <x:v>46307</x:v>
      </x:c>
      <x:c r="H509" s="25">
        <x:v>46339</x:v>
      </x:c>
      <x:c r="I509" s="8" t="s">
        <x:v>4</x:v>
      </x:c>
      <x:c r="J509" s="8" t="s">
        <x:v>4</x:v>
      </x:c>
      <x:c r="K509" s="25"/>
      <x:c r="L509" s="8" t="s">
        <x:v>367</x:v>
      </x:c>
      <x:c r="M509" s="8"/>
      <x:c r="N509" s="10"/>
      <x:c r="O509" s="8" t="s">
        <x:v>1111</x:v>
      </x:c>
    </x:row>
    <x:row r="510" ht="32" customHeight="1">
      <x:c r="A510" s="8">
        <x:v>21</x:v>
      </x:c>
      <x:c r="B510" s="8" t="s">
        <x:v>818</x:v>
      </x:c>
      <x:c r="C510" s="8" t="s">
        <x:v>819</x:v>
      </x:c>
      <x:c r="D510" s="8" t="s">
        <x:v>25</x:v>
      </x:c>
      <x:c r="E510" s="8" t="s">
        <x:v>479</x:v>
      </x:c>
      <x:c r="F510" s="8" t="s">
        <x:v>480</x:v>
      </x:c>
      <x:c r="G510" s="25">
        <x:v>46307</x:v>
      </x:c>
      <x:c r="H510" s="25">
        <x:v>46339</x:v>
      </x:c>
      <x:c r="I510" s="8" t="s">
        <x:v>4</x:v>
      </x:c>
      <x:c r="J510" s="8" t="s">
        <x:v>4</x:v>
      </x:c>
      <x:c r="K510" s="25"/>
      <x:c r="L510" s="8" t="s">
        <x:v>367</x:v>
      </x:c>
      <x:c r="M510" s="8"/>
      <x:c r="N510" s="10"/>
      <x:c r="O510" s="8" t="s">
        <x:v>1112</x:v>
      </x:c>
    </x:row>
    <x:row r="511" ht="32" customHeight="1">
      <x:c r="A511" s="8">
        <x:v>21</x:v>
      </x:c>
      <x:c r="B511" s="8" t="s">
        <x:v>821</x:v>
      </x:c>
      <x:c r="C511" s="8" t="s">
        <x:v>791</x:v>
      </x:c>
      <x:c r="D511" s="8" t="s">
        <x:v>25</x:v>
      </x:c>
      <x:c r="E511" s="8" t="s">
        <x:v>479</x:v>
      </x:c>
      <x:c r="F511" s="8" t="s">
        <x:v>480</x:v>
      </x:c>
      <x:c r="G511" s="25">
        <x:v>46307</x:v>
      </x:c>
      <x:c r="H511" s="25">
        <x:v>46339</x:v>
      </x:c>
      <x:c r="I511" s="8" t="s">
        <x:v>4</x:v>
      </x:c>
      <x:c r="J511" s="8" t="s">
        <x:v>4</x:v>
      </x:c>
      <x:c r="K511" s="25"/>
      <x:c r="L511" s="8" t="s">
        <x:v>367</x:v>
      </x:c>
      <x:c r="M511" s="8"/>
      <x:c r="N511" s="10"/>
      <x:c r="O511" s="8" t="s">
        <x:v>1113</x:v>
      </x:c>
    </x:row>
    <x:row r="512" ht="32" customHeight="1">
      <x:c r="A512" s="8">
        <x:v>21</x:v>
      </x:c>
      <x:c r="B512" s="8" t="s">
        <x:v>823</x:v>
      </x:c>
      <x:c r="C512" s="8" t="s">
        <x:v>794</x:v>
      </x:c>
      <x:c r="D512" s="8" t="s">
        <x:v>25</x:v>
      </x:c>
      <x:c r="E512" s="8" t="s">
        <x:v>479</x:v>
      </x:c>
      <x:c r="F512" s="8" t="s">
        <x:v>480</x:v>
      </x:c>
      <x:c r="G512" s="25">
        <x:v>46307</x:v>
      </x:c>
      <x:c r="H512" s="25">
        <x:v>46339</x:v>
      </x:c>
      <x:c r="I512" s="8" t="s">
        <x:v>4</x:v>
      </x:c>
      <x:c r="J512" s="8" t="s">
        <x:v>4</x:v>
      </x:c>
      <x:c r="K512" s="25"/>
      <x:c r="L512" s="8" t="s">
        <x:v>367</x:v>
      </x:c>
      <x:c r="M512" s="8"/>
      <x:c r="N512" s="10"/>
      <x:c r="O512" s="8" t="s">
        <x:v>1114</x:v>
      </x:c>
    </x:row>
    <x:row r="513" ht="32" customHeight="1">
      <x:c r="A513" s="8">
        <x:v>21</x:v>
      </x:c>
      <x:c r="B513" s="8" t="s">
        <x:v>825</x:v>
      </x:c>
      <x:c r="C513" s="8" t="s">
        <x:v>826</x:v>
      </x:c>
      <x:c r="D513" s="8" t="s">
        <x:v>25</x:v>
      </x:c>
      <x:c r="E513" s="8" t="s">
        <x:v>479</x:v>
      </x:c>
      <x:c r="F513" s="8" t="s">
        <x:v>480</x:v>
      </x:c>
      <x:c r="G513" s="25">
        <x:v>46307</x:v>
      </x:c>
      <x:c r="H513" s="25">
        <x:v>46339</x:v>
      </x:c>
      <x:c r="I513" s="8" t="s">
        <x:v>4</x:v>
      </x:c>
      <x:c r="J513" s="8" t="s">
        <x:v>4</x:v>
      </x:c>
      <x:c r="K513" s="25"/>
      <x:c r="L513" s="8" t="s">
        <x:v>367</x:v>
      </x:c>
      <x:c r="M513" s="8"/>
      <x:c r="N513" s="10"/>
      <x:c r="O513" s="8" t="s">
        <x:v>1115</x:v>
      </x:c>
    </x:row>
    <x:row r="514" ht="32" customHeight="1">
      <x:c r="A514" s="8">
        <x:v>21</x:v>
      </x:c>
      <x:c r="B514" s="8" t="s">
        <x:v>828</x:v>
      </x:c>
      <x:c r="C514" s="8" t="s">
        <x:v>829</x:v>
      </x:c>
      <x:c r="D514" s="8" t="s">
        <x:v>25</x:v>
      </x:c>
      <x:c r="E514" s="8" t="s">
        <x:v>479</x:v>
      </x:c>
      <x:c r="F514" s="8" t="s">
        <x:v>480</x:v>
      </x:c>
      <x:c r="G514" s="25">
        <x:v>46307</x:v>
      </x:c>
      <x:c r="H514" s="25">
        <x:v>46339</x:v>
      </x:c>
      <x:c r="I514" s="8" t="s">
        <x:v>4</x:v>
      </x:c>
      <x:c r="J514" s="8" t="s">
        <x:v>4</x:v>
      </x:c>
      <x:c r="K514" s="25">
        <x:v>46261</x:v>
      </x:c>
      <x:c r="L514" s="8" t="s">
        <x:v>367</x:v>
      </x:c>
      <x:c r="M514" s="8"/>
      <x:c r="N514" s="10"/>
      <x:c r="O514" s="8" t="s">
        <x:v>1116</x:v>
      </x:c>
    </x:row>
    <x:row r="515" ht="32" customHeight="1">
      <x:c r="A515" s="8">
        <x:v>21</x:v>
      </x:c>
      <x:c r="B515" s="8" t="s">
        <x:v>831</x:v>
      </x:c>
      <x:c r="C515" s="8" t="s">
        <x:v>832</x:v>
      </x:c>
      <x:c r="D515" s="8" t="s">
        <x:v>25</x:v>
      </x:c>
      <x:c r="E515" s="8" t="s">
        <x:v>479</x:v>
      </x:c>
      <x:c r="F515" s="8" t="s">
        <x:v>939</x:v>
      </x:c>
      <x:c r="G515" s="25">
        <x:v>46307</x:v>
      </x:c>
      <x:c r="H515" s="25">
        <x:v>46339</x:v>
      </x:c>
      <x:c r="I515" s="8" t="s">
        <x:v>4</x:v>
      </x:c>
      <x:c r="J515" s="8" t="s">
        <x:v>4</x:v>
      </x:c>
      <x:c r="K515" s="25">
        <x:v>46261</x:v>
      </x:c>
      <x:c r="L515" s="8" t="s">
        <x:v>367</x:v>
      </x:c>
      <x:c r="M515" s="8"/>
      <x:c r="N515" s="10"/>
      <x:c r="O515" s="8" t="s">
        <x:v>1117</x:v>
      </x:c>
    </x:row>
    <x:row r="516" ht="32" customHeight="1">
      <x:c r="A516" s="8">
        <x:v>21</x:v>
      </x:c>
      <x:c r="B516" s="8" t="s">
        <x:v>834</x:v>
      </x:c>
      <x:c r="C516" s="8" t="s">
        <x:v>835</x:v>
      </x:c>
      <x:c r="D516" s="8" t="s">
        <x:v>25</x:v>
      </x:c>
      <x:c r="E516" s="8" t="s">
        <x:v>479</x:v>
      </x:c>
      <x:c r="F516" s="8" t="s">
        <x:v>939</x:v>
      </x:c>
      <x:c r="G516" s="25">
        <x:v>46307</x:v>
      </x:c>
      <x:c r="H516" s="25">
        <x:v>46339</x:v>
      </x:c>
      <x:c r="I516" s="8" t="s">
        <x:v>4</x:v>
      </x:c>
      <x:c r="J516" s="8" t="s">
        <x:v>4</x:v>
      </x:c>
      <x:c r="K516" s="25"/>
      <x:c r="L516" s="8" t="s">
        <x:v>367</x:v>
      </x:c>
      <x:c r="M516" s="8"/>
      <x:c r="N516" s="10"/>
      <x:c r="O516" s="8" t="s">
        <x:v>1118</x:v>
      </x:c>
    </x:row>
    <x:row r="517" ht="32" customHeight="1">
      <x:c r="A517" s="8">
        <x:v>21</x:v>
      </x:c>
      <x:c r="B517" s="8" t="s">
        <x:v>837</x:v>
      </x:c>
      <x:c r="C517" s="8" t="s">
        <x:v>838</x:v>
      </x:c>
      <x:c r="D517" s="8" t="s">
        <x:v>25</x:v>
      </x:c>
      <x:c r="E517" s="8" t="s">
        <x:v>479</x:v>
      </x:c>
      <x:c r="F517" s="8" t="s">
        <x:v>480</x:v>
      </x:c>
      <x:c r="G517" s="25">
        <x:v>46307</x:v>
      </x:c>
      <x:c r="H517" s="25">
        <x:v>46339</x:v>
      </x:c>
      <x:c r="I517" s="8" t="s">
        <x:v>4</x:v>
      </x:c>
      <x:c r="J517" s="8" t="s">
        <x:v>4</x:v>
      </x:c>
      <x:c r="K517" s="25"/>
      <x:c r="L517" s="8" t="s">
        <x:v>367</x:v>
      </x:c>
      <x:c r="M517" s="8"/>
      <x:c r="N517" s="10"/>
      <x:c r="O517" s="8" t="s">
        <x:v>1119</x:v>
      </x:c>
    </x:row>
    <x:row r="518" ht="32" customHeight="1">
      <x:c r="A518" s="8">
        <x:v>21</x:v>
      </x:c>
      <x:c r="B518" s="8" t="s">
        <x:v>840</x:v>
      </x:c>
      <x:c r="C518" s="8" t="s">
        <x:v>841</x:v>
      </x:c>
      <x:c r="D518" s="8" t="s">
        <x:v>25</x:v>
      </x:c>
      <x:c r="E518" s="8" t="s">
        <x:v>479</x:v>
      </x:c>
      <x:c r="F518" s="8" t="s">
        <x:v>480</x:v>
      </x:c>
      <x:c r="G518" s="25">
        <x:v>46307</x:v>
      </x:c>
      <x:c r="H518" s="25">
        <x:v>46339</x:v>
      </x:c>
      <x:c r="I518" s="8" t="s">
        <x:v>4</x:v>
      </x:c>
      <x:c r="J518" s="8" t="s">
        <x:v>4</x:v>
      </x:c>
      <x:c r="K518" s="25"/>
      <x:c r="L518" s="8" t="s">
        <x:v>367</x:v>
      </x:c>
      <x:c r="M518" s="8"/>
      <x:c r="N518" s="10"/>
      <x:c r="O518" s="8" t="s">
        <x:v>1120</x:v>
      </x:c>
    </x:row>
    <x:row r="519" ht="32" customHeight="1">
      <x:c r="A519" s="8">
        <x:v>21</x:v>
      </x:c>
      <x:c r="B519" s="8" t="s">
        <x:v>843</x:v>
      </x:c>
      <x:c r="C519" s="8" t="s">
        <x:v>768</x:v>
      </x:c>
      <x:c r="D519" s="8" t="s">
        <x:v>25</x:v>
      </x:c>
      <x:c r="E519" s="8" t="s">
        <x:v>479</x:v>
      </x:c>
      <x:c r="F519" s="8" t="s">
        <x:v>480</x:v>
      </x:c>
      <x:c r="G519" s="25">
        <x:v>46307</x:v>
      </x:c>
      <x:c r="H519" s="25">
        <x:v>46339</x:v>
      </x:c>
      <x:c r="I519" s="8" t="s">
        <x:v>4</x:v>
      </x:c>
      <x:c r="J519" s="8" t="s">
        <x:v>4</x:v>
      </x:c>
      <x:c r="K519" s="25"/>
      <x:c r="L519" s="8" t="s">
        <x:v>367</x:v>
      </x:c>
      <x:c r="M519" s="8"/>
      <x:c r="N519" s="10"/>
      <x:c r="O519" s="8" t="s">
        <x:v>1121</x:v>
      </x:c>
    </x:row>
    <x:row r="520" ht="32" customHeight="1">
      <x:c r="A520" s="8">
        <x:v>21</x:v>
      </x:c>
      <x:c r="B520" s="8" t="s">
        <x:v>845</x:v>
      </x:c>
      <x:c r="C520" s="8" t="s">
        <x:v>774</x:v>
      </x:c>
      <x:c r="D520" s="8" t="s">
        <x:v>25</x:v>
      </x:c>
      <x:c r="E520" s="8" t="s">
        <x:v>479</x:v>
      </x:c>
      <x:c r="F520" s="8" t="s">
        <x:v>480</x:v>
      </x:c>
      <x:c r="G520" s="25">
        <x:v>46307</x:v>
      </x:c>
      <x:c r="H520" s="25">
        <x:v>46339</x:v>
      </x:c>
      <x:c r="I520" s="8" t="s">
        <x:v>4</x:v>
      </x:c>
      <x:c r="J520" s="8" t="s">
        <x:v>4</x:v>
      </x:c>
      <x:c r="K520" s="25"/>
      <x:c r="L520" s="8" t="s">
        <x:v>367</x:v>
      </x:c>
      <x:c r="M520" s="8"/>
      <x:c r="N520" s="10"/>
      <x:c r="O520" s="8" t="s">
        <x:v>1122</x:v>
      </x:c>
    </x:row>
    <x:row r="521" ht="32" customHeight="1">
      <x:c r="A521" s="8">
        <x:v>21</x:v>
      </x:c>
      <x:c r="B521" s="8" t="s">
        <x:v>847</x:v>
      </x:c>
      <x:c r="C521" s="8" t="s">
        <x:v>848</x:v>
      </x:c>
      <x:c r="D521" s="8" t="s">
        <x:v>25</x:v>
      </x:c>
      <x:c r="E521" s="8" t="s">
        <x:v>479</x:v>
      </x:c>
      <x:c r="F521" s="8" t="s">
        <x:v>480</x:v>
      </x:c>
      <x:c r="G521" s="25">
        <x:v>46307</x:v>
      </x:c>
      <x:c r="H521" s="25">
        <x:v>46339</x:v>
      </x:c>
      <x:c r="I521" s="8" t="s">
        <x:v>4</x:v>
      </x:c>
      <x:c r="J521" s="8" t="s">
        <x:v>4</x:v>
      </x:c>
      <x:c r="K521" s="25"/>
      <x:c r="L521" s="8" t="s">
        <x:v>367</x:v>
      </x:c>
      <x:c r="M521" s="8"/>
      <x:c r="N521" s="10"/>
      <x:c r="O521" s="8" t="s">
        <x:v>1123</x:v>
      </x:c>
    </x:row>
    <x:row r="522" ht="32" customHeight="1">
      <x:c r="A522" s="8">
        <x:v>21</x:v>
      </x:c>
      <x:c r="B522" s="8" t="s">
        <x:v>850</x:v>
      </x:c>
      <x:c r="C522" s="8" t="s">
        <x:v>851</x:v>
      </x:c>
      <x:c r="D522" s="8" t="s">
        <x:v>25</x:v>
      </x:c>
      <x:c r="E522" s="8" t="s">
        <x:v>479</x:v>
      </x:c>
      <x:c r="F522" s="8" t="s">
        <x:v>480</x:v>
      </x:c>
      <x:c r="G522" s="25">
        <x:v>46307</x:v>
      </x:c>
      <x:c r="H522" s="25">
        <x:v>46339</x:v>
      </x:c>
      <x:c r="I522" s="8" t="s">
        <x:v>4</x:v>
      </x:c>
      <x:c r="J522" s="8" t="s">
        <x:v>4</x:v>
      </x:c>
      <x:c r="K522" s="25"/>
      <x:c r="L522" s="8" t="s">
        <x:v>367</x:v>
      </x:c>
      <x:c r="M522" s="8"/>
      <x:c r="N522" s="10"/>
      <x:c r="O522" s="8" t="s">
        <x:v>1124</x:v>
      </x:c>
    </x:row>
    <x:row r="523" ht="32" customHeight="1">
      <x:c r="A523" s="8">
        <x:v>21</x:v>
      </x:c>
      <x:c r="B523" s="8" t="s">
        <x:v>853</x:v>
      </x:c>
      <x:c r="C523" s="8" t="s">
        <x:v>854</x:v>
      </x:c>
      <x:c r="D523" s="8" t="s">
        <x:v>25</x:v>
      </x:c>
      <x:c r="E523" s="8" t="s">
        <x:v>479</x:v>
      </x:c>
      <x:c r="F523" s="8" t="s">
        <x:v>480</x:v>
      </x:c>
      <x:c r="G523" s="25">
        <x:v>46307</x:v>
      </x:c>
      <x:c r="H523" s="25">
        <x:v>46339</x:v>
      </x:c>
      <x:c r="I523" s="8" t="s">
        <x:v>4</x:v>
      </x:c>
      <x:c r="J523" s="8" t="s">
        <x:v>4</x:v>
      </x:c>
      <x:c r="K523" s="25"/>
      <x:c r="L523" s="8" t="s">
        <x:v>367</x:v>
      </x:c>
      <x:c r="M523" s="8"/>
      <x:c r="N523" s="10"/>
      <x:c r="O523" s="8" t="s">
        <x:v>1125</x:v>
      </x:c>
    </x:row>
    <x:row r="524" ht="32" customHeight="1">
      <x:c r="A524" s="8">
        <x:v>21</x:v>
      </x:c>
      <x:c r="B524" s="8" t="s">
        <x:v>856</x:v>
      </x:c>
      <x:c r="C524" s="8" t="s">
        <x:v>857</x:v>
      </x:c>
      <x:c r="D524" s="8" t="s">
        <x:v>25</x:v>
      </x:c>
      <x:c r="E524" s="8" t="s">
        <x:v>479</x:v>
      </x:c>
      <x:c r="F524" s="8" t="s">
        <x:v>939</x:v>
      </x:c>
      <x:c r="G524" s="25">
        <x:v>46307</x:v>
      </x:c>
      <x:c r="H524" s="25">
        <x:v>46339</x:v>
      </x:c>
      <x:c r="I524" s="8" t="s">
        <x:v>4</x:v>
      </x:c>
      <x:c r="J524" s="8" t="s">
        <x:v>4</x:v>
      </x:c>
      <x:c r="K524" s="25"/>
      <x:c r="L524" s="8" t="s">
        <x:v>367</x:v>
      </x:c>
      <x:c r="M524" s="8"/>
      <x:c r="N524" s="10"/>
      <x:c r="O524" s="8" t="s">
        <x:v>1126</x:v>
      </x:c>
    </x:row>
    <x:row r="525" ht="32" customHeight="1">
      <x:c r="A525" s="8">
        <x:v>21</x:v>
      </x:c>
      <x:c r="B525" s="8" t="s">
        <x:v>859</x:v>
      </x:c>
      <x:c r="C525" s="8" t="s">
        <x:v>771</x:v>
      </x:c>
      <x:c r="D525" s="8" t="s">
        <x:v>25</x:v>
      </x:c>
      <x:c r="E525" s="8" t="s">
        <x:v>479</x:v>
      </x:c>
      <x:c r="F525" s="8" t="s">
        <x:v>480</x:v>
      </x:c>
      <x:c r="G525" s="25">
        <x:v>46307</x:v>
      </x:c>
      <x:c r="H525" s="25">
        <x:v>46339</x:v>
      </x:c>
      <x:c r="I525" s="8" t="s">
        <x:v>4</x:v>
      </x:c>
      <x:c r="J525" s="8" t="s">
        <x:v>4</x:v>
      </x:c>
      <x:c r="K525" s="25"/>
      <x:c r="L525" s="8" t="s">
        <x:v>367</x:v>
      </x:c>
      <x:c r="M525" s="8"/>
      <x:c r="N525" s="10"/>
      <x:c r="O525" s="8" t="s">
        <x:v>1127</x:v>
      </x:c>
    </x:row>
    <x:row r="526" ht="32" customHeight="1">
      <x:c r="A526" s="8">
        <x:v>23</x:v>
      </x:c>
      <x:c r="B526" s="8" t="s">
        <x:v>719</x:v>
      </x:c>
      <x:c r="C526" s="8" t="s">
        <x:v>720</x:v>
      </x:c>
      <x:c r="D526" s="8" t="s">
        <x:v>25</x:v>
      </x:c>
      <x:c r="E526" s="8" t="s">
        <x:v>558</x:v>
      </x:c>
      <x:c r="F526" s="8" t="s">
        <x:v>559</x:v>
      </x:c>
      <x:c r="G526" s="25">
        <x:v>46342</x:v>
      </x:c>
      <x:c r="H526" s="25">
        <x:v>46353</x:v>
      </x:c>
      <x:c r="I526" s="8" t="s">
        <x:v>2</x:v>
      </x:c>
      <x:c r="J526" s="8" t="s">
        <x:v>2</x:v>
      </x:c>
      <x:c r="K526" s="25"/>
      <x:c r="L526" s="8" t="s">
        <x:v>367</x:v>
      </x:c>
      <x:c r="M526" s="8" t="s">
        <x:v>368</x:v>
      </x:c>
      <x:c r="N526" s="10"/>
      <x:c r="O526" s="8" t="s">
        <x:v>1128</x:v>
      </x:c>
    </x:row>
    <x:row r="527" ht="32" customHeight="1">
      <x:c r="A527" s="8">
        <x:v>23</x:v>
      </x:c>
      <x:c r="B527" s="8" t="s">
        <x:v>722</x:v>
      </x:c>
      <x:c r="C527" s="8" t="s">
        <x:v>723</x:v>
      </x:c>
      <x:c r="D527" s="8" t="s">
        <x:v>25</x:v>
      </x:c>
      <x:c r="E527" s="8" t="s">
        <x:v>558</x:v>
      </x:c>
      <x:c r="F527" s="8" t="s">
        <x:v>559</x:v>
      </x:c>
      <x:c r="G527" s="25">
        <x:v>46342</x:v>
      </x:c>
      <x:c r="H527" s="25">
        <x:v>46353</x:v>
      </x:c>
      <x:c r="I527" s="8" t="s">
        <x:v>4</x:v>
      </x:c>
      <x:c r="J527" s="8" t="s">
        <x:v>3</x:v>
      </x:c>
      <x:c r="K527" s="25"/>
      <x:c r="L527" s="8" t="s">
        <x:v>367</x:v>
      </x:c>
      <x:c r="M527" s="8"/>
      <x:c r="N527" s="10"/>
      <x:c r="O527" s="8" t="s">
        <x:v>1129</x:v>
      </x:c>
    </x:row>
    <x:row r="528" ht="32" customHeight="1">
      <x:c r="A528" s="8">
        <x:v>23</x:v>
      </x:c>
      <x:c r="B528" s="8" t="s">
        <x:v>725</x:v>
      </x:c>
      <x:c r="C528" s="8" t="s">
        <x:v>726</x:v>
      </x:c>
      <x:c r="D528" s="8" t="s">
        <x:v>25</x:v>
      </x:c>
      <x:c r="E528" s="8" t="s">
        <x:v>558</x:v>
      </x:c>
      <x:c r="F528" s="8" t="s">
        <x:v>559</x:v>
      </x:c>
      <x:c r="G528" s="25">
        <x:v>46342</x:v>
      </x:c>
      <x:c r="H528" s="25">
        <x:v>46353</x:v>
      </x:c>
      <x:c r="I528" s="8" t="s">
        <x:v>3</x:v>
      </x:c>
      <x:c r="J528" s="8" t="s">
        <x:v>3</x:v>
      </x:c>
      <x:c r="K528" s="25"/>
      <x:c r="L528" s="8" t="s">
        <x:v>367</x:v>
      </x:c>
      <x:c r="M528" s="8"/>
      <x:c r="N528" s="10"/>
      <x:c r="O528" s="8" t="s">
        <x:v>1130</x:v>
      </x:c>
    </x:row>
    <x:row r="529" ht="32" customHeight="1">
      <x:c r="A529" s="8">
        <x:v>23</x:v>
      </x:c>
      <x:c r="B529" s="8" t="s">
        <x:v>728</x:v>
      </x:c>
      <x:c r="C529" s="8" t="s">
        <x:v>729</x:v>
      </x:c>
      <x:c r="D529" s="8" t="s">
        <x:v>25</x:v>
      </x:c>
      <x:c r="E529" s="8" t="s">
        <x:v>558</x:v>
      </x:c>
      <x:c r="F529" s="8" t="s">
        <x:v>559</x:v>
      </x:c>
      <x:c r="G529" s="25">
        <x:v>46342</x:v>
      </x:c>
      <x:c r="H529" s="25">
        <x:v>46353</x:v>
      </x:c>
      <x:c r="I529" s="8" t="s">
        <x:v>3</x:v>
      </x:c>
      <x:c r="J529" s="8" t="s">
        <x:v>3</x:v>
      </x:c>
      <x:c r="K529" s="25"/>
      <x:c r="L529" s="8" t="s">
        <x:v>367</x:v>
      </x:c>
      <x:c r="M529" s="8"/>
      <x:c r="N529" s="10"/>
      <x:c r="O529" s="8" t="s">
        <x:v>1131</x:v>
      </x:c>
    </x:row>
    <x:row r="530" ht="32" customHeight="1">
      <x:c r="A530" s="8">
        <x:v>23</x:v>
      </x:c>
      <x:c r="B530" s="8" t="s">
        <x:v>731</x:v>
      </x:c>
      <x:c r="C530" s="8" t="s">
        <x:v>732</x:v>
      </x:c>
      <x:c r="D530" s="8" t="s">
        <x:v>25</x:v>
      </x:c>
      <x:c r="E530" s="8" t="s">
        <x:v>558</x:v>
      </x:c>
      <x:c r="F530" s="8" t="s">
        <x:v>559</x:v>
      </x:c>
      <x:c r="G530" s="25">
        <x:v>46342</x:v>
      </x:c>
      <x:c r="H530" s="25">
        <x:v>46353</x:v>
      </x:c>
      <x:c r="I530" s="8" t="s">
        <x:v>4</x:v>
      </x:c>
      <x:c r="J530" s="8" t="s">
        <x:v>4</x:v>
      </x:c>
      <x:c r="K530" s="25"/>
      <x:c r="L530" s="8" t="s">
        <x:v>367</x:v>
      </x:c>
      <x:c r="M530" s="8"/>
      <x:c r="N530" s="10"/>
      <x:c r="O530" s="8" t="s">
        <x:v>1132</x:v>
      </x:c>
    </x:row>
    <x:row r="531" ht="32" customHeight="1">
      <x:c r="A531" s="8">
        <x:v>23</x:v>
      </x:c>
      <x:c r="B531" s="8" t="s">
        <x:v>734</x:v>
      </x:c>
      <x:c r="C531" s="8" t="s">
        <x:v>735</x:v>
      </x:c>
      <x:c r="D531" s="8" t="s">
        <x:v>25</x:v>
      </x:c>
      <x:c r="E531" s="8" t="s">
        <x:v>558</x:v>
      </x:c>
      <x:c r="F531" s="8" t="s">
        <x:v>559</x:v>
      </x:c>
      <x:c r="G531" s="25">
        <x:v>46342</x:v>
      </x:c>
      <x:c r="H531" s="25">
        <x:v>46353</x:v>
      </x:c>
      <x:c r="I531" s="8" t="s">
        <x:v>4</x:v>
      </x:c>
      <x:c r="J531" s="8" t="s">
        <x:v>4</x:v>
      </x:c>
      <x:c r="K531" s="25"/>
      <x:c r="L531" s="8" t="s">
        <x:v>367</x:v>
      </x:c>
      <x:c r="M531" s="8"/>
      <x:c r="N531" s="10"/>
      <x:c r="O531" s="8" t="s">
        <x:v>1133</x:v>
      </x:c>
    </x:row>
    <x:row r="532" ht="32" customHeight="1">
      <x:c r="A532" s="8">
        <x:v>23</x:v>
      </x:c>
      <x:c r="B532" s="8" t="s">
        <x:v>737</x:v>
      </x:c>
      <x:c r="C532" s="8" t="s">
        <x:v>738</x:v>
      </x:c>
      <x:c r="D532" s="8" t="s">
        <x:v>25</x:v>
      </x:c>
      <x:c r="E532" s="8" t="s">
        <x:v>558</x:v>
      </x:c>
      <x:c r="F532" s="8" t="s">
        <x:v>559</x:v>
      </x:c>
      <x:c r="G532" s="25">
        <x:v>46342</x:v>
      </x:c>
      <x:c r="H532" s="25">
        <x:v>46353</x:v>
      </x:c>
      <x:c r="I532" s="8" t="s">
        <x:v>4</x:v>
      </x:c>
      <x:c r="J532" s="8" t="s">
        <x:v>4</x:v>
      </x:c>
      <x:c r="K532" s="25"/>
      <x:c r="L532" s="8" t="s">
        <x:v>367</x:v>
      </x:c>
      <x:c r="M532" s="8"/>
      <x:c r="N532" s="10"/>
      <x:c r="O532" s="8" t="s">
        <x:v>1134</x:v>
      </x:c>
    </x:row>
    <x:row r="533" ht="32" customHeight="1">
      <x:c r="A533" s="8">
        <x:v>23</x:v>
      </x:c>
      <x:c r="B533" s="8" t="s">
        <x:v>740</x:v>
      </x:c>
      <x:c r="C533" s="8" t="s">
        <x:v>741</x:v>
      </x:c>
      <x:c r="D533" s="8" t="s">
        <x:v>25</x:v>
      </x:c>
      <x:c r="E533" s="8" t="s">
        <x:v>558</x:v>
      </x:c>
      <x:c r="F533" s="8" t="s">
        <x:v>559</x:v>
      </x:c>
      <x:c r="G533" s="25">
        <x:v>46342</x:v>
      </x:c>
      <x:c r="H533" s="25">
        <x:v>46353</x:v>
      </x:c>
      <x:c r="I533" s="8" t="s">
        <x:v>4</x:v>
      </x:c>
      <x:c r="J533" s="8" t="s">
        <x:v>4</x:v>
      </x:c>
      <x:c r="K533" s="25">
        <x:v>46261</x:v>
      </x:c>
      <x:c r="L533" s="8" t="s">
        <x:v>367</x:v>
      </x:c>
      <x:c r="M533" s="8"/>
      <x:c r="N533" s="10"/>
      <x:c r="O533" s="8" t="s">
        <x:v>1135</x:v>
      </x:c>
    </x:row>
    <x:row r="534" ht="32" customHeight="1">
      <x:c r="A534" s="8">
        <x:v>23</x:v>
      </x:c>
      <x:c r="B534" s="8" t="s">
        <x:v>743</x:v>
      </x:c>
      <x:c r="C534" s="8" t="s">
        <x:v>744</x:v>
      </x:c>
      <x:c r="D534" s="8" t="s">
        <x:v>25</x:v>
      </x:c>
      <x:c r="E534" s="8" t="s">
        <x:v>558</x:v>
      </x:c>
      <x:c r="F534" s="8" t="s">
        <x:v>559</x:v>
      </x:c>
      <x:c r="G534" s="25">
        <x:v>46342</x:v>
      </x:c>
      <x:c r="H534" s="25">
        <x:v>46353</x:v>
      </x:c>
      <x:c r="I534" s="8" t="s">
        <x:v>3</x:v>
      </x:c>
      <x:c r="J534" s="8" t="s">
        <x:v>3</x:v>
      </x:c>
      <x:c r="K534" s="25">
        <x:v>46261</x:v>
      </x:c>
      <x:c r="L534" s="8" t="s">
        <x:v>367</x:v>
      </x:c>
      <x:c r="M534" s="8"/>
      <x:c r="N534" s="10"/>
      <x:c r="O534" s="8" t="s">
        <x:v>1136</x:v>
      </x:c>
    </x:row>
    <x:row r="535" ht="32" customHeight="1">
      <x:c r="A535" s="8">
        <x:v>23</x:v>
      </x:c>
      <x:c r="B535" s="8" t="s">
        <x:v>746</x:v>
      </x:c>
      <x:c r="C535" s="8" t="s">
        <x:v>747</x:v>
      </x:c>
      <x:c r="D535" s="8" t="s">
        <x:v>25</x:v>
      </x:c>
      <x:c r="E535" s="8" t="s">
        <x:v>558</x:v>
      </x:c>
      <x:c r="F535" s="8" t="s">
        <x:v>559</x:v>
      </x:c>
      <x:c r="G535" s="25">
        <x:v>46342</x:v>
      </x:c>
      <x:c r="H535" s="25">
        <x:v>46353</x:v>
      </x:c>
      <x:c r="I535" s="8" t="s">
        <x:v>3</x:v>
      </x:c>
      <x:c r="J535" s="8" t="s">
        <x:v>3</x:v>
      </x:c>
      <x:c r="K535" s="25">
        <x:v>46261</x:v>
      </x:c>
      <x:c r="L535" s="8" t="s">
        <x:v>367</x:v>
      </x:c>
      <x:c r="M535" s="8"/>
      <x:c r="N535" s="10"/>
      <x:c r="O535" s="8" t="s">
        <x:v>1137</x:v>
      </x:c>
    </x:row>
    <x:row r="536" ht="32" customHeight="1">
      <x:c r="A536" s="8">
        <x:v>23</x:v>
      </x:c>
      <x:c r="B536" s="8" t="s">
        <x:v>749</x:v>
      </x:c>
      <x:c r="C536" s="8" t="s">
        <x:v>750</x:v>
      </x:c>
      <x:c r="D536" s="8" t="s">
        <x:v>25</x:v>
      </x:c>
      <x:c r="E536" s="8" t="s">
        <x:v>558</x:v>
      </x:c>
      <x:c r="F536" s="8" t="s">
        <x:v>559</x:v>
      </x:c>
      <x:c r="G536" s="25">
        <x:v>46342</x:v>
      </x:c>
      <x:c r="H536" s="25">
        <x:v>46353</x:v>
      </x:c>
      <x:c r="I536" s="8" t="s">
        <x:v>4</x:v>
      </x:c>
      <x:c r="J536" s="8" t="s">
        <x:v>3</x:v>
      </x:c>
      <x:c r="K536" s="25">
        <x:v>46261</x:v>
      </x:c>
      <x:c r="L536" s="8" t="s">
        <x:v>367</x:v>
      </x:c>
      <x:c r="M536" s="8"/>
      <x:c r="N536" s="10"/>
      <x:c r="O536" s="8" t="s">
        <x:v>1138</x:v>
      </x:c>
    </x:row>
    <x:row r="537" ht="32" customHeight="1">
      <x:c r="A537" s="8">
        <x:v>23</x:v>
      </x:c>
      <x:c r="B537" s="8" t="s">
        <x:v>752</x:v>
      </x:c>
      <x:c r="C537" s="8" t="s">
        <x:v>753</x:v>
      </x:c>
      <x:c r="D537" s="8" t="s">
        <x:v>25</x:v>
      </x:c>
      <x:c r="E537" s="8" t="s">
        <x:v>558</x:v>
      </x:c>
      <x:c r="F537" s="8" t="s">
        <x:v>559</x:v>
      </x:c>
      <x:c r="G537" s="25">
        <x:v>46342</x:v>
      </x:c>
      <x:c r="H537" s="25">
        <x:v>46353</x:v>
      </x:c>
      <x:c r="I537" s="8" t="s">
        <x:v>4</x:v>
      </x:c>
      <x:c r="J537" s="8" t="s">
        <x:v>3</x:v>
      </x:c>
      <x:c r="K537" s="25">
        <x:v>46261</x:v>
      </x:c>
      <x:c r="L537" s="8" t="s">
        <x:v>367</x:v>
      </x:c>
      <x:c r="M537" s="8"/>
      <x:c r="N537" s="10"/>
      <x:c r="O537" s="8" t="s">
        <x:v>1139</x:v>
      </x:c>
    </x:row>
    <x:row r="538" ht="32" customHeight="1">
      <x:c r="A538" s="8">
        <x:v>23</x:v>
      </x:c>
      <x:c r="B538" s="8" t="s">
        <x:v>755</x:v>
      </x:c>
      <x:c r="C538" s="8" t="s">
        <x:v>756</x:v>
      </x:c>
      <x:c r="D538" s="8" t="s">
        <x:v>25</x:v>
      </x:c>
      <x:c r="E538" s="8" t="s">
        <x:v>558</x:v>
      </x:c>
      <x:c r="F538" s="8" t="s">
        <x:v>559</x:v>
      </x:c>
      <x:c r="G538" s="25">
        <x:v>46342</x:v>
      </x:c>
      <x:c r="H538" s="25">
        <x:v>46353</x:v>
      </x:c>
      <x:c r="I538" s="8" t="s">
        <x:v>3</x:v>
      </x:c>
      <x:c r="J538" s="8" t="s">
        <x:v>3</x:v>
      </x:c>
      <x:c r="K538" s="25">
        <x:v>46261</x:v>
      </x:c>
      <x:c r="L538" s="8" t="s">
        <x:v>367</x:v>
      </x:c>
      <x:c r="M538" s="8"/>
      <x:c r="N538" s="10"/>
      <x:c r="O538" s="8" t="s">
        <x:v>1140</x:v>
      </x:c>
    </x:row>
    <x:row r="539" ht="32" customHeight="1">
      <x:c r="A539" s="8">
        <x:v>23</x:v>
      </x:c>
      <x:c r="B539" s="8" t="s">
        <x:v>758</x:v>
      </x:c>
      <x:c r="C539" s="8" t="s">
        <x:v>759</x:v>
      </x:c>
      <x:c r="D539" s="8" t="s">
        <x:v>25</x:v>
      </x:c>
      <x:c r="E539" s="8" t="s">
        <x:v>558</x:v>
      </x:c>
      <x:c r="F539" s="8" t="s">
        <x:v>559</x:v>
      </x:c>
      <x:c r="G539" s="25">
        <x:v>46342</x:v>
      </x:c>
      <x:c r="H539" s="25">
        <x:v>46353</x:v>
      </x:c>
      <x:c r="I539" s="8" t="s">
        <x:v>4</x:v>
      </x:c>
      <x:c r="J539" s="8" t="s">
        <x:v>4</x:v>
      </x:c>
      <x:c r="K539" s="25"/>
      <x:c r="L539" s="8" t="s">
        <x:v>367</x:v>
      </x:c>
      <x:c r="M539" s="8"/>
      <x:c r="N539" s="10"/>
      <x:c r="O539" s="8" t="s">
        <x:v>1141</x:v>
      </x:c>
    </x:row>
    <x:row r="540" ht="32" customHeight="1">
      <x:c r="A540" s="8">
        <x:v>23</x:v>
      </x:c>
      <x:c r="B540" s="8" t="s">
        <x:v>761</x:v>
      </x:c>
      <x:c r="C540" s="8" t="s">
        <x:v>762</x:v>
      </x:c>
      <x:c r="D540" s="8" t="s">
        <x:v>25</x:v>
      </x:c>
      <x:c r="E540" s="8" t="s">
        <x:v>558</x:v>
      </x:c>
      <x:c r="F540" s="8" t="s">
        <x:v>559</x:v>
      </x:c>
      <x:c r="G540" s="25">
        <x:v>46342</x:v>
      </x:c>
      <x:c r="H540" s="25">
        <x:v>46353</x:v>
      </x:c>
      <x:c r="I540" s="8" t="s">
        <x:v>4</x:v>
      </x:c>
      <x:c r="J540" s="8" t="s">
        <x:v>4</x:v>
      </x:c>
      <x:c r="K540" s="25"/>
      <x:c r="L540" s="8" t="s">
        <x:v>367</x:v>
      </x:c>
      <x:c r="M540" s="8"/>
      <x:c r="N540" s="10"/>
      <x:c r="O540" s="8" t="s">
        <x:v>1142</x:v>
      </x:c>
    </x:row>
    <x:row r="541" ht="32" customHeight="1">
      <x:c r="A541" s="8">
        <x:v>23</x:v>
      </x:c>
      <x:c r="B541" s="8" t="s">
        <x:v>764</x:v>
      </x:c>
      <x:c r="C541" s="8" t="s">
        <x:v>765</x:v>
      </x:c>
      <x:c r="D541" s="8" t="s">
        <x:v>25</x:v>
      </x:c>
      <x:c r="E541" s="8" t="s">
        <x:v>558</x:v>
      </x:c>
      <x:c r="F541" s="8" t="s">
        <x:v>559</x:v>
      </x:c>
      <x:c r="G541" s="25">
        <x:v>46342</x:v>
      </x:c>
      <x:c r="H541" s="25">
        <x:v>46353</x:v>
      </x:c>
      <x:c r="I541" s="8" t="s">
        <x:v>4</x:v>
      </x:c>
      <x:c r="J541" s="8" t="s">
        <x:v>4</x:v>
      </x:c>
      <x:c r="K541" s="25"/>
      <x:c r="L541" s="8" t="s">
        <x:v>367</x:v>
      </x:c>
      <x:c r="M541" s="8"/>
      <x:c r="N541" s="10"/>
      <x:c r="O541" s="8" t="s">
        <x:v>1143</x:v>
      </x:c>
    </x:row>
    <x:row r="542" ht="32" customHeight="1">
      <x:c r="A542" s="8">
        <x:v>23</x:v>
      </x:c>
      <x:c r="B542" s="8" t="s">
        <x:v>767</x:v>
      </x:c>
      <x:c r="C542" s="8" t="s">
        <x:v>768</x:v>
      </x:c>
      <x:c r="D542" s="8" t="s">
        <x:v>25</x:v>
      </x:c>
      <x:c r="E542" s="8" t="s">
        <x:v>558</x:v>
      </x:c>
      <x:c r="F542" s="8" t="s">
        <x:v>559</x:v>
      </x:c>
      <x:c r="G542" s="25">
        <x:v>46342</x:v>
      </x:c>
      <x:c r="H542" s="25">
        <x:v>46353</x:v>
      </x:c>
      <x:c r="I542" s="8" t="s">
        <x:v>3</x:v>
      </x:c>
      <x:c r="J542" s="8" t="s">
        <x:v>3</x:v>
      </x:c>
      <x:c r="K542" s="25"/>
      <x:c r="L542" s="8" t="s">
        <x:v>367</x:v>
      </x:c>
      <x:c r="M542" s="8"/>
      <x:c r="N542" s="10"/>
      <x:c r="O542" s="8" t="s">
        <x:v>1144</x:v>
      </x:c>
    </x:row>
    <x:row r="543" ht="32" customHeight="1">
      <x:c r="A543" s="8">
        <x:v>23</x:v>
      </x:c>
      <x:c r="B543" s="8" t="s">
        <x:v>770</x:v>
      </x:c>
      <x:c r="C543" s="8" t="s">
        <x:v>771</x:v>
      </x:c>
      <x:c r="D543" s="8" t="s">
        <x:v>25</x:v>
      </x:c>
      <x:c r="E543" s="8" t="s">
        <x:v>558</x:v>
      </x:c>
      <x:c r="F543" s="8" t="s">
        <x:v>559</x:v>
      </x:c>
      <x:c r="G543" s="25">
        <x:v>46342</x:v>
      </x:c>
      <x:c r="H543" s="25">
        <x:v>46353</x:v>
      </x:c>
      <x:c r="I543" s="8" t="s">
        <x:v>3</x:v>
      </x:c>
      <x:c r="J543" s="8" t="s">
        <x:v>3</x:v>
      </x:c>
      <x:c r="K543" s="25"/>
      <x:c r="L543" s="8" t="s">
        <x:v>367</x:v>
      </x:c>
      <x:c r="M543" s="8"/>
      <x:c r="N543" s="10"/>
      <x:c r="O543" s="8" t="s">
        <x:v>1145</x:v>
      </x:c>
    </x:row>
    <x:row r="544" ht="32" customHeight="1">
      <x:c r="A544" s="8">
        <x:v>23</x:v>
      </x:c>
      <x:c r="B544" s="8" t="s">
        <x:v>773</x:v>
      </x:c>
      <x:c r="C544" s="8" t="s">
        <x:v>774</x:v>
      </x:c>
      <x:c r="D544" s="8" t="s">
        <x:v>25</x:v>
      </x:c>
      <x:c r="E544" s="8" t="s">
        <x:v>558</x:v>
      </x:c>
      <x:c r="F544" s="8" t="s">
        <x:v>559</x:v>
      </x:c>
      <x:c r="G544" s="25">
        <x:v>46342</x:v>
      </x:c>
      <x:c r="H544" s="25">
        <x:v>46353</x:v>
      </x:c>
      <x:c r="I544" s="8" t="s">
        <x:v>3</x:v>
      </x:c>
      <x:c r="J544" s="8" t="s">
        <x:v>3</x:v>
      </x:c>
      <x:c r="K544" s="25"/>
      <x:c r="L544" s="8" t="s">
        <x:v>367</x:v>
      </x:c>
      <x:c r="M544" s="8"/>
      <x:c r="N544" s="10"/>
      <x:c r="O544" s="8" t="s">
        <x:v>1146</x:v>
      </x:c>
    </x:row>
    <x:row r="545" ht="32" customHeight="1">
      <x:c r="A545" s="8">
        <x:v>23</x:v>
      </x:c>
      <x:c r="B545" s="8" t="s">
        <x:v>776</x:v>
      </x:c>
      <x:c r="C545" s="8" t="s">
        <x:v>777</x:v>
      </x:c>
      <x:c r="D545" s="8" t="s">
        <x:v>25</x:v>
      </x:c>
      <x:c r="E545" s="8" t="s">
        <x:v>558</x:v>
      </x:c>
      <x:c r="F545" s="8" t="s">
        <x:v>559</x:v>
      </x:c>
      <x:c r="G545" s="25">
        <x:v>46342</x:v>
      </x:c>
      <x:c r="H545" s="25">
        <x:v>46353</x:v>
      </x:c>
      <x:c r="I545" s="8" t="s">
        <x:v>2</x:v>
      </x:c>
      <x:c r="J545" s="8" t="s">
        <x:v>2</x:v>
      </x:c>
      <x:c r="K545" s="25"/>
      <x:c r="L545" s="8" t="s">
        <x:v>367</x:v>
      </x:c>
      <x:c r="M545" s="8" t="s">
        <x:v>368</x:v>
      </x:c>
      <x:c r="N545" s="10"/>
      <x:c r="O545" s="8" t="s">
        <x:v>1147</x:v>
      </x:c>
    </x:row>
    <x:row r="546" ht="32" customHeight="1">
      <x:c r="A546" s="8">
        <x:v>23</x:v>
      </x:c>
      <x:c r="B546" s="8" t="s">
        <x:v>779</x:v>
      </x:c>
      <x:c r="C546" s="8" t="s">
        <x:v>780</x:v>
      </x:c>
      <x:c r="D546" s="8" t="s">
        <x:v>25</x:v>
      </x:c>
      <x:c r="E546" s="8" t="s">
        <x:v>558</x:v>
      </x:c>
      <x:c r="F546" s="8" t="s">
        <x:v>559</x:v>
      </x:c>
      <x:c r="G546" s="25">
        <x:v>46342</x:v>
      </x:c>
      <x:c r="H546" s="25">
        <x:v>46353</x:v>
      </x:c>
      <x:c r="I546" s="8" t="s">
        <x:v>4</x:v>
      </x:c>
      <x:c r="J546" s="8" t="s">
        <x:v>4</x:v>
      </x:c>
      <x:c r="K546" s="25"/>
      <x:c r="L546" s="8" t="s">
        <x:v>367</x:v>
      </x:c>
      <x:c r="M546" s="8"/>
      <x:c r="N546" s="10"/>
      <x:c r="O546" s="8" t="s">
        <x:v>1148</x:v>
      </x:c>
    </x:row>
    <x:row r="547" ht="32" customHeight="1">
      <x:c r="A547" s="8">
        <x:v>23</x:v>
      </x:c>
      <x:c r="B547" s="8" t="s">
        <x:v>782</x:v>
      </x:c>
      <x:c r="C547" s="8" t="s">
        <x:v>780</x:v>
      </x:c>
      <x:c r="D547" s="8" t="s">
        <x:v>25</x:v>
      </x:c>
      <x:c r="E547" s="8" t="s">
        <x:v>558</x:v>
      </x:c>
      <x:c r="F547" s="8" t="s">
        <x:v>559</x:v>
      </x:c>
      <x:c r="G547" s="25">
        <x:v>46342</x:v>
      </x:c>
      <x:c r="H547" s="25">
        <x:v>46353</x:v>
      </x:c>
      <x:c r="I547" s="8" t="s">
        <x:v>4</x:v>
      </x:c>
      <x:c r="J547" s="8" t="s">
        <x:v>4</x:v>
      </x:c>
      <x:c r="K547" s="25">
        <x:v>46261</x:v>
      </x:c>
      <x:c r="L547" s="8" t="s">
        <x:v>367</x:v>
      </x:c>
      <x:c r="M547" s="8"/>
      <x:c r="N547" s="10"/>
      <x:c r="O547" s="8" t="s">
        <x:v>1149</x:v>
      </x:c>
    </x:row>
    <x:row r="548" ht="32" customHeight="1">
      <x:c r="A548" s="8">
        <x:v>23</x:v>
      </x:c>
      <x:c r="B548" s="8" t="s">
        <x:v>784</x:v>
      </x:c>
      <x:c r="C548" s="8" t="s">
        <x:v>785</x:v>
      </x:c>
      <x:c r="D548" s="8" t="s">
        <x:v>25</x:v>
      </x:c>
      <x:c r="E548" s="8" t="s">
        <x:v>558</x:v>
      </x:c>
      <x:c r="F548" s="8" t="s">
        <x:v>559</x:v>
      </x:c>
      <x:c r="G548" s="25">
        <x:v>46342</x:v>
      </x:c>
      <x:c r="H548" s="25">
        <x:v>46353</x:v>
      </x:c>
      <x:c r="I548" s="8" t="s">
        <x:v>2</x:v>
      </x:c>
      <x:c r="J548" s="8" t="s">
        <x:v>2</x:v>
      </x:c>
      <x:c r="K548" s="25">
        <x:v>46261</x:v>
      </x:c>
      <x:c r="L548" s="8" t="s">
        <x:v>367</x:v>
      </x:c>
      <x:c r="M548" s="8"/>
      <x:c r="N548" s="10"/>
      <x:c r="O548" s="8" t="s">
        <x:v>1150</x:v>
      </x:c>
    </x:row>
    <x:row r="549" ht="32" customHeight="1">
      <x:c r="A549" s="8">
        <x:v>23</x:v>
      </x:c>
      <x:c r="B549" s="8" t="s">
        <x:v>790</x:v>
      </x:c>
      <x:c r="C549" s="8" t="s">
        <x:v>791</x:v>
      </x:c>
      <x:c r="D549" s="8" t="s">
        <x:v>25</x:v>
      </x:c>
      <x:c r="E549" s="8" t="s">
        <x:v>558</x:v>
      </x:c>
      <x:c r="F549" s="8" t="s">
        <x:v>559</x:v>
      </x:c>
      <x:c r="G549" s="25">
        <x:v>46342</x:v>
      </x:c>
      <x:c r="H549" s="25">
        <x:v>46353</x:v>
      </x:c>
      <x:c r="I549" s="8" t="s">
        <x:v>4</x:v>
      </x:c>
      <x:c r="J549" s="8" t="s">
        <x:v>4</x:v>
      </x:c>
      <x:c r="K549" s="25"/>
      <x:c r="L549" s="8" t="s">
        <x:v>367</x:v>
      </x:c>
      <x:c r="M549" s="8"/>
      <x:c r="N549" s="10"/>
      <x:c r="O549" s="8" t="s">
        <x:v>1151</x:v>
      </x:c>
    </x:row>
    <x:row r="550" ht="32" customHeight="1">
      <x:c r="A550" s="8">
        <x:v>23</x:v>
      </x:c>
      <x:c r="B550" s="8" t="s">
        <x:v>793</x:v>
      </x:c>
      <x:c r="C550" s="8" t="s">
        <x:v>794</x:v>
      </x:c>
      <x:c r="D550" s="8" t="s">
        <x:v>25</x:v>
      </x:c>
      <x:c r="E550" s="8" t="s">
        <x:v>558</x:v>
      </x:c>
      <x:c r="F550" s="8" t="s">
        <x:v>559</x:v>
      </x:c>
      <x:c r="G550" s="25">
        <x:v>46342</x:v>
      </x:c>
      <x:c r="H550" s="25">
        <x:v>46353</x:v>
      </x:c>
      <x:c r="I550" s="8" t="s">
        <x:v>4</x:v>
      </x:c>
      <x:c r="J550" s="8" t="s">
        <x:v>4</x:v>
      </x:c>
      <x:c r="K550" s="25">
        <x:v>46224</x:v>
      </x:c>
      <x:c r="L550" s="8" t="s">
        <x:v>367</x:v>
      </x:c>
      <x:c r="M550" s="8"/>
      <x:c r="N550" s="10"/>
      <x:c r="O550" s="8" t="s">
        <x:v>1152</x:v>
      </x:c>
    </x:row>
    <x:row r="551" ht="32" customHeight="1">
      <x:c r="A551" s="8">
        <x:v>23</x:v>
      </x:c>
      <x:c r="B551" s="8" t="s">
        <x:v>796</x:v>
      </x:c>
      <x:c r="C551" s="8" t="s">
        <x:v>791</x:v>
      </x:c>
      <x:c r="D551" s="8" t="s">
        <x:v>25</x:v>
      </x:c>
      <x:c r="E551" s="8" t="s">
        <x:v>558</x:v>
      </x:c>
      <x:c r="F551" s="8" t="s">
        <x:v>559</x:v>
      </x:c>
      <x:c r="G551" s="25">
        <x:v>46342</x:v>
      </x:c>
      <x:c r="H551" s="25">
        <x:v>46353</x:v>
      </x:c>
      <x:c r="I551" s="8" t="s">
        <x:v>4</x:v>
      </x:c>
      <x:c r="J551" s="8" t="s">
        <x:v>4</x:v>
      </x:c>
      <x:c r="K551" s="25">
        <x:v>46224</x:v>
      </x:c>
      <x:c r="L551" s="8" t="s">
        <x:v>367</x:v>
      </x:c>
      <x:c r="M551" s="8"/>
      <x:c r="N551" s="10"/>
      <x:c r="O551" s="8" t="s">
        <x:v>1153</x:v>
      </x:c>
    </x:row>
    <x:row r="552" ht="32" customHeight="1">
      <x:c r="A552" s="8">
        <x:v>23</x:v>
      </x:c>
      <x:c r="B552" s="8" t="s">
        <x:v>798</x:v>
      </x:c>
      <x:c r="C552" s="8" t="s">
        <x:v>799</x:v>
      </x:c>
      <x:c r="D552" s="8" t="s">
        <x:v>25</x:v>
      </x:c>
      <x:c r="E552" s="8" t="s">
        <x:v>558</x:v>
      </x:c>
      <x:c r="F552" s="8" t="s">
        <x:v>559</x:v>
      </x:c>
      <x:c r="G552" s="25">
        <x:v>46342</x:v>
      </x:c>
      <x:c r="H552" s="25">
        <x:v>46353</x:v>
      </x:c>
      <x:c r="I552" s="8" t="s">
        <x:v>4</x:v>
      </x:c>
      <x:c r="J552" s="8" t="s">
        <x:v>4</x:v>
      </x:c>
      <x:c r="K552" s="25">
        <x:v>46224</x:v>
      </x:c>
      <x:c r="L552" s="8" t="s">
        <x:v>367</x:v>
      </x:c>
      <x:c r="M552" s="8"/>
      <x:c r="N552" s="10"/>
      <x:c r="O552" s="8" t="s">
        <x:v>1154</x:v>
      </x:c>
    </x:row>
    <x:row r="553" ht="32" customHeight="1">
      <x:c r="A553" s="8">
        <x:v>23</x:v>
      </x:c>
      <x:c r="B553" s="8" t="s">
        <x:v>801</x:v>
      </x:c>
      <x:c r="C553" s="8" t="s">
        <x:v>791</x:v>
      </x:c>
      <x:c r="D553" s="8" t="s">
        <x:v>25</x:v>
      </x:c>
      <x:c r="E553" s="8" t="s">
        <x:v>558</x:v>
      </x:c>
      <x:c r="F553" s="8" t="s">
        <x:v>559</x:v>
      </x:c>
      <x:c r="G553" s="25">
        <x:v>46342</x:v>
      </x:c>
      <x:c r="H553" s="25">
        <x:v>46353</x:v>
      </x:c>
      <x:c r="I553" s="8" t="s">
        <x:v>4</x:v>
      </x:c>
      <x:c r="J553" s="8" t="s">
        <x:v>4</x:v>
      </x:c>
      <x:c r="K553" s="25">
        <x:v>46224</x:v>
      </x:c>
      <x:c r="L553" s="8" t="s">
        <x:v>367</x:v>
      </x:c>
      <x:c r="M553" s="8"/>
      <x:c r="N553" s="10"/>
      <x:c r="O553" s="8" t="s">
        <x:v>1155</x:v>
      </x:c>
    </x:row>
    <x:row r="554" ht="32" customHeight="1">
      <x:c r="A554" s="8">
        <x:v>23</x:v>
      </x:c>
      <x:c r="B554" s="8" t="s">
        <x:v>803</x:v>
      </x:c>
      <x:c r="C554" s="8" t="s">
        <x:v>794</x:v>
      </x:c>
      <x:c r="D554" s="8" t="s">
        <x:v>25</x:v>
      </x:c>
      <x:c r="E554" s="8" t="s">
        <x:v>558</x:v>
      </x:c>
      <x:c r="F554" s="8" t="s">
        <x:v>559</x:v>
      </x:c>
      <x:c r="G554" s="25">
        <x:v>46342</x:v>
      </x:c>
      <x:c r="H554" s="25">
        <x:v>46353</x:v>
      </x:c>
      <x:c r="I554" s="8" t="s">
        <x:v>4</x:v>
      </x:c>
      <x:c r="J554" s="8" t="s">
        <x:v>4</x:v>
      </x:c>
      <x:c r="K554" s="25">
        <x:v>46224</x:v>
      </x:c>
      <x:c r="L554" s="8" t="s">
        <x:v>367</x:v>
      </x:c>
      <x:c r="M554" s="8"/>
      <x:c r="N554" s="10"/>
      <x:c r="O554" s="8" t="s">
        <x:v>1156</x:v>
      </x:c>
    </x:row>
    <x:row r="555" ht="32" customHeight="1">
      <x:c r="A555" s="8">
        <x:v>23</x:v>
      </x:c>
      <x:c r="B555" s="8" t="s">
        <x:v>805</x:v>
      </x:c>
      <x:c r="C555" s="8" t="s">
        <x:v>791</x:v>
      </x:c>
      <x:c r="D555" s="8" t="s">
        <x:v>25</x:v>
      </x:c>
      <x:c r="E555" s="8" t="s">
        <x:v>558</x:v>
      </x:c>
      <x:c r="F555" s="8" t="s">
        <x:v>559</x:v>
      </x:c>
      <x:c r="G555" s="25">
        <x:v>46342</x:v>
      </x:c>
      <x:c r="H555" s="25">
        <x:v>46353</x:v>
      </x:c>
      <x:c r="I555" s="8" t="s">
        <x:v>4</x:v>
      </x:c>
      <x:c r="J555" s="8" t="s">
        <x:v>4</x:v>
      </x:c>
      <x:c r="K555" s="25">
        <x:v>46224</x:v>
      </x:c>
      <x:c r="L555" s="8" t="s">
        <x:v>367</x:v>
      </x:c>
      <x:c r="M555" s="8"/>
      <x:c r="N555" s="10"/>
      <x:c r="O555" s="8" t="s">
        <x:v>1157</x:v>
      </x:c>
    </x:row>
    <x:row r="556" ht="32" customHeight="1">
      <x:c r="A556" s="8">
        <x:v>23</x:v>
      </x:c>
      <x:c r="B556" s="8" t="s">
        <x:v>807</x:v>
      </x:c>
      <x:c r="C556" s="8" t="s">
        <x:v>794</x:v>
      </x:c>
      <x:c r="D556" s="8" t="s">
        <x:v>25</x:v>
      </x:c>
      <x:c r="E556" s="8" t="s">
        <x:v>558</x:v>
      </x:c>
      <x:c r="F556" s="8" t="s">
        <x:v>559</x:v>
      </x:c>
      <x:c r="G556" s="25">
        <x:v>46342</x:v>
      </x:c>
      <x:c r="H556" s="25">
        <x:v>46353</x:v>
      </x:c>
      <x:c r="I556" s="8" t="s">
        <x:v>4</x:v>
      </x:c>
      <x:c r="J556" s="8" t="s">
        <x:v>4</x:v>
      </x:c>
      <x:c r="K556" s="25"/>
      <x:c r="L556" s="8" t="s">
        <x:v>367</x:v>
      </x:c>
      <x:c r="M556" s="8"/>
      <x:c r="N556" s="10"/>
      <x:c r="O556" s="8" t="s">
        <x:v>1158</x:v>
      </x:c>
    </x:row>
    <x:row r="557" ht="32" customHeight="1">
      <x:c r="A557" s="8">
        <x:v>23</x:v>
      </x:c>
      <x:c r="B557" s="8" t="s">
        <x:v>809</x:v>
      </x:c>
      <x:c r="C557" s="8" t="s">
        <x:v>810</x:v>
      </x:c>
      <x:c r="D557" s="8" t="s">
        <x:v>25</x:v>
      </x:c>
      <x:c r="E557" s="8" t="s">
        <x:v>558</x:v>
      </x:c>
      <x:c r="F557" s="8" t="s">
        <x:v>559</x:v>
      </x:c>
      <x:c r="G557" s="25">
        <x:v>46342</x:v>
      </x:c>
      <x:c r="H557" s="25">
        <x:v>46353</x:v>
      </x:c>
      <x:c r="I557" s="8" t="s">
        <x:v>4</x:v>
      </x:c>
      <x:c r="J557" s="8" t="s">
        <x:v>4</x:v>
      </x:c>
      <x:c r="K557" s="25"/>
      <x:c r="L557" s="8" t="s">
        <x:v>367</x:v>
      </x:c>
      <x:c r="M557" s="8"/>
      <x:c r="N557" s="10"/>
      <x:c r="O557" s="8" t="s">
        <x:v>1159</x:v>
      </x:c>
    </x:row>
    <x:row r="558" ht="32" customHeight="1">
      <x:c r="A558" s="8">
        <x:v>23</x:v>
      </x:c>
      <x:c r="B558" s="8" t="s">
        <x:v>812</x:v>
      </x:c>
      <x:c r="C558" s="8" t="s">
        <x:v>813</x:v>
      </x:c>
      <x:c r="D558" s="8" t="s">
        <x:v>25</x:v>
      </x:c>
      <x:c r="E558" s="8" t="s">
        <x:v>558</x:v>
      </x:c>
      <x:c r="F558" s="8" t="s">
        <x:v>559</x:v>
      </x:c>
      <x:c r="G558" s="25">
        <x:v>46342</x:v>
      </x:c>
      <x:c r="H558" s="25">
        <x:v>46353</x:v>
      </x:c>
      <x:c r="I558" s="8" t="s">
        <x:v>4</x:v>
      </x:c>
      <x:c r="J558" s="8" t="s">
        <x:v>4</x:v>
      </x:c>
      <x:c r="K558" s="25"/>
      <x:c r="L558" s="8" t="s">
        <x:v>367</x:v>
      </x:c>
      <x:c r="M558" s="8"/>
      <x:c r="N558" s="10"/>
      <x:c r="O558" s="8" t="s">
        <x:v>1160</x:v>
      </x:c>
    </x:row>
    <x:row r="559" ht="32" customHeight="1">
      <x:c r="A559" s="8">
        <x:v>23</x:v>
      </x:c>
      <x:c r="B559" s="8" t="s">
        <x:v>815</x:v>
      </x:c>
      <x:c r="C559" s="8" t="s">
        <x:v>816</x:v>
      </x:c>
      <x:c r="D559" s="8" t="s">
        <x:v>25</x:v>
      </x:c>
      <x:c r="E559" s="8" t="s">
        <x:v>558</x:v>
      </x:c>
      <x:c r="F559" s="8" t="s">
        <x:v>559</x:v>
      </x:c>
      <x:c r="G559" s="25">
        <x:v>46342</x:v>
      </x:c>
      <x:c r="H559" s="25">
        <x:v>46353</x:v>
      </x:c>
      <x:c r="I559" s="8" t="s">
        <x:v>4</x:v>
      </x:c>
      <x:c r="J559" s="8" t="s">
        <x:v>4</x:v>
      </x:c>
      <x:c r="K559" s="25"/>
      <x:c r="L559" s="8" t="s">
        <x:v>367</x:v>
      </x:c>
      <x:c r="M559" s="8"/>
      <x:c r="N559" s="10"/>
      <x:c r="O559" s="8" t="s">
        <x:v>1161</x:v>
      </x:c>
    </x:row>
    <x:row r="560" ht="32" customHeight="1">
      <x:c r="A560" s="8">
        <x:v>23</x:v>
      </x:c>
      <x:c r="B560" s="8" t="s">
        <x:v>818</x:v>
      </x:c>
      <x:c r="C560" s="8" t="s">
        <x:v>819</x:v>
      </x:c>
      <x:c r="D560" s="8" t="s">
        <x:v>25</x:v>
      </x:c>
      <x:c r="E560" s="8" t="s">
        <x:v>558</x:v>
      </x:c>
      <x:c r="F560" s="8" t="s">
        <x:v>559</x:v>
      </x:c>
      <x:c r="G560" s="25">
        <x:v>46342</x:v>
      </x:c>
      <x:c r="H560" s="25">
        <x:v>46353</x:v>
      </x:c>
      <x:c r="I560" s="8" t="s">
        <x:v>4</x:v>
      </x:c>
      <x:c r="J560" s="8" t="s">
        <x:v>4</x:v>
      </x:c>
      <x:c r="K560" s="25"/>
      <x:c r="L560" s="8" t="s">
        <x:v>367</x:v>
      </x:c>
      <x:c r="M560" s="8"/>
      <x:c r="N560" s="10"/>
      <x:c r="O560" s="8" t="s">
        <x:v>1162</x:v>
      </x:c>
    </x:row>
    <x:row r="561" ht="32" customHeight="1">
      <x:c r="A561" s="8">
        <x:v>23</x:v>
      </x:c>
      <x:c r="B561" s="8" t="s">
        <x:v>821</x:v>
      </x:c>
      <x:c r="C561" s="8" t="s">
        <x:v>791</x:v>
      </x:c>
      <x:c r="D561" s="8" t="s">
        <x:v>25</x:v>
      </x:c>
      <x:c r="E561" s="8" t="s">
        <x:v>558</x:v>
      </x:c>
      <x:c r="F561" s="8" t="s">
        <x:v>559</x:v>
      </x:c>
      <x:c r="G561" s="25">
        <x:v>46342</x:v>
      </x:c>
      <x:c r="H561" s="25">
        <x:v>46353</x:v>
      </x:c>
      <x:c r="I561" s="8" t="s">
        <x:v>4</x:v>
      </x:c>
      <x:c r="J561" s="8" t="s">
        <x:v>4</x:v>
      </x:c>
      <x:c r="K561" s="25"/>
      <x:c r="L561" s="8" t="s">
        <x:v>367</x:v>
      </x:c>
      <x:c r="M561" s="8"/>
      <x:c r="N561" s="10"/>
      <x:c r="O561" s="8" t="s">
        <x:v>1163</x:v>
      </x:c>
    </x:row>
    <x:row r="562" ht="32" customHeight="1">
      <x:c r="A562" s="8">
        <x:v>23</x:v>
      </x:c>
      <x:c r="B562" s="8" t="s">
        <x:v>823</x:v>
      </x:c>
      <x:c r="C562" s="8" t="s">
        <x:v>794</x:v>
      </x:c>
      <x:c r="D562" s="8" t="s">
        <x:v>25</x:v>
      </x:c>
      <x:c r="E562" s="8" t="s">
        <x:v>558</x:v>
      </x:c>
      <x:c r="F562" s="8" t="s">
        <x:v>559</x:v>
      </x:c>
      <x:c r="G562" s="25">
        <x:v>46342</x:v>
      </x:c>
      <x:c r="H562" s="25">
        <x:v>46353</x:v>
      </x:c>
      <x:c r="I562" s="8" t="s">
        <x:v>4</x:v>
      </x:c>
      <x:c r="J562" s="8" t="s">
        <x:v>4</x:v>
      </x:c>
      <x:c r="K562" s="25"/>
      <x:c r="L562" s="8" t="s">
        <x:v>367</x:v>
      </x:c>
      <x:c r="M562" s="8"/>
      <x:c r="N562" s="10"/>
      <x:c r="O562" s="8" t="s">
        <x:v>1164</x:v>
      </x:c>
    </x:row>
    <x:row r="563" ht="32" customHeight="1">
      <x:c r="A563" s="8">
        <x:v>23</x:v>
      </x:c>
      <x:c r="B563" s="8" t="s">
        <x:v>825</x:v>
      </x:c>
      <x:c r="C563" s="8" t="s">
        <x:v>826</x:v>
      </x:c>
      <x:c r="D563" s="8" t="s">
        <x:v>25</x:v>
      </x:c>
      <x:c r="E563" s="8" t="s">
        <x:v>558</x:v>
      </x:c>
      <x:c r="F563" s="8" t="s">
        <x:v>559</x:v>
      </x:c>
      <x:c r="G563" s="25">
        <x:v>46342</x:v>
      </x:c>
      <x:c r="H563" s="25">
        <x:v>46353</x:v>
      </x:c>
      <x:c r="I563" s="8" t="s">
        <x:v>4</x:v>
      </x:c>
      <x:c r="J563" s="8" t="s">
        <x:v>4</x:v>
      </x:c>
      <x:c r="K563" s="25"/>
      <x:c r="L563" s="8" t="s">
        <x:v>367</x:v>
      </x:c>
      <x:c r="M563" s="8"/>
      <x:c r="N563" s="10"/>
      <x:c r="O563" s="8" t="s">
        <x:v>1165</x:v>
      </x:c>
    </x:row>
    <x:row r="564" ht="32" customHeight="1">
      <x:c r="A564" s="8">
        <x:v>23</x:v>
      </x:c>
      <x:c r="B564" s="8" t="s">
        <x:v>828</x:v>
      </x:c>
      <x:c r="C564" s="8" t="s">
        <x:v>829</x:v>
      </x:c>
      <x:c r="D564" s="8" t="s">
        <x:v>25</x:v>
      </x:c>
      <x:c r="E564" s="8" t="s">
        <x:v>558</x:v>
      </x:c>
      <x:c r="F564" s="8" t="s">
        <x:v>559</x:v>
      </x:c>
      <x:c r="G564" s="25">
        <x:v>46342</x:v>
      </x:c>
      <x:c r="H564" s="25">
        <x:v>46353</x:v>
      </x:c>
      <x:c r="I564" s="8" t="s">
        <x:v>4</x:v>
      </x:c>
      <x:c r="J564" s="8" t="s">
        <x:v>4</x:v>
      </x:c>
      <x:c r="K564" s="25">
        <x:v>46261</x:v>
      </x:c>
      <x:c r="L564" s="8" t="s">
        <x:v>367</x:v>
      </x:c>
      <x:c r="M564" s="8"/>
      <x:c r="N564" s="10"/>
      <x:c r="O564" s="8" t="s">
        <x:v>1166</x:v>
      </x:c>
    </x:row>
    <x:row r="565" ht="32" customHeight="1">
      <x:c r="A565" s="8">
        <x:v>23</x:v>
      </x:c>
      <x:c r="B565" s="8" t="s">
        <x:v>831</x:v>
      </x:c>
      <x:c r="C565" s="8" t="s">
        <x:v>832</x:v>
      </x:c>
      <x:c r="D565" s="8" t="s">
        <x:v>25</x:v>
      </x:c>
      <x:c r="E565" s="8" t="s">
        <x:v>558</x:v>
      </x:c>
      <x:c r="F565" s="8" t="s">
        <x:v>559</x:v>
      </x:c>
      <x:c r="G565" s="25">
        <x:v>46342</x:v>
      </x:c>
      <x:c r="H565" s="25">
        <x:v>46353</x:v>
      </x:c>
      <x:c r="I565" s="8" t="s">
        <x:v>4</x:v>
      </x:c>
      <x:c r="J565" s="8" t="s">
        <x:v>4</x:v>
      </x:c>
      <x:c r="K565" s="25">
        <x:v>46261</x:v>
      </x:c>
      <x:c r="L565" s="8" t="s">
        <x:v>367</x:v>
      </x:c>
      <x:c r="M565" s="8"/>
      <x:c r="N565" s="10"/>
      <x:c r="O565" s="8" t="s">
        <x:v>1167</x:v>
      </x:c>
    </x:row>
    <x:row r="566" ht="32" customHeight="1">
      <x:c r="A566" s="8">
        <x:v>23</x:v>
      </x:c>
      <x:c r="B566" s="8" t="s">
        <x:v>834</x:v>
      </x:c>
      <x:c r="C566" s="8" t="s">
        <x:v>835</x:v>
      </x:c>
      <x:c r="D566" s="8" t="s">
        <x:v>25</x:v>
      </x:c>
      <x:c r="E566" s="8" t="s">
        <x:v>558</x:v>
      </x:c>
      <x:c r="F566" s="8" t="s">
        <x:v>559</x:v>
      </x:c>
      <x:c r="G566" s="25">
        <x:v>46342</x:v>
      </x:c>
      <x:c r="H566" s="25">
        <x:v>46353</x:v>
      </x:c>
      <x:c r="I566" s="8" t="s">
        <x:v>4</x:v>
      </x:c>
      <x:c r="J566" s="8" t="s">
        <x:v>4</x:v>
      </x:c>
      <x:c r="K566" s="25"/>
      <x:c r="L566" s="8" t="s">
        <x:v>367</x:v>
      </x:c>
      <x:c r="M566" s="8"/>
      <x:c r="N566" s="10"/>
      <x:c r="O566" s="8" t="s">
        <x:v>1168</x:v>
      </x:c>
    </x:row>
    <x:row r="567" ht="32" customHeight="1">
      <x:c r="A567" s="8">
        <x:v>23</x:v>
      </x:c>
      <x:c r="B567" s="8" t="s">
        <x:v>837</x:v>
      </x:c>
      <x:c r="C567" s="8" t="s">
        <x:v>838</x:v>
      </x:c>
      <x:c r="D567" s="8" t="s">
        <x:v>25</x:v>
      </x:c>
      <x:c r="E567" s="8" t="s">
        <x:v>558</x:v>
      </x:c>
      <x:c r="F567" s="8" t="s">
        <x:v>559</x:v>
      </x:c>
      <x:c r="G567" s="25">
        <x:v>46342</x:v>
      </x:c>
      <x:c r="H567" s="25">
        <x:v>46353</x:v>
      </x:c>
      <x:c r="I567" s="8" t="s">
        <x:v>4</x:v>
      </x:c>
      <x:c r="J567" s="8" t="s">
        <x:v>4</x:v>
      </x:c>
      <x:c r="K567" s="25"/>
      <x:c r="L567" s="8" t="s">
        <x:v>367</x:v>
      </x:c>
      <x:c r="M567" s="8"/>
      <x:c r="N567" s="10"/>
      <x:c r="O567" s="8" t="s">
        <x:v>1169</x:v>
      </x:c>
    </x:row>
    <x:row r="568" ht="32" customHeight="1">
      <x:c r="A568" s="8">
        <x:v>23</x:v>
      </x:c>
      <x:c r="B568" s="8" t="s">
        <x:v>840</x:v>
      </x:c>
      <x:c r="C568" s="8" t="s">
        <x:v>841</x:v>
      </x:c>
      <x:c r="D568" s="8" t="s">
        <x:v>25</x:v>
      </x:c>
      <x:c r="E568" s="8" t="s">
        <x:v>558</x:v>
      </x:c>
      <x:c r="F568" s="8" t="s">
        <x:v>559</x:v>
      </x:c>
      <x:c r="G568" s="25">
        <x:v>46342</x:v>
      </x:c>
      <x:c r="H568" s="25">
        <x:v>46353</x:v>
      </x:c>
      <x:c r="I568" s="8" t="s">
        <x:v>4</x:v>
      </x:c>
      <x:c r="J568" s="8" t="s">
        <x:v>4</x:v>
      </x:c>
      <x:c r="K568" s="25"/>
      <x:c r="L568" s="8" t="s">
        <x:v>367</x:v>
      </x:c>
      <x:c r="M568" s="8"/>
      <x:c r="N568" s="10"/>
      <x:c r="O568" s="8" t="s">
        <x:v>1170</x:v>
      </x:c>
    </x:row>
    <x:row r="569" ht="32" customHeight="1">
      <x:c r="A569" s="8">
        <x:v>23</x:v>
      </x:c>
      <x:c r="B569" s="8" t="s">
        <x:v>843</x:v>
      </x:c>
      <x:c r="C569" s="8" t="s">
        <x:v>768</x:v>
      </x:c>
      <x:c r="D569" s="8" t="s">
        <x:v>25</x:v>
      </x:c>
      <x:c r="E569" s="8" t="s">
        <x:v>558</x:v>
      </x:c>
      <x:c r="F569" s="8" t="s">
        <x:v>559</x:v>
      </x:c>
      <x:c r="G569" s="25">
        <x:v>46342</x:v>
      </x:c>
      <x:c r="H569" s="25">
        <x:v>46353</x:v>
      </x:c>
      <x:c r="I569" s="8" t="s">
        <x:v>4</x:v>
      </x:c>
      <x:c r="J569" s="8" t="s">
        <x:v>4</x:v>
      </x:c>
      <x:c r="K569" s="25"/>
      <x:c r="L569" s="8" t="s">
        <x:v>367</x:v>
      </x:c>
      <x:c r="M569" s="8"/>
      <x:c r="N569" s="10"/>
      <x:c r="O569" s="8" t="s">
        <x:v>1171</x:v>
      </x:c>
    </x:row>
    <x:row r="570" ht="32" customHeight="1">
      <x:c r="A570" s="8">
        <x:v>23</x:v>
      </x:c>
      <x:c r="B570" s="8" t="s">
        <x:v>845</x:v>
      </x:c>
      <x:c r="C570" s="8" t="s">
        <x:v>774</x:v>
      </x:c>
      <x:c r="D570" s="8" t="s">
        <x:v>25</x:v>
      </x:c>
      <x:c r="E570" s="8" t="s">
        <x:v>558</x:v>
      </x:c>
      <x:c r="F570" s="8" t="s">
        <x:v>559</x:v>
      </x:c>
      <x:c r="G570" s="25">
        <x:v>46342</x:v>
      </x:c>
      <x:c r="H570" s="25">
        <x:v>46353</x:v>
      </x:c>
      <x:c r="I570" s="8" t="s">
        <x:v>4</x:v>
      </x:c>
      <x:c r="J570" s="8" t="s">
        <x:v>4</x:v>
      </x:c>
      <x:c r="K570" s="25"/>
      <x:c r="L570" s="8" t="s">
        <x:v>367</x:v>
      </x:c>
      <x:c r="M570" s="8"/>
      <x:c r="N570" s="10"/>
      <x:c r="O570" s="8" t="s">
        <x:v>1172</x:v>
      </x:c>
    </x:row>
    <x:row r="571" ht="32" customHeight="1">
      <x:c r="A571" s="8">
        <x:v>23</x:v>
      </x:c>
      <x:c r="B571" s="8" t="s">
        <x:v>847</x:v>
      </x:c>
      <x:c r="C571" s="8" t="s">
        <x:v>848</x:v>
      </x:c>
      <x:c r="D571" s="8" t="s">
        <x:v>25</x:v>
      </x:c>
      <x:c r="E571" s="8" t="s">
        <x:v>558</x:v>
      </x:c>
      <x:c r="F571" s="8" t="s">
        <x:v>559</x:v>
      </x:c>
      <x:c r="G571" s="25">
        <x:v>46342</x:v>
      </x:c>
      <x:c r="H571" s="25">
        <x:v>46353</x:v>
      </x:c>
      <x:c r="I571" s="8" t="s">
        <x:v>4</x:v>
      </x:c>
      <x:c r="J571" s="8" t="s">
        <x:v>4</x:v>
      </x:c>
      <x:c r="K571" s="25"/>
      <x:c r="L571" s="8" t="s">
        <x:v>367</x:v>
      </x:c>
      <x:c r="M571" s="8"/>
      <x:c r="N571" s="10"/>
      <x:c r="O571" s="8" t="s">
        <x:v>1173</x:v>
      </x:c>
    </x:row>
    <x:row r="572" ht="32" customHeight="1">
      <x:c r="A572" s="8">
        <x:v>23</x:v>
      </x:c>
      <x:c r="B572" s="8" t="s">
        <x:v>850</x:v>
      </x:c>
      <x:c r="C572" s="8" t="s">
        <x:v>851</x:v>
      </x:c>
      <x:c r="D572" s="8" t="s">
        <x:v>25</x:v>
      </x:c>
      <x:c r="E572" s="8" t="s">
        <x:v>558</x:v>
      </x:c>
      <x:c r="F572" s="8" t="s">
        <x:v>559</x:v>
      </x:c>
      <x:c r="G572" s="25">
        <x:v>46342</x:v>
      </x:c>
      <x:c r="H572" s="25">
        <x:v>46353</x:v>
      </x:c>
      <x:c r="I572" s="8" t="s">
        <x:v>4</x:v>
      </x:c>
      <x:c r="J572" s="8" t="s">
        <x:v>4</x:v>
      </x:c>
      <x:c r="K572" s="25"/>
      <x:c r="L572" s="8" t="s">
        <x:v>367</x:v>
      </x:c>
      <x:c r="M572" s="8"/>
      <x:c r="N572" s="10"/>
      <x:c r="O572" s="8" t="s">
        <x:v>1174</x:v>
      </x:c>
    </x:row>
    <x:row r="573" ht="32" customHeight="1">
      <x:c r="A573" s="8">
        <x:v>23</x:v>
      </x:c>
      <x:c r="B573" s="8" t="s">
        <x:v>853</x:v>
      </x:c>
      <x:c r="C573" s="8" t="s">
        <x:v>854</x:v>
      </x:c>
      <x:c r="D573" s="8" t="s">
        <x:v>25</x:v>
      </x:c>
      <x:c r="E573" s="8" t="s">
        <x:v>558</x:v>
      </x:c>
      <x:c r="F573" s="8" t="s">
        <x:v>559</x:v>
      </x:c>
      <x:c r="G573" s="25">
        <x:v>46342</x:v>
      </x:c>
      <x:c r="H573" s="25">
        <x:v>46353</x:v>
      </x:c>
      <x:c r="I573" s="8" t="s">
        <x:v>4</x:v>
      </x:c>
      <x:c r="J573" s="8" t="s">
        <x:v>4</x:v>
      </x:c>
      <x:c r="K573" s="25"/>
      <x:c r="L573" s="8" t="s">
        <x:v>367</x:v>
      </x:c>
      <x:c r="M573" s="8"/>
      <x:c r="N573" s="10"/>
      <x:c r="O573" s="8" t="s">
        <x:v>1175</x:v>
      </x:c>
    </x:row>
    <x:row r="574" ht="32" customHeight="1">
      <x:c r="A574" s="8">
        <x:v>23</x:v>
      </x:c>
      <x:c r="B574" s="8" t="s">
        <x:v>856</x:v>
      </x:c>
      <x:c r="C574" s="8" t="s">
        <x:v>857</x:v>
      </x:c>
      <x:c r="D574" s="8" t="s">
        <x:v>25</x:v>
      </x:c>
      <x:c r="E574" s="8" t="s">
        <x:v>558</x:v>
      </x:c>
      <x:c r="F574" s="8" t="s">
        <x:v>559</x:v>
      </x:c>
      <x:c r="G574" s="25">
        <x:v>46342</x:v>
      </x:c>
      <x:c r="H574" s="25">
        <x:v>46353</x:v>
      </x:c>
      <x:c r="I574" s="8" t="s">
        <x:v>4</x:v>
      </x:c>
      <x:c r="J574" s="8" t="s">
        <x:v>4</x:v>
      </x:c>
      <x:c r="K574" s="25"/>
      <x:c r="L574" s="8" t="s">
        <x:v>367</x:v>
      </x:c>
      <x:c r="M574" s="8"/>
      <x:c r="N574" s="10"/>
      <x:c r="O574" s="8" t="s">
        <x:v>1176</x:v>
      </x:c>
    </x:row>
    <x:row r="575" ht="32" customHeight="1">
      <x:c r="A575" s="8">
        <x:v>23</x:v>
      </x:c>
      <x:c r="B575" s="8" t="s">
        <x:v>545</x:v>
      </x:c>
      <x:c r="C575" s="8" t="s">
        <x:v>489</x:v>
      </x:c>
      <x:c r="D575" s="8" t="s">
        <x:v>25</x:v>
      </x:c>
      <x:c r="E575" s="8" t="s">
        <x:v>558</x:v>
      </x:c>
      <x:c r="F575" s="8" t="s">
        <x:v>559</x:v>
      </x:c>
      <x:c r="G575" s="25">
        <x:v>46342</x:v>
      </x:c>
      <x:c r="H575" s="25">
        <x:v>46353</x:v>
      </x:c>
      <x:c r="I575" s="8" t="s">
        <x:v>2</x:v>
      </x:c>
      <x:c r="J575" s="8" t="s">
        <x:v>2</x:v>
      </x:c>
      <x:c r="K575" s="25">
        <x:v>46261</x:v>
      </x:c>
      <x:c r="L575" s="8" t="s">
        <x:v>367</x:v>
      </x:c>
      <x:c r="M575" s="8"/>
      <x:c r="N575" s="10"/>
      <x:c r="O575" s="8" t="s">
        <x:v>1177</x:v>
      </x:c>
    </x:row>
    <x:row r="576" ht="32" customHeight="1">
      <x:c r="A576" s="8">
        <x:v>23</x:v>
      </x:c>
      <x:c r="B576" s="8" t="s">
        <x:v>547</x:v>
      </x:c>
      <x:c r="C576" s="8" t="s">
        <x:v>498</x:v>
      </x:c>
      <x:c r="D576" s="8" t="s">
        <x:v>25</x:v>
      </x:c>
      <x:c r="E576" s="8" t="s">
        <x:v>558</x:v>
      </x:c>
      <x:c r="F576" s="8" t="s">
        <x:v>559</x:v>
      </x:c>
      <x:c r="G576" s="25">
        <x:v>46342</x:v>
      </x:c>
      <x:c r="H576" s="25">
        <x:v>46353</x:v>
      </x:c>
      <x:c r="I576" s="8" t="s">
        <x:v>2</x:v>
      </x:c>
      <x:c r="J576" s="8" t="s">
        <x:v>2</x:v>
      </x:c>
      <x:c r="K576" s="25">
        <x:v>46261</x:v>
      </x:c>
      <x:c r="L576" s="8" t="s">
        <x:v>367</x:v>
      </x:c>
      <x:c r="M576" s="8"/>
      <x:c r="N576" s="10"/>
      <x:c r="O576" s="8" t="s">
        <x:v>1178</x:v>
      </x:c>
    </x:row>
    <x:row r="577" ht="32" customHeight="1">
      <x:c r="A577" s="8">
        <x:v>23</x:v>
      </x:c>
      <x:c r="B577" s="8" t="s">
        <x:v>549</x:v>
      </x:c>
      <x:c r="C577" s="8" t="s">
        <x:v>507</x:v>
      </x:c>
      <x:c r="D577" s="8" t="s">
        <x:v>25</x:v>
      </x:c>
      <x:c r="E577" s="8" t="s">
        <x:v>558</x:v>
      </x:c>
      <x:c r="F577" s="8" t="s">
        <x:v>559</x:v>
      </x:c>
      <x:c r="G577" s="25">
        <x:v>46342</x:v>
      </x:c>
      <x:c r="H577" s="25">
        <x:v>46353</x:v>
      </x:c>
      <x:c r="I577" s="8" t="s">
        <x:v>2</x:v>
      </x:c>
      <x:c r="J577" s="8" t="s">
        <x:v>2</x:v>
      </x:c>
      <x:c r="K577" s="25"/>
      <x:c r="L577" s="8" t="s">
        <x:v>367</x:v>
      </x:c>
      <x:c r="M577" s="8" t="s">
        <x:v>368</x:v>
      </x:c>
      <x:c r="N577" s="10"/>
      <x:c r="O577" s="8" t="s">
        <x:v>1179</x:v>
      </x:c>
    </x:row>
    <x:row r="578" ht="32" customHeight="1">
      <x:c r="A578" s="8">
        <x:v>23</x:v>
      </x:c>
      <x:c r="B578" s="8" t="s">
        <x:v>859</x:v>
      </x:c>
      <x:c r="C578" s="8" t="s">
        <x:v>771</x:v>
      </x:c>
      <x:c r="D578" s="8" t="s">
        <x:v>25</x:v>
      </x:c>
      <x:c r="E578" s="8" t="s">
        <x:v>558</x:v>
      </x:c>
      <x:c r="F578" s="8" t="s">
        <x:v>559</x:v>
      </x:c>
      <x:c r="G578" s="25">
        <x:v>46342</x:v>
      </x:c>
      <x:c r="H578" s="25">
        <x:v>46353</x:v>
      </x:c>
      <x:c r="I578" s="8" t="s">
        <x:v>4</x:v>
      </x:c>
      <x:c r="J578" s="8" t="s">
        <x:v>4</x:v>
      </x:c>
      <x:c r="K578" s="25"/>
      <x:c r="L578" s="8" t="s">
        <x:v>367</x:v>
      </x:c>
      <x:c r="M578" s="8"/>
      <x:c r="N578" s="10"/>
      <x:c r="O578" s="8" t="s">
        <x:v>1180</x:v>
      </x:c>
    </x:row>
    <x:row r="579" ht="32" customHeight="1">
      <x:c r="A579" s="8" t="s">
        <x:v>1181</x:v>
      </x:c>
      <x:c r="B579" s="8" t="s">
        <x:v>465</x:v>
      </x:c>
      <x:c r="C579" s="8" t="s">
        <x:v>466</x:v>
      </x:c>
      <x:c r="D579" s="8" t="s">
        <x:v>24</x:v>
      </x:c>
      <x:c r="E579" s="8" t="s">
        <x:v>365</x:v>
      </x:c>
      <x:c r="F579" s="8" t="s">
        <x:v>366</x:v>
      </x:c>
      <x:c r="G579" s="25"/>
      <x:c r="H579" s="25"/>
      <x:c r="I579" s="8" t="s">
        <x:v>2</x:v>
      </x:c>
      <x:c r="J579" s="8" t="s">
        <x:v>2</x:v>
      </x:c>
      <x:c r="K579" s="25">
        <x:v>46224</x:v>
      </x:c>
      <x:c r="L579" s="8" t="s">
        <x:v>367</x:v>
      </x:c>
      <x:c r="M579" s="8" t="s">
        <x:v>1182</x:v>
      </x:c>
      <x:c r="N579" s="10"/>
      <x:c r="O579" s="8" t="s">
        <x:v>1183</x:v>
      </x:c>
    </x:row>
    <x:row r="580" ht="32" customHeight="1">
      <x:c r="A580" s="8" t="s">
        <x:v>1181</x:v>
      </x:c>
      <x:c r="B580" s="8" t="s">
        <x:v>470</x:v>
      </x:c>
      <x:c r="C580" s="8" t="s">
        <x:v>471</x:v>
      </x:c>
      <x:c r="D580" s="8" t="s">
        <x:v>24</x:v>
      </x:c>
      <x:c r="E580" s="8" t="s">
        <x:v>365</x:v>
      </x:c>
      <x:c r="F580" s="8" t="s">
        <x:v>366</x:v>
      </x:c>
      <x:c r="G580" s="25"/>
      <x:c r="H580" s="25"/>
      <x:c r="I580" s="8" t="s">
        <x:v>2</x:v>
      </x:c>
      <x:c r="J580" s="8" t="s">
        <x:v>2</x:v>
      </x:c>
      <x:c r="K580" s="25">
        <x:v>46224</x:v>
      </x:c>
      <x:c r="L580" s="8" t="s">
        <x:v>367</x:v>
      </x:c>
      <x:c r="M580" s="8" t="s">
        <x:v>1182</x:v>
      </x:c>
      <x:c r="N580" s="10"/>
      <x:c r="O580" s="8" t="s">
        <x:v>1184</x:v>
      </x:c>
    </x:row>
    <x:row r="581" ht="32" customHeight="1">
      <x:c r="A581" s="8" t="s">
        <x:v>1181</x:v>
      </x:c>
      <x:c r="B581" s="8" t="s">
        <x:v>473</x:v>
      </x:c>
      <x:c r="C581" s="8" t="s">
        <x:v>474</x:v>
      </x:c>
      <x:c r="D581" s="8" t="s">
        <x:v>24</x:v>
      </x:c>
      <x:c r="E581" s="8" t="s">
        <x:v>365</x:v>
      </x:c>
      <x:c r="F581" s="8" t="s">
        <x:v>366</x:v>
      </x:c>
      <x:c r="G581" s="25"/>
      <x:c r="H581" s="25"/>
      <x:c r="I581" s="8" t="s">
        <x:v>2</x:v>
      </x:c>
      <x:c r="J581" s="8" t="s">
        <x:v>2</x:v>
      </x:c>
      <x:c r="K581" s="25">
        <x:v>46224</x:v>
      </x:c>
      <x:c r="L581" s="8" t="s">
        <x:v>367</x:v>
      </x:c>
      <x:c r="M581" s="8" t="s">
        <x:v>1182</x:v>
      </x:c>
      <x:c r="N581" s="10"/>
      <x:c r="O581" s="8" t="s">
        <x:v>1185</x:v>
      </x:c>
    </x:row>
    <x:row r="582" ht="32" customHeight="1">
      <x:c r="A582" s="8" t="s">
        <x:v>1181</x:v>
      </x:c>
      <x:c r="B582" s="8" t="s">
        <x:v>476</x:v>
      </x:c>
      <x:c r="C582" s="8" t="s">
        <x:v>477</x:v>
      </x:c>
      <x:c r="D582" s="8" t="s">
        <x:v>24</x:v>
      </x:c>
      <x:c r="E582" s="8" t="s">
        <x:v>365</x:v>
      </x:c>
      <x:c r="F582" s="8" t="s">
        <x:v>366</x:v>
      </x:c>
      <x:c r="G582" s="25"/>
      <x:c r="H582" s="25"/>
      <x:c r="I582" s="8" t="s">
        <x:v>2</x:v>
      </x:c>
      <x:c r="J582" s="8" t="s">
        <x:v>2</x:v>
      </x:c>
      <x:c r="K582" s="25">
        <x:v>46224</x:v>
      </x:c>
      <x:c r="L582" s="8" t="s">
        <x:v>367</x:v>
      </x:c>
      <x:c r="M582" s="8" t="s">
        <x:v>1182</x:v>
      </x:c>
      <x:c r="N582" s="10"/>
      <x:c r="O582" s="8" t="s">
        <x:v>1186</x:v>
      </x:c>
    </x:row>
    <x:row r="583" ht="32" customHeight="1">
      <x:c r="A583" s="8" t="s">
        <x:v>1181</x:v>
      </x:c>
      <x:c r="B583" s="8" t="s">
        <x:v>1187</x:v>
      </x:c>
      <x:c r="C583" s="8" t="s">
        <x:v>1188</x:v>
      </x:c>
      <x:c r="D583" s="8"/>
      <x:c r="E583" s="8" t="s">
        <x:v>365</x:v>
      </x:c>
      <x:c r="F583" s="8"/>
      <x:c r="G583" s="25"/>
      <x:c r="H583" s="25"/>
      <x:c r="I583" s="8"/>
      <x:c r="J583" s="8" t="s">
        <x:v>5</x:v>
      </x:c>
      <x:c r="K583" s="25"/>
      <x:c r="L583" s="8" t="s">
        <x:v>367</x:v>
      </x:c>
      <x:c r="M583" s="8" t="s">
        <x:v>1189</x:v>
      </x:c>
      <x:c r="N583" s="10"/>
      <x:c r="O583" s="8" t="s">
        <x:v>1190</x:v>
      </x:c>
    </x:row>
    <x:row r="584" ht="32" customHeight="1">
      <x:c r="A584" s="8" t="s">
        <x:v>1181</x:v>
      </x:c>
      <x:c r="B584" s="8" t="s">
        <x:v>1191</x:v>
      </x:c>
      <x:c r="C584" s="8" t="s">
        <x:v>1192</x:v>
      </x:c>
      <x:c r="D584" s="8"/>
      <x:c r="E584" s="8" t="s">
        <x:v>365</x:v>
      </x:c>
      <x:c r="F584" s="8"/>
      <x:c r="G584" s="25"/>
      <x:c r="H584" s="25"/>
      <x:c r="I584" s="8"/>
      <x:c r="J584" s="8" t="s">
        <x:v>5</x:v>
      </x:c>
      <x:c r="K584" s="25"/>
      <x:c r="L584" s="8" t="s">
        <x:v>367</x:v>
      </x:c>
      <x:c r="M584" s="8" t="s">
        <x:v>1189</x:v>
      </x:c>
      <x:c r="N584" s="10"/>
      <x:c r="O584" s="8" t="s">
        <x:v>1193</x:v>
      </x:c>
    </x:row>
    <x:row r="585" ht="32" customHeight="1">
      <x:c r="A585" s="8" t="s">
        <x:v>1181</x:v>
      </x:c>
      <x:c r="B585" s="8" t="s">
        <x:v>1194</x:v>
      </x:c>
      <x:c r="C585" s="8" t="s">
        <x:v>1195</x:v>
      </x:c>
      <x:c r="D585" s="8"/>
      <x:c r="E585" s="8" t="s">
        <x:v>365</x:v>
      </x:c>
      <x:c r="F585" s="8"/>
      <x:c r="G585" s="25"/>
      <x:c r="H585" s="25"/>
      <x:c r="I585" s="8"/>
      <x:c r="J585" s="8" t="s">
        <x:v>5</x:v>
      </x:c>
      <x:c r="K585" s="25"/>
      <x:c r="L585" s="8" t="s">
        <x:v>367</x:v>
      </x:c>
      <x:c r="M585" s="8" t="s">
        <x:v>1189</x:v>
      </x:c>
      <x:c r="N585" s="10"/>
      <x:c r="O585" s="8" t="s">
        <x:v>1196</x:v>
      </x:c>
    </x:row>
    <x:row r="586" ht="32" customHeight="1">
      <x:c r="A586" s="8" t="s">
        <x:v>1181</x:v>
      </x:c>
      <x:c r="B586" s="8" t="s">
        <x:v>1197</x:v>
      </x:c>
      <x:c r="C586" s="8" t="s">
        <x:v>1198</x:v>
      </x:c>
      <x:c r="D586" s="8"/>
      <x:c r="E586" s="8" t="s">
        <x:v>365</x:v>
      </x:c>
      <x:c r="F586" s="8"/>
      <x:c r="G586" s="25"/>
      <x:c r="H586" s="25"/>
      <x:c r="I586" s="8"/>
      <x:c r="J586" s="8" t="s">
        <x:v>5</x:v>
      </x:c>
      <x:c r="K586" s="25"/>
      <x:c r="L586" s="8" t="s">
        <x:v>367</x:v>
      </x:c>
      <x:c r="M586" s="8" t="s">
        <x:v>1189</x:v>
      </x:c>
      <x:c r="N586" s="10"/>
      <x:c r="O586" s="8" t="s">
        <x:v>1199</x:v>
      </x:c>
    </x:row>
    <x:row r="587" ht="32" customHeight="1">
      <x:c r="A587" s="8" t="s">
        <x:v>1181</x:v>
      </x:c>
      <x:c r="B587" s="8" t="s">
        <x:v>1200</x:v>
      </x:c>
      <x:c r="C587" s="8" t="s">
        <x:v>1201</x:v>
      </x:c>
      <x:c r="D587" s="8"/>
      <x:c r="E587" s="8" t="s">
        <x:v>365</x:v>
      </x:c>
      <x:c r="F587" s="8"/>
      <x:c r="G587" s="25"/>
      <x:c r="H587" s="25"/>
      <x:c r="I587" s="8"/>
      <x:c r="J587" s="8" t="s">
        <x:v>5</x:v>
      </x:c>
      <x:c r="K587" s="25"/>
      <x:c r="L587" s="8" t="s">
        <x:v>367</x:v>
      </x:c>
      <x:c r="M587" s="8" t="s">
        <x:v>1189</x:v>
      </x:c>
      <x:c r="N587" s="10"/>
      <x:c r="O587" s="8" t="s">
        <x:v>1202</x:v>
      </x:c>
    </x:row>
    <x:row r="588" ht="32" customHeight="1">
      <x:c r="A588" s="8" t="s">
        <x:v>1181</x:v>
      </x:c>
      <x:c r="B588" s="8" t="s">
        <x:v>1203</x:v>
      </x:c>
      <x:c r="C588" s="8" t="s">
        <x:v>1204</x:v>
      </x:c>
      <x:c r="D588" s="8"/>
      <x:c r="E588" s="8" t="s">
        <x:v>365</x:v>
      </x:c>
      <x:c r="F588" s="8"/>
      <x:c r="G588" s="25"/>
      <x:c r="H588" s="25"/>
      <x:c r="I588" s="8"/>
      <x:c r="J588" s="8" t="s">
        <x:v>5</x:v>
      </x:c>
      <x:c r="K588" s="25"/>
      <x:c r="L588" s="8" t="s">
        <x:v>367</x:v>
      </x:c>
      <x:c r="M588" s="8" t="s">
        <x:v>1189</x:v>
      </x:c>
      <x:c r="N588" s="10"/>
      <x:c r="O588" s="8" t="s">
        <x:v>1205</x:v>
      </x:c>
    </x:row>
    <x:row r="589" ht="32" customHeight="1">
      <x:c r="A589" s="8" t="s">
        <x:v>1181</x:v>
      </x:c>
      <x:c r="B589" s="8" t="s">
        <x:v>889</x:v>
      </x:c>
      <x:c r="C589" s="8" t="s">
        <x:v>890</x:v>
      </x:c>
      <x:c r="D589" s="8" t="s">
        <x:v>24</x:v>
      </x:c>
      <x:c r="E589" s="8" t="s">
        <x:v>365</x:v>
      </x:c>
      <x:c r="F589" s="8" t="s">
        <x:v>366</x:v>
      </x:c>
      <x:c r="G589" s="25"/>
      <x:c r="H589" s="25"/>
      <x:c r="I589" s="8" t="s">
        <x:v>2</x:v>
      </x:c>
      <x:c r="J589" s="8" t="s">
        <x:v>2</x:v>
      </x:c>
      <x:c r="K589" s="25"/>
      <x:c r="L589" s="8" t="s">
        <x:v>367</x:v>
      </x:c>
      <x:c r="M589" s="8" t="s">
        <x:v>1206</x:v>
      </x:c>
      <x:c r="N589" s="10"/>
      <x:c r="O589" s="8" t="s">
        <x:v>1207</x:v>
      </x:c>
    </x:row>
    <x:row r="590" ht="32" customHeight="1">
      <x:c r="A590" s="8" t="s">
        <x:v>1181</x:v>
      </x:c>
      <x:c r="B590" s="8" t="s">
        <x:v>892</x:v>
      </x:c>
      <x:c r="C590" s="8" t="s">
        <x:v>893</x:v>
      </x:c>
      <x:c r="D590" s="8" t="s">
        <x:v>24</x:v>
      </x:c>
      <x:c r="E590" s="8" t="s">
        <x:v>365</x:v>
      </x:c>
      <x:c r="F590" s="8" t="s">
        <x:v>366</x:v>
      </x:c>
      <x:c r="G590" s="25"/>
      <x:c r="H590" s="25"/>
      <x:c r="I590" s="8" t="s">
        <x:v>2</x:v>
      </x:c>
      <x:c r="J590" s="8" t="s">
        <x:v>2</x:v>
      </x:c>
      <x:c r="K590" s="25"/>
      <x:c r="L590" s="8" t="s">
        <x:v>367</x:v>
      </x:c>
      <x:c r="M590" s="8" t="s">
        <x:v>1206</x:v>
      </x:c>
      <x:c r="N590" s="10"/>
      <x:c r="O590" s="8" t="s">
        <x:v>1208</x:v>
      </x:c>
    </x:row>
    <x:row r="591" ht="32" customHeight="1">
      <x:c r="A591" s="8" t="s">
        <x:v>1181</x:v>
      </x:c>
      <x:c r="B591" s="8" t="s">
        <x:v>895</x:v>
      </x:c>
      <x:c r="C591" s="8" t="s">
        <x:v>896</x:v>
      </x:c>
      <x:c r="D591" s="8" t="s">
        <x:v>24</x:v>
      </x:c>
      <x:c r="E591" s="8" t="s">
        <x:v>365</x:v>
      </x:c>
      <x:c r="F591" s="8" t="s">
        <x:v>366</x:v>
      </x:c>
      <x:c r="G591" s="25"/>
      <x:c r="H591" s="25"/>
      <x:c r="I591" s="8" t="s">
        <x:v>2</x:v>
      </x:c>
      <x:c r="J591" s="8" t="s">
        <x:v>2</x:v>
      </x:c>
      <x:c r="K591" s="25"/>
      <x:c r="L591" s="8" t="s">
        <x:v>367</x:v>
      </x:c>
      <x:c r="M591" s="8" t="s">
        <x:v>1206</x:v>
      </x:c>
      <x:c r="N591" s="10"/>
      <x:c r="O591" s="8" t="s">
        <x:v>1209</x:v>
      </x:c>
    </x:row>
    <x:row r="592" ht="32" customHeight="1">
      <x:c r="A592" s="8" t="s">
        <x:v>1181</x:v>
      </x:c>
      <x:c r="B592" s="8" t="s">
        <x:v>898</x:v>
      </x:c>
      <x:c r="C592" s="8" t="s">
        <x:v>899</x:v>
      </x:c>
      <x:c r="D592" s="8" t="s">
        <x:v>24</x:v>
      </x:c>
      <x:c r="E592" s="8" t="s">
        <x:v>365</x:v>
      </x:c>
      <x:c r="F592" s="8" t="s">
        <x:v>366</x:v>
      </x:c>
      <x:c r="G592" s="25"/>
      <x:c r="H592" s="25"/>
      <x:c r="I592" s="8" t="s">
        <x:v>2</x:v>
      </x:c>
      <x:c r="J592" s="8" t="s">
        <x:v>2</x:v>
      </x:c>
      <x:c r="K592" s="25"/>
      <x:c r="L592" s="8" t="s">
        <x:v>367</x:v>
      </x:c>
      <x:c r="M592" s="8" t="s">
        <x:v>1206</x:v>
      </x:c>
      <x:c r="N592" s="10"/>
      <x:c r="O592" s="8" t="s">
        <x:v>1210</x:v>
      </x:c>
    </x:row>
    <x:row r="593" ht="32" customHeight="1">
      <x:c r="A593" s="8" t="s">
        <x:v>1181</x:v>
      </x:c>
      <x:c r="B593" s="8" t="s">
        <x:v>1187</x:v>
      </x:c>
      <x:c r="C593" s="8" t="s">
        <x:v>1188</x:v>
      </x:c>
      <x:c r="D593" s="8"/>
      <x:c r="E593" s="8" t="s">
        <x:v>467</x:v>
      </x:c>
      <x:c r="F593" s="8"/>
      <x:c r="G593" s="25"/>
      <x:c r="H593" s="25"/>
      <x:c r="I593" s="8"/>
      <x:c r="J593" s="8" t="s">
        <x:v>5</x:v>
      </x:c>
      <x:c r="K593" s="25"/>
      <x:c r="L593" s="8" t="s">
        <x:v>367</x:v>
      </x:c>
      <x:c r="M593" s="8" t="s">
        <x:v>1189</x:v>
      </x:c>
      <x:c r="N593" s="10"/>
      <x:c r="O593" s="8" t="s">
        <x:v>1211</x:v>
      </x:c>
    </x:row>
    <x:row r="594" ht="32" customHeight="1">
      <x:c r="A594" s="8" t="s">
        <x:v>1181</x:v>
      </x:c>
      <x:c r="B594" s="8" t="s">
        <x:v>1191</x:v>
      </x:c>
      <x:c r="C594" s="8" t="s">
        <x:v>1192</x:v>
      </x:c>
      <x:c r="D594" s="8"/>
      <x:c r="E594" s="8" t="s">
        <x:v>467</x:v>
      </x:c>
      <x:c r="F594" s="8"/>
      <x:c r="G594" s="25"/>
      <x:c r="H594" s="25"/>
      <x:c r="I594" s="8"/>
      <x:c r="J594" s="8" t="s">
        <x:v>5</x:v>
      </x:c>
      <x:c r="K594" s="25"/>
      <x:c r="L594" s="8" t="s">
        <x:v>367</x:v>
      </x:c>
      <x:c r="M594" s="8" t="s">
        <x:v>1189</x:v>
      </x:c>
      <x:c r="N594" s="10"/>
      <x:c r="O594" s="8" t="s">
        <x:v>1212</x:v>
      </x:c>
    </x:row>
    <x:row r="595" ht="32" customHeight="1">
      <x:c r="A595" s="8" t="s">
        <x:v>1181</x:v>
      </x:c>
      <x:c r="B595" s="8" t="s">
        <x:v>1194</x:v>
      </x:c>
      <x:c r="C595" s="8" t="s">
        <x:v>1195</x:v>
      </x:c>
      <x:c r="D595" s="8"/>
      <x:c r="E595" s="8" t="s">
        <x:v>467</x:v>
      </x:c>
      <x:c r="F595" s="8"/>
      <x:c r="G595" s="25"/>
      <x:c r="H595" s="25"/>
      <x:c r="I595" s="8"/>
      <x:c r="J595" s="8" t="s">
        <x:v>5</x:v>
      </x:c>
      <x:c r="K595" s="25"/>
      <x:c r="L595" s="8" t="s">
        <x:v>367</x:v>
      </x:c>
      <x:c r="M595" s="8" t="s">
        <x:v>1189</x:v>
      </x:c>
      <x:c r="N595" s="10"/>
      <x:c r="O595" s="8" t="s">
        <x:v>1213</x:v>
      </x:c>
    </x:row>
    <x:row r="596" ht="32" customHeight="1">
      <x:c r="A596" s="8" t="s">
        <x:v>1181</x:v>
      </x:c>
      <x:c r="B596" s="8" t="s">
        <x:v>1197</x:v>
      </x:c>
      <x:c r="C596" s="8" t="s">
        <x:v>1198</x:v>
      </x:c>
      <x:c r="D596" s="8"/>
      <x:c r="E596" s="8" t="s">
        <x:v>467</x:v>
      </x:c>
      <x:c r="F596" s="8"/>
      <x:c r="G596" s="25"/>
      <x:c r="H596" s="25"/>
      <x:c r="I596" s="8"/>
      <x:c r="J596" s="8" t="s">
        <x:v>5</x:v>
      </x:c>
      <x:c r="K596" s="25"/>
      <x:c r="L596" s="8" t="s">
        <x:v>367</x:v>
      </x:c>
      <x:c r="M596" s="8" t="s">
        <x:v>1189</x:v>
      </x:c>
      <x:c r="N596" s="10"/>
      <x:c r="O596" s="8" t="s">
        <x:v>1214</x:v>
      </x:c>
    </x:row>
    <x:row r="597" ht="32" customHeight="1">
      <x:c r="A597" s="8" t="s">
        <x:v>1181</x:v>
      </x:c>
      <x:c r="B597" s="8" t="s">
        <x:v>1200</x:v>
      </x:c>
      <x:c r="C597" s="8" t="s">
        <x:v>1201</x:v>
      </x:c>
      <x:c r="D597" s="8"/>
      <x:c r="E597" s="8" t="s">
        <x:v>467</x:v>
      </x:c>
      <x:c r="F597" s="8"/>
      <x:c r="G597" s="25"/>
      <x:c r="H597" s="25"/>
      <x:c r="I597" s="8"/>
      <x:c r="J597" s="8" t="s">
        <x:v>5</x:v>
      </x:c>
      <x:c r="K597" s="25"/>
      <x:c r="L597" s="8" t="s">
        <x:v>367</x:v>
      </x:c>
      <x:c r="M597" s="8" t="s">
        <x:v>1189</x:v>
      </x:c>
      <x:c r="N597" s="10"/>
      <x:c r="O597" s="8" t="s">
        <x:v>1215</x:v>
      </x:c>
    </x:row>
    <x:row r="598" ht="32" customHeight="1">
      <x:c r="A598" s="8" t="s">
        <x:v>1181</x:v>
      </x:c>
      <x:c r="B598" s="8" t="s">
        <x:v>1203</x:v>
      </x:c>
      <x:c r="C598" s="8" t="s">
        <x:v>1204</x:v>
      </x:c>
      <x:c r="D598" s="8"/>
      <x:c r="E598" s="8" t="s">
        <x:v>467</x:v>
      </x:c>
      <x:c r="F598" s="8"/>
      <x:c r="G598" s="25"/>
      <x:c r="H598" s="25"/>
      <x:c r="I598" s="8"/>
      <x:c r="J598" s="8" t="s">
        <x:v>5</x:v>
      </x:c>
      <x:c r="K598" s="25"/>
      <x:c r="L598" s="8" t="s">
        <x:v>367</x:v>
      </x:c>
      <x:c r="M598" s="8" t="s">
        <x:v>1189</x:v>
      </x:c>
      <x:c r="N598" s="10"/>
      <x:c r="O598" s="8" t="s">
        <x:v>1216</x:v>
      </x:c>
    </x:row>
    <x:row r="599" ht="32" customHeight="1">
      <x:c r="A599" s="8" t="s">
        <x:v>1181</x:v>
      </x:c>
      <x:c r="B599" s="8" t="s">
        <x:v>1187</x:v>
      </x:c>
      <x:c r="C599" s="8" t="s">
        <x:v>1188</x:v>
      </x:c>
      <x:c r="D599" s="8"/>
      <x:c r="E599" s="8" t="s">
        <x:v>479</x:v>
      </x:c>
      <x:c r="F599" s="8"/>
      <x:c r="G599" s="25"/>
      <x:c r="H599" s="25"/>
      <x:c r="I599" s="8"/>
      <x:c r="J599" s="8" t="s">
        <x:v>5</x:v>
      </x:c>
      <x:c r="K599" s="25"/>
      <x:c r="L599" s="8" t="s">
        <x:v>367</x:v>
      </x:c>
      <x:c r="M599" s="8" t="s">
        <x:v>1189</x:v>
      </x:c>
      <x:c r="N599" s="10"/>
      <x:c r="O599" s="8" t="s">
        <x:v>1217</x:v>
      </x:c>
    </x:row>
    <x:row r="600" ht="32" customHeight="1">
      <x:c r="A600" s="8" t="s">
        <x:v>1181</x:v>
      </x:c>
      <x:c r="B600" s="8" t="s">
        <x:v>1191</x:v>
      </x:c>
      <x:c r="C600" s="8" t="s">
        <x:v>1192</x:v>
      </x:c>
      <x:c r="D600" s="8"/>
      <x:c r="E600" s="8" t="s">
        <x:v>479</x:v>
      </x:c>
      <x:c r="F600" s="8"/>
      <x:c r="G600" s="25"/>
      <x:c r="H600" s="25"/>
      <x:c r="I600" s="8"/>
      <x:c r="J600" s="8" t="s">
        <x:v>5</x:v>
      </x:c>
      <x:c r="K600" s="25"/>
      <x:c r="L600" s="8" t="s">
        <x:v>367</x:v>
      </x:c>
      <x:c r="M600" s="8" t="s">
        <x:v>1189</x:v>
      </x:c>
      <x:c r="N600" s="10"/>
      <x:c r="O600" s="8" t="s">
        <x:v>1218</x:v>
      </x:c>
    </x:row>
    <x:row r="601" ht="32" customHeight="1">
      <x:c r="A601" s="8" t="s">
        <x:v>1181</x:v>
      </x:c>
      <x:c r="B601" s="8" t="s">
        <x:v>1194</x:v>
      </x:c>
      <x:c r="C601" s="8" t="s">
        <x:v>1195</x:v>
      </x:c>
      <x:c r="D601" s="8"/>
      <x:c r="E601" s="8" t="s">
        <x:v>479</x:v>
      </x:c>
      <x:c r="F601" s="8"/>
      <x:c r="G601" s="25"/>
      <x:c r="H601" s="25"/>
      <x:c r="I601" s="8"/>
      <x:c r="J601" s="8" t="s">
        <x:v>5</x:v>
      </x:c>
      <x:c r="K601" s="25"/>
      <x:c r="L601" s="8" t="s">
        <x:v>367</x:v>
      </x:c>
      <x:c r="M601" s="8" t="s">
        <x:v>1189</x:v>
      </x:c>
      <x:c r="N601" s="10"/>
      <x:c r="O601" s="8" t="s">
        <x:v>1219</x:v>
      </x:c>
    </x:row>
    <x:row r="602" ht="32" customHeight="1">
      <x:c r="A602" s="8" t="s">
        <x:v>1181</x:v>
      </x:c>
      <x:c r="B602" s="8" t="s">
        <x:v>1197</x:v>
      </x:c>
      <x:c r="C602" s="8" t="s">
        <x:v>1198</x:v>
      </x:c>
      <x:c r="D602" s="8"/>
      <x:c r="E602" s="8" t="s">
        <x:v>479</x:v>
      </x:c>
      <x:c r="F602" s="8"/>
      <x:c r="G602" s="25"/>
      <x:c r="H602" s="25"/>
      <x:c r="I602" s="8"/>
      <x:c r="J602" s="8" t="s">
        <x:v>5</x:v>
      </x:c>
      <x:c r="K602" s="25"/>
      <x:c r="L602" s="8" t="s">
        <x:v>367</x:v>
      </x:c>
      <x:c r="M602" s="8" t="s">
        <x:v>1189</x:v>
      </x:c>
      <x:c r="N602" s="10"/>
      <x:c r="O602" s="8" t="s">
        <x:v>1220</x:v>
      </x:c>
    </x:row>
    <x:row r="603" ht="32" customHeight="1">
      <x:c r="A603" s="8" t="s">
        <x:v>1181</x:v>
      </x:c>
      <x:c r="B603" s="8" t="s">
        <x:v>1200</x:v>
      </x:c>
      <x:c r="C603" s="8" t="s">
        <x:v>1201</x:v>
      </x:c>
      <x:c r="D603" s="8"/>
      <x:c r="E603" s="8" t="s">
        <x:v>479</x:v>
      </x:c>
      <x:c r="F603" s="8"/>
      <x:c r="G603" s="25"/>
      <x:c r="H603" s="25"/>
      <x:c r="I603" s="8"/>
      <x:c r="J603" s="8" t="s">
        <x:v>5</x:v>
      </x:c>
      <x:c r="K603" s="25"/>
      <x:c r="L603" s="8" t="s">
        <x:v>367</x:v>
      </x:c>
      <x:c r="M603" s="8" t="s">
        <x:v>1189</x:v>
      </x:c>
      <x:c r="N603" s="10"/>
      <x:c r="O603" s="8" t="s">
        <x:v>1221</x:v>
      </x:c>
    </x:row>
    <x:row r="604" ht="32" customHeight="1">
      <x:c r="A604" s="8" t="s">
        <x:v>1181</x:v>
      </x:c>
      <x:c r="B604" s="8" t="s">
        <x:v>1203</x:v>
      </x:c>
      <x:c r="C604" s="8" t="s">
        <x:v>1204</x:v>
      </x:c>
      <x:c r="D604" s="8"/>
      <x:c r="E604" s="8" t="s">
        <x:v>479</x:v>
      </x:c>
      <x:c r="F604" s="8"/>
      <x:c r="G604" s="25"/>
      <x:c r="H604" s="25"/>
      <x:c r="I604" s="8"/>
      <x:c r="J604" s="8" t="s">
        <x:v>5</x:v>
      </x:c>
      <x:c r="K604" s="25"/>
      <x:c r="L604" s="8" t="s">
        <x:v>367</x:v>
      </x:c>
      <x:c r="M604" s="8" t="s">
        <x:v>1189</x:v>
      </x:c>
      <x:c r="N604" s="10"/>
      <x:c r="O604" s="8" t="s">
        <x:v>1222</x:v>
      </x:c>
    </x:row>
    <x:row r="605" ht="32" customHeight="1">
      <x:c r="A605" s="8" t="s">
        <x:v>1181</x:v>
      </x:c>
      <x:c r="B605" s="8" t="s">
        <x:v>1187</x:v>
      </x:c>
      <x:c r="C605" s="8" t="s">
        <x:v>1188</x:v>
      </x:c>
      <x:c r="D605" s="8"/>
      <x:c r="E605" s="8" t="s">
        <x:v>558</x:v>
      </x:c>
      <x:c r="F605" s="8"/>
      <x:c r="G605" s="25"/>
      <x:c r="H605" s="25"/>
      <x:c r="I605" s="8"/>
      <x:c r="J605" s="8" t="s">
        <x:v>5</x:v>
      </x:c>
      <x:c r="K605" s="25"/>
      <x:c r="L605" s="8" t="s">
        <x:v>367</x:v>
      </x:c>
      <x:c r="M605" s="8" t="s">
        <x:v>1189</x:v>
      </x:c>
      <x:c r="N605" s="10"/>
      <x:c r="O605" s="8" t="s">
        <x:v>1223</x:v>
      </x:c>
    </x:row>
    <x:row r="606" ht="32" customHeight="1">
      <x:c r="A606" s="8" t="s">
        <x:v>1181</x:v>
      </x:c>
      <x:c r="B606" s="8" t="s">
        <x:v>1191</x:v>
      </x:c>
      <x:c r="C606" s="8" t="s">
        <x:v>1192</x:v>
      </x:c>
      <x:c r="D606" s="8"/>
      <x:c r="E606" s="8" t="s">
        <x:v>558</x:v>
      </x:c>
      <x:c r="F606" s="8"/>
      <x:c r="G606" s="25"/>
      <x:c r="H606" s="25"/>
      <x:c r="I606" s="8"/>
      <x:c r="J606" s="8" t="s">
        <x:v>5</x:v>
      </x:c>
      <x:c r="K606" s="25"/>
      <x:c r="L606" s="8" t="s">
        <x:v>367</x:v>
      </x:c>
      <x:c r="M606" s="8" t="s">
        <x:v>1189</x:v>
      </x:c>
      <x:c r="N606" s="10"/>
      <x:c r="O606" s="8" t="s">
        <x:v>1224</x:v>
      </x:c>
    </x:row>
    <x:row r="607" ht="32" customHeight="1">
      <x:c r="A607" s="8" t="s">
        <x:v>1181</x:v>
      </x:c>
      <x:c r="B607" s="8" t="s">
        <x:v>1194</x:v>
      </x:c>
      <x:c r="C607" s="8" t="s">
        <x:v>1195</x:v>
      </x:c>
      <x:c r="D607" s="8"/>
      <x:c r="E607" s="8" t="s">
        <x:v>558</x:v>
      </x:c>
      <x:c r="F607" s="8"/>
      <x:c r="G607" s="25"/>
      <x:c r="H607" s="25"/>
      <x:c r="I607" s="8"/>
      <x:c r="J607" s="8" t="s">
        <x:v>5</x:v>
      </x:c>
      <x:c r="K607" s="25"/>
      <x:c r="L607" s="8" t="s">
        <x:v>367</x:v>
      </x:c>
      <x:c r="M607" s="8" t="s">
        <x:v>1189</x:v>
      </x:c>
      <x:c r="N607" s="10"/>
      <x:c r="O607" s="8" t="s">
        <x:v>1225</x:v>
      </x:c>
    </x:row>
    <x:row r="608" ht="32" customHeight="1">
      <x:c r="A608" s="8" t="s">
        <x:v>1181</x:v>
      </x:c>
      <x:c r="B608" s="8" t="s">
        <x:v>1197</x:v>
      </x:c>
      <x:c r="C608" s="8" t="s">
        <x:v>1198</x:v>
      </x:c>
      <x:c r="D608" s="8"/>
      <x:c r="E608" s="8" t="s">
        <x:v>558</x:v>
      </x:c>
      <x:c r="F608" s="8"/>
      <x:c r="G608" s="25"/>
      <x:c r="H608" s="25"/>
      <x:c r="I608" s="8"/>
      <x:c r="J608" s="8" t="s">
        <x:v>5</x:v>
      </x:c>
      <x:c r="K608" s="25"/>
      <x:c r="L608" s="8" t="s">
        <x:v>367</x:v>
      </x:c>
      <x:c r="M608" s="8" t="s">
        <x:v>1189</x:v>
      </x:c>
      <x:c r="N608" s="10"/>
      <x:c r="O608" s="8" t="s">
        <x:v>1226</x:v>
      </x:c>
    </x:row>
    <x:row r="609" ht="32" customHeight="1">
      <x:c r="A609" s="8" t="s">
        <x:v>1181</x:v>
      </x:c>
      <x:c r="B609" s="8" t="s">
        <x:v>1200</x:v>
      </x:c>
      <x:c r="C609" s="8" t="s">
        <x:v>1201</x:v>
      </x:c>
      <x:c r="D609" s="8"/>
      <x:c r="E609" s="8" t="s">
        <x:v>558</x:v>
      </x:c>
      <x:c r="F609" s="8"/>
      <x:c r="G609" s="25"/>
      <x:c r="H609" s="25"/>
      <x:c r="I609" s="8"/>
      <x:c r="J609" s="8" t="s">
        <x:v>5</x:v>
      </x:c>
      <x:c r="K609" s="25"/>
      <x:c r="L609" s="8" t="s">
        <x:v>367</x:v>
      </x:c>
      <x:c r="M609" s="8" t="s">
        <x:v>1189</x:v>
      </x:c>
      <x:c r="N609" s="10"/>
      <x:c r="O609" s="8" t="s">
        <x:v>1227</x:v>
      </x:c>
    </x:row>
    <x:row r="610" ht="32" customHeight="1">
      <x:c r="A610" s="8" t="s">
        <x:v>1181</x:v>
      </x:c>
      <x:c r="B610" s="8" t="s">
        <x:v>1203</x:v>
      </x:c>
      <x:c r="C610" s="8" t="s">
        <x:v>1204</x:v>
      </x:c>
      <x:c r="D610" s="8"/>
      <x:c r="E610" s="8" t="s">
        <x:v>558</x:v>
      </x:c>
      <x:c r="F610" s="8"/>
      <x:c r="G610" s="25"/>
      <x:c r="H610" s="25"/>
      <x:c r="I610" s="8"/>
      <x:c r="J610" s="8" t="s">
        <x:v>5</x:v>
      </x:c>
      <x:c r="K610" s="25"/>
      <x:c r="L610" s="8" t="s">
        <x:v>367</x:v>
      </x:c>
      <x:c r="M610" s="8" t="s">
        <x:v>1189</x:v>
      </x:c>
      <x:c r="N610" s="10"/>
      <x:c r="O610" s="8" t="s">
        <x:v>1228</x:v>
      </x:c>
    </x:row>
  </x:sheetData>
  <x:mergeCells>
    <x:mergeCell ref="A1:L1"/>
    <x:mergeCell ref="A2:L2"/>
    <x:mergeCell ref="A29:N29"/>
  </x:mergeCells>
  <x:conditionalFormatting sqref="H5:H27">
    <x:cfRule type="dataBar" priority="5">
      <x:dataBar minLength="10" maxLength="90">
        <x:cfvo type="num" val="0"/>
        <x:cfvo type="num" val="1"/>
        <x:color rgb="FF70AD47"/>
      </x:dataBar>
      <x:extLst>
        <x:ext xmlns:x14="http://schemas.microsoft.com/office/spreadsheetml/2009/9/main" uri="{B025F937-C7B1-47D3-B67F-A62EFF666E3E}">
          <x14:id>{1b04cc4c-5bfc-4032-88e0-e58b899b0af9}</x14:id>
        </x:ext>
      </x:extLst>
    </x:cfRule>
  </x:conditionalFormatting>
  <x:conditionalFormatting sqref="I5:I27">
    <x:cfRule type="expression" dxfId="6" priority="1" stopIfTrue="1">
      <x:formula>$I5&gt;=3</x:formula>
    </x:cfRule>
    <x:cfRule type="expression" dxfId="7" priority="2">
      <x:formula>AND($I5&gt;=1,$I5&lt;=2)</x:formula>
    </x:cfRule>
  </x:conditionalFormatting>
  <x:conditionalFormatting sqref="J5:J27">
    <x:cfRule type="expression" dxfId="6" priority="3" stopIfTrue="1">
      <x:formula>$J5&gt;=3</x:formula>
    </x:cfRule>
    <x:cfRule type="expression" dxfId="7" priority="4">
      <x:formula>AND($J5&gt;=1,$J5&lt;=2)</x:formula>
    </x:cfRule>
  </x:conditionalFormatting>
  <x:conditionalFormatting sqref="A31:N610">
    <x:cfRule type="expression" dxfId="7" priority="6" stopIfTrue="1">
      <x:formula>OR($I31="暂停",$I31="挂起",$J31="暂停",$J31="挂起")</x:formula>
    </x:cfRule>
    <x:cfRule type="expression" dxfId="6" priority="7">
      <x:formula>AND($L31="是",NOT(OR($I31="暂停",$I31="挂起",$J31="暂停",$J31="挂起")))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1b04cc4c-5bfc-4032-88e0-e58b899b0af9}">
            <x14:dataBar minLength="10" maxLength="90" negativeBarColorSameAsPositive="1">
              <x14:cfvo type="num">
                <xm:f>0</xm:f>
              </x14:cfvo>
              <x14:cfvo type="num">
                <xm:f>1</xm:f>
              </x14:cfvo>
              <x14:fillColor rgb="FF70AD47"/>
              <x14:axisColor indexed="65"/>
            </x14:dataBar>
          </x14:cfRule>
          <xm:sqref>H5:H27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23" style="1" customWidth="1"/>
    <x:col min="3" max="4" width="14" style="1" customWidth="1"/>
    <x:col min="5" max="5" width="34" style="1" customWidth="1"/>
    <x:col min="6" max="6" width="38" style="1" customWidth="1"/>
    <x:col min="7" max="7" width="11" style="1" customWidth="1"/>
    <x:col min="8" max="9" width="13" style="1" customWidth="1"/>
    <x:col min="10" max="10" width="28" style="1" customWidth="1"/>
    <x:col min="11" max="11" width="11" style="1" customWidth="1"/>
    <x:col min="12" max="12" width="45" style="1" customWidth="1"/>
  </x:cols>
  <x:sheetData>
    <x:row r="1" ht="34" customHeight="1">
      <x:c r="A1" s="32" t="s">
        <x:v>1229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3" ht="30" customHeight="1">
      <x:c r="A3" s="37" t="s">
        <x:v>1230</x:v>
      </x:c>
      <x:c r="B3" s="37" t="s">
        <x:v>1231</x:v>
      </x:c>
      <x:c r="C3" s="37" t="s">
        <x:v>1232</x:v>
      </x:c>
      <x:c r="D3" s="37" t="s">
        <x:v>1233</x:v>
      </x:c>
      <x:c r="E3" s="37" t="s">
        <x:v>1234</x:v>
      </x:c>
      <x:c r="F3" s="37" t="s">
        <x:v>1235</x:v>
      </x:c>
      <x:c r="G3" s="37" t="s">
        <x:v>1236</x:v>
      </x:c>
      <x:c r="H3" s="37" t="s">
        <x:v>47</x:v>
      </x:c>
      <x:c r="I3" s="37" t="s">
        <x:v>1237</x:v>
      </x:c>
      <x:c r="J3" s="37" t="s">
        <x:v>290</x:v>
      </x:c>
      <x:c r="K3" s="37" t="s">
        <x:v>186</x:v>
      </x:c>
      <x:c r="L3" s="37" t="s">
        <x:v>1238</x:v>
      </x:c>
    </x:row>
    <x:row r="4" ht="17" customHeight="1">
      <x:c r="A4" s="34" t="s">
        <x:v>1239</x:v>
      </x:c>
      <x:c r="B4" s="34" t="s">
        <x:v>1240</x:v>
      </x:c>
      <x:c r="C4" s="34" t="s">
        <x:v>1241</x:v>
      </x:c>
      <x:c r="D4" s="34" t="s">
        <x:v>1242</x:v>
      </x:c>
      <x:c r="E4" s="34" t="s">
        <x:v>1243</x:v>
      </x:c>
      <x:c r="F4" s="34" t="s">
        <x:v>2</x:v>
      </x:c>
      <x:c r="G4" s="34" t="s">
        <x:v>2</x:v>
      </x:c>
      <x:c r="H4" s="34"/>
      <x:c r="I4" s="34"/>
      <x:c r="J4" s="34"/>
      <x:c r="K4" s="34" t="s">
        <x:v>196</x:v>
      </x:c>
      <x:c r="L4" s="34"/>
    </x:row>
    <x:row r="5" ht="84" customHeight="1">
      <x:c r="A5" s="34" t="s">
        <x:v>1244</x:v>
      </x:c>
      <x:c r="B5" s="34" t="s">
        <x:v>1245</x:v>
      </x:c>
      <x:c r="C5" s="34" t="s">
        <x:v>1241</x:v>
      </x:c>
      <x:c r="D5" s="34" t="s">
        <x:v>1246</x:v>
      </x:c>
      <x:c r="E5" s="34" t="s">
        <x:v>1247</x:v>
      </x:c>
      <x:c r="F5" s="34" t="s">
        <x:v>1248</x:v>
      </x:c>
      <x:c r="G5" s="34" t="s">
        <x:v>3</x:v>
      </x:c>
      <x:c r="H5" s="34"/>
      <x:c r="I5" s="34"/>
      <x:c r="J5" s="34"/>
      <x:c r="K5" s="34" t="s">
        <x:v>201</x:v>
      </x:c>
      <x:c r="L5" s="34" t="s">
        <x:v>1249</x:v>
      </x:c>
    </x:row>
    <x:row r="6" ht="17" customHeight="1">
      <x:c r="A6" s="34" t="s">
        <x:v>1250</x:v>
      </x:c>
      <x:c r="B6" s="34" t="s">
        <x:v>1251</x:v>
      </x:c>
      <x:c r="C6" s="34" t="s">
        <x:v>1241</x:v>
      </x:c>
      <x:c r="D6" s="34" t="s">
        <x:v>1252</x:v>
      </x:c>
      <x:c r="E6" s="34" t="s">
        <x:v>1253</x:v>
      </x:c>
      <x:c r="F6" s="34" t="s">
        <x:v>2</x:v>
      </x:c>
      <x:c r="G6" s="34" t="s">
        <x:v>2</x:v>
      </x:c>
      <x:c r="H6" s="34"/>
      <x:c r="I6" s="34"/>
      <x:c r="J6" s="34"/>
      <x:c r="K6" s="34" t="s">
        <x:v>201</x:v>
      </x:c>
      <x:c r="L6" s="34" t="s">
        <x:v>1254</x:v>
      </x:c>
    </x:row>
    <x:row r="7" ht="34" customHeight="1">
      <x:c r="A7" s="34" t="s">
        <x:v>1255</x:v>
      </x:c>
      <x:c r="B7" s="34" t="s">
        <x:v>1256</x:v>
      </x:c>
      <x:c r="C7" s="34" t="s">
        <x:v>1241</x:v>
      </x:c>
      <x:c r="D7" s="34"/>
      <x:c r="E7" s="34" t="s">
        <x:v>1257</x:v>
      </x:c>
      <x:c r="F7" s="34" t="s">
        <x:v>1258</x:v>
      </x:c>
      <x:c r="G7" s="34" t="s">
        <x:v>3</x:v>
      </x:c>
      <x:c r="H7" s="34"/>
      <x:c r="I7" s="34"/>
      <x:c r="J7" s="34"/>
      <x:c r="K7" s="34" t="s">
        <x:v>201</x:v>
      </x:c>
      <x:c r="L7" s="34" t="s">
        <x:v>1259</x:v>
      </x:c>
    </x:row>
    <x:row r="8" ht="17" customHeight="1">
      <x:c r="A8" s="34" t="s">
        <x:v>1260</x:v>
      </x:c>
      <x:c r="B8" s="34" t="s">
        <x:v>1261</x:v>
      </x:c>
      <x:c r="C8" s="34" t="s">
        <x:v>1262</x:v>
      </x:c>
      <x:c r="D8" s="34" t="s">
        <x:v>1263</x:v>
      </x:c>
      <x:c r="E8" s="34" t="s">
        <x:v>1264</x:v>
      </x:c>
      <x:c r="F8" s="34" t="s">
        <x:v>1265</x:v>
      </x:c>
      <x:c r="G8" s="34" t="s">
        <x:v>4</x:v>
      </x:c>
      <x:c r="H8" s="34"/>
      <x:c r="I8" s="34"/>
      <x:c r="J8" s="34"/>
      <x:c r="K8" s="34" t="s">
        <x:v>196</x:v>
      </x:c>
      <x:c r="L8" s="34" t="s">
        <x:v>1266</x:v>
      </x:c>
    </x:row>
    <x:row r="9" ht="17" customHeight="1">
      <x:c r="A9" s="34" t="s">
        <x:v>1267</x:v>
      </x:c>
      <x:c r="B9" s="34" t="s">
        <x:v>1268</x:v>
      </x:c>
      <x:c r="C9" s="34" t="s">
        <x:v>1262</x:v>
      </x:c>
      <x:c r="D9" s="34" t="s">
        <x:v>1269</x:v>
      </x:c>
      <x:c r="E9" s="34" t="s">
        <x:v>1264</x:v>
      </x:c>
      <x:c r="F9" s="34" t="s">
        <x:v>1265</x:v>
      </x:c>
      <x:c r="G9" s="34" t="s">
        <x:v>4</x:v>
      </x:c>
      <x:c r="H9" s="34"/>
      <x:c r="I9" s="34"/>
      <x:c r="J9" s="34"/>
      <x:c r="K9" s="34" t="s">
        <x:v>201</x:v>
      </x:c>
      <x:c r="L9" s="34" t="s">
        <x:v>1270</x:v>
      </x:c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</x:row>
  </x:sheetData>
  <x:mergeCells>
    <x:mergeCell ref="A1:L1"/>
  </x:mergeCells>
  <x:conditionalFormatting sqref="G4:G5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dataValidations count="2">
    <x:dataValidation type="list" sqref="G4:G53">
      <x:formula1>"未开始,进行中,已完成,暂停"</x:formula1>
    </x:dataValidation>
    <x:dataValidation type="list" sqref="K4:K53">
      <x:formula1>"低,中,高"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10" style="1" customWidth="1"/>
    <x:col min="3" max="3" width="40" style="1" customWidth="1"/>
    <x:col min="4" max="4" width="10" style="1" customWidth="1"/>
    <x:col min="5" max="5" width="22" style="1" customWidth="1"/>
    <x:col min="6" max="6" width="14" style="1" customWidth="1"/>
    <x:col min="7" max="7" width="42" style="1" customWidth="1"/>
    <x:col min="8" max="9" width="13" style="1" customWidth="1"/>
    <x:col min="10" max="10" width="30" style="1" customWidth="1"/>
    <x:col min="11" max="13" width="11" style="1" customWidth="1"/>
    <x:col min="14" max="14" width="28" style="1" customWidth="1"/>
  </x:cols>
  <x:sheetData>
    <x:row r="1" ht="34" customHeight="1">
      <x:c r="A1" s="32" t="s">
        <x:v>1271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 ht="30" customHeight="1">
      <x:c r="A3" s="37" t="s">
        <x:v>1272</x:v>
      </x:c>
      <x:c r="B3" s="37" t="s">
        <x:v>222</x:v>
      </x:c>
      <x:c r="C3" s="37" t="s">
        <x:v>1273</x:v>
      </x:c>
      <x:c r="D3" s="37" t="s">
        <x:v>182</x:v>
      </x:c>
      <x:c r="E3" s="37" t="s">
        <x:v>1274</x:v>
      </x:c>
      <x:c r="F3" s="37" t="s">
        <x:v>323</x:v>
      </x:c>
      <x:c r="G3" s="37" t="s">
        <x:v>306</x:v>
      </x:c>
      <x:c r="H3" s="37" t="s">
        <x:v>1275</x:v>
      </x:c>
      <x:c r="I3" s="37" t="s">
        <x:v>1276</x:v>
      </x:c>
      <x:c r="J3" s="37" t="s">
        <x:v>1277</x:v>
      </x:c>
      <x:c r="K3" s="37" t="s">
        <x:v>20</x:v>
      </x:c>
      <x:c r="L3" s="37" t="s">
        <x:v>1278</x:v>
      </x:c>
      <x:c r="M3" s="37" t="s">
        <x:v>316</x:v>
      </x:c>
      <x:c r="N3" s="37" t="s">
        <x:v>1279</x:v>
      </x:c>
    </x:row>
    <x:row r="4" ht="17" customHeight="1">
      <x:c r="A4" s="34" t="s">
        <x:v>1280</x:v>
      </x:c>
      <x:c r="B4" s="34" t="s">
        <x:v>1281</x:v>
      </x:c>
      <x:c r="C4" s="34" t="s">
        <x:v>1282</x:v>
      </x:c>
      <x:c r="D4" s="34" t="s">
        <x:v>201</x:v>
      </x:c>
      <x:c r="E4" s="34" t="s">
        <x:v>1283</x:v>
      </x:c>
      <x:c r="F4" s="34" t="s">
        <x:v>1284</x:v>
      </x:c>
      <x:c r="G4" s="34" t="s">
        <x:v>1285</x:v>
      </x:c>
      <x:c r="H4" s="38">
        <x:v>46310</x:v>
      </x:c>
      <x:c r="I4" s="38"/>
      <x:c r="J4" s="34" t="s">
        <x:v>1286</x:v>
      </x:c>
      <x:c r="K4" s="34" t="s">
        <x:v>1287</x:v>
      </x:c>
      <x:c r="L4" s="34" t="e">
        <x:f>IF(H4="","",H4-项目驾驶舱!$B$3)</x:f>
        <x:v>#NAME?</x:v>
      </x:c>
      <x:c r="M4" s="34" t="e">
        <x:f>IF(OR(K4="已关闭",H4=""),"否",IF(H4&lt;项目驾驶舱!$B$3,"是","否"))</x:f>
        <x:v>#NAME?</x:v>
      </x:c>
      <x:c r="N4" s="34" t="s">
        <x:v>1288</x:v>
      </x:c>
    </x:row>
    <x:row r="5" ht="34" customHeight="1">
      <x:c r="A5" s="34" t="s">
        <x:v>1289</x:v>
      </x:c>
      <x:c r="B5" s="34" t="s">
        <x:v>1281</x:v>
      </x:c>
      <x:c r="C5" s="34" t="s">
        <x:v>1290</x:v>
      </x:c>
      <x:c r="D5" s="34" t="s">
        <x:v>201</x:v>
      </x:c>
      <x:c r="E5" s="34" t="s">
        <x:v>1291</x:v>
      </x:c>
      <x:c r="F5" s="34" t="s">
        <x:v>124</x:v>
      </x:c>
      <x:c r="G5" s="34" t="s">
        <x:v>1292</x:v>
      </x:c>
      <x:c r="H5" s="38">
        <x:v>46283</x:v>
      </x:c>
      <x:c r="I5" s="38"/>
      <x:c r="J5" s="34" t="s">
        <x:v>1293</x:v>
      </x:c>
      <x:c r="K5" s="34" t="s">
        <x:v>1294</x:v>
      </x:c>
      <x:c r="L5" s="34" t="e">
        <x:f>IF(H5="","",H5-项目驾驶舱!$B$3)</x:f>
        <x:v>#NAME?</x:v>
      </x:c>
      <x:c r="M5" s="34" t="e">
        <x:f>IF(OR(K5="已关闭",H5=""),"否",IF(H5&lt;项目驾驶舱!$B$3,"是","否"))</x:f>
        <x:v>#NAME?</x:v>
      </x:c>
      <x:c r="N5" s="34" t="s">
        <x:v>1288</x:v>
      </x:c>
    </x:row>
    <x:row r="6" ht="17" customHeight="1">
      <x:c r="A6" s="34" t="s">
        <x:v>1295</x:v>
      </x:c>
      <x:c r="B6" s="34" t="s">
        <x:v>1281</x:v>
      </x:c>
      <x:c r="C6" s="34" t="s">
        <x:v>1296</x:v>
      </x:c>
      <x:c r="D6" s="34" t="s">
        <x:v>196</x:v>
      </x:c>
      <x:c r="E6" s="34" t="s">
        <x:v>1253</x:v>
      </x:c>
      <x:c r="F6" s="34" t="s">
        <x:v>1297</x:v>
      </x:c>
      <x:c r="G6" s="34" t="s">
        <x:v>1298</x:v>
      </x:c>
      <x:c r="H6" s="38">
        <x:v>46290</x:v>
      </x:c>
      <x:c r="I6" s="38"/>
      <x:c r="J6" s="34" t="s">
        <x:v>1299</x:v>
      </x:c>
      <x:c r="K6" s="34" t="s">
        <x:v>1287</x:v>
      </x:c>
      <x:c r="L6" s="34" t="e">
        <x:f>IF(H6="","",H6-项目驾驶舱!$B$3)</x:f>
        <x:v>#NAME?</x:v>
      </x:c>
      <x:c r="M6" s="34" t="e">
        <x:f>IF(OR(K6="已关闭",H6=""),"否",IF(H6&lt;项目驾驶舱!$B$3,"是","否"))</x:f>
        <x:v>#NAME?</x:v>
      </x:c>
      <x:c r="N6" s="34" t="s">
        <x:v>1288</x:v>
      </x:c>
    </x:row>
    <x:row r="7" ht="17" customHeight="1">
      <x:c r="A7" s="34" t="s">
        <x:v>1300</x:v>
      </x:c>
      <x:c r="B7" s="34" t="s">
        <x:v>1281</x:v>
      </x:c>
      <x:c r="C7" s="34" t="s">
        <x:v>1301</x:v>
      </x:c>
      <x:c r="D7" s="34" t="s">
        <x:v>201</x:v>
      </x:c>
      <x:c r="E7" s="34" t="s">
        <x:v>1302</x:v>
      </x:c>
      <x:c r="F7" s="34" t="s">
        <x:v>1284</x:v>
      </x:c>
      <x:c r="G7" s="34" t="s">
        <x:v>1303</x:v>
      </x:c>
      <x:c r="H7" s="38">
        <x:v>46280</x:v>
      </x:c>
      <x:c r="I7" s="38"/>
      <x:c r="J7" s="34" t="s">
        <x:v>1304</x:v>
      </x:c>
      <x:c r="K7" s="34" t="s">
        <x:v>1294</x:v>
      </x:c>
      <x:c r="L7" s="34" t="e">
        <x:f>IF(H7="","",H7-项目驾驶舱!$B$3)</x:f>
        <x:v>#NAME?</x:v>
      </x:c>
      <x:c r="M7" s="34" t="e">
        <x:f>IF(OR(K7="已关闭",H7=""),"否",IF(H7&lt;项目驾驶舱!$B$3,"是","否"))</x:f>
        <x:v>#NAME?</x:v>
      </x:c>
      <x:c r="N7" s="34" t="s">
        <x:v>1288</x:v>
      </x:c>
    </x:row>
    <x:row r="8" ht="34" customHeight="1">
      <x:c r="A8" s="34" t="s">
        <x:v>1305</x:v>
      </x:c>
      <x:c r="B8" s="34" t="s">
        <x:v>1281</x:v>
      </x:c>
      <x:c r="C8" s="34" t="s">
        <x:v>1306</x:v>
      </x:c>
      <x:c r="D8" s="34" t="s">
        <x:v>201</x:v>
      </x:c>
      <x:c r="E8" s="34" t="s">
        <x:v>1307</x:v>
      </x:c>
      <x:c r="F8" s="34" t="s">
        <x:v>124</x:v>
      </x:c>
      <x:c r="G8" s="34" t="s">
        <x:v>1308</x:v>
      </x:c>
      <x:c r="H8" s="38">
        <x:v>46326</x:v>
      </x:c>
      <x:c r="I8" s="38"/>
      <x:c r="J8" s="34" t="s">
        <x:v>1309</x:v>
      </x:c>
      <x:c r="K8" s="34" t="s">
        <x:v>1287</x:v>
      </x:c>
      <x:c r="L8" s="34" t="e">
        <x:f>IF(H8="","",H8-项目驾驶舱!$B$3)</x:f>
        <x:v>#NAME?</x:v>
      </x:c>
      <x:c r="M8" s="34" t="e">
        <x:f>IF(OR(K8="已关闭",H8=""),"否",IF(H8&lt;项目驾驶舱!$B$3,"是","否"))</x:f>
        <x:v>#NAME?</x:v>
      </x:c>
      <x:c r="N8" s="34" t="s">
        <x:v>1288</x:v>
      </x:c>
    </x:row>
    <x:row r="9" ht="34" customHeight="1">
      <x:c r="A9" s="34" t="s">
        <x:v>1310</x:v>
      </x:c>
      <x:c r="B9" s="34" t="s">
        <x:v>1281</x:v>
      </x:c>
      <x:c r="C9" s="34" t="s">
        <x:v>1311</x:v>
      </x:c>
      <x:c r="D9" s="34" t="s">
        <x:v>201</x:v>
      </x:c>
      <x:c r="E9" s="34" t="s">
        <x:v>25</x:v>
      </x:c>
      <x:c r="F9" s="34" t="s">
        <x:v>1312</x:v>
      </x:c>
      <x:c r="G9" s="34" t="s">
        <x:v>1313</x:v>
      </x:c>
      <x:c r="H9" s="38">
        <x:v>46276</x:v>
      </x:c>
      <x:c r="I9" s="38"/>
      <x:c r="J9" s="34" t="s">
        <x:v>1314</x:v>
      </x:c>
      <x:c r="K9" s="34" t="s">
        <x:v>1294</x:v>
      </x:c>
      <x:c r="L9" s="34" t="e">
        <x:f>IF(H9="","",H9-项目驾驶舱!$B$3)</x:f>
        <x:v>#NAME?</x:v>
      </x:c>
      <x:c r="M9" s="34" t="e">
        <x:f>IF(OR(K9="已关闭",H9=""),"否",IF(H9&lt;项目驾驶舱!$B$3,"是","否"))</x:f>
        <x:v>#NAME?</x:v>
      </x:c>
      <x:c r="N9" s="34" t="s">
        <x:v>1315</x:v>
      </x:c>
    </x:row>
    <x:row r="10" ht="17" customHeight="1">
      <x:c r="A10" s="34"/>
      <x:c r="B10" s="34"/>
      <x:c r="C10" s="34"/>
      <x:c r="D10" s="34"/>
      <x:c r="E10" s="34"/>
      <x:c r="F10" s="34"/>
      <x:c r="G10" s="34"/>
      <x:c r="H10" s="38"/>
      <x:c r="I10" s="38"/>
      <x:c r="J10" s="34"/>
      <x:c r="K10" s="34"/>
      <x:c r="L10" s="34" t="e">
        <x:f>IF(H10="","",H10-项目驾驶舱!$B$3)</x:f>
        <x:v>#NAME?</x:v>
      </x:c>
      <x:c r="M10" s="34" t="e">
        <x:f>IF(OR(K10="已关闭",H10=""),"否",IF(H10&lt;项目驾驶舱!$B$3,"是","否"))</x:f>
        <x:v>#NAME?</x:v>
      </x:c>
      <x:c r="N10" s="34"/>
    </x:row>
    <x:row r="11" ht="17" customHeight="1">
      <x:c r="A11" s="34"/>
      <x:c r="B11" s="34"/>
      <x:c r="C11" s="34"/>
      <x:c r="D11" s="34"/>
      <x:c r="E11" s="34"/>
      <x:c r="F11" s="34"/>
      <x:c r="G11" s="34"/>
      <x:c r="H11" s="38"/>
      <x:c r="I11" s="38"/>
      <x:c r="J11" s="34"/>
      <x:c r="K11" s="34"/>
      <x:c r="L11" s="34" t="e">
        <x:f>IF(H11="","",H11-项目驾驶舱!$B$3)</x:f>
        <x:v>#NAME?</x:v>
      </x:c>
      <x:c r="M11" s="34" t="e">
        <x:f>IF(OR(K11="已关闭",H11=""),"否",IF(H11&lt;项目驾驶舱!$B$3,"是","否"))</x:f>
        <x:v>#NAME?</x:v>
      </x:c>
      <x:c r="N11" s="34"/>
    </x:row>
    <x:row r="12" ht="17" customHeight="1">
      <x:c r="A12" s="34"/>
      <x:c r="B12" s="34"/>
      <x:c r="C12" s="34"/>
      <x:c r="D12" s="34"/>
      <x:c r="E12" s="34"/>
      <x:c r="F12" s="34"/>
      <x:c r="G12" s="34"/>
      <x:c r="H12" s="38"/>
      <x:c r="I12" s="38"/>
      <x:c r="J12" s="34"/>
      <x:c r="K12" s="34"/>
      <x:c r="L12" s="34" t="e">
        <x:f>IF(H12="","",H12-项目驾驶舱!$B$3)</x:f>
        <x:v>#NAME?</x:v>
      </x:c>
      <x:c r="M12" s="34" t="e">
        <x:f>IF(OR(K12="已关闭",H12=""),"否",IF(H12&lt;项目驾驶舱!$B$3,"是","否"))</x:f>
        <x:v>#NAME?</x:v>
      </x:c>
      <x:c r="N12" s="34"/>
    </x:row>
    <x:row r="13" ht="17" customHeight="1">
      <x:c r="A13" s="34"/>
      <x:c r="B13" s="34"/>
      <x:c r="C13" s="34"/>
      <x:c r="D13" s="34"/>
      <x:c r="E13" s="34"/>
      <x:c r="F13" s="34"/>
      <x:c r="G13" s="34"/>
      <x:c r="H13" s="38"/>
      <x:c r="I13" s="38"/>
      <x:c r="J13" s="34"/>
      <x:c r="K13" s="34"/>
      <x:c r="L13" s="34" t="e">
        <x:f>IF(H13="","",H13-项目驾驶舱!$B$3)</x:f>
        <x:v>#NAME?</x:v>
      </x:c>
      <x:c r="M13" s="34" t="e">
        <x:f>IF(OR(K13="已关闭",H13=""),"否",IF(H13&lt;项目驾驶舱!$B$3,"是","否"))</x:f>
        <x:v>#NAME?</x:v>
      </x:c>
      <x:c r="N13" s="34"/>
    </x:row>
    <x:row r="14" ht="17" customHeight="1">
      <x:c r="A14" s="34"/>
      <x:c r="B14" s="34"/>
      <x:c r="C14" s="34"/>
      <x:c r="D14" s="34"/>
      <x:c r="E14" s="34"/>
      <x:c r="F14" s="34"/>
      <x:c r="G14" s="34"/>
      <x:c r="H14" s="38"/>
      <x:c r="I14" s="38"/>
      <x:c r="J14" s="34"/>
      <x:c r="K14" s="34"/>
      <x:c r="L14" s="34" t="e">
        <x:f>IF(H14="","",H14-项目驾驶舱!$B$3)</x:f>
        <x:v>#NAME?</x:v>
      </x:c>
      <x:c r="M14" s="34" t="e">
        <x:f>IF(OR(K14="已关闭",H14=""),"否",IF(H14&lt;项目驾驶舱!$B$3,"是","否"))</x:f>
        <x:v>#NAME?</x:v>
      </x:c>
      <x:c r="N14" s="34"/>
    </x:row>
    <x:row r="15" ht="17" customHeight="1">
      <x:c r="A15" s="34"/>
      <x:c r="B15" s="34"/>
      <x:c r="C15" s="34"/>
      <x:c r="D15" s="34"/>
      <x:c r="E15" s="34"/>
      <x:c r="F15" s="34"/>
      <x:c r="G15" s="34"/>
      <x:c r="H15" s="38"/>
      <x:c r="I15" s="38"/>
      <x:c r="J15" s="34"/>
      <x:c r="K15" s="34"/>
      <x:c r="L15" s="34" t="e">
        <x:f>IF(H15="","",H15-项目驾驶舱!$B$3)</x:f>
        <x:v>#NAME?</x:v>
      </x:c>
      <x:c r="M15" s="34" t="e">
        <x:f>IF(OR(K15="已关闭",H15=""),"否",IF(H15&lt;项目驾驶舱!$B$3,"是","否"))</x:f>
        <x:v>#NAME?</x:v>
      </x:c>
      <x:c r="N15" s="34"/>
    </x:row>
    <x:row r="16" ht="17" customHeight="1">
      <x:c r="A16" s="34"/>
      <x:c r="B16" s="34"/>
      <x:c r="C16" s="34"/>
      <x:c r="D16" s="34"/>
      <x:c r="E16" s="34"/>
      <x:c r="F16" s="34"/>
      <x:c r="G16" s="34"/>
      <x:c r="H16" s="38"/>
      <x:c r="I16" s="38"/>
      <x:c r="J16" s="34"/>
      <x:c r="K16" s="34"/>
      <x:c r="L16" s="34" t="e">
        <x:f>IF(H16="","",H16-项目驾驶舱!$B$3)</x:f>
        <x:v>#NAME?</x:v>
      </x:c>
      <x:c r="M16" s="34" t="e">
        <x:f>IF(OR(K16="已关闭",H16=""),"否",IF(H16&lt;项目驾驶舱!$B$3,"是","否"))</x:f>
        <x:v>#NAME?</x:v>
      </x:c>
      <x:c r="N16" s="34"/>
    </x:row>
    <x:row r="17" ht="17" customHeight="1">
      <x:c r="A17" s="34"/>
      <x:c r="B17" s="34"/>
      <x:c r="C17" s="34"/>
      <x:c r="D17" s="34"/>
      <x:c r="E17" s="34"/>
      <x:c r="F17" s="34"/>
      <x:c r="G17" s="34"/>
      <x:c r="H17" s="38"/>
      <x:c r="I17" s="38"/>
      <x:c r="J17" s="34"/>
      <x:c r="K17" s="34"/>
      <x:c r="L17" s="34" t="e">
        <x:f>IF(H17="","",H17-项目驾驶舱!$B$3)</x:f>
        <x:v>#NAME?</x:v>
      </x:c>
      <x:c r="M17" s="34" t="e">
        <x:f>IF(OR(K17="已关闭",H17=""),"否",IF(H17&lt;项目驾驶舱!$B$3,"是","否"))</x:f>
        <x:v>#NAME?</x:v>
      </x:c>
      <x:c r="N17" s="34"/>
    </x:row>
    <x:row r="18" ht="17" customHeight="1">
      <x:c r="A18" s="34"/>
      <x:c r="B18" s="34"/>
      <x:c r="C18" s="34"/>
      <x:c r="D18" s="34"/>
      <x:c r="E18" s="34"/>
      <x:c r="F18" s="34"/>
      <x:c r="G18" s="34"/>
      <x:c r="H18" s="38"/>
      <x:c r="I18" s="38"/>
      <x:c r="J18" s="34"/>
      <x:c r="K18" s="34"/>
      <x:c r="L18" s="34" t="e">
        <x:f>IF(H18="","",H18-项目驾驶舱!$B$3)</x:f>
        <x:v>#NAME?</x:v>
      </x:c>
      <x:c r="M18" s="34" t="e">
        <x:f>IF(OR(K18="已关闭",H18=""),"否",IF(H18&lt;项目驾驶舱!$B$3,"是","否"))</x:f>
        <x:v>#NAME?</x:v>
      </x:c>
      <x:c r="N18" s="34"/>
    </x:row>
    <x:row r="19" ht="17" customHeight="1">
      <x:c r="A19" s="34"/>
      <x:c r="B19" s="34"/>
      <x:c r="C19" s="34"/>
      <x:c r="D19" s="34"/>
      <x:c r="E19" s="34"/>
      <x:c r="F19" s="34"/>
      <x:c r="G19" s="34"/>
      <x:c r="H19" s="38"/>
      <x:c r="I19" s="38"/>
      <x:c r="J19" s="34"/>
      <x:c r="K19" s="34"/>
      <x:c r="L19" s="34" t="e">
        <x:f>IF(H19="","",H19-项目驾驶舱!$B$3)</x:f>
        <x:v>#NAME?</x:v>
      </x:c>
      <x:c r="M19" s="34" t="e">
        <x:f>IF(OR(K19="已关闭",H19=""),"否",IF(H19&lt;项目驾驶舱!$B$3,"是","否"))</x:f>
        <x:v>#NAME?</x:v>
      </x:c>
      <x:c r="N19" s="34"/>
    </x:row>
    <x:row r="20" ht="17" customHeight="1">
      <x:c r="A20" s="34"/>
      <x:c r="B20" s="34"/>
      <x:c r="C20" s="34"/>
      <x:c r="D20" s="34"/>
      <x:c r="E20" s="34"/>
      <x:c r="F20" s="34"/>
      <x:c r="G20" s="34"/>
      <x:c r="H20" s="38"/>
      <x:c r="I20" s="38"/>
      <x:c r="J20" s="34"/>
      <x:c r="K20" s="34"/>
      <x:c r="L20" s="34" t="e">
        <x:f>IF(H20="","",H20-项目驾驶舱!$B$3)</x:f>
        <x:v>#NAME?</x:v>
      </x:c>
      <x:c r="M20" s="34" t="e">
        <x:f>IF(OR(K20="已关闭",H20=""),"否",IF(H20&lt;项目驾驶舱!$B$3,"是","否"))</x:f>
        <x:v>#NAME?</x:v>
      </x:c>
      <x:c r="N20" s="34"/>
    </x:row>
    <x:row r="21" ht="17" customHeight="1">
      <x:c r="A21" s="34"/>
      <x:c r="B21" s="34"/>
      <x:c r="C21" s="34"/>
      <x:c r="D21" s="34"/>
      <x:c r="E21" s="34"/>
      <x:c r="F21" s="34"/>
      <x:c r="G21" s="34"/>
      <x:c r="H21" s="38"/>
      <x:c r="I21" s="38"/>
      <x:c r="J21" s="34"/>
      <x:c r="K21" s="34"/>
      <x:c r="L21" s="34" t="e">
        <x:f>IF(H21="","",H21-项目驾驶舱!$B$3)</x:f>
        <x:v>#NAME?</x:v>
      </x:c>
      <x:c r="M21" s="34" t="e">
        <x:f>IF(OR(K21="已关闭",H21=""),"否",IF(H21&lt;项目驾驶舱!$B$3,"是","否"))</x:f>
        <x:v>#NAME?</x:v>
      </x:c>
      <x:c r="N21" s="34"/>
    </x:row>
    <x:row r="22" ht="17" customHeight="1">
      <x:c r="A22" s="34"/>
      <x:c r="B22" s="34"/>
      <x:c r="C22" s="34"/>
      <x:c r="D22" s="34"/>
      <x:c r="E22" s="34"/>
      <x:c r="F22" s="34"/>
      <x:c r="G22" s="34"/>
      <x:c r="H22" s="38"/>
      <x:c r="I22" s="38"/>
      <x:c r="J22" s="34"/>
      <x:c r="K22" s="34"/>
      <x:c r="L22" s="34" t="e">
        <x:f>IF(H22="","",H22-项目驾驶舱!$B$3)</x:f>
        <x:v>#NAME?</x:v>
      </x:c>
      <x:c r="M22" s="34" t="e">
        <x:f>IF(OR(K22="已关闭",H22=""),"否",IF(H22&lt;项目驾驶舱!$B$3,"是","否"))</x:f>
        <x:v>#NAME?</x:v>
      </x:c>
      <x:c r="N22" s="34"/>
    </x:row>
    <x:row r="23" ht="17" customHeight="1">
      <x:c r="A23" s="34"/>
      <x:c r="B23" s="34"/>
      <x:c r="C23" s="34"/>
      <x:c r="D23" s="34"/>
      <x:c r="E23" s="34"/>
      <x:c r="F23" s="34"/>
      <x:c r="G23" s="34"/>
      <x:c r="H23" s="38"/>
      <x:c r="I23" s="38"/>
      <x:c r="J23" s="34"/>
      <x:c r="K23" s="34"/>
      <x:c r="L23" s="34" t="e">
        <x:f>IF(H23="","",H23-项目驾驶舱!$B$3)</x:f>
        <x:v>#NAME?</x:v>
      </x:c>
      <x:c r="M23" s="34" t="e">
        <x:f>IF(OR(K23="已关闭",H23=""),"否",IF(H23&lt;项目驾驶舱!$B$3,"是","否"))</x:f>
        <x:v>#NAME?</x:v>
      </x:c>
      <x:c r="N23" s="34"/>
    </x:row>
    <x:row r="24" ht="17" customHeight="1">
      <x:c r="A24" s="34"/>
      <x:c r="B24" s="34"/>
      <x:c r="C24" s="34"/>
      <x:c r="D24" s="34"/>
      <x:c r="E24" s="34"/>
      <x:c r="F24" s="34"/>
      <x:c r="G24" s="34"/>
      <x:c r="H24" s="38"/>
      <x:c r="I24" s="38"/>
      <x:c r="J24" s="34"/>
      <x:c r="K24" s="34"/>
      <x:c r="L24" s="34" t="e">
        <x:f>IF(H24="","",H24-项目驾驶舱!$B$3)</x:f>
        <x:v>#NAME?</x:v>
      </x:c>
      <x:c r="M24" s="34" t="e">
        <x:f>IF(OR(K24="已关闭",H24=""),"否",IF(H24&lt;项目驾驶舱!$B$3,"是","否"))</x:f>
        <x:v>#NAME?</x:v>
      </x:c>
      <x:c r="N24" s="34"/>
    </x:row>
    <x:row r="25" ht="17" customHeight="1">
      <x:c r="A25" s="34"/>
      <x:c r="B25" s="34"/>
      <x:c r="C25" s="34"/>
      <x:c r="D25" s="34"/>
      <x:c r="E25" s="34"/>
      <x:c r="F25" s="34"/>
      <x:c r="G25" s="34"/>
      <x:c r="H25" s="38"/>
      <x:c r="I25" s="38"/>
      <x:c r="J25" s="34"/>
      <x:c r="K25" s="34"/>
      <x:c r="L25" s="34" t="e">
        <x:f>IF(H25="","",H25-项目驾驶舱!$B$3)</x:f>
        <x:v>#NAME?</x:v>
      </x:c>
      <x:c r="M25" s="34" t="e">
        <x:f>IF(OR(K25="已关闭",H25=""),"否",IF(H25&lt;项目驾驶舱!$B$3,"是","否"))</x:f>
        <x:v>#NAME?</x:v>
      </x:c>
      <x:c r="N25" s="34"/>
    </x:row>
    <x:row r="26" ht="17" customHeight="1">
      <x:c r="A26" s="34"/>
      <x:c r="B26" s="34"/>
      <x:c r="C26" s="34"/>
      <x:c r="D26" s="34"/>
      <x:c r="E26" s="34"/>
      <x:c r="F26" s="34"/>
      <x:c r="G26" s="34"/>
      <x:c r="H26" s="38"/>
      <x:c r="I26" s="38"/>
      <x:c r="J26" s="34"/>
      <x:c r="K26" s="34"/>
      <x:c r="L26" s="34" t="e">
        <x:f>IF(H26="","",H26-项目驾驶舱!$B$3)</x:f>
        <x:v>#NAME?</x:v>
      </x:c>
      <x:c r="M26" s="34" t="e">
        <x:f>IF(OR(K26="已关闭",H26=""),"否",IF(H26&lt;项目驾驶舱!$B$3,"是","否"))</x:f>
        <x:v>#NAME?</x:v>
      </x:c>
      <x:c r="N26" s="34"/>
    </x:row>
    <x:row r="27" ht="17" customHeight="1">
      <x:c r="A27" s="34"/>
      <x:c r="B27" s="34"/>
      <x:c r="C27" s="34"/>
      <x:c r="D27" s="34"/>
      <x:c r="E27" s="34"/>
      <x:c r="F27" s="34"/>
      <x:c r="G27" s="34"/>
      <x:c r="H27" s="38"/>
      <x:c r="I27" s="38"/>
      <x:c r="J27" s="34"/>
      <x:c r="K27" s="34"/>
      <x:c r="L27" s="34" t="e">
        <x:f>IF(H27="","",H27-项目驾驶舱!$B$3)</x:f>
        <x:v>#NAME?</x:v>
      </x:c>
      <x:c r="M27" s="34" t="e">
        <x:f>IF(OR(K27="已关闭",H27=""),"否",IF(H27&lt;项目驾驶舱!$B$3,"是","否"))</x:f>
        <x:v>#NAME?</x:v>
      </x:c>
      <x:c r="N27" s="34"/>
    </x:row>
    <x:row r="28" ht="17" customHeight="1">
      <x:c r="A28" s="34"/>
      <x:c r="B28" s="34"/>
      <x:c r="C28" s="34"/>
      <x:c r="D28" s="34"/>
      <x:c r="E28" s="34"/>
      <x:c r="F28" s="34"/>
      <x:c r="G28" s="34"/>
      <x:c r="H28" s="38"/>
      <x:c r="I28" s="38"/>
      <x:c r="J28" s="34"/>
      <x:c r="K28" s="34"/>
      <x:c r="L28" s="34" t="e">
        <x:f>IF(H28="","",H28-项目驾驶舱!$B$3)</x:f>
        <x:v>#NAME?</x:v>
      </x:c>
      <x:c r="M28" s="34" t="e">
        <x:f>IF(OR(K28="已关闭",H28=""),"否",IF(H28&lt;项目驾驶舱!$B$3,"是","否"))</x:f>
        <x:v>#NAME?</x:v>
      </x:c>
      <x:c r="N28" s="34"/>
    </x:row>
    <x:row r="29" ht="17" customHeight="1">
      <x:c r="A29" s="34"/>
      <x:c r="B29" s="34"/>
      <x:c r="C29" s="34"/>
      <x:c r="D29" s="34"/>
      <x:c r="E29" s="34"/>
      <x:c r="F29" s="34"/>
      <x:c r="G29" s="34"/>
      <x:c r="H29" s="38"/>
      <x:c r="I29" s="38"/>
      <x:c r="J29" s="34"/>
      <x:c r="K29" s="34"/>
      <x:c r="L29" s="34" t="e">
        <x:f>IF(H29="","",H29-项目驾驶舱!$B$3)</x:f>
        <x:v>#NAME?</x:v>
      </x:c>
      <x:c r="M29" s="34" t="e">
        <x:f>IF(OR(K29="已关闭",H29=""),"否",IF(H29&lt;项目驾驶舱!$B$3,"是","否"))</x:f>
        <x:v>#NAME?</x:v>
      </x:c>
      <x:c r="N29" s="34"/>
    </x:row>
    <x:row r="30" ht="17" customHeight="1">
      <x:c r="A30" s="34"/>
      <x:c r="B30" s="34"/>
      <x:c r="C30" s="34"/>
      <x:c r="D30" s="34"/>
      <x:c r="E30" s="34"/>
      <x:c r="F30" s="34"/>
      <x:c r="G30" s="34"/>
      <x:c r="H30" s="38"/>
      <x:c r="I30" s="38"/>
      <x:c r="J30" s="34"/>
      <x:c r="K30" s="34"/>
      <x:c r="L30" s="34" t="e">
        <x:f>IF(H30="","",H30-项目驾驶舱!$B$3)</x:f>
        <x:v>#NAME?</x:v>
      </x:c>
      <x:c r="M30" s="34" t="e">
        <x:f>IF(OR(K30="已关闭",H30=""),"否",IF(H30&lt;项目驾驶舱!$B$3,"是","否"))</x:f>
        <x:v>#NAME?</x:v>
      </x:c>
      <x:c r="N30" s="34"/>
    </x:row>
    <x:row r="31" ht="17" customHeight="1">
      <x:c r="A31" s="34"/>
      <x:c r="B31" s="34"/>
      <x:c r="C31" s="34"/>
      <x:c r="D31" s="34"/>
      <x:c r="E31" s="34"/>
      <x:c r="F31" s="34"/>
      <x:c r="G31" s="34"/>
      <x:c r="H31" s="38"/>
      <x:c r="I31" s="38"/>
      <x:c r="J31" s="34"/>
      <x:c r="K31" s="34"/>
      <x:c r="L31" s="34" t="e">
        <x:f>IF(H31="","",H31-项目驾驶舱!$B$3)</x:f>
        <x:v>#NAME?</x:v>
      </x:c>
      <x:c r="M31" s="34" t="e">
        <x:f>IF(OR(K31="已关闭",H31=""),"否",IF(H31&lt;项目驾驶舱!$B$3,"是","否"))</x:f>
        <x:v>#NAME?</x:v>
      </x:c>
      <x:c r="N31" s="34"/>
    </x:row>
    <x:row r="32" ht="17" customHeight="1">
      <x:c r="A32" s="34"/>
      <x:c r="B32" s="34"/>
      <x:c r="C32" s="34"/>
      <x:c r="D32" s="34"/>
      <x:c r="E32" s="34"/>
      <x:c r="F32" s="34"/>
      <x:c r="G32" s="34"/>
      <x:c r="H32" s="38"/>
      <x:c r="I32" s="38"/>
      <x:c r="J32" s="34"/>
      <x:c r="K32" s="34"/>
      <x:c r="L32" s="34" t="e">
        <x:f>IF(H32="","",H32-项目驾驶舱!$B$3)</x:f>
        <x:v>#NAME?</x:v>
      </x:c>
      <x:c r="M32" s="34" t="e">
        <x:f>IF(OR(K32="已关闭",H32=""),"否",IF(H32&lt;项目驾驶舱!$B$3,"是","否"))</x:f>
        <x:v>#NAME?</x:v>
      </x:c>
      <x:c r="N32" s="34"/>
    </x:row>
    <x:row r="33" ht="17" customHeight="1">
      <x:c r="A33" s="34"/>
      <x:c r="B33" s="34"/>
      <x:c r="C33" s="34"/>
      <x:c r="D33" s="34"/>
      <x:c r="E33" s="34"/>
      <x:c r="F33" s="34"/>
      <x:c r="G33" s="34"/>
      <x:c r="H33" s="38"/>
      <x:c r="I33" s="38"/>
      <x:c r="J33" s="34"/>
      <x:c r="K33" s="34"/>
      <x:c r="L33" s="34" t="e">
        <x:f>IF(H33="","",H33-项目驾驶舱!$B$3)</x:f>
        <x:v>#NAME?</x:v>
      </x:c>
      <x:c r="M33" s="34" t="e">
        <x:f>IF(OR(K33="已关闭",H33=""),"否",IF(H33&lt;项目驾驶舱!$B$3,"是","否"))</x:f>
        <x:v>#NAME?</x:v>
      </x:c>
      <x:c r="N33" s="34"/>
    </x:row>
    <x:row r="34" ht="17" customHeight="1">
      <x:c r="A34" s="34"/>
      <x:c r="B34" s="34"/>
      <x:c r="C34" s="34"/>
      <x:c r="D34" s="34"/>
      <x:c r="E34" s="34"/>
      <x:c r="F34" s="34"/>
      <x:c r="G34" s="34"/>
      <x:c r="H34" s="38"/>
      <x:c r="I34" s="38"/>
      <x:c r="J34" s="34"/>
      <x:c r="K34" s="34"/>
      <x:c r="L34" s="34" t="e">
        <x:f>IF(H34="","",H34-项目驾驶舱!$B$3)</x:f>
        <x:v>#NAME?</x:v>
      </x:c>
      <x:c r="M34" s="34" t="e">
        <x:f>IF(OR(K34="已关闭",H34=""),"否",IF(H34&lt;项目驾驶舱!$B$3,"是","否"))</x:f>
        <x:v>#NAME?</x:v>
      </x:c>
      <x:c r="N34" s="34"/>
    </x:row>
    <x:row r="35" ht="17" customHeight="1">
      <x:c r="A35" s="34"/>
      <x:c r="B35" s="34"/>
      <x:c r="C35" s="34"/>
      <x:c r="D35" s="34"/>
      <x:c r="E35" s="34"/>
      <x:c r="F35" s="34"/>
      <x:c r="G35" s="34"/>
      <x:c r="H35" s="38"/>
      <x:c r="I35" s="38"/>
      <x:c r="J35" s="34"/>
      <x:c r="K35" s="34"/>
      <x:c r="L35" s="34" t="e">
        <x:f>IF(H35="","",H35-项目驾驶舱!$B$3)</x:f>
        <x:v>#NAME?</x:v>
      </x:c>
      <x:c r="M35" s="34" t="e">
        <x:f>IF(OR(K35="已关闭",H35=""),"否",IF(H35&lt;项目驾驶舱!$B$3,"是","否"))</x:f>
        <x:v>#NAME?</x:v>
      </x:c>
      <x:c r="N35" s="34"/>
    </x:row>
    <x:row r="36" ht="17" customHeight="1">
      <x:c r="A36" s="34"/>
      <x:c r="B36" s="34"/>
      <x:c r="C36" s="34"/>
      <x:c r="D36" s="34"/>
      <x:c r="E36" s="34"/>
      <x:c r="F36" s="34"/>
      <x:c r="G36" s="34"/>
      <x:c r="H36" s="38"/>
      <x:c r="I36" s="38"/>
      <x:c r="J36" s="34"/>
      <x:c r="K36" s="34"/>
      <x:c r="L36" s="34" t="e">
        <x:f>IF(H36="","",H36-项目驾驶舱!$B$3)</x:f>
        <x:v>#NAME?</x:v>
      </x:c>
      <x:c r="M36" s="34" t="e">
        <x:f>IF(OR(K36="已关闭",H36=""),"否",IF(H36&lt;项目驾驶舱!$B$3,"是","否"))</x:f>
        <x:v>#NAME?</x:v>
      </x:c>
      <x:c r="N36" s="34"/>
    </x:row>
    <x:row r="37" ht="17" customHeight="1">
      <x:c r="A37" s="34"/>
      <x:c r="B37" s="34"/>
      <x:c r="C37" s="34"/>
      <x:c r="D37" s="34"/>
      <x:c r="E37" s="34"/>
      <x:c r="F37" s="34"/>
      <x:c r="G37" s="34"/>
      <x:c r="H37" s="38"/>
      <x:c r="I37" s="38"/>
      <x:c r="J37" s="34"/>
      <x:c r="K37" s="34"/>
      <x:c r="L37" s="34" t="e">
        <x:f>IF(H37="","",H37-项目驾驶舱!$B$3)</x:f>
        <x:v>#NAME?</x:v>
      </x:c>
      <x:c r="M37" s="34" t="e">
        <x:f>IF(OR(K37="已关闭",H37=""),"否",IF(H37&lt;项目驾驶舱!$B$3,"是","否"))</x:f>
        <x:v>#NAME?</x:v>
      </x:c>
      <x:c r="N37" s="34"/>
    </x:row>
    <x:row r="38" ht="17" customHeight="1">
      <x:c r="A38" s="34"/>
      <x:c r="B38" s="34"/>
      <x:c r="C38" s="34"/>
      <x:c r="D38" s="34"/>
      <x:c r="E38" s="34"/>
      <x:c r="F38" s="34"/>
      <x:c r="G38" s="34"/>
      <x:c r="H38" s="38"/>
      <x:c r="I38" s="38"/>
      <x:c r="J38" s="34"/>
      <x:c r="K38" s="34"/>
      <x:c r="L38" s="34" t="e">
        <x:f>IF(H38="","",H38-项目驾驶舱!$B$3)</x:f>
        <x:v>#NAME?</x:v>
      </x:c>
      <x:c r="M38" s="34" t="e">
        <x:f>IF(OR(K38="已关闭",H38=""),"否",IF(H38&lt;项目驾驶舱!$B$3,"是","否"))</x:f>
        <x:v>#NAME?</x:v>
      </x:c>
      <x:c r="N38" s="34"/>
    </x:row>
    <x:row r="39" ht="17" customHeight="1">
      <x:c r="A39" s="34"/>
      <x:c r="B39" s="34"/>
      <x:c r="C39" s="34"/>
      <x:c r="D39" s="34"/>
      <x:c r="E39" s="34"/>
      <x:c r="F39" s="34"/>
      <x:c r="G39" s="34"/>
      <x:c r="H39" s="38"/>
      <x:c r="I39" s="38"/>
      <x:c r="J39" s="34"/>
      <x:c r="K39" s="34"/>
      <x:c r="L39" s="34" t="e">
        <x:f>IF(H39="","",H39-项目驾驶舱!$B$3)</x:f>
        <x:v>#NAME?</x:v>
      </x:c>
      <x:c r="M39" s="34" t="e">
        <x:f>IF(OR(K39="已关闭",H39=""),"否",IF(H39&lt;项目驾驶舱!$B$3,"是","否"))</x:f>
        <x:v>#NAME?</x:v>
      </x:c>
      <x:c r="N39" s="34"/>
    </x:row>
    <x:row r="40" ht="17" customHeight="1">
      <x:c r="A40" s="34"/>
      <x:c r="B40" s="34"/>
      <x:c r="C40" s="34"/>
      <x:c r="D40" s="34"/>
      <x:c r="E40" s="34"/>
      <x:c r="F40" s="34"/>
      <x:c r="G40" s="34"/>
      <x:c r="H40" s="38"/>
      <x:c r="I40" s="38"/>
      <x:c r="J40" s="34"/>
      <x:c r="K40" s="34"/>
      <x:c r="L40" s="34" t="e">
        <x:f>IF(H40="","",H40-项目驾驶舱!$B$3)</x:f>
        <x:v>#NAME?</x:v>
      </x:c>
      <x:c r="M40" s="34" t="e">
        <x:f>IF(OR(K40="已关闭",H40=""),"否",IF(H40&lt;项目驾驶舱!$B$3,"是","否"))</x:f>
        <x:v>#NAME?</x:v>
      </x:c>
      <x:c r="N40" s="34"/>
    </x:row>
    <x:row r="41" ht="17" customHeight="1">
      <x:c r="A41" s="34"/>
      <x:c r="B41" s="34"/>
      <x:c r="C41" s="34"/>
      <x:c r="D41" s="34"/>
      <x:c r="E41" s="34"/>
      <x:c r="F41" s="34"/>
      <x:c r="G41" s="34"/>
      <x:c r="H41" s="38"/>
      <x:c r="I41" s="38"/>
      <x:c r="J41" s="34"/>
      <x:c r="K41" s="34"/>
      <x:c r="L41" s="34" t="e">
        <x:f>IF(H41="","",H41-项目驾驶舱!$B$3)</x:f>
        <x:v>#NAME?</x:v>
      </x:c>
      <x:c r="M41" s="34" t="e">
        <x:f>IF(OR(K41="已关闭",H41=""),"否",IF(H41&lt;项目驾驶舱!$B$3,"是","否"))</x:f>
        <x:v>#NAME?</x:v>
      </x:c>
      <x:c r="N41" s="34"/>
    </x:row>
    <x:row r="42" ht="17" customHeight="1">
      <x:c r="A42" s="34"/>
      <x:c r="B42" s="34"/>
      <x:c r="C42" s="34"/>
      <x:c r="D42" s="34"/>
      <x:c r="E42" s="34"/>
      <x:c r="F42" s="34"/>
      <x:c r="G42" s="34"/>
      <x:c r="H42" s="38"/>
      <x:c r="I42" s="38"/>
      <x:c r="J42" s="34"/>
      <x:c r="K42" s="34"/>
      <x:c r="L42" s="34" t="e">
        <x:f>IF(H42="","",H42-项目驾驶舱!$B$3)</x:f>
        <x:v>#NAME?</x:v>
      </x:c>
      <x:c r="M42" s="34" t="e">
        <x:f>IF(OR(K42="已关闭",H42=""),"否",IF(H42&lt;项目驾驶舱!$B$3,"是","否"))</x:f>
        <x:v>#NAME?</x:v>
      </x:c>
      <x:c r="N42" s="34"/>
    </x:row>
    <x:row r="43" ht="17" customHeight="1">
      <x:c r="A43" s="34"/>
      <x:c r="B43" s="34"/>
      <x:c r="C43" s="34"/>
      <x:c r="D43" s="34"/>
      <x:c r="E43" s="34"/>
      <x:c r="F43" s="34"/>
      <x:c r="G43" s="34"/>
      <x:c r="H43" s="38"/>
      <x:c r="I43" s="38"/>
      <x:c r="J43" s="34"/>
      <x:c r="K43" s="34"/>
      <x:c r="L43" s="34" t="e">
        <x:f>IF(H43="","",H43-项目驾驶舱!$B$3)</x:f>
        <x:v>#NAME?</x:v>
      </x:c>
      <x:c r="M43" s="34" t="e">
        <x:f>IF(OR(K43="已关闭",H43=""),"否",IF(H43&lt;项目驾驶舱!$B$3,"是","否"))</x:f>
        <x:v>#NAME?</x:v>
      </x:c>
      <x:c r="N43" s="34"/>
    </x:row>
    <x:row r="44" ht="17" customHeight="1">
      <x:c r="A44" s="34"/>
      <x:c r="B44" s="34"/>
      <x:c r="C44" s="34"/>
      <x:c r="D44" s="34"/>
      <x:c r="E44" s="34"/>
      <x:c r="F44" s="34"/>
      <x:c r="G44" s="34"/>
      <x:c r="H44" s="38"/>
      <x:c r="I44" s="38"/>
      <x:c r="J44" s="34"/>
      <x:c r="K44" s="34"/>
      <x:c r="L44" s="34" t="e">
        <x:f>IF(H44="","",H44-项目驾驶舱!$B$3)</x:f>
        <x:v>#NAME?</x:v>
      </x:c>
      <x:c r="M44" s="34" t="e">
        <x:f>IF(OR(K44="已关闭",H44=""),"否",IF(H44&lt;项目驾驶舱!$B$3,"是","否"))</x:f>
        <x:v>#NAME?</x:v>
      </x:c>
      <x:c r="N44" s="34"/>
    </x:row>
    <x:row r="45" ht="17" customHeight="1">
      <x:c r="A45" s="34"/>
      <x:c r="B45" s="34"/>
      <x:c r="C45" s="34"/>
      <x:c r="D45" s="34"/>
      <x:c r="E45" s="34"/>
      <x:c r="F45" s="34"/>
      <x:c r="G45" s="34"/>
      <x:c r="H45" s="38"/>
      <x:c r="I45" s="38"/>
      <x:c r="J45" s="34"/>
      <x:c r="K45" s="34"/>
      <x:c r="L45" s="34" t="e">
        <x:f>IF(H45="","",H45-项目驾驶舱!$B$3)</x:f>
        <x:v>#NAME?</x:v>
      </x:c>
      <x:c r="M45" s="34" t="e">
        <x:f>IF(OR(K45="已关闭",H45=""),"否",IF(H45&lt;项目驾驶舱!$B$3,"是","否"))</x:f>
        <x:v>#NAME?</x:v>
      </x:c>
      <x:c r="N45" s="34"/>
    </x:row>
    <x:row r="46" ht="17" customHeight="1">
      <x:c r="A46" s="34"/>
      <x:c r="B46" s="34"/>
      <x:c r="C46" s="34"/>
      <x:c r="D46" s="34"/>
      <x:c r="E46" s="34"/>
      <x:c r="F46" s="34"/>
      <x:c r="G46" s="34"/>
      <x:c r="H46" s="38"/>
      <x:c r="I46" s="38"/>
      <x:c r="J46" s="34"/>
      <x:c r="K46" s="34"/>
      <x:c r="L46" s="34" t="e">
        <x:f>IF(H46="","",H46-项目驾驶舱!$B$3)</x:f>
        <x:v>#NAME?</x:v>
      </x:c>
      <x:c r="M46" s="34" t="e">
        <x:f>IF(OR(K46="已关闭",H46=""),"否",IF(H46&lt;项目驾驶舱!$B$3,"是","否"))</x:f>
        <x:v>#NAME?</x:v>
      </x:c>
      <x:c r="N46" s="34"/>
    </x:row>
    <x:row r="47" ht="17" customHeight="1">
      <x:c r="A47" s="34"/>
      <x:c r="B47" s="34"/>
      <x:c r="C47" s="34"/>
      <x:c r="D47" s="34"/>
      <x:c r="E47" s="34"/>
      <x:c r="F47" s="34"/>
      <x:c r="G47" s="34"/>
      <x:c r="H47" s="38"/>
      <x:c r="I47" s="38"/>
      <x:c r="J47" s="34"/>
      <x:c r="K47" s="34"/>
      <x:c r="L47" s="34" t="e">
        <x:f>IF(H47="","",H47-项目驾驶舱!$B$3)</x:f>
        <x:v>#NAME?</x:v>
      </x:c>
      <x:c r="M47" s="34" t="e">
        <x:f>IF(OR(K47="已关闭",H47=""),"否",IF(H47&lt;项目驾驶舱!$B$3,"是","否"))</x:f>
        <x:v>#NAME?</x:v>
      </x:c>
      <x:c r="N47" s="34"/>
    </x:row>
    <x:row r="48" ht="17" customHeight="1">
      <x:c r="A48" s="34"/>
      <x:c r="B48" s="34"/>
      <x:c r="C48" s="34"/>
      <x:c r="D48" s="34"/>
      <x:c r="E48" s="34"/>
      <x:c r="F48" s="34"/>
      <x:c r="G48" s="34"/>
      <x:c r="H48" s="38"/>
      <x:c r="I48" s="38"/>
      <x:c r="J48" s="34"/>
      <x:c r="K48" s="34"/>
      <x:c r="L48" s="34" t="e">
        <x:f>IF(H48="","",H48-项目驾驶舱!$B$3)</x:f>
        <x:v>#NAME?</x:v>
      </x:c>
      <x:c r="M48" s="34" t="e">
        <x:f>IF(OR(K48="已关闭",H48=""),"否",IF(H48&lt;项目驾驶舱!$B$3,"是","否"))</x:f>
        <x:v>#NAME?</x:v>
      </x:c>
      <x:c r="N48" s="34"/>
    </x:row>
    <x:row r="49" ht="17" customHeight="1">
      <x:c r="A49" s="34"/>
      <x:c r="B49" s="34"/>
      <x:c r="C49" s="34"/>
      <x:c r="D49" s="34"/>
      <x:c r="E49" s="34"/>
      <x:c r="F49" s="34"/>
      <x:c r="G49" s="34"/>
      <x:c r="H49" s="38"/>
      <x:c r="I49" s="38"/>
      <x:c r="J49" s="34"/>
      <x:c r="K49" s="34"/>
      <x:c r="L49" s="34" t="e">
        <x:f>IF(H49="","",H49-项目驾驶舱!$B$3)</x:f>
        <x:v>#NAME?</x:v>
      </x:c>
      <x:c r="M49" s="34" t="e">
        <x:f>IF(OR(K49="已关闭",H49=""),"否",IF(H49&lt;项目驾驶舱!$B$3,"是","否"))</x:f>
        <x:v>#NAME?</x:v>
      </x:c>
      <x:c r="N49" s="34"/>
    </x:row>
    <x:row r="50" ht="17" customHeight="1">
      <x:c r="A50" s="34"/>
      <x:c r="B50" s="34"/>
      <x:c r="C50" s="34"/>
      <x:c r="D50" s="34"/>
      <x:c r="E50" s="34"/>
      <x:c r="F50" s="34"/>
      <x:c r="G50" s="34"/>
      <x:c r="H50" s="38"/>
      <x:c r="I50" s="38"/>
      <x:c r="J50" s="34"/>
      <x:c r="K50" s="34"/>
      <x:c r="L50" s="34" t="e">
        <x:f>IF(H50="","",H50-项目驾驶舱!$B$3)</x:f>
        <x:v>#NAME?</x:v>
      </x:c>
      <x:c r="M50" s="34" t="e">
        <x:f>IF(OR(K50="已关闭",H50=""),"否",IF(H50&lt;项目驾驶舱!$B$3,"是","否"))</x:f>
        <x:v>#NAME?</x:v>
      </x:c>
      <x:c r="N50" s="34"/>
    </x:row>
    <x:row r="51" ht="17" customHeight="1">
      <x:c r="A51" s="34"/>
      <x:c r="B51" s="34"/>
      <x:c r="C51" s="34"/>
      <x:c r="D51" s="34"/>
      <x:c r="E51" s="34"/>
      <x:c r="F51" s="34"/>
      <x:c r="G51" s="34"/>
      <x:c r="H51" s="38"/>
      <x:c r="I51" s="38"/>
      <x:c r="J51" s="34"/>
      <x:c r="K51" s="34"/>
      <x:c r="L51" s="34" t="e">
        <x:f>IF(H51="","",H51-项目驾驶舱!$B$3)</x:f>
        <x:v>#NAME?</x:v>
      </x:c>
      <x:c r="M51" s="34" t="e">
        <x:f>IF(OR(K51="已关闭",H51=""),"否",IF(H51&lt;项目驾驶舱!$B$3,"是","否"))</x:f>
        <x:v>#NAME?</x:v>
      </x:c>
      <x:c r="N51" s="34"/>
    </x:row>
    <x:row r="52" ht="17" customHeight="1">
      <x:c r="A52" s="34"/>
      <x:c r="B52" s="34"/>
      <x:c r="C52" s="34"/>
      <x:c r="D52" s="34"/>
      <x:c r="E52" s="34"/>
      <x:c r="F52" s="34"/>
      <x:c r="G52" s="34"/>
      <x:c r="H52" s="38"/>
      <x:c r="I52" s="38"/>
      <x:c r="J52" s="34"/>
      <x:c r="K52" s="34"/>
      <x:c r="L52" s="34" t="e">
        <x:f>IF(H52="","",H52-项目驾驶舱!$B$3)</x:f>
        <x:v>#NAME?</x:v>
      </x:c>
      <x:c r="M52" s="34" t="e">
        <x:f>IF(OR(K52="已关闭",H52=""),"否",IF(H52&lt;项目驾驶舱!$B$3,"是","否"))</x:f>
        <x:v>#NAME?</x:v>
      </x:c>
      <x:c r="N52" s="34"/>
    </x:row>
    <x:row r="53" ht="17" customHeight="1">
      <x:c r="A53" s="34"/>
      <x:c r="B53" s="34"/>
      <x:c r="C53" s="34"/>
      <x:c r="D53" s="34"/>
      <x:c r="E53" s="34"/>
      <x:c r="F53" s="34"/>
      <x:c r="G53" s="34"/>
      <x:c r="H53" s="38"/>
      <x:c r="I53" s="38"/>
      <x:c r="J53" s="34"/>
      <x:c r="K53" s="34"/>
      <x:c r="L53" s="34" t="e">
        <x:f>IF(H53="","",H53-项目驾驶舱!$B$3)</x:f>
        <x:v>#NAME?</x:v>
      </x:c>
      <x:c r="M53" s="34" t="e">
        <x:f>IF(OR(K53="已关闭",H53=""),"否",IF(H53&lt;项目驾驶舱!$B$3,"是","否"))</x:f>
        <x:v>#NAME?</x:v>
      </x:c>
      <x:c r="N53" s="34"/>
    </x:row>
    <x:row r="54" ht="17" customHeight="1">
      <x:c r="A54" s="34"/>
      <x:c r="B54" s="34"/>
      <x:c r="C54" s="34"/>
      <x:c r="D54" s="34"/>
      <x:c r="E54" s="34"/>
      <x:c r="F54" s="34"/>
      <x:c r="G54" s="34"/>
      <x:c r="H54" s="38"/>
      <x:c r="I54" s="38"/>
      <x:c r="J54" s="34"/>
      <x:c r="K54" s="34"/>
      <x:c r="L54" s="34" t="e">
        <x:f>IF(H54="","",H54-项目驾驶舱!$B$3)</x:f>
        <x:v>#NAME?</x:v>
      </x:c>
      <x:c r="M54" s="34" t="e">
        <x:f>IF(OR(K54="已关闭",H54=""),"否",IF(H54&lt;项目驾驶舱!$B$3,"是","否"))</x:f>
        <x:v>#NAME?</x:v>
      </x:c>
      <x:c r="N54" s="34"/>
    </x:row>
    <x:row r="55" ht="17" customHeight="1">
      <x:c r="A55" s="34"/>
      <x:c r="B55" s="34"/>
      <x:c r="C55" s="34"/>
      <x:c r="D55" s="34"/>
      <x:c r="E55" s="34"/>
      <x:c r="F55" s="34"/>
      <x:c r="G55" s="34"/>
      <x:c r="H55" s="38"/>
      <x:c r="I55" s="38"/>
      <x:c r="J55" s="34"/>
      <x:c r="K55" s="34"/>
      <x:c r="L55" s="34" t="e">
        <x:f>IF(H55="","",H55-项目驾驶舱!$B$3)</x:f>
        <x:v>#NAME?</x:v>
      </x:c>
      <x:c r="M55" s="34" t="e">
        <x:f>IF(OR(K55="已关闭",H55=""),"否",IF(H55&lt;项目驾驶舱!$B$3,"是","否"))</x:f>
        <x:v>#NAME?</x:v>
      </x:c>
      <x:c r="N55" s="34"/>
    </x:row>
    <x:row r="56" ht="17" customHeight="1">
      <x:c r="A56" s="34"/>
      <x:c r="B56" s="34"/>
      <x:c r="C56" s="34"/>
      <x:c r="D56" s="34"/>
      <x:c r="E56" s="34"/>
      <x:c r="F56" s="34"/>
      <x:c r="G56" s="34"/>
      <x:c r="H56" s="38"/>
      <x:c r="I56" s="38"/>
      <x:c r="J56" s="34"/>
      <x:c r="K56" s="34"/>
      <x:c r="L56" s="34" t="e">
        <x:f>IF(H56="","",H56-项目驾驶舱!$B$3)</x:f>
        <x:v>#NAME?</x:v>
      </x:c>
      <x:c r="M56" s="34" t="e">
        <x:f>IF(OR(K56="已关闭",H56=""),"否",IF(H56&lt;项目驾驶舱!$B$3,"是","否"))</x:f>
        <x:v>#NAME?</x:v>
      </x:c>
      <x:c r="N56" s="34"/>
    </x:row>
    <x:row r="57" ht="17" customHeight="1">
      <x:c r="A57" s="34"/>
      <x:c r="B57" s="34"/>
      <x:c r="C57" s="34"/>
      <x:c r="D57" s="34"/>
      <x:c r="E57" s="34"/>
      <x:c r="F57" s="34"/>
      <x:c r="G57" s="34"/>
      <x:c r="H57" s="38"/>
      <x:c r="I57" s="38"/>
      <x:c r="J57" s="34"/>
      <x:c r="K57" s="34"/>
      <x:c r="L57" s="34" t="e">
        <x:f>IF(H57="","",H57-项目驾驶舱!$B$3)</x:f>
        <x:v>#NAME?</x:v>
      </x:c>
      <x:c r="M57" s="34" t="e">
        <x:f>IF(OR(K57="已关闭",H57=""),"否",IF(H57&lt;项目驾驶舱!$B$3,"是","否"))</x:f>
        <x:v>#NAME?</x:v>
      </x:c>
      <x:c r="N57" s="34"/>
    </x:row>
    <x:row r="58" ht="17" customHeight="1">
      <x:c r="A58" s="34"/>
      <x:c r="B58" s="34"/>
      <x:c r="C58" s="34"/>
      <x:c r="D58" s="34"/>
      <x:c r="E58" s="34"/>
      <x:c r="F58" s="34"/>
      <x:c r="G58" s="34"/>
      <x:c r="H58" s="38"/>
      <x:c r="I58" s="38"/>
      <x:c r="J58" s="34"/>
      <x:c r="K58" s="34"/>
      <x:c r="L58" s="34" t="e">
        <x:f>IF(H58="","",H58-项目驾驶舱!$B$3)</x:f>
        <x:v>#NAME?</x:v>
      </x:c>
      <x:c r="M58" s="34" t="e">
        <x:f>IF(OR(K58="已关闭",H58=""),"否",IF(H58&lt;项目驾驶舱!$B$3,"是","否"))</x:f>
        <x:v>#NAME?</x:v>
      </x:c>
      <x:c r="N58" s="34"/>
    </x:row>
    <x:row r="59" ht="17" customHeight="1">
      <x:c r="A59" s="34"/>
      <x:c r="B59" s="34"/>
      <x:c r="C59" s="34"/>
      <x:c r="D59" s="34"/>
      <x:c r="E59" s="34"/>
      <x:c r="F59" s="34"/>
      <x:c r="G59" s="34"/>
      <x:c r="H59" s="38"/>
      <x:c r="I59" s="38"/>
      <x:c r="J59" s="34"/>
      <x:c r="K59" s="34"/>
      <x:c r="L59" s="34" t="e">
        <x:f>IF(H59="","",H59-项目驾驶舱!$B$3)</x:f>
        <x:v>#NAME?</x:v>
      </x:c>
      <x:c r="M59" s="34" t="e">
        <x:f>IF(OR(K59="已关闭",H59=""),"否",IF(H59&lt;项目驾驶舱!$B$3,"是","否"))</x:f>
        <x:v>#NAME?</x:v>
      </x:c>
      <x:c r="N59" s="34"/>
    </x:row>
    <x:row r="60" ht="17" customHeight="1">
      <x:c r="A60" s="34"/>
      <x:c r="B60" s="34"/>
      <x:c r="C60" s="34"/>
      <x:c r="D60" s="34"/>
      <x:c r="E60" s="34"/>
      <x:c r="F60" s="34"/>
      <x:c r="G60" s="34"/>
      <x:c r="H60" s="38"/>
      <x:c r="I60" s="38"/>
      <x:c r="J60" s="34"/>
      <x:c r="K60" s="34"/>
      <x:c r="L60" s="34" t="e">
        <x:f>IF(H60="","",H60-项目驾驶舱!$B$3)</x:f>
        <x:v>#NAME?</x:v>
      </x:c>
      <x:c r="M60" s="34" t="e">
        <x:f>IF(OR(K60="已关闭",H60=""),"否",IF(H60&lt;项目驾驶舱!$B$3,"是","否"))</x:f>
        <x:v>#NAME?</x:v>
      </x:c>
      <x:c r="N60" s="34"/>
    </x:row>
    <x:row r="61" ht="17" customHeight="1">
      <x:c r="A61" s="34"/>
      <x:c r="B61" s="34"/>
      <x:c r="C61" s="34"/>
      <x:c r="D61" s="34"/>
      <x:c r="E61" s="34"/>
      <x:c r="F61" s="34"/>
      <x:c r="G61" s="34"/>
      <x:c r="H61" s="38"/>
      <x:c r="I61" s="38"/>
      <x:c r="J61" s="34"/>
      <x:c r="K61" s="34"/>
      <x:c r="L61" s="34" t="e">
        <x:f>IF(H61="","",H61-项目驾驶舱!$B$3)</x:f>
        <x:v>#NAME?</x:v>
      </x:c>
      <x:c r="M61" s="34" t="e">
        <x:f>IF(OR(K61="已关闭",H61=""),"否",IF(H61&lt;项目驾驶舱!$B$3,"是","否"))</x:f>
        <x:v>#NAME?</x:v>
      </x:c>
      <x:c r="N61" s="34"/>
    </x:row>
    <x:row r="62" ht="17" customHeight="1">
      <x:c r="A62" s="34"/>
      <x:c r="B62" s="34"/>
      <x:c r="C62" s="34"/>
      <x:c r="D62" s="34"/>
      <x:c r="E62" s="34"/>
      <x:c r="F62" s="34"/>
      <x:c r="G62" s="34"/>
      <x:c r="H62" s="38"/>
      <x:c r="I62" s="38"/>
      <x:c r="J62" s="34"/>
      <x:c r="K62" s="34"/>
      <x:c r="L62" s="34" t="e">
        <x:f>IF(H62="","",H62-项目驾驶舱!$B$3)</x:f>
        <x:v>#NAME?</x:v>
      </x:c>
      <x:c r="M62" s="34" t="e">
        <x:f>IF(OR(K62="已关闭",H62=""),"否",IF(H62&lt;项目驾驶舱!$B$3,"是","否"))</x:f>
        <x:v>#NAME?</x:v>
      </x:c>
      <x:c r="N62" s="34"/>
    </x:row>
    <x:row r="63" ht="17" customHeight="1">
      <x:c r="A63" s="34"/>
      <x:c r="B63" s="34"/>
      <x:c r="C63" s="34"/>
      <x:c r="D63" s="34"/>
      <x:c r="E63" s="34"/>
      <x:c r="F63" s="34"/>
      <x:c r="G63" s="34"/>
      <x:c r="H63" s="38"/>
      <x:c r="I63" s="38"/>
      <x:c r="J63" s="34"/>
      <x:c r="K63" s="34"/>
      <x:c r="L63" s="34" t="e">
        <x:f>IF(H63="","",H63-项目驾驶舱!$B$3)</x:f>
        <x:v>#NAME?</x:v>
      </x:c>
      <x:c r="M63" s="34" t="e">
        <x:f>IF(OR(K63="已关闭",H63=""),"否",IF(H63&lt;项目驾驶舱!$B$3,"是","否"))</x:f>
        <x:v>#NAME?</x:v>
      </x:c>
      <x:c r="N63" s="34"/>
    </x:row>
    <x:row r="64" ht="17" customHeight="1">
      <x:c r="A64" s="34"/>
      <x:c r="B64" s="34"/>
      <x:c r="C64" s="34"/>
      <x:c r="D64" s="34"/>
      <x:c r="E64" s="34"/>
      <x:c r="F64" s="34"/>
      <x:c r="G64" s="34"/>
      <x:c r="H64" s="38"/>
      <x:c r="I64" s="38"/>
      <x:c r="J64" s="34"/>
      <x:c r="K64" s="34"/>
      <x:c r="L64" s="34" t="e">
        <x:f>IF(H64="","",H64-项目驾驶舱!$B$3)</x:f>
        <x:v>#NAME?</x:v>
      </x:c>
      <x:c r="M64" s="34" t="e">
        <x:f>IF(OR(K64="已关闭",H64=""),"否",IF(H64&lt;项目驾驶舱!$B$3,"是","否"))</x:f>
        <x:v>#NAME?</x:v>
      </x:c>
      <x:c r="N64" s="34"/>
    </x:row>
    <x:row r="65" ht="17" customHeight="1">
      <x:c r="A65" s="34"/>
      <x:c r="B65" s="34"/>
      <x:c r="C65" s="34"/>
      <x:c r="D65" s="34"/>
      <x:c r="E65" s="34"/>
      <x:c r="F65" s="34"/>
      <x:c r="G65" s="34"/>
      <x:c r="H65" s="38"/>
      <x:c r="I65" s="38"/>
      <x:c r="J65" s="34"/>
      <x:c r="K65" s="34"/>
      <x:c r="L65" s="34" t="e">
        <x:f>IF(H65="","",H65-项目驾驶舱!$B$3)</x:f>
        <x:v>#NAME?</x:v>
      </x:c>
      <x:c r="M65" s="34" t="e">
        <x:f>IF(OR(K65="已关闭",H65=""),"否",IF(H65&lt;项目驾驶舱!$B$3,"是","否"))</x:f>
        <x:v>#NAME?</x:v>
      </x:c>
      <x:c r="N65" s="34"/>
    </x:row>
    <x:row r="66" ht="17" customHeight="1">
      <x:c r="A66" s="34"/>
      <x:c r="B66" s="34"/>
      <x:c r="C66" s="34"/>
      <x:c r="D66" s="34"/>
      <x:c r="E66" s="34"/>
      <x:c r="F66" s="34"/>
      <x:c r="G66" s="34"/>
      <x:c r="H66" s="38"/>
      <x:c r="I66" s="38"/>
      <x:c r="J66" s="34"/>
      <x:c r="K66" s="34"/>
      <x:c r="L66" s="34" t="e">
        <x:f>IF(H66="","",H66-项目驾驶舱!$B$3)</x:f>
        <x:v>#NAME?</x:v>
      </x:c>
      <x:c r="M66" s="34" t="e">
        <x:f>IF(OR(K66="已关闭",H66=""),"否",IF(H66&lt;项目驾驶舱!$B$3,"是","否"))</x:f>
        <x:v>#NAME?</x:v>
      </x:c>
      <x:c r="N66" s="34"/>
    </x:row>
    <x:row r="67" ht="17" customHeight="1">
      <x:c r="A67" s="34"/>
      <x:c r="B67" s="34"/>
      <x:c r="C67" s="34"/>
      <x:c r="D67" s="34"/>
      <x:c r="E67" s="34"/>
      <x:c r="F67" s="34"/>
      <x:c r="G67" s="34"/>
      <x:c r="H67" s="38"/>
      <x:c r="I67" s="38"/>
      <x:c r="J67" s="34"/>
      <x:c r="K67" s="34"/>
      <x:c r="L67" s="34" t="e">
        <x:f>IF(H67="","",H67-项目驾驶舱!$B$3)</x:f>
        <x:v>#NAME?</x:v>
      </x:c>
      <x:c r="M67" s="34" t="e">
        <x:f>IF(OR(K67="已关闭",H67=""),"否",IF(H67&lt;项目驾驶舱!$B$3,"是","否"))</x:f>
        <x:v>#NAME?</x:v>
      </x:c>
      <x:c r="N67" s="34"/>
    </x:row>
    <x:row r="68" ht="17" customHeight="1">
      <x:c r="A68" s="34"/>
      <x:c r="B68" s="34"/>
      <x:c r="C68" s="34"/>
      <x:c r="D68" s="34"/>
      <x:c r="E68" s="34"/>
      <x:c r="F68" s="34"/>
      <x:c r="G68" s="34"/>
      <x:c r="H68" s="38"/>
      <x:c r="I68" s="38"/>
      <x:c r="J68" s="34"/>
      <x:c r="K68" s="34"/>
      <x:c r="L68" s="34" t="e">
        <x:f>IF(H68="","",H68-项目驾驶舱!$B$3)</x:f>
        <x:v>#NAME?</x:v>
      </x:c>
      <x:c r="M68" s="34" t="e">
        <x:f>IF(OR(K68="已关闭",H68=""),"否",IF(H68&lt;项目驾驶舱!$B$3,"是","否"))</x:f>
        <x:v>#NAME?</x:v>
      </x:c>
      <x:c r="N68" s="34"/>
    </x:row>
    <x:row r="69" ht="17" customHeight="1">
      <x:c r="A69" s="34"/>
      <x:c r="B69" s="34"/>
      <x:c r="C69" s="34"/>
      <x:c r="D69" s="34"/>
      <x:c r="E69" s="34"/>
      <x:c r="F69" s="34"/>
      <x:c r="G69" s="34"/>
      <x:c r="H69" s="38"/>
      <x:c r="I69" s="38"/>
      <x:c r="J69" s="34"/>
      <x:c r="K69" s="34"/>
      <x:c r="L69" s="34" t="e">
        <x:f>IF(H69="","",H69-项目驾驶舱!$B$3)</x:f>
        <x:v>#NAME?</x:v>
      </x:c>
      <x:c r="M69" s="34" t="e">
        <x:f>IF(OR(K69="已关闭",H69=""),"否",IF(H69&lt;项目驾驶舱!$B$3,"是","否"))</x:f>
        <x:v>#NAME?</x:v>
      </x:c>
      <x:c r="N69" s="34"/>
    </x:row>
    <x:row r="70" ht="17" customHeight="1">
      <x:c r="A70" s="34"/>
      <x:c r="B70" s="34"/>
      <x:c r="C70" s="34"/>
      <x:c r="D70" s="34"/>
      <x:c r="E70" s="34"/>
      <x:c r="F70" s="34"/>
      <x:c r="G70" s="34"/>
      <x:c r="H70" s="38"/>
      <x:c r="I70" s="38"/>
      <x:c r="J70" s="34"/>
      <x:c r="K70" s="34"/>
      <x:c r="L70" s="34" t="e">
        <x:f>IF(H70="","",H70-项目驾驶舱!$B$3)</x:f>
        <x:v>#NAME?</x:v>
      </x:c>
      <x:c r="M70" s="34" t="e">
        <x:f>IF(OR(K70="已关闭",H70=""),"否",IF(H70&lt;项目驾驶舱!$B$3,"是","否"))</x:f>
        <x:v>#NAME?</x:v>
      </x:c>
      <x:c r="N70" s="34"/>
    </x:row>
    <x:row r="71" ht="17" customHeight="1">
      <x:c r="A71" s="34"/>
      <x:c r="B71" s="34"/>
      <x:c r="C71" s="34"/>
      <x:c r="D71" s="34"/>
      <x:c r="E71" s="34"/>
      <x:c r="F71" s="34"/>
      <x:c r="G71" s="34"/>
      <x:c r="H71" s="38"/>
      <x:c r="I71" s="38"/>
      <x:c r="J71" s="34"/>
      <x:c r="K71" s="34"/>
      <x:c r="L71" s="34" t="e">
        <x:f>IF(H71="","",H71-项目驾驶舱!$B$3)</x:f>
        <x:v>#NAME?</x:v>
      </x:c>
      <x:c r="M71" s="34" t="e">
        <x:f>IF(OR(K71="已关闭",H71=""),"否",IF(H71&lt;项目驾驶舱!$B$3,"是","否"))</x:f>
        <x:v>#NAME?</x:v>
      </x:c>
      <x:c r="N71" s="34"/>
    </x:row>
    <x:row r="72" ht="17" customHeight="1">
      <x:c r="A72" s="34"/>
      <x:c r="B72" s="34"/>
      <x:c r="C72" s="34"/>
      <x:c r="D72" s="34"/>
      <x:c r="E72" s="34"/>
      <x:c r="F72" s="34"/>
      <x:c r="G72" s="34"/>
      <x:c r="H72" s="38"/>
      <x:c r="I72" s="38"/>
      <x:c r="J72" s="34"/>
      <x:c r="K72" s="34"/>
      <x:c r="L72" s="34" t="e">
        <x:f>IF(H72="","",H72-项目驾驶舱!$B$3)</x:f>
        <x:v>#NAME?</x:v>
      </x:c>
      <x:c r="M72" s="34" t="e">
        <x:f>IF(OR(K72="已关闭",H72=""),"否",IF(H72&lt;项目驾驶舱!$B$3,"是","否"))</x:f>
        <x:v>#NAME?</x:v>
      </x:c>
      <x:c r="N72" s="34"/>
    </x:row>
    <x:row r="73" ht="17" customHeight="1">
      <x:c r="A73" s="34"/>
      <x:c r="B73" s="34"/>
      <x:c r="C73" s="34"/>
      <x:c r="D73" s="34"/>
      <x:c r="E73" s="34"/>
      <x:c r="F73" s="34"/>
      <x:c r="G73" s="34"/>
      <x:c r="H73" s="38"/>
      <x:c r="I73" s="38"/>
      <x:c r="J73" s="34"/>
      <x:c r="K73" s="34"/>
      <x:c r="L73" s="34" t="e">
        <x:f>IF(H73="","",H73-项目驾驶舱!$B$3)</x:f>
        <x:v>#NAME?</x:v>
      </x:c>
      <x:c r="M73" s="34" t="e">
        <x:f>IF(OR(K73="已关闭",H73=""),"否",IF(H73&lt;项目驾驶舱!$B$3,"是","否"))</x:f>
        <x:v>#NAME?</x:v>
      </x:c>
      <x:c r="N73" s="34"/>
    </x:row>
    <x:row r="74" ht="17" customHeight="1">
      <x:c r="A74" s="34"/>
      <x:c r="B74" s="34"/>
      <x:c r="C74" s="34"/>
      <x:c r="D74" s="34"/>
      <x:c r="E74" s="34"/>
      <x:c r="F74" s="34"/>
      <x:c r="G74" s="34"/>
      <x:c r="H74" s="38"/>
      <x:c r="I74" s="38"/>
      <x:c r="J74" s="34"/>
      <x:c r="K74" s="34"/>
      <x:c r="L74" s="34" t="e">
        <x:f>IF(H74="","",H74-项目驾驶舱!$B$3)</x:f>
        <x:v>#NAME?</x:v>
      </x:c>
      <x:c r="M74" s="34" t="e">
        <x:f>IF(OR(K74="已关闭",H74=""),"否",IF(H74&lt;项目驾驶舱!$B$3,"是","否"))</x:f>
        <x:v>#NAME?</x:v>
      </x:c>
      <x:c r="N74" s="34"/>
    </x:row>
    <x:row r="75" ht="17" customHeight="1">
      <x:c r="A75" s="34"/>
      <x:c r="B75" s="34"/>
      <x:c r="C75" s="34"/>
      <x:c r="D75" s="34"/>
      <x:c r="E75" s="34"/>
      <x:c r="F75" s="34"/>
      <x:c r="G75" s="34"/>
      <x:c r="H75" s="38"/>
      <x:c r="I75" s="38"/>
      <x:c r="J75" s="34"/>
      <x:c r="K75" s="34"/>
      <x:c r="L75" s="34" t="e">
        <x:f>IF(H75="","",H75-项目驾驶舱!$B$3)</x:f>
        <x:v>#NAME?</x:v>
      </x:c>
      <x:c r="M75" s="34" t="e">
        <x:f>IF(OR(K75="已关闭",H75=""),"否",IF(H75&lt;项目驾驶舱!$B$3,"是","否"))</x:f>
        <x:v>#NAME?</x:v>
      </x:c>
      <x:c r="N75" s="34"/>
    </x:row>
    <x:row r="76" ht="17" customHeight="1">
      <x:c r="A76" s="34"/>
      <x:c r="B76" s="34"/>
      <x:c r="C76" s="34"/>
      <x:c r="D76" s="34"/>
      <x:c r="E76" s="34"/>
      <x:c r="F76" s="34"/>
      <x:c r="G76" s="34"/>
      <x:c r="H76" s="38"/>
      <x:c r="I76" s="38"/>
      <x:c r="J76" s="34"/>
      <x:c r="K76" s="34"/>
      <x:c r="L76" s="34" t="e">
        <x:f>IF(H76="","",H76-项目驾驶舱!$B$3)</x:f>
        <x:v>#NAME?</x:v>
      </x:c>
      <x:c r="M76" s="34" t="e">
        <x:f>IF(OR(K76="已关闭",H76=""),"否",IF(H76&lt;项目驾驶舱!$B$3,"是","否"))</x:f>
        <x:v>#NAME?</x:v>
      </x:c>
      <x:c r="N76" s="34"/>
    </x:row>
    <x:row r="77" ht="17" customHeight="1">
      <x:c r="A77" s="34"/>
      <x:c r="B77" s="34"/>
      <x:c r="C77" s="34"/>
      <x:c r="D77" s="34"/>
      <x:c r="E77" s="34"/>
      <x:c r="F77" s="34"/>
      <x:c r="G77" s="34"/>
      <x:c r="H77" s="38"/>
      <x:c r="I77" s="38"/>
      <x:c r="J77" s="34"/>
      <x:c r="K77" s="34"/>
      <x:c r="L77" s="34" t="e">
        <x:f>IF(H77="","",H77-项目驾驶舱!$B$3)</x:f>
        <x:v>#NAME?</x:v>
      </x:c>
      <x:c r="M77" s="34" t="e">
        <x:f>IF(OR(K77="已关闭",H77=""),"否",IF(H77&lt;项目驾驶舱!$B$3,"是","否"))</x:f>
        <x:v>#NAME?</x:v>
      </x:c>
      <x:c r="N77" s="34"/>
    </x:row>
    <x:row r="78" ht="17" customHeight="1">
      <x:c r="A78" s="34"/>
      <x:c r="B78" s="34"/>
      <x:c r="C78" s="34"/>
      <x:c r="D78" s="34"/>
      <x:c r="E78" s="34"/>
      <x:c r="F78" s="34"/>
      <x:c r="G78" s="34"/>
      <x:c r="H78" s="38"/>
      <x:c r="I78" s="38"/>
      <x:c r="J78" s="34"/>
      <x:c r="K78" s="34"/>
      <x:c r="L78" s="34" t="e">
        <x:f>IF(H78="","",H78-项目驾驶舱!$B$3)</x:f>
        <x:v>#NAME?</x:v>
      </x:c>
      <x:c r="M78" s="34" t="e">
        <x:f>IF(OR(K78="已关闭",H78=""),"否",IF(H78&lt;项目驾驶舱!$B$3,"是","否"))</x:f>
        <x:v>#NAME?</x:v>
      </x:c>
      <x:c r="N78" s="34"/>
    </x:row>
    <x:row r="79" ht="17" customHeight="1">
      <x:c r="A79" s="34"/>
      <x:c r="B79" s="34"/>
      <x:c r="C79" s="34"/>
      <x:c r="D79" s="34"/>
      <x:c r="E79" s="34"/>
      <x:c r="F79" s="34"/>
      <x:c r="G79" s="34"/>
      <x:c r="H79" s="38"/>
      <x:c r="I79" s="38"/>
      <x:c r="J79" s="34"/>
      <x:c r="K79" s="34"/>
      <x:c r="L79" s="34" t="e">
        <x:f>IF(H79="","",H79-项目驾驶舱!$B$3)</x:f>
        <x:v>#NAME?</x:v>
      </x:c>
      <x:c r="M79" s="34" t="e">
        <x:f>IF(OR(K79="已关闭",H79=""),"否",IF(H79&lt;项目驾驶舱!$B$3,"是","否"))</x:f>
        <x:v>#NAME?</x:v>
      </x:c>
      <x:c r="N79" s="34"/>
    </x:row>
    <x:row r="80" ht="17" customHeight="1">
      <x:c r="A80" s="34"/>
      <x:c r="B80" s="34"/>
      <x:c r="C80" s="34"/>
      <x:c r="D80" s="34"/>
      <x:c r="E80" s="34"/>
      <x:c r="F80" s="34"/>
      <x:c r="G80" s="34"/>
      <x:c r="H80" s="38"/>
      <x:c r="I80" s="38"/>
      <x:c r="J80" s="34"/>
      <x:c r="K80" s="34"/>
      <x:c r="L80" s="34" t="e">
        <x:f>IF(H80="","",H80-项目驾驶舱!$B$3)</x:f>
        <x:v>#NAME?</x:v>
      </x:c>
      <x:c r="M80" s="34" t="e">
        <x:f>IF(OR(K80="已关闭",H80=""),"否",IF(H80&lt;项目驾驶舱!$B$3,"是","否"))</x:f>
        <x:v>#NAME?</x:v>
      </x:c>
      <x:c r="N80" s="34"/>
    </x:row>
    <x:row r="81" ht="17" customHeight="1">
      <x:c r="A81" s="34"/>
      <x:c r="B81" s="34"/>
      <x:c r="C81" s="34"/>
      <x:c r="D81" s="34"/>
      <x:c r="E81" s="34"/>
      <x:c r="F81" s="34"/>
      <x:c r="G81" s="34"/>
      <x:c r="H81" s="38"/>
      <x:c r="I81" s="38"/>
      <x:c r="J81" s="34"/>
      <x:c r="K81" s="34"/>
      <x:c r="L81" s="34" t="e">
        <x:f>IF(H81="","",H81-项目驾驶舱!$B$3)</x:f>
        <x:v>#NAME?</x:v>
      </x:c>
      <x:c r="M81" s="34" t="e">
        <x:f>IF(OR(K81="已关闭",H81=""),"否",IF(H81&lt;项目驾驶舱!$B$3,"是","否"))</x:f>
        <x:v>#NAME?</x:v>
      </x:c>
      <x:c r="N81" s="34"/>
    </x:row>
    <x:row r="82" ht="17" customHeight="1">
      <x:c r="A82" s="34"/>
      <x:c r="B82" s="34"/>
      <x:c r="C82" s="34"/>
      <x:c r="D82" s="34"/>
      <x:c r="E82" s="34"/>
      <x:c r="F82" s="34"/>
      <x:c r="G82" s="34"/>
      <x:c r="H82" s="38"/>
      <x:c r="I82" s="38"/>
      <x:c r="J82" s="34"/>
      <x:c r="K82" s="34"/>
      <x:c r="L82" s="34" t="e">
        <x:f>IF(H82="","",H82-项目驾驶舱!$B$3)</x:f>
        <x:v>#NAME?</x:v>
      </x:c>
      <x:c r="M82" s="34" t="e">
        <x:f>IF(OR(K82="已关闭",H82=""),"否",IF(H82&lt;项目驾驶舱!$B$3,"是","否"))</x:f>
        <x:v>#NAME?</x:v>
      </x:c>
      <x:c r="N82" s="34"/>
    </x:row>
    <x:row r="83" ht="17" customHeight="1">
      <x:c r="A83" s="34"/>
      <x:c r="B83" s="34"/>
      <x:c r="C83" s="34"/>
      <x:c r="D83" s="34"/>
      <x:c r="E83" s="34"/>
      <x:c r="F83" s="34"/>
      <x:c r="G83" s="34"/>
      <x:c r="H83" s="38"/>
      <x:c r="I83" s="38"/>
      <x:c r="J83" s="34"/>
      <x:c r="K83" s="34"/>
      <x:c r="L83" s="34" t="e">
        <x:f>IF(H83="","",H83-项目驾驶舱!$B$3)</x:f>
        <x:v>#NAME?</x:v>
      </x:c>
      <x:c r="M83" s="34" t="e">
        <x:f>IF(OR(K83="已关闭",H83=""),"否",IF(H83&lt;项目驾驶舱!$B$3,"是","否"))</x:f>
        <x:v>#NAME?</x:v>
      </x:c>
      <x:c r="N83" s="34"/>
    </x:row>
    <x:row r="84" ht="17" customHeight="1">
      <x:c r="A84" s="34"/>
      <x:c r="B84" s="34"/>
      <x:c r="C84" s="34"/>
      <x:c r="D84" s="34"/>
      <x:c r="E84" s="34"/>
      <x:c r="F84" s="34"/>
      <x:c r="G84" s="34"/>
      <x:c r="H84" s="38"/>
      <x:c r="I84" s="38"/>
      <x:c r="J84" s="34"/>
      <x:c r="K84" s="34"/>
      <x:c r="L84" s="34" t="e">
        <x:f>IF(H84="","",H84-项目驾驶舱!$B$3)</x:f>
        <x:v>#NAME?</x:v>
      </x:c>
      <x:c r="M84" s="34" t="e">
        <x:f>IF(OR(K84="已关闭",H84=""),"否",IF(H84&lt;项目驾驶舱!$B$3,"是","否"))</x:f>
        <x:v>#NAME?</x:v>
      </x:c>
      <x:c r="N84" s="34"/>
    </x:row>
    <x:row r="85" ht="17" customHeight="1">
      <x:c r="A85" s="34"/>
      <x:c r="B85" s="34"/>
      <x:c r="C85" s="34"/>
      <x:c r="D85" s="34"/>
      <x:c r="E85" s="34"/>
      <x:c r="F85" s="34"/>
      <x:c r="G85" s="34"/>
      <x:c r="H85" s="38"/>
      <x:c r="I85" s="38"/>
      <x:c r="J85" s="34"/>
      <x:c r="K85" s="34"/>
      <x:c r="L85" s="34" t="e">
        <x:f>IF(H85="","",H85-项目驾驶舱!$B$3)</x:f>
        <x:v>#NAME?</x:v>
      </x:c>
      <x:c r="M85" s="34" t="e">
        <x:f>IF(OR(K85="已关闭",H85=""),"否",IF(H85&lt;项目驾驶舱!$B$3,"是","否"))</x:f>
        <x:v>#NAME?</x:v>
      </x:c>
      <x:c r="N85" s="34"/>
    </x:row>
    <x:row r="86" ht="17" customHeight="1">
      <x:c r="A86" s="34"/>
      <x:c r="B86" s="34"/>
      <x:c r="C86" s="34"/>
      <x:c r="D86" s="34"/>
      <x:c r="E86" s="34"/>
      <x:c r="F86" s="34"/>
      <x:c r="G86" s="34"/>
      <x:c r="H86" s="38"/>
      <x:c r="I86" s="38"/>
      <x:c r="J86" s="34"/>
      <x:c r="K86" s="34"/>
      <x:c r="L86" s="34" t="e">
        <x:f>IF(H86="","",H86-项目驾驶舱!$B$3)</x:f>
        <x:v>#NAME?</x:v>
      </x:c>
      <x:c r="M86" s="34" t="e">
        <x:f>IF(OR(K86="已关闭",H86=""),"否",IF(H86&lt;项目驾驶舱!$B$3,"是","否"))</x:f>
        <x:v>#NAME?</x:v>
      </x:c>
      <x:c r="N86" s="34"/>
    </x:row>
    <x:row r="87" ht="17" customHeight="1">
      <x:c r="A87" s="34"/>
      <x:c r="B87" s="34"/>
      <x:c r="C87" s="34"/>
      <x:c r="D87" s="34"/>
      <x:c r="E87" s="34"/>
      <x:c r="F87" s="34"/>
      <x:c r="G87" s="34"/>
      <x:c r="H87" s="38"/>
      <x:c r="I87" s="38"/>
      <x:c r="J87" s="34"/>
      <x:c r="K87" s="34"/>
      <x:c r="L87" s="34" t="e">
        <x:f>IF(H87="","",H87-项目驾驶舱!$B$3)</x:f>
        <x:v>#NAME?</x:v>
      </x:c>
      <x:c r="M87" s="34" t="e">
        <x:f>IF(OR(K87="已关闭",H87=""),"否",IF(H87&lt;项目驾驶舱!$B$3,"是","否"))</x:f>
        <x:v>#NAME?</x:v>
      </x:c>
      <x:c r="N87" s="34"/>
    </x:row>
    <x:row r="88" ht="17" customHeight="1">
      <x:c r="A88" s="34"/>
      <x:c r="B88" s="34"/>
      <x:c r="C88" s="34"/>
      <x:c r="D88" s="34"/>
      <x:c r="E88" s="34"/>
      <x:c r="F88" s="34"/>
      <x:c r="G88" s="34"/>
      <x:c r="H88" s="38"/>
      <x:c r="I88" s="38"/>
      <x:c r="J88" s="34"/>
      <x:c r="K88" s="34"/>
      <x:c r="L88" s="34" t="e">
        <x:f>IF(H88="","",H88-项目驾驶舱!$B$3)</x:f>
        <x:v>#NAME?</x:v>
      </x:c>
      <x:c r="M88" s="34" t="e">
        <x:f>IF(OR(K88="已关闭",H88=""),"否",IF(H88&lt;项目驾驶舱!$B$3,"是","否"))</x:f>
        <x:v>#NAME?</x:v>
      </x:c>
      <x:c r="N88" s="34"/>
    </x:row>
    <x:row r="89" ht="17" customHeight="1">
      <x:c r="A89" s="34"/>
      <x:c r="B89" s="34"/>
      <x:c r="C89" s="34"/>
      <x:c r="D89" s="34"/>
      <x:c r="E89" s="34"/>
      <x:c r="F89" s="34"/>
      <x:c r="G89" s="34"/>
      <x:c r="H89" s="38"/>
      <x:c r="I89" s="38"/>
      <x:c r="J89" s="34"/>
      <x:c r="K89" s="34"/>
      <x:c r="L89" s="34" t="e">
        <x:f>IF(H89="","",H89-项目驾驶舱!$B$3)</x:f>
        <x:v>#NAME?</x:v>
      </x:c>
      <x:c r="M89" s="34" t="e">
        <x:f>IF(OR(K89="已关闭",H89=""),"否",IF(H89&lt;项目驾驶舱!$B$3,"是","否"))</x:f>
        <x:v>#NAME?</x:v>
      </x:c>
      <x:c r="N89" s="34"/>
    </x:row>
    <x:row r="90" ht="17" customHeight="1">
      <x:c r="A90" s="34"/>
      <x:c r="B90" s="34"/>
      <x:c r="C90" s="34"/>
      <x:c r="D90" s="34"/>
      <x:c r="E90" s="34"/>
      <x:c r="F90" s="34"/>
      <x:c r="G90" s="34"/>
      <x:c r="H90" s="38"/>
      <x:c r="I90" s="38"/>
      <x:c r="J90" s="34"/>
      <x:c r="K90" s="34"/>
      <x:c r="L90" s="34" t="e">
        <x:f>IF(H90="","",H90-项目驾驶舱!$B$3)</x:f>
        <x:v>#NAME?</x:v>
      </x:c>
      <x:c r="M90" s="34" t="e">
        <x:f>IF(OR(K90="已关闭",H90=""),"否",IF(H90&lt;项目驾驶舱!$B$3,"是","否"))</x:f>
        <x:v>#NAME?</x:v>
      </x:c>
      <x:c r="N90" s="34"/>
    </x:row>
    <x:row r="91" ht="17" customHeight="1">
      <x:c r="A91" s="34"/>
      <x:c r="B91" s="34"/>
      <x:c r="C91" s="34"/>
      <x:c r="D91" s="34"/>
      <x:c r="E91" s="34"/>
      <x:c r="F91" s="34"/>
      <x:c r="G91" s="34"/>
      <x:c r="H91" s="38"/>
      <x:c r="I91" s="38"/>
      <x:c r="J91" s="34"/>
      <x:c r="K91" s="34"/>
      <x:c r="L91" s="34" t="e">
        <x:f>IF(H91="","",H91-项目驾驶舱!$B$3)</x:f>
        <x:v>#NAME?</x:v>
      </x:c>
      <x:c r="M91" s="34" t="e">
        <x:f>IF(OR(K91="已关闭",H91=""),"否",IF(H91&lt;项目驾驶舱!$B$3,"是","否"))</x:f>
        <x:v>#NAME?</x:v>
      </x:c>
      <x:c r="N91" s="34"/>
    </x:row>
    <x:row r="92" ht="17" customHeight="1">
      <x:c r="A92" s="34"/>
      <x:c r="B92" s="34"/>
      <x:c r="C92" s="34"/>
      <x:c r="D92" s="34"/>
      <x:c r="E92" s="34"/>
      <x:c r="F92" s="34"/>
      <x:c r="G92" s="34"/>
      <x:c r="H92" s="38"/>
      <x:c r="I92" s="38"/>
      <x:c r="J92" s="34"/>
      <x:c r="K92" s="34"/>
      <x:c r="L92" s="34" t="e">
        <x:f>IF(H92="","",H92-项目驾驶舱!$B$3)</x:f>
        <x:v>#NAME?</x:v>
      </x:c>
      <x:c r="M92" s="34" t="e">
        <x:f>IF(OR(K92="已关闭",H92=""),"否",IF(H92&lt;项目驾驶舱!$B$3,"是","否"))</x:f>
        <x:v>#NAME?</x:v>
      </x:c>
      <x:c r="N92" s="34"/>
    </x:row>
    <x:row r="93" ht="17" customHeight="1">
      <x:c r="A93" s="34"/>
      <x:c r="B93" s="34"/>
      <x:c r="C93" s="34"/>
      <x:c r="D93" s="34"/>
      <x:c r="E93" s="34"/>
      <x:c r="F93" s="34"/>
      <x:c r="G93" s="34"/>
      <x:c r="H93" s="38"/>
      <x:c r="I93" s="38"/>
      <x:c r="J93" s="34"/>
      <x:c r="K93" s="34"/>
      <x:c r="L93" s="34" t="e">
        <x:f>IF(H93="","",H93-项目驾驶舱!$B$3)</x:f>
        <x:v>#NAME?</x:v>
      </x:c>
      <x:c r="M93" s="34" t="e">
        <x:f>IF(OR(K93="已关闭",H93=""),"否",IF(H93&lt;项目驾驶舱!$B$3,"是","否"))</x:f>
        <x:v>#NAME?</x:v>
      </x:c>
      <x:c r="N93" s="34"/>
    </x:row>
    <x:row r="94" ht="17" customHeight="1">
      <x:c r="A94" s="34"/>
      <x:c r="B94" s="34"/>
      <x:c r="C94" s="34"/>
      <x:c r="D94" s="34"/>
      <x:c r="E94" s="34"/>
      <x:c r="F94" s="34"/>
      <x:c r="G94" s="34"/>
      <x:c r="H94" s="38"/>
      <x:c r="I94" s="38"/>
      <x:c r="J94" s="34"/>
      <x:c r="K94" s="34"/>
      <x:c r="L94" s="34" t="e">
        <x:f>IF(H94="","",H94-项目驾驶舱!$B$3)</x:f>
        <x:v>#NAME?</x:v>
      </x:c>
      <x:c r="M94" s="34" t="e">
        <x:f>IF(OR(K94="已关闭",H94=""),"否",IF(H94&lt;项目驾驶舱!$B$3,"是","否"))</x:f>
        <x:v>#NAME?</x:v>
      </x:c>
      <x:c r="N94" s="34"/>
    </x:row>
    <x:row r="95" ht="17" customHeight="1">
      <x:c r="A95" s="34"/>
      <x:c r="B95" s="34"/>
      <x:c r="C95" s="34"/>
      <x:c r="D95" s="34"/>
      <x:c r="E95" s="34"/>
      <x:c r="F95" s="34"/>
      <x:c r="G95" s="34"/>
      <x:c r="H95" s="38"/>
      <x:c r="I95" s="38"/>
      <x:c r="J95" s="34"/>
      <x:c r="K95" s="34"/>
      <x:c r="L95" s="34" t="e">
        <x:f>IF(H95="","",H95-项目驾驶舱!$B$3)</x:f>
        <x:v>#NAME?</x:v>
      </x:c>
      <x:c r="M95" s="34" t="e">
        <x:f>IF(OR(K95="已关闭",H95=""),"否",IF(H95&lt;项目驾驶舱!$B$3,"是","否"))</x:f>
        <x:v>#NAME?</x:v>
      </x:c>
      <x:c r="N95" s="34"/>
    </x:row>
    <x:row r="96" ht="17" customHeight="1">
      <x:c r="A96" s="34"/>
      <x:c r="B96" s="34"/>
      <x:c r="C96" s="34"/>
      <x:c r="D96" s="34"/>
      <x:c r="E96" s="34"/>
      <x:c r="F96" s="34"/>
      <x:c r="G96" s="34"/>
      <x:c r="H96" s="38"/>
      <x:c r="I96" s="38"/>
      <x:c r="J96" s="34"/>
      <x:c r="K96" s="34"/>
      <x:c r="L96" s="34" t="e">
        <x:f>IF(H96="","",H96-项目驾驶舱!$B$3)</x:f>
        <x:v>#NAME?</x:v>
      </x:c>
      <x:c r="M96" s="34" t="e">
        <x:f>IF(OR(K96="已关闭",H96=""),"否",IF(H96&lt;项目驾驶舱!$B$3,"是","否"))</x:f>
        <x:v>#NAME?</x:v>
      </x:c>
      <x:c r="N96" s="34"/>
    </x:row>
    <x:row r="97" ht="17" customHeight="1">
      <x:c r="A97" s="34"/>
      <x:c r="B97" s="34"/>
      <x:c r="C97" s="34"/>
      <x:c r="D97" s="34"/>
      <x:c r="E97" s="34"/>
      <x:c r="F97" s="34"/>
      <x:c r="G97" s="34"/>
      <x:c r="H97" s="38"/>
      <x:c r="I97" s="38"/>
      <x:c r="J97" s="34"/>
      <x:c r="K97" s="34"/>
      <x:c r="L97" s="34" t="e">
        <x:f>IF(H97="","",H97-项目驾驶舱!$B$3)</x:f>
        <x:v>#NAME?</x:v>
      </x:c>
      <x:c r="M97" s="34" t="e">
        <x:f>IF(OR(K97="已关闭",H97=""),"否",IF(H97&lt;项目驾驶舱!$B$3,"是","否"))</x:f>
        <x:v>#NAME?</x:v>
      </x:c>
      <x:c r="N97" s="34"/>
    </x:row>
    <x:row r="98" ht="17" customHeight="1">
      <x:c r="A98" s="34"/>
      <x:c r="B98" s="34"/>
      <x:c r="C98" s="34"/>
      <x:c r="D98" s="34"/>
      <x:c r="E98" s="34"/>
      <x:c r="F98" s="34"/>
      <x:c r="G98" s="34"/>
      <x:c r="H98" s="38"/>
      <x:c r="I98" s="38"/>
      <x:c r="J98" s="34"/>
      <x:c r="K98" s="34"/>
      <x:c r="L98" s="34" t="e">
        <x:f>IF(H98="","",H98-项目驾驶舱!$B$3)</x:f>
        <x:v>#NAME?</x:v>
      </x:c>
      <x:c r="M98" s="34" t="e">
        <x:f>IF(OR(K98="已关闭",H98=""),"否",IF(H98&lt;项目驾驶舱!$B$3,"是","否"))</x:f>
        <x:v>#NAME?</x:v>
      </x:c>
      <x:c r="N98" s="34"/>
    </x:row>
    <x:row r="99" ht="17" customHeight="1">
      <x:c r="A99" s="34"/>
      <x:c r="B99" s="34"/>
      <x:c r="C99" s="34"/>
      <x:c r="D99" s="34"/>
      <x:c r="E99" s="34"/>
      <x:c r="F99" s="34"/>
      <x:c r="G99" s="34"/>
      <x:c r="H99" s="38"/>
      <x:c r="I99" s="38"/>
      <x:c r="J99" s="34"/>
      <x:c r="K99" s="34"/>
      <x:c r="L99" s="34" t="e">
        <x:f>IF(H99="","",H99-项目驾驶舱!$B$3)</x:f>
        <x:v>#NAME?</x:v>
      </x:c>
      <x:c r="M99" s="34" t="e">
        <x:f>IF(OR(K99="已关闭",H99=""),"否",IF(H99&lt;项目驾驶舱!$B$3,"是","否"))</x:f>
        <x:v>#NAME?</x:v>
      </x:c>
      <x:c r="N99" s="34"/>
    </x:row>
    <x:row r="100" ht="17" customHeight="1">
      <x:c r="A100" s="34"/>
      <x:c r="B100" s="34"/>
      <x:c r="C100" s="34"/>
      <x:c r="D100" s="34"/>
      <x:c r="E100" s="34"/>
      <x:c r="F100" s="34"/>
      <x:c r="G100" s="34"/>
      <x:c r="H100" s="38"/>
      <x:c r="I100" s="38"/>
      <x:c r="J100" s="34"/>
      <x:c r="K100" s="34"/>
      <x:c r="L100" s="34" t="e">
        <x:f>IF(H100="","",H100-项目驾驶舱!$B$3)</x:f>
        <x:v>#NAME?</x:v>
      </x:c>
      <x:c r="M100" s="34" t="e">
        <x:f>IF(OR(K100="已关闭",H100=""),"否",IF(H100&lt;项目驾驶舱!$B$3,"是","否"))</x:f>
        <x:v>#NAME?</x:v>
      </x:c>
      <x:c r="N100" s="34"/>
    </x:row>
    <x:row r="101" ht="17" customHeight="1">
      <x:c r="A101" s="34"/>
      <x:c r="B101" s="34"/>
      <x:c r="C101" s="34"/>
      <x:c r="D101" s="34"/>
      <x:c r="E101" s="34"/>
      <x:c r="F101" s="34"/>
      <x:c r="G101" s="34"/>
      <x:c r="H101" s="38"/>
      <x:c r="I101" s="38"/>
      <x:c r="J101" s="34"/>
      <x:c r="K101" s="34"/>
      <x:c r="L101" s="34" t="e">
        <x:f>IF(H101="","",H101-项目驾驶舱!$B$3)</x:f>
        <x:v>#NAME?</x:v>
      </x:c>
      <x:c r="M101" s="34" t="e">
        <x:f>IF(OR(K101="已关闭",H101=""),"否",IF(H101&lt;项目驾驶舱!$B$3,"是","否"))</x:f>
        <x:v>#NAME?</x:v>
      </x:c>
      <x:c r="N101" s="34"/>
    </x:row>
    <x:row r="102" ht="17" customHeight="1">
      <x:c r="A102" s="34"/>
      <x:c r="B102" s="34"/>
      <x:c r="C102" s="34"/>
      <x:c r="D102" s="34"/>
      <x:c r="E102" s="34"/>
      <x:c r="F102" s="34"/>
      <x:c r="G102" s="34"/>
      <x:c r="H102" s="38"/>
      <x:c r="I102" s="38"/>
      <x:c r="J102" s="34"/>
      <x:c r="K102" s="34"/>
      <x:c r="L102" s="34" t="e">
        <x:f>IF(H102="","",H102-项目驾驶舱!$B$3)</x:f>
        <x:v>#NAME?</x:v>
      </x:c>
      <x:c r="M102" s="34" t="e">
        <x:f>IF(OR(K102="已关闭",H102=""),"否",IF(H102&lt;项目驾驶舱!$B$3,"是","否"))</x:f>
        <x:v>#NAME?</x:v>
      </x:c>
      <x:c r="N102" s="34"/>
    </x:row>
    <x:row r="103" ht="17" customHeight="1">
      <x:c r="A103" s="34"/>
      <x:c r="B103" s="34"/>
      <x:c r="C103" s="34"/>
      <x:c r="D103" s="34"/>
      <x:c r="E103" s="34"/>
      <x:c r="F103" s="34"/>
      <x:c r="G103" s="34"/>
      <x:c r="H103" s="38"/>
      <x:c r="I103" s="38"/>
      <x:c r="J103" s="34"/>
      <x:c r="K103" s="34"/>
      <x:c r="L103" s="34" t="e">
        <x:f>IF(H103="","",H103-项目驾驶舱!$B$3)</x:f>
        <x:v>#NAME?</x:v>
      </x:c>
      <x:c r="M103" s="34" t="e">
        <x:f>IF(OR(K103="已关闭",H103=""),"否",IF(H103&lt;项目驾驶舱!$B$3,"是","否"))</x:f>
        <x:v>#NAME?</x:v>
      </x:c>
      <x:c r="N103" s="34"/>
    </x:row>
  </x:sheetData>
  <x:mergeCells>
    <x:mergeCell ref="A1:N1"/>
  </x:mergeCells>
  <x:conditionalFormatting sqref="D4:D103">
    <x:cfRule type="containsText" dxfId="4" priority="1" operator="between" text="高">
      <x:formula>NOT(ISERROR(SEARCH("高",D4)))</x:formula>
    </x:cfRule>
  </x:conditionalFormatting>
  <x:conditionalFormatting sqref="M4:M103">
    <x:cfRule type="containsText" dxfId="4" priority="2" operator="between" text="是">
      <x:formula>NOT(ISERROR(SEARCH("是",M4)))</x:formula>
    </x:cfRule>
  </x:conditionalFormatting>
  <x:dataValidations count="3">
    <x:dataValidation type="list" sqref="B4:B103">
      <x:formula1>"风险,问题"</x:formula1>
    </x:dataValidation>
    <x:dataValidation type="list" sqref="D4:D103">
      <x:formula1>"低,中,高"</x:formula1>
    </x:dataValidation>
    <x:dataValidation type="list" sqref="K4:K103">
      <x:formula1>"待处理,处理中,已关闭,已接受"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3" width="13" style="1" customWidth="1"/>
    <x:col min="4" max="4" width="38" style="1" customWidth="1"/>
    <x:col min="5" max="5" width="28" style="1" customWidth="1"/>
    <x:col min="6" max="6" width="10" style="1" customWidth="1"/>
    <x:col min="7" max="7" width="12" style="1" customWidth="1"/>
    <x:col min="8" max="8" width="32" style="1" customWidth="1"/>
    <x:col min="9" max="9" width="13" style="1" customWidth="1"/>
    <x:col min="10" max="10" width="15" style="1" customWidth="1"/>
    <x:col min="11" max="13" width="13" style="1" customWidth="1"/>
    <x:col min="14" max="14" width="30" style="1" customWidth="1"/>
  </x:cols>
  <x:sheetData>
    <x:row r="1" ht="34" customHeight="1">
      <x:c r="A1" s="32" t="s">
        <x:v>1316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 ht="30" customHeight="1">
      <x:c r="A3" s="37" t="s">
        <x:v>1317</x:v>
      </x:c>
      <x:c r="B3" s="37" t="s">
        <x:v>1318</x:v>
      </x:c>
      <x:c r="C3" s="37" t="s">
        <x:v>1319</x:v>
      </x:c>
      <x:c r="D3" s="37" t="s">
        <x:v>1320</x:v>
      </x:c>
      <x:c r="E3" s="37" t="s">
        <x:v>1321</x:v>
      </x:c>
      <x:c r="F3" s="37" t="s">
        <x:v>1322</x:v>
      </x:c>
      <x:c r="G3" s="37" t="s">
        <x:v>1323</x:v>
      </x:c>
      <x:c r="H3" s="37" t="s">
        <x:v>233</x:v>
      </x:c>
      <x:c r="I3" s="37" t="s">
        <x:v>1324</x:v>
      </x:c>
      <x:c r="J3" s="37" t="s">
        <x:v>232</x:v>
      </x:c>
      <x:c r="K3" s="37" t="s">
        <x:v>1325</x:v>
      </x:c>
      <x:c r="L3" s="37" t="s">
        <x:v>298</x:v>
      </x:c>
      <x:c r="M3" s="37" t="s">
        <x:v>1326</x:v>
      </x:c>
      <x:c r="N3" s="37" t="s">
        <x:v>1327</x:v>
      </x:c>
    </x:row>
    <x:row r="4">
      <x:c r="A4" s="34"/>
      <x:c r="B4" s="38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8"/>
      <x:c r="N4" s="34"/>
    </x:row>
    <x:row r="5">
      <x:c r="A5" s="34"/>
      <x:c r="B5" s="38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8"/>
      <x:c r="N5" s="34"/>
    </x:row>
    <x:row r="6">
      <x:c r="A6" s="34"/>
      <x:c r="B6" s="38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8"/>
      <x:c r="N6" s="34"/>
    </x:row>
    <x:row r="7">
      <x:c r="A7" s="34"/>
      <x:c r="B7" s="38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8"/>
      <x:c r="N7" s="34"/>
    </x:row>
    <x:row r="8">
      <x:c r="A8" s="34"/>
      <x:c r="B8" s="38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8"/>
      <x:c r="N8" s="34"/>
    </x:row>
    <x:row r="9">
      <x:c r="A9" s="34"/>
      <x:c r="B9" s="38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8"/>
      <x:c r="N9" s="34"/>
    </x:row>
    <x:row r="10">
      <x:c r="A10" s="34"/>
      <x:c r="B10" s="38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8"/>
      <x:c r="N10" s="34"/>
    </x:row>
    <x:row r="11">
      <x:c r="A11" s="34"/>
      <x:c r="B11" s="38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8"/>
      <x:c r="N11" s="34"/>
    </x:row>
    <x:row r="12">
      <x:c r="A12" s="34"/>
      <x:c r="B12" s="38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8"/>
      <x:c r="N12" s="34"/>
    </x:row>
    <x:row r="13">
      <x:c r="A13" s="34"/>
      <x:c r="B13" s="38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8"/>
      <x:c r="N13" s="34"/>
    </x:row>
    <x:row r="14">
      <x:c r="A14" s="34"/>
      <x:c r="B14" s="38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8"/>
      <x:c r="N14" s="34"/>
    </x:row>
    <x:row r="15">
      <x:c r="A15" s="34"/>
      <x:c r="B15" s="38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8"/>
      <x:c r="N15" s="34"/>
    </x:row>
    <x:row r="16">
      <x:c r="A16" s="34"/>
      <x:c r="B16" s="38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8"/>
      <x:c r="N16" s="34"/>
    </x:row>
    <x:row r="17">
      <x:c r="A17" s="34"/>
      <x:c r="B17" s="38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8"/>
      <x:c r="N17" s="34"/>
    </x:row>
    <x:row r="18">
      <x:c r="A18" s="34"/>
      <x:c r="B18" s="38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8"/>
      <x:c r="N18" s="34"/>
    </x:row>
    <x:row r="19">
      <x:c r="A19" s="34"/>
      <x:c r="B19" s="38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8"/>
      <x:c r="N19" s="34"/>
    </x:row>
    <x:row r="20">
      <x:c r="A20" s="34"/>
      <x:c r="B20" s="38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8"/>
      <x:c r="N20" s="34"/>
    </x:row>
    <x:row r="21">
      <x:c r="A21" s="34"/>
      <x:c r="B21" s="38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8"/>
      <x:c r="N21" s="34"/>
    </x:row>
    <x:row r="22">
      <x:c r="A22" s="34"/>
      <x:c r="B22" s="38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8"/>
      <x:c r="N22" s="34"/>
    </x:row>
    <x:row r="23">
      <x:c r="A23" s="34"/>
      <x:c r="B23" s="38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8"/>
      <x:c r="N23" s="34"/>
    </x:row>
    <x:row r="24">
      <x:c r="A24" s="34"/>
      <x:c r="B24" s="38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8"/>
      <x:c r="N24" s="34"/>
    </x:row>
    <x:row r="25">
      <x:c r="A25" s="34"/>
      <x:c r="B25" s="38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8"/>
      <x:c r="N25" s="34"/>
    </x:row>
    <x:row r="26">
      <x:c r="A26" s="34"/>
      <x:c r="B26" s="38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8"/>
      <x:c r="N26" s="34"/>
    </x:row>
    <x:row r="27">
      <x:c r="A27" s="34"/>
      <x:c r="B27" s="38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8"/>
      <x:c r="N27" s="34"/>
    </x:row>
    <x:row r="28">
      <x:c r="A28" s="34"/>
      <x:c r="B28" s="38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8"/>
      <x:c r="N28" s="34"/>
    </x:row>
    <x:row r="29">
      <x:c r="A29" s="34"/>
      <x:c r="B29" s="38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8"/>
      <x:c r="N29" s="34"/>
    </x:row>
    <x:row r="30">
      <x:c r="A30" s="34"/>
      <x:c r="B30" s="38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8"/>
      <x:c r="N30" s="34"/>
    </x:row>
    <x:row r="31">
      <x:c r="A31" s="34"/>
      <x:c r="B31" s="38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8"/>
      <x:c r="N31" s="34"/>
    </x:row>
    <x:row r="32">
      <x:c r="A32" s="34"/>
      <x:c r="B32" s="38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8"/>
      <x:c r="N32" s="34"/>
    </x:row>
    <x:row r="33">
      <x:c r="A33" s="34"/>
      <x:c r="B33" s="38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8"/>
      <x:c r="N33" s="34"/>
    </x:row>
    <x:row r="34">
      <x:c r="A34" s="34"/>
      <x:c r="B34" s="38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8"/>
      <x:c r="N34" s="34"/>
    </x:row>
    <x:row r="35">
      <x:c r="A35" s="34"/>
      <x:c r="B35" s="38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8"/>
      <x:c r="N35" s="34"/>
    </x:row>
    <x:row r="36">
      <x:c r="A36" s="34"/>
      <x:c r="B36" s="38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8"/>
      <x:c r="N36" s="34"/>
    </x:row>
    <x:row r="37">
      <x:c r="A37" s="34"/>
      <x:c r="B37" s="38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8"/>
      <x:c r="N37" s="34"/>
    </x:row>
    <x:row r="38">
      <x:c r="A38" s="34"/>
      <x:c r="B38" s="38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8"/>
      <x:c r="N38" s="34"/>
    </x:row>
    <x:row r="39">
      <x:c r="A39" s="34"/>
      <x:c r="B39" s="38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8"/>
      <x:c r="N39" s="34"/>
    </x:row>
    <x:row r="40">
      <x:c r="A40" s="34"/>
      <x:c r="B40" s="38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8"/>
      <x:c r="N40" s="34"/>
    </x:row>
    <x:row r="41">
      <x:c r="A41" s="34"/>
      <x:c r="B41" s="38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8"/>
      <x:c r="N41" s="34"/>
    </x:row>
    <x:row r="42">
      <x:c r="A42" s="34"/>
      <x:c r="B42" s="38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8"/>
      <x:c r="N42" s="34"/>
    </x:row>
    <x:row r="43">
      <x:c r="A43" s="34"/>
      <x:c r="B43" s="38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8"/>
      <x:c r="N43" s="34"/>
    </x:row>
    <x:row r="44">
      <x:c r="A44" s="34"/>
      <x:c r="B44" s="38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8"/>
      <x:c r="N44" s="34"/>
    </x:row>
    <x:row r="45">
      <x:c r="A45" s="34"/>
      <x:c r="B45" s="38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8"/>
      <x:c r="N45" s="34"/>
    </x:row>
    <x:row r="46">
      <x:c r="A46" s="34"/>
      <x:c r="B46" s="38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8"/>
      <x:c r="N46" s="34"/>
    </x:row>
    <x:row r="47">
      <x:c r="A47" s="34"/>
      <x:c r="B47" s="38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8"/>
      <x:c r="N47" s="34"/>
    </x:row>
    <x:row r="48">
      <x:c r="A48" s="34"/>
      <x:c r="B48" s="38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8"/>
      <x:c r="N48" s="34"/>
    </x:row>
    <x:row r="49">
      <x:c r="A49" s="34"/>
      <x:c r="B49" s="38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8"/>
      <x:c r="N49" s="34"/>
    </x:row>
    <x:row r="50">
      <x:c r="A50" s="34"/>
      <x:c r="B50" s="38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8"/>
      <x:c r="N50" s="34"/>
    </x:row>
    <x:row r="51">
      <x:c r="A51" s="34"/>
      <x:c r="B51" s="38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8"/>
      <x:c r="N51" s="34"/>
    </x:row>
    <x:row r="52">
      <x:c r="A52" s="34"/>
      <x:c r="B52" s="38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8"/>
      <x:c r="N52" s="34"/>
    </x:row>
    <x:row r="53">
      <x:c r="A53" s="34"/>
      <x:c r="B53" s="38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8"/>
      <x:c r="N53" s="34"/>
    </x:row>
  </x:sheetData>
  <x:mergeCells>
    <x:mergeCell ref="A1:N1"/>
  </x:mergeCells>
  <x:dataValidations count="2">
    <x:dataValidation type="list" sqref="F4:F53">
      <x:formula1>"低,中,高,紧急"</x:formula1>
    </x:dataValidation>
    <x:dataValidation type="list" sqref="G4:G53">
      <x:formula1>"评估中,待审批,已批准,已拒绝,已实施,已关闭"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2" style="1" customWidth="1"/>
    <x:col min="2" max="2" width="30" style="1" customWidth="1"/>
    <x:col min="3" max="3" width="12" style="1" customWidth="1"/>
    <x:col min="4" max="4" width="15" style="1" customWidth="1"/>
    <x:col min="5" max="6" width="13" style="1" customWidth="1"/>
    <x:col min="7" max="7" width="12" style="1" customWidth="1"/>
    <x:col min="8" max="8" width="15" style="1" customWidth="1"/>
    <x:col min="9" max="9" width="14" style="1" customWidth="1"/>
    <x:col min="10" max="10" width="32" style="1" customWidth="1"/>
    <x:col min="11" max="11" width="28" style="1" customWidth="1"/>
  </x:cols>
  <x:sheetData>
    <x:row r="1" ht="34" customHeight="1">
      <x:c r="A1" s="32" t="s">
        <x:v>1328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37" t="s">
        <x:v>1329</x:v>
      </x:c>
      <x:c r="B3" s="37" t="s">
        <x:v>1330</x:v>
      </x:c>
      <x:c r="C3" s="37" t="s">
        <x:v>273</x:v>
      </x:c>
      <x:c r="D3" s="37" t="s">
        <x:v>323</x:v>
      </x:c>
      <x:c r="E3" s="37" t="s">
        <x:v>47</x:v>
      </x:c>
      <x:c r="F3" s="37" t="s">
        <x:v>1237</x:v>
      </x:c>
      <x:c r="G3" s="37" t="s">
        <x:v>20</x:v>
      </x:c>
      <x:c r="H3" s="37" t="s">
        <x:v>1331</x:v>
      </x:c>
      <x:c r="I3" s="37" t="s">
        <x:v>1332</x:v>
      </x:c>
      <x:c r="J3" s="37" t="s">
        <x:v>1333</x:v>
      </x:c>
      <x:c r="K3" s="37" t="s">
        <x:v>67</x:v>
      </x:c>
    </x:row>
    <x:row r="4" ht="17" customHeight="1">
      <x:c r="A4" s="34" t="s">
        <x:v>1334</x:v>
      </x:c>
      <x:c r="B4" s="34" t="s">
        <x:v>1335</x:v>
      </x:c>
      <x:c r="C4" s="34" t="s">
        <x:v>1336</x:v>
      </x:c>
      <x:c r="D4" s="34" t="s">
        <x:v>124</x:v>
      </x:c>
      <x:c r="E4" s="38">
        <x:v>46192</x:v>
      </x:c>
      <x:c r="F4" s="38"/>
      <x:c r="G4" s="34" t="s">
        <x:v>3</x:v>
      </x:c>
      <x:c r="H4" s="34" t="s">
        <x:v>1337</x:v>
      </x:c>
      <x:c r="I4" s="34" t="s">
        <x:v>1338</x:v>
      </x:c>
      <x:c r="J4" s="34" t="s">
        <x:v>329</x:v>
      </x:c>
      <x:c r="K4" s="34" t="s">
        <x:v>329</x:v>
      </x:c>
    </x:row>
    <x:row r="5" ht="17" customHeight="1">
      <x:c r="A5" s="34" t="s">
        <x:v>1339</x:v>
      </x:c>
      <x:c r="B5" s="34" t="s">
        <x:v>1340</x:v>
      </x:c>
      <x:c r="C5" s="34" t="s">
        <x:v>1341</x:v>
      </x:c>
      <x:c r="D5" s="34" t="s">
        <x:v>366</x:v>
      </x:c>
      <x:c r="E5" s="38">
        <x:v>46241</x:v>
      </x:c>
      <x:c r="F5" s="38"/>
      <x:c r="G5" s="34" t="s">
        <x:v>3</x:v>
      </x:c>
      <x:c r="H5" s="34" t="s">
        <x:v>49</x:v>
      </x:c>
      <x:c r="I5" s="34" t="s">
        <x:v>1338</x:v>
      </x:c>
      <x:c r="J5" s="34" t="s">
        <x:v>329</x:v>
      </x:c>
      <x:c r="K5" s="34" t="s">
        <x:v>329</x:v>
      </x:c>
    </x:row>
    <x:row r="6" ht="17" customHeight="1">
      <x:c r="A6" s="34" t="s">
        <x:v>1342</x:v>
      </x:c>
      <x:c r="B6" s="34" t="s">
        <x:v>1343</x:v>
      </x:c>
      <x:c r="C6" s="34" t="s">
        <x:v>1344</x:v>
      </x:c>
      <x:c r="D6" s="34" t="s">
        <x:v>1297</x:v>
      </x:c>
      <x:c r="E6" s="38">
        <x:v>46248</x:v>
      </x:c>
      <x:c r="F6" s="38"/>
      <x:c r="G6" s="34" t="s">
        <x:v>3</x:v>
      </x:c>
      <x:c r="H6" s="34" t="s">
        <x:v>1345</x:v>
      </x:c>
      <x:c r="I6" s="34" t="s">
        <x:v>1338</x:v>
      </x:c>
      <x:c r="J6" s="34" t="s">
        <x:v>329</x:v>
      </x:c>
      <x:c r="K6" s="34" t="s">
        <x:v>329</x:v>
      </x:c>
    </x:row>
    <x:row r="7" ht="17" customHeight="1">
      <x:c r="A7" s="34" t="s">
        <x:v>1346</x:v>
      </x:c>
      <x:c r="B7" s="34" t="s">
        <x:v>1347</x:v>
      </x:c>
      <x:c r="C7" s="34" t="s">
        <x:v>1348</x:v>
      </x:c>
      <x:c r="D7" s="34" t="s">
        <x:v>1284</x:v>
      </x:c>
      <x:c r="E7" s="38">
        <x:v>46283</x:v>
      </x:c>
      <x:c r="F7" s="38"/>
      <x:c r="G7" s="34" t="s">
        <x:v>3</x:v>
      </x:c>
      <x:c r="H7" s="34" t="s">
        <x:v>1297</x:v>
      </x:c>
      <x:c r="I7" s="34" t="s">
        <x:v>1338</x:v>
      </x:c>
      <x:c r="J7" s="34" t="s">
        <x:v>329</x:v>
      </x:c>
      <x:c r="K7" s="34" t="s">
        <x:v>329</x:v>
      </x:c>
    </x:row>
    <x:row r="8" ht="17" customHeight="1">
      <x:c r="A8" s="34" t="s">
        <x:v>1349</x:v>
      </x:c>
      <x:c r="B8" s="34" t="s">
        <x:v>1350</x:v>
      </x:c>
      <x:c r="C8" s="34" t="s">
        <x:v>558</x:v>
      </x:c>
      <x:c r="D8" s="34" t="s">
        <x:v>559</x:v>
      </x:c>
      <x:c r="E8" s="38">
        <x:v>46318</x:v>
      </x:c>
      <x:c r="F8" s="38"/>
      <x:c r="G8" s="34" t="s">
        <x:v>3</x:v>
      </x:c>
      <x:c r="H8" s="34" t="s">
        <x:v>124</x:v>
      </x:c>
      <x:c r="I8" s="34" t="s">
        <x:v>1338</x:v>
      </x:c>
      <x:c r="J8" s="34" t="s">
        <x:v>329</x:v>
      </x:c>
      <x:c r="K8" s="34" t="s">
        <x:v>329</x:v>
      </x:c>
    </x:row>
    <x:row r="9" ht="17" customHeight="1">
      <x:c r="A9" s="34" t="s">
        <x:v>1351</x:v>
      </x:c>
      <x:c r="B9" s="34" t="s">
        <x:v>1352</x:v>
      </x:c>
      <x:c r="C9" s="34" t="s">
        <x:v>558</x:v>
      </x:c>
      <x:c r="D9" s="34" t="s">
        <x:v>559</x:v>
      </x:c>
      <x:c r="E9" s="38">
        <x:v>46353</x:v>
      </x:c>
      <x:c r="F9" s="38"/>
      <x:c r="G9" s="34" t="s">
        <x:v>4</x:v>
      </x:c>
      <x:c r="H9" s="34" t="s">
        <x:v>124</x:v>
      </x:c>
      <x:c r="I9" s="34" t="s">
        <x:v>1338</x:v>
      </x:c>
      <x:c r="J9" s="34" t="s">
        <x:v>329</x:v>
      </x:c>
      <x:c r="K9" s="34" t="s">
        <x:v>329</x:v>
      </x:c>
    </x:row>
    <x:row r="10" ht="17" customHeight="1">
      <x:c r="A10" s="34" t="s">
        <x:v>1353</x:v>
      </x:c>
      <x:c r="B10" s="34" t="s">
        <x:v>1354</x:v>
      </x:c>
      <x:c r="C10" s="34" t="s">
        <x:v>1355</x:v>
      </x:c>
      <x:c r="D10" s="34" t="s">
        <x:v>1356</x:v>
      </x:c>
      <x:c r="E10" s="38">
        <x:v>46346</x:v>
      </x:c>
      <x:c r="F10" s="38"/>
      <x:c r="G10" s="34" t="s">
        <x:v>4</x:v>
      </x:c>
      <x:c r="H10" s="34" t="s">
        <x:v>124</x:v>
      </x:c>
      <x:c r="I10" s="34" t="s">
        <x:v>1338</x:v>
      </x:c>
      <x:c r="J10" s="34" t="s">
        <x:v>329</x:v>
      </x:c>
      <x:c r="K10" s="34" t="s">
        <x:v>329</x:v>
      </x:c>
    </x:row>
    <x:row r="11" ht="17" customHeight="1">
      <x:c r="A11" s="34" t="s">
        <x:v>1357</x:v>
      </x:c>
      <x:c r="B11" s="34" t="s">
        <x:v>1358</x:v>
      </x:c>
      <x:c r="C11" s="34" t="s">
        <x:v>1359</x:v>
      </x:c>
      <x:c r="D11" s="34" t="s">
        <x:v>1360</x:v>
      </x:c>
      <x:c r="E11" s="38">
        <x:v>46349</x:v>
      </x:c>
      <x:c r="F11" s="38"/>
      <x:c r="G11" s="34" t="s">
        <x:v>4</x:v>
      </x:c>
      <x:c r="H11" s="34" t="s">
        <x:v>49</x:v>
      </x:c>
      <x:c r="I11" s="34" t="s">
        <x:v>1338</x:v>
      </x:c>
      <x:c r="J11" s="34" t="s">
        <x:v>329</x:v>
      </x:c>
      <x:c r="K11" s="34" t="s">
        <x:v>329</x:v>
      </x:c>
    </x:row>
    <x:row r="12" ht="17" customHeight="1">
      <x:c r="A12" s="34" t="s">
        <x:v>1361</x:v>
      </x:c>
      <x:c r="B12" s="34" t="s">
        <x:v>1362</x:v>
      </x:c>
      <x:c r="C12" s="34" t="s">
        <x:v>1363</x:v>
      </x:c>
      <x:c r="D12" s="34" t="s">
        <x:v>124</x:v>
      </x:c>
      <x:c r="E12" s="38">
        <x:v>46356</x:v>
      </x:c>
      <x:c r="F12" s="38"/>
      <x:c r="G12" s="34" t="s">
        <x:v>4</x:v>
      </x:c>
      <x:c r="H12" s="34" t="s">
        <x:v>1337</x:v>
      </x:c>
      <x:c r="I12" s="34" t="s">
        <x:v>1338</x:v>
      </x:c>
      <x:c r="J12" s="34" t="s">
        <x:v>329</x:v>
      </x:c>
      <x:c r="K12" s="34" t="s">
        <x:v>329</x:v>
      </x:c>
    </x:row>
    <x:row r="13" ht="17" customHeight="1">
      <x:c r="A13" s="34" t="s">
        <x:v>1364</x:v>
      </x:c>
      <x:c r="B13" s="34" t="s">
        <x:v>1365</x:v>
      </x:c>
      <x:c r="C13" s="34" t="s">
        <x:v>1366</x:v>
      </x:c>
      <x:c r="D13" s="34" t="s">
        <x:v>124</x:v>
      </x:c>
      <x:c r="E13" s="38">
        <x:v>46360</x:v>
      </x:c>
      <x:c r="F13" s="38"/>
      <x:c r="G13" s="34" t="s">
        <x:v>4</x:v>
      </x:c>
      <x:c r="H13" s="34" t="s">
        <x:v>1337</x:v>
      </x:c>
      <x:c r="I13" s="34" t="s">
        <x:v>1338</x:v>
      </x:c>
      <x:c r="J13" s="34" t="s">
        <x:v>329</x:v>
      </x:c>
      <x:c r="K13" s="34" t="s">
        <x:v>329</x:v>
      </x:c>
    </x:row>
    <x:row r="14">
      <x:c r="A14" s="34"/>
      <x:c r="B14" s="34"/>
      <x:c r="C14" s="34"/>
      <x:c r="D14" s="34"/>
      <x:c r="E14" s="38"/>
      <x:c r="F14" s="38"/>
      <x:c r="G14" s="34"/>
      <x:c r="H14" s="34"/>
      <x:c r="I14" s="34"/>
      <x:c r="J14" s="34"/>
      <x:c r="K14" s="34"/>
    </x:row>
    <x:row r="15">
      <x:c r="A15" s="34"/>
      <x:c r="B15" s="34"/>
      <x:c r="C15" s="34"/>
      <x:c r="D15" s="34"/>
      <x:c r="E15" s="38"/>
      <x:c r="F15" s="38"/>
      <x:c r="G15" s="34"/>
      <x:c r="H15" s="34"/>
      <x:c r="I15" s="34"/>
      <x:c r="J15" s="34"/>
      <x:c r="K15" s="34"/>
    </x:row>
    <x:row r="16">
      <x:c r="A16" s="34"/>
      <x:c r="B16" s="34"/>
      <x:c r="C16" s="34"/>
      <x:c r="D16" s="34"/>
      <x:c r="E16" s="38"/>
      <x:c r="F16" s="38"/>
      <x:c r="G16" s="34"/>
      <x:c r="H16" s="34"/>
      <x:c r="I16" s="34"/>
      <x:c r="J16" s="34"/>
      <x:c r="K16" s="34"/>
    </x:row>
    <x:row r="17">
      <x:c r="A17" s="34"/>
      <x:c r="B17" s="34"/>
      <x:c r="C17" s="34"/>
      <x:c r="D17" s="34"/>
      <x:c r="E17" s="38"/>
      <x:c r="F17" s="38"/>
      <x:c r="G17" s="34"/>
      <x:c r="H17" s="34"/>
      <x:c r="I17" s="34"/>
      <x:c r="J17" s="34"/>
      <x:c r="K17" s="34"/>
    </x:row>
    <x:row r="18">
      <x:c r="A18" s="34"/>
      <x:c r="B18" s="34"/>
      <x:c r="C18" s="34"/>
      <x:c r="D18" s="34"/>
      <x:c r="E18" s="38"/>
      <x:c r="F18" s="38"/>
      <x:c r="G18" s="34"/>
      <x:c r="H18" s="34"/>
      <x:c r="I18" s="34"/>
      <x:c r="J18" s="34"/>
      <x:c r="K18" s="34"/>
    </x:row>
    <x:row r="19">
      <x:c r="A19" s="34"/>
      <x:c r="B19" s="34"/>
      <x:c r="C19" s="34"/>
      <x:c r="D19" s="34"/>
      <x:c r="E19" s="38"/>
      <x:c r="F19" s="38"/>
      <x:c r="G19" s="34"/>
      <x:c r="H19" s="34"/>
      <x:c r="I19" s="34"/>
      <x:c r="J19" s="34"/>
      <x:c r="K19" s="34"/>
    </x:row>
    <x:row r="20">
      <x:c r="A20" s="34"/>
      <x:c r="B20" s="34"/>
      <x:c r="C20" s="34"/>
      <x:c r="D20" s="34"/>
      <x:c r="E20" s="38"/>
      <x:c r="F20" s="38"/>
      <x:c r="G20" s="34"/>
      <x:c r="H20" s="34"/>
      <x:c r="I20" s="34"/>
      <x:c r="J20" s="34"/>
      <x:c r="K20" s="34"/>
    </x:row>
    <x:row r="21">
      <x:c r="A21" s="34"/>
      <x:c r="B21" s="34"/>
      <x:c r="C21" s="34"/>
      <x:c r="D21" s="34"/>
      <x:c r="E21" s="38"/>
      <x:c r="F21" s="38"/>
      <x:c r="G21" s="34"/>
      <x:c r="H21" s="34"/>
      <x:c r="I21" s="34"/>
      <x:c r="J21" s="34"/>
      <x:c r="K21" s="34"/>
    </x:row>
    <x:row r="22">
      <x:c r="A22" s="34"/>
      <x:c r="B22" s="34"/>
      <x:c r="C22" s="34"/>
      <x:c r="D22" s="34"/>
      <x:c r="E22" s="38"/>
      <x:c r="F22" s="38"/>
      <x:c r="G22" s="34"/>
      <x:c r="H22" s="34"/>
      <x:c r="I22" s="34"/>
      <x:c r="J22" s="34"/>
      <x:c r="K22" s="34"/>
    </x:row>
    <x:row r="23">
      <x:c r="A23" s="34"/>
      <x:c r="B23" s="34"/>
      <x:c r="C23" s="34"/>
      <x:c r="D23" s="34"/>
      <x:c r="E23" s="38"/>
      <x:c r="F23" s="38"/>
      <x:c r="G23" s="34"/>
      <x:c r="H23" s="34"/>
      <x:c r="I23" s="34"/>
      <x:c r="J23" s="34"/>
      <x:c r="K23" s="34"/>
    </x:row>
    <x:row r="24">
      <x:c r="A24" s="34"/>
      <x:c r="B24" s="34"/>
      <x:c r="C24" s="34"/>
      <x:c r="D24" s="34"/>
      <x:c r="E24" s="38"/>
      <x:c r="F24" s="38"/>
      <x:c r="G24" s="34"/>
      <x:c r="H24" s="34"/>
      <x:c r="I24" s="34"/>
      <x:c r="J24" s="34"/>
      <x:c r="K24" s="34"/>
    </x:row>
    <x:row r="25">
      <x:c r="A25" s="34"/>
      <x:c r="B25" s="34"/>
      <x:c r="C25" s="34"/>
      <x:c r="D25" s="34"/>
      <x:c r="E25" s="38"/>
      <x:c r="F25" s="38"/>
      <x:c r="G25" s="34"/>
      <x:c r="H25" s="34"/>
      <x:c r="I25" s="34"/>
      <x:c r="J25" s="34"/>
      <x:c r="K25" s="34"/>
    </x:row>
    <x:row r="26">
      <x:c r="A26" s="34"/>
      <x:c r="B26" s="34"/>
      <x:c r="C26" s="34"/>
      <x:c r="D26" s="34"/>
      <x:c r="E26" s="38"/>
      <x:c r="F26" s="38"/>
      <x:c r="G26" s="34"/>
      <x:c r="H26" s="34"/>
      <x:c r="I26" s="34"/>
      <x:c r="J26" s="34"/>
      <x:c r="K26" s="34"/>
    </x:row>
    <x:row r="27">
      <x:c r="A27" s="34"/>
      <x:c r="B27" s="34"/>
      <x:c r="C27" s="34"/>
      <x:c r="D27" s="34"/>
      <x:c r="E27" s="38"/>
      <x:c r="F27" s="38"/>
      <x:c r="G27" s="34"/>
      <x:c r="H27" s="34"/>
      <x:c r="I27" s="34"/>
      <x:c r="J27" s="34"/>
      <x:c r="K27" s="34"/>
    </x:row>
    <x:row r="28">
      <x:c r="A28" s="34"/>
      <x:c r="B28" s="34"/>
      <x:c r="C28" s="34"/>
      <x:c r="D28" s="34"/>
      <x:c r="E28" s="38"/>
      <x:c r="F28" s="38"/>
      <x:c r="G28" s="34"/>
      <x:c r="H28" s="34"/>
      <x:c r="I28" s="34"/>
      <x:c r="J28" s="34"/>
      <x:c r="K28" s="34"/>
    </x:row>
    <x:row r="29">
      <x:c r="A29" s="34"/>
      <x:c r="B29" s="34"/>
      <x:c r="C29" s="34"/>
      <x:c r="D29" s="34"/>
      <x:c r="E29" s="38"/>
      <x:c r="F29" s="38"/>
      <x:c r="G29" s="34"/>
      <x:c r="H29" s="34"/>
      <x:c r="I29" s="34"/>
      <x:c r="J29" s="34"/>
      <x:c r="K29" s="34"/>
    </x:row>
    <x:row r="30">
      <x:c r="A30" s="34"/>
      <x:c r="B30" s="34"/>
      <x:c r="C30" s="34"/>
      <x:c r="D30" s="34"/>
      <x:c r="E30" s="38"/>
      <x:c r="F30" s="38"/>
      <x:c r="G30" s="34"/>
      <x:c r="H30" s="34"/>
      <x:c r="I30" s="34"/>
      <x:c r="J30" s="34"/>
      <x:c r="K30" s="34"/>
    </x:row>
    <x:row r="31">
      <x:c r="A31" s="34"/>
      <x:c r="B31" s="34"/>
      <x:c r="C31" s="34"/>
      <x:c r="D31" s="34"/>
      <x:c r="E31" s="38"/>
      <x:c r="F31" s="38"/>
      <x:c r="G31" s="34"/>
      <x:c r="H31" s="34"/>
      <x:c r="I31" s="34"/>
      <x:c r="J31" s="34"/>
      <x:c r="K31" s="34"/>
    </x:row>
    <x:row r="32">
      <x:c r="A32" s="34"/>
      <x:c r="B32" s="34"/>
      <x:c r="C32" s="34"/>
      <x:c r="D32" s="34"/>
      <x:c r="E32" s="38"/>
      <x:c r="F32" s="38"/>
      <x:c r="G32" s="34"/>
      <x:c r="H32" s="34"/>
      <x:c r="I32" s="34"/>
      <x:c r="J32" s="34"/>
      <x:c r="K32" s="34"/>
    </x:row>
    <x:row r="33">
      <x:c r="A33" s="34"/>
      <x:c r="B33" s="34"/>
      <x:c r="C33" s="34"/>
      <x:c r="D33" s="34"/>
      <x:c r="E33" s="38"/>
      <x:c r="F33" s="38"/>
      <x:c r="G33" s="34"/>
      <x:c r="H33" s="34"/>
      <x:c r="I33" s="34"/>
      <x:c r="J33" s="34"/>
      <x:c r="K33" s="34"/>
    </x:row>
    <x:row r="34">
      <x:c r="A34" s="34"/>
      <x:c r="B34" s="34"/>
      <x:c r="C34" s="34"/>
      <x:c r="D34" s="34"/>
      <x:c r="E34" s="38"/>
      <x:c r="F34" s="38"/>
      <x:c r="G34" s="34"/>
      <x:c r="H34" s="34"/>
      <x:c r="I34" s="34"/>
      <x:c r="J34" s="34"/>
      <x:c r="K34" s="34"/>
    </x:row>
    <x:row r="35">
      <x:c r="A35" s="34"/>
      <x:c r="B35" s="34"/>
      <x:c r="C35" s="34"/>
      <x:c r="D35" s="34"/>
      <x:c r="E35" s="38"/>
      <x:c r="F35" s="38"/>
      <x:c r="G35" s="34"/>
      <x:c r="H35" s="34"/>
      <x:c r="I35" s="34"/>
      <x:c r="J35" s="34"/>
      <x:c r="K35" s="34"/>
    </x:row>
    <x:row r="36">
      <x:c r="A36" s="34"/>
      <x:c r="B36" s="34"/>
      <x:c r="C36" s="34"/>
      <x:c r="D36" s="34"/>
      <x:c r="E36" s="38"/>
      <x:c r="F36" s="38"/>
      <x:c r="G36" s="34"/>
      <x:c r="H36" s="34"/>
      <x:c r="I36" s="34"/>
      <x:c r="J36" s="34"/>
      <x:c r="K36" s="34"/>
    </x:row>
    <x:row r="37">
      <x:c r="A37" s="34"/>
      <x:c r="B37" s="34"/>
      <x:c r="C37" s="34"/>
      <x:c r="D37" s="34"/>
      <x:c r="E37" s="38"/>
      <x:c r="F37" s="38"/>
      <x:c r="G37" s="34"/>
      <x:c r="H37" s="34"/>
      <x:c r="I37" s="34"/>
      <x:c r="J37" s="34"/>
      <x:c r="K37" s="34"/>
    </x:row>
    <x:row r="38">
      <x:c r="A38" s="34"/>
      <x:c r="B38" s="34"/>
      <x:c r="C38" s="34"/>
      <x:c r="D38" s="34"/>
      <x:c r="E38" s="38"/>
      <x:c r="F38" s="38"/>
      <x:c r="G38" s="34"/>
      <x:c r="H38" s="34"/>
      <x:c r="I38" s="34"/>
      <x:c r="J38" s="34"/>
      <x:c r="K38" s="34"/>
    </x:row>
    <x:row r="39">
      <x:c r="A39" s="34"/>
      <x:c r="B39" s="34"/>
      <x:c r="C39" s="34"/>
      <x:c r="D39" s="34"/>
      <x:c r="E39" s="38"/>
      <x:c r="F39" s="38"/>
      <x:c r="G39" s="34"/>
      <x:c r="H39" s="34"/>
      <x:c r="I39" s="34"/>
      <x:c r="J39" s="34"/>
      <x:c r="K39" s="34"/>
    </x:row>
    <x:row r="40">
      <x:c r="A40" s="34"/>
      <x:c r="B40" s="34"/>
      <x:c r="C40" s="34"/>
      <x:c r="D40" s="34"/>
      <x:c r="E40" s="38"/>
      <x:c r="F40" s="38"/>
      <x:c r="G40" s="34"/>
      <x:c r="H40" s="34"/>
      <x:c r="I40" s="34"/>
      <x:c r="J40" s="34"/>
      <x:c r="K40" s="34"/>
    </x:row>
    <x:row r="41">
      <x:c r="A41" s="34"/>
      <x:c r="B41" s="34"/>
      <x:c r="C41" s="34"/>
      <x:c r="D41" s="34"/>
      <x:c r="E41" s="38"/>
      <x:c r="F41" s="38"/>
      <x:c r="G41" s="34"/>
      <x:c r="H41" s="34"/>
      <x:c r="I41" s="34"/>
      <x:c r="J41" s="34"/>
      <x:c r="K41" s="34"/>
    </x:row>
    <x:row r="42">
      <x:c r="A42" s="34"/>
      <x:c r="B42" s="34"/>
      <x:c r="C42" s="34"/>
      <x:c r="D42" s="34"/>
      <x:c r="E42" s="38"/>
      <x:c r="F42" s="38"/>
      <x:c r="G42" s="34"/>
      <x:c r="H42" s="34"/>
      <x:c r="I42" s="34"/>
      <x:c r="J42" s="34"/>
      <x:c r="K42" s="34"/>
    </x:row>
    <x:row r="43">
      <x:c r="A43" s="34"/>
      <x:c r="B43" s="34"/>
      <x:c r="C43" s="34"/>
      <x:c r="D43" s="34"/>
      <x:c r="E43" s="38"/>
      <x:c r="F43" s="38"/>
      <x:c r="G43" s="34"/>
      <x:c r="H43" s="34"/>
      <x:c r="I43" s="34"/>
      <x:c r="J43" s="34"/>
      <x:c r="K43" s="34"/>
    </x:row>
    <x:row r="44">
      <x:c r="A44" s="34"/>
      <x:c r="B44" s="34"/>
      <x:c r="C44" s="34"/>
      <x:c r="D44" s="34"/>
      <x:c r="E44" s="38"/>
      <x:c r="F44" s="38"/>
      <x:c r="G44" s="34"/>
      <x:c r="H44" s="34"/>
      <x:c r="I44" s="34"/>
      <x:c r="J44" s="34"/>
      <x:c r="K44" s="34"/>
    </x:row>
    <x:row r="45">
      <x:c r="A45" s="34"/>
      <x:c r="B45" s="34"/>
      <x:c r="C45" s="34"/>
      <x:c r="D45" s="34"/>
      <x:c r="E45" s="38"/>
      <x:c r="F45" s="38"/>
      <x:c r="G45" s="34"/>
      <x:c r="H45" s="34"/>
      <x:c r="I45" s="34"/>
      <x:c r="J45" s="34"/>
      <x:c r="K45" s="34"/>
    </x:row>
    <x:row r="46">
      <x:c r="A46" s="34"/>
      <x:c r="B46" s="34"/>
      <x:c r="C46" s="34"/>
      <x:c r="D46" s="34"/>
      <x:c r="E46" s="38"/>
      <x:c r="F46" s="38"/>
      <x:c r="G46" s="34"/>
      <x:c r="H46" s="34"/>
      <x:c r="I46" s="34"/>
      <x:c r="J46" s="34"/>
      <x:c r="K46" s="34"/>
    </x:row>
    <x:row r="47">
      <x:c r="A47" s="34"/>
      <x:c r="B47" s="34"/>
      <x:c r="C47" s="34"/>
      <x:c r="D47" s="34"/>
      <x:c r="E47" s="38"/>
      <x:c r="F47" s="38"/>
      <x:c r="G47" s="34"/>
      <x:c r="H47" s="34"/>
      <x:c r="I47" s="34"/>
      <x:c r="J47" s="34"/>
      <x:c r="K47" s="34"/>
    </x:row>
    <x:row r="48">
      <x:c r="A48" s="34"/>
      <x:c r="B48" s="34"/>
      <x:c r="C48" s="34"/>
      <x:c r="D48" s="34"/>
      <x:c r="E48" s="38"/>
      <x:c r="F48" s="38"/>
      <x:c r="G48" s="34"/>
      <x:c r="H48" s="34"/>
      <x:c r="I48" s="34"/>
      <x:c r="J48" s="34"/>
      <x:c r="K48" s="34"/>
    </x:row>
    <x:row r="49">
      <x:c r="A49" s="34"/>
      <x:c r="B49" s="34"/>
      <x:c r="C49" s="34"/>
      <x:c r="D49" s="34"/>
      <x:c r="E49" s="38"/>
      <x:c r="F49" s="38"/>
      <x:c r="G49" s="34"/>
      <x:c r="H49" s="34"/>
      <x:c r="I49" s="34"/>
      <x:c r="J49" s="34"/>
      <x:c r="K49" s="34"/>
    </x:row>
    <x:row r="50">
      <x:c r="A50" s="34"/>
      <x:c r="B50" s="34"/>
      <x:c r="C50" s="34"/>
      <x:c r="D50" s="34"/>
      <x:c r="E50" s="38"/>
      <x:c r="F50" s="38"/>
      <x:c r="G50" s="34"/>
      <x:c r="H50" s="34"/>
      <x:c r="I50" s="34"/>
      <x:c r="J50" s="34"/>
      <x:c r="K50" s="34"/>
    </x:row>
    <x:row r="51">
      <x:c r="A51" s="34"/>
      <x:c r="B51" s="34"/>
      <x:c r="C51" s="34"/>
      <x:c r="D51" s="34"/>
      <x:c r="E51" s="38"/>
      <x:c r="F51" s="38"/>
      <x:c r="G51" s="34"/>
      <x:c r="H51" s="34"/>
      <x:c r="I51" s="34"/>
      <x:c r="J51" s="34"/>
      <x:c r="K51" s="34"/>
    </x:row>
    <x:row r="52">
      <x:c r="A52" s="34"/>
      <x:c r="B52" s="34"/>
      <x:c r="C52" s="34"/>
      <x:c r="D52" s="34"/>
      <x:c r="E52" s="38"/>
      <x:c r="F52" s="38"/>
      <x:c r="G52" s="34"/>
      <x:c r="H52" s="34"/>
      <x:c r="I52" s="34"/>
      <x:c r="J52" s="34"/>
      <x:c r="K52" s="34"/>
    </x:row>
    <x:row r="53">
      <x:c r="A53" s="34"/>
      <x:c r="B53" s="34"/>
      <x:c r="C53" s="34"/>
      <x:c r="D53" s="34"/>
      <x:c r="E53" s="38"/>
      <x:c r="F53" s="38"/>
      <x:c r="G53" s="34"/>
      <x:c r="H53" s="34"/>
      <x:c r="I53" s="34"/>
      <x:c r="J53" s="34"/>
      <x:c r="K53" s="34"/>
    </x:row>
  </x:sheetData>
  <x:mergeCells>
    <x:mergeCell ref="A1:K1"/>
  </x:mergeCells>
  <x:conditionalFormatting sqref="G4:G5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dataValidations count="1">
    <x:dataValidation type="list" sqref="G4:G53">
      <x:formula1>"未开始,进行中,已完成,退回修改"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2" width="13" style="1" customWidth="1"/>
    <x:col min="3" max="3" width="24" style="1" customWidth="1"/>
    <x:col min="4" max="4" width="42" style="1" customWidth="1"/>
    <x:col min="5" max="6" width="14" style="1" customWidth="1"/>
    <x:col min="7" max="7" width="13" style="1" customWidth="1"/>
    <x:col min="8" max="8" width="11" style="1" customWidth="1"/>
    <x:col min="9" max="9" width="13" style="1" customWidth="1"/>
    <x:col min="10" max="10" width="11" style="1" customWidth="1"/>
    <x:col min="11" max="11" width="10" style="1" customWidth="1"/>
    <x:col min="12" max="12" width="32" style="1" customWidth="1"/>
  </x:cols>
  <x:sheetData>
    <x:row r="1" ht="34" customHeight="1">
      <x:c r="A1" s="32" t="s">
        <x:v>1367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3" ht="30" customHeight="1">
      <x:c r="A3" s="37" t="s">
        <x:v>1368</x:v>
      </x:c>
      <x:c r="B3" s="37" t="s">
        <x:v>1369</x:v>
      </x:c>
      <x:c r="C3" s="37" t="s">
        <x:v>1370</x:v>
      </x:c>
      <x:c r="D3" s="37" t="s">
        <x:v>1371</x:v>
      </x:c>
      <x:c r="E3" s="37" t="s">
        <x:v>323</x:v>
      </x:c>
      <x:c r="F3" s="37" t="s">
        <x:v>1372</x:v>
      </x:c>
      <x:c r="G3" s="37" t="s">
        <x:v>1373</x:v>
      </x:c>
      <x:c r="H3" s="37" t="s">
        <x:v>20</x:v>
      </x:c>
      <x:c r="I3" s="37" t="s">
        <x:v>1374</x:v>
      </x:c>
      <x:c r="J3" s="37" t="s">
        <x:v>1375</x:v>
      </x:c>
      <x:c r="K3" s="37" t="s">
        <x:v>1322</x:v>
      </x:c>
      <x:c r="L3" s="37" t="s">
        <x:v>1376</x:v>
      </x:c>
    </x:row>
    <x:row r="4">
      <x:c r="A4" s="34"/>
      <x:c r="B4" s="38"/>
      <x:c r="C4" s="34"/>
      <x:c r="D4" s="34"/>
      <x:c r="E4" s="34"/>
      <x:c r="F4" s="34"/>
      <x:c r="G4" s="38"/>
      <x:c r="H4" s="34"/>
      <x:c r="I4" s="38"/>
      <x:c r="J4" s="34" t="e">
        <x:f>IF(OR(G4="",H4="已完成"),0,MAX(0,项目驾驶舱!$B$3-G4))</x:f>
        <x:v>#NAME?</x:v>
      </x:c>
      <x:c r="K4" s="34"/>
      <x:c r="L4" s="34"/>
    </x:row>
    <x:row r="5">
      <x:c r="A5" s="34"/>
      <x:c r="B5" s="38"/>
      <x:c r="C5" s="34"/>
      <x:c r="D5" s="34"/>
      <x:c r="E5" s="34"/>
      <x:c r="F5" s="34"/>
      <x:c r="G5" s="38"/>
      <x:c r="H5" s="34"/>
      <x:c r="I5" s="38"/>
      <x:c r="J5" s="34" t="e">
        <x:f>IF(OR(G5="",H5="已完成"),0,MAX(0,项目驾驶舱!$B$3-G5))</x:f>
        <x:v>#NAME?</x:v>
      </x:c>
      <x:c r="K5" s="34"/>
      <x:c r="L5" s="34"/>
    </x:row>
    <x:row r="6">
      <x:c r="A6" s="34"/>
      <x:c r="B6" s="38"/>
      <x:c r="C6" s="34"/>
      <x:c r="D6" s="34"/>
      <x:c r="E6" s="34"/>
      <x:c r="F6" s="34"/>
      <x:c r="G6" s="38"/>
      <x:c r="H6" s="34"/>
      <x:c r="I6" s="38"/>
      <x:c r="J6" s="34" t="e">
        <x:f>IF(OR(G6="",H6="已完成"),0,MAX(0,项目驾驶舱!$B$3-G6))</x:f>
        <x:v>#NAME?</x:v>
      </x:c>
      <x:c r="K6" s="34"/>
      <x:c r="L6" s="34"/>
    </x:row>
    <x:row r="7">
      <x:c r="A7" s="34"/>
      <x:c r="B7" s="38"/>
      <x:c r="C7" s="34"/>
      <x:c r="D7" s="34"/>
      <x:c r="E7" s="34"/>
      <x:c r="F7" s="34"/>
      <x:c r="G7" s="38"/>
      <x:c r="H7" s="34"/>
      <x:c r="I7" s="38"/>
      <x:c r="J7" s="34" t="e">
        <x:f>IF(OR(G7="",H7="已完成"),0,MAX(0,项目驾驶舱!$B$3-G7))</x:f>
        <x:v>#NAME?</x:v>
      </x:c>
      <x:c r="K7" s="34"/>
      <x:c r="L7" s="34"/>
    </x:row>
    <x:row r="8">
      <x:c r="A8" s="34"/>
      <x:c r="B8" s="38"/>
      <x:c r="C8" s="34"/>
      <x:c r="D8" s="34"/>
      <x:c r="E8" s="34"/>
      <x:c r="F8" s="34"/>
      <x:c r="G8" s="38"/>
      <x:c r="H8" s="34"/>
      <x:c r="I8" s="38"/>
      <x:c r="J8" s="34" t="e">
        <x:f>IF(OR(G8="",H8="已完成"),0,MAX(0,项目驾驶舱!$B$3-G8))</x:f>
        <x:v>#NAME?</x:v>
      </x:c>
      <x:c r="K8" s="34"/>
      <x:c r="L8" s="34"/>
    </x:row>
    <x:row r="9">
      <x:c r="A9" s="34"/>
      <x:c r="B9" s="38"/>
      <x:c r="C9" s="34"/>
      <x:c r="D9" s="34"/>
      <x:c r="E9" s="34"/>
      <x:c r="F9" s="34"/>
      <x:c r="G9" s="38"/>
      <x:c r="H9" s="34"/>
      <x:c r="I9" s="38"/>
      <x:c r="J9" s="34" t="e">
        <x:f>IF(OR(G9="",H9="已完成"),0,MAX(0,项目驾驶舱!$B$3-G9))</x:f>
        <x:v>#NAME?</x:v>
      </x:c>
      <x:c r="K9" s="34"/>
      <x:c r="L9" s="34"/>
    </x:row>
    <x:row r="10">
      <x:c r="A10" s="34"/>
      <x:c r="B10" s="38"/>
      <x:c r="C10" s="34"/>
      <x:c r="D10" s="34"/>
      <x:c r="E10" s="34"/>
      <x:c r="F10" s="34"/>
      <x:c r="G10" s="38"/>
      <x:c r="H10" s="34"/>
      <x:c r="I10" s="38"/>
      <x:c r="J10" s="34" t="e">
        <x:f>IF(OR(G10="",H10="已完成"),0,MAX(0,项目驾驶舱!$B$3-G10))</x:f>
        <x:v>#NAME?</x:v>
      </x:c>
      <x:c r="K10" s="34"/>
      <x:c r="L10" s="34"/>
    </x:row>
    <x:row r="11">
      <x:c r="A11" s="34"/>
      <x:c r="B11" s="38"/>
      <x:c r="C11" s="34"/>
      <x:c r="D11" s="34"/>
      <x:c r="E11" s="34"/>
      <x:c r="F11" s="34"/>
      <x:c r="G11" s="38"/>
      <x:c r="H11" s="34"/>
      <x:c r="I11" s="38"/>
      <x:c r="J11" s="34" t="e">
        <x:f>IF(OR(G11="",H11="已完成"),0,MAX(0,项目驾驶舱!$B$3-G11))</x:f>
        <x:v>#NAME?</x:v>
      </x:c>
      <x:c r="K11" s="34"/>
      <x:c r="L11" s="34"/>
    </x:row>
    <x:row r="12">
      <x:c r="A12" s="34"/>
      <x:c r="B12" s="38"/>
      <x:c r="C12" s="34"/>
      <x:c r="D12" s="34"/>
      <x:c r="E12" s="34"/>
      <x:c r="F12" s="34"/>
      <x:c r="G12" s="38"/>
      <x:c r="H12" s="34"/>
      <x:c r="I12" s="38"/>
      <x:c r="J12" s="34" t="e">
        <x:f>IF(OR(G12="",H12="已完成"),0,MAX(0,项目驾驶舱!$B$3-G12))</x:f>
        <x:v>#NAME?</x:v>
      </x:c>
      <x:c r="K12" s="34"/>
      <x:c r="L12" s="34"/>
    </x:row>
    <x:row r="13">
      <x:c r="A13" s="34"/>
      <x:c r="B13" s="38"/>
      <x:c r="C13" s="34"/>
      <x:c r="D13" s="34"/>
      <x:c r="E13" s="34"/>
      <x:c r="F13" s="34"/>
      <x:c r="G13" s="38"/>
      <x:c r="H13" s="34"/>
      <x:c r="I13" s="38"/>
      <x:c r="J13" s="34" t="e">
        <x:f>IF(OR(G13="",H13="已完成"),0,MAX(0,项目驾驶舱!$B$3-G13))</x:f>
        <x:v>#NAME?</x:v>
      </x:c>
      <x:c r="K13" s="34"/>
      <x:c r="L13" s="34"/>
    </x:row>
    <x:row r="14">
      <x:c r="A14" s="34"/>
      <x:c r="B14" s="38"/>
      <x:c r="C14" s="34"/>
      <x:c r="D14" s="34"/>
      <x:c r="E14" s="34"/>
      <x:c r="F14" s="34"/>
      <x:c r="G14" s="38"/>
      <x:c r="H14" s="34"/>
      <x:c r="I14" s="38"/>
      <x:c r="J14" s="34" t="e">
        <x:f>IF(OR(G14="",H14="已完成"),0,MAX(0,项目驾驶舱!$B$3-G14))</x:f>
        <x:v>#NAME?</x:v>
      </x:c>
      <x:c r="K14" s="34"/>
      <x:c r="L14" s="34"/>
    </x:row>
    <x:row r="15">
      <x:c r="A15" s="34"/>
      <x:c r="B15" s="38"/>
      <x:c r="C15" s="34"/>
      <x:c r="D15" s="34"/>
      <x:c r="E15" s="34"/>
      <x:c r="F15" s="34"/>
      <x:c r="G15" s="38"/>
      <x:c r="H15" s="34"/>
      <x:c r="I15" s="38"/>
      <x:c r="J15" s="34" t="e">
        <x:f>IF(OR(G15="",H15="已完成"),0,MAX(0,项目驾驶舱!$B$3-G15))</x:f>
        <x:v>#NAME?</x:v>
      </x:c>
      <x:c r="K15" s="34"/>
      <x:c r="L15" s="34"/>
    </x:row>
    <x:row r="16">
      <x:c r="A16" s="34"/>
      <x:c r="B16" s="38"/>
      <x:c r="C16" s="34"/>
      <x:c r="D16" s="34"/>
      <x:c r="E16" s="34"/>
      <x:c r="F16" s="34"/>
      <x:c r="G16" s="38"/>
      <x:c r="H16" s="34"/>
      <x:c r="I16" s="38"/>
      <x:c r="J16" s="34" t="e">
        <x:f>IF(OR(G16="",H16="已完成"),0,MAX(0,项目驾驶舱!$B$3-G16))</x:f>
        <x:v>#NAME?</x:v>
      </x:c>
      <x:c r="K16" s="34"/>
      <x:c r="L16" s="34"/>
    </x:row>
    <x:row r="17">
      <x:c r="A17" s="34"/>
      <x:c r="B17" s="38"/>
      <x:c r="C17" s="34"/>
      <x:c r="D17" s="34"/>
      <x:c r="E17" s="34"/>
      <x:c r="F17" s="34"/>
      <x:c r="G17" s="38"/>
      <x:c r="H17" s="34"/>
      <x:c r="I17" s="38"/>
      <x:c r="J17" s="34" t="e">
        <x:f>IF(OR(G17="",H17="已完成"),0,MAX(0,项目驾驶舱!$B$3-G17))</x:f>
        <x:v>#NAME?</x:v>
      </x:c>
      <x:c r="K17" s="34"/>
      <x:c r="L17" s="34"/>
    </x:row>
    <x:row r="18">
      <x:c r="A18" s="34"/>
      <x:c r="B18" s="38"/>
      <x:c r="C18" s="34"/>
      <x:c r="D18" s="34"/>
      <x:c r="E18" s="34"/>
      <x:c r="F18" s="34"/>
      <x:c r="G18" s="38"/>
      <x:c r="H18" s="34"/>
      <x:c r="I18" s="38"/>
      <x:c r="J18" s="34" t="e">
        <x:f>IF(OR(G18="",H18="已完成"),0,MAX(0,项目驾驶舱!$B$3-G18))</x:f>
        <x:v>#NAME?</x:v>
      </x:c>
      <x:c r="K18" s="34"/>
      <x:c r="L18" s="34"/>
    </x:row>
    <x:row r="19">
      <x:c r="A19" s="34"/>
      <x:c r="B19" s="38"/>
      <x:c r="C19" s="34"/>
      <x:c r="D19" s="34"/>
      <x:c r="E19" s="34"/>
      <x:c r="F19" s="34"/>
      <x:c r="G19" s="38"/>
      <x:c r="H19" s="34"/>
      <x:c r="I19" s="38"/>
      <x:c r="J19" s="34" t="e">
        <x:f>IF(OR(G19="",H19="已完成"),0,MAX(0,项目驾驶舱!$B$3-G19))</x:f>
        <x:v>#NAME?</x:v>
      </x:c>
      <x:c r="K19" s="34"/>
      <x:c r="L19" s="34"/>
    </x:row>
    <x:row r="20">
      <x:c r="A20" s="34"/>
      <x:c r="B20" s="38"/>
      <x:c r="C20" s="34"/>
      <x:c r="D20" s="34"/>
      <x:c r="E20" s="34"/>
      <x:c r="F20" s="34"/>
      <x:c r="G20" s="38"/>
      <x:c r="H20" s="34"/>
      <x:c r="I20" s="38"/>
      <x:c r="J20" s="34" t="e">
        <x:f>IF(OR(G20="",H20="已完成"),0,MAX(0,项目驾驶舱!$B$3-G20))</x:f>
        <x:v>#NAME?</x:v>
      </x:c>
      <x:c r="K20" s="34"/>
      <x:c r="L20" s="34"/>
    </x:row>
    <x:row r="21">
      <x:c r="A21" s="34"/>
      <x:c r="B21" s="38"/>
      <x:c r="C21" s="34"/>
      <x:c r="D21" s="34"/>
      <x:c r="E21" s="34"/>
      <x:c r="F21" s="34"/>
      <x:c r="G21" s="38"/>
      <x:c r="H21" s="34"/>
      <x:c r="I21" s="38"/>
      <x:c r="J21" s="34" t="e">
        <x:f>IF(OR(G21="",H21="已完成"),0,MAX(0,项目驾驶舱!$B$3-G21))</x:f>
        <x:v>#NAME?</x:v>
      </x:c>
      <x:c r="K21" s="34"/>
      <x:c r="L21" s="34"/>
    </x:row>
    <x:row r="22">
      <x:c r="A22" s="34"/>
      <x:c r="B22" s="38"/>
      <x:c r="C22" s="34"/>
      <x:c r="D22" s="34"/>
      <x:c r="E22" s="34"/>
      <x:c r="F22" s="34"/>
      <x:c r="G22" s="38"/>
      <x:c r="H22" s="34"/>
      <x:c r="I22" s="38"/>
      <x:c r="J22" s="34" t="e">
        <x:f>IF(OR(G22="",H22="已完成"),0,MAX(0,项目驾驶舱!$B$3-G22))</x:f>
        <x:v>#NAME?</x:v>
      </x:c>
      <x:c r="K22" s="34"/>
      <x:c r="L22" s="34"/>
    </x:row>
    <x:row r="23">
      <x:c r="A23" s="34"/>
      <x:c r="B23" s="38"/>
      <x:c r="C23" s="34"/>
      <x:c r="D23" s="34"/>
      <x:c r="E23" s="34"/>
      <x:c r="F23" s="34"/>
      <x:c r="G23" s="38"/>
      <x:c r="H23" s="34"/>
      <x:c r="I23" s="38"/>
      <x:c r="J23" s="34" t="e">
        <x:f>IF(OR(G23="",H23="已完成"),0,MAX(0,项目驾驶舱!$B$3-G23))</x:f>
        <x:v>#NAME?</x:v>
      </x:c>
      <x:c r="K23" s="34"/>
      <x:c r="L23" s="34"/>
    </x:row>
    <x:row r="24">
      <x:c r="A24" s="34"/>
      <x:c r="B24" s="38"/>
      <x:c r="C24" s="34"/>
      <x:c r="D24" s="34"/>
      <x:c r="E24" s="34"/>
      <x:c r="F24" s="34"/>
      <x:c r="G24" s="38"/>
      <x:c r="H24" s="34"/>
      <x:c r="I24" s="38"/>
      <x:c r="J24" s="34" t="e">
        <x:f>IF(OR(G24="",H24="已完成"),0,MAX(0,项目驾驶舱!$B$3-G24))</x:f>
        <x:v>#NAME?</x:v>
      </x:c>
      <x:c r="K24" s="34"/>
      <x:c r="L24" s="34"/>
    </x:row>
    <x:row r="25">
      <x:c r="A25" s="34"/>
      <x:c r="B25" s="38"/>
      <x:c r="C25" s="34"/>
      <x:c r="D25" s="34"/>
      <x:c r="E25" s="34"/>
      <x:c r="F25" s="34"/>
      <x:c r="G25" s="38"/>
      <x:c r="H25" s="34"/>
      <x:c r="I25" s="38"/>
      <x:c r="J25" s="34" t="e">
        <x:f>IF(OR(G25="",H25="已完成"),0,MAX(0,项目驾驶舱!$B$3-G25))</x:f>
        <x:v>#NAME?</x:v>
      </x:c>
      <x:c r="K25" s="34"/>
      <x:c r="L25" s="34"/>
    </x:row>
    <x:row r="26">
      <x:c r="A26" s="34"/>
      <x:c r="B26" s="38"/>
      <x:c r="C26" s="34"/>
      <x:c r="D26" s="34"/>
      <x:c r="E26" s="34"/>
      <x:c r="F26" s="34"/>
      <x:c r="G26" s="38"/>
      <x:c r="H26" s="34"/>
      <x:c r="I26" s="38"/>
      <x:c r="J26" s="34" t="e">
        <x:f>IF(OR(G26="",H26="已完成"),0,MAX(0,项目驾驶舱!$B$3-G26))</x:f>
        <x:v>#NAME?</x:v>
      </x:c>
      <x:c r="K26" s="34"/>
      <x:c r="L26" s="34"/>
    </x:row>
    <x:row r="27">
      <x:c r="A27" s="34"/>
      <x:c r="B27" s="38"/>
      <x:c r="C27" s="34"/>
      <x:c r="D27" s="34"/>
      <x:c r="E27" s="34"/>
      <x:c r="F27" s="34"/>
      <x:c r="G27" s="38"/>
      <x:c r="H27" s="34"/>
      <x:c r="I27" s="38"/>
      <x:c r="J27" s="34" t="e">
        <x:f>IF(OR(G27="",H27="已完成"),0,MAX(0,项目驾驶舱!$B$3-G27))</x:f>
        <x:v>#NAME?</x:v>
      </x:c>
      <x:c r="K27" s="34"/>
      <x:c r="L27" s="34"/>
    </x:row>
    <x:row r="28">
      <x:c r="A28" s="34"/>
      <x:c r="B28" s="38"/>
      <x:c r="C28" s="34"/>
      <x:c r="D28" s="34"/>
      <x:c r="E28" s="34"/>
      <x:c r="F28" s="34"/>
      <x:c r="G28" s="38"/>
      <x:c r="H28" s="34"/>
      <x:c r="I28" s="38"/>
      <x:c r="J28" s="34" t="e">
        <x:f>IF(OR(G28="",H28="已完成"),0,MAX(0,项目驾驶舱!$B$3-G28))</x:f>
        <x:v>#NAME?</x:v>
      </x:c>
      <x:c r="K28" s="34"/>
      <x:c r="L28" s="34"/>
    </x:row>
    <x:row r="29">
      <x:c r="A29" s="34"/>
      <x:c r="B29" s="38"/>
      <x:c r="C29" s="34"/>
      <x:c r="D29" s="34"/>
      <x:c r="E29" s="34"/>
      <x:c r="F29" s="34"/>
      <x:c r="G29" s="38"/>
      <x:c r="H29" s="34"/>
      <x:c r="I29" s="38"/>
      <x:c r="J29" s="34" t="e">
        <x:f>IF(OR(G29="",H29="已完成"),0,MAX(0,项目驾驶舱!$B$3-G29))</x:f>
        <x:v>#NAME?</x:v>
      </x:c>
      <x:c r="K29" s="34"/>
      <x:c r="L29" s="34"/>
    </x:row>
    <x:row r="30">
      <x:c r="A30" s="34"/>
      <x:c r="B30" s="38"/>
      <x:c r="C30" s="34"/>
      <x:c r="D30" s="34"/>
      <x:c r="E30" s="34"/>
      <x:c r="F30" s="34"/>
      <x:c r="G30" s="38"/>
      <x:c r="H30" s="34"/>
      <x:c r="I30" s="38"/>
      <x:c r="J30" s="34" t="e">
        <x:f>IF(OR(G30="",H30="已完成"),0,MAX(0,项目驾驶舱!$B$3-G30))</x:f>
        <x:v>#NAME?</x:v>
      </x:c>
      <x:c r="K30" s="34"/>
      <x:c r="L30" s="34"/>
    </x:row>
    <x:row r="31">
      <x:c r="A31" s="34"/>
      <x:c r="B31" s="38"/>
      <x:c r="C31" s="34"/>
      <x:c r="D31" s="34"/>
      <x:c r="E31" s="34"/>
      <x:c r="F31" s="34"/>
      <x:c r="G31" s="38"/>
      <x:c r="H31" s="34"/>
      <x:c r="I31" s="38"/>
      <x:c r="J31" s="34" t="e">
        <x:f>IF(OR(G31="",H31="已完成"),0,MAX(0,项目驾驶舱!$B$3-G31))</x:f>
        <x:v>#NAME?</x:v>
      </x:c>
      <x:c r="K31" s="34"/>
      <x:c r="L31" s="34"/>
    </x:row>
    <x:row r="32">
      <x:c r="A32" s="34"/>
      <x:c r="B32" s="38"/>
      <x:c r="C32" s="34"/>
      <x:c r="D32" s="34"/>
      <x:c r="E32" s="34"/>
      <x:c r="F32" s="34"/>
      <x:c r="G32" s="38"/>
      <x:c r="H32" s="34"/>
      <x:c r="I32" s="38"/>
      <x:c r="J32" s="34" t="e">
        <x:f>IF(OR(G32="",H32="已完成"),0,MAX(0,项目驾驶舱!$B$3-G32))</x:f>
        <x:v>#NAME?</x:v>
      </x:c>
      <x:c r="K32" s="34"/>
      <x:c r="L32" s="34"/>
    </x:row>
    <x:row r="33">
      <x:c r="A33" s="34"/>
      <x:c r="B33" s="38"/>
      <x:c r="C33" s="34"/>
      <x:c r="D33" s="34"/>
      <x:c r="E33" s="34"/>
      <x:c r="F33" s="34"/>
      <x:c r="G33" s="38"/>
      <x:c r="H33" s="34"/>
      <x:c r="I33" s="38"/>
      <x:c r="J33" s="34" t="e">
        <x:f>IF(OR(G33="",H33="已完成"),0,MAX(0,项目驾驶舱!$B$3-G33))</x:f>
        <x:v>#NAME?</x:v>
      </x:c>
      <x:c r="K33" s="34"/>
      <x:c r="L33" s="34"/>
    </x:row>
    <x:row r="34">
      <x:c r="A34" s="34"/>
      <x:c r="B34" s="38"/>
      <x:c r="C34" s="34"/>
      <x:c r="D34" s="34"/>
      <x:c r="E34" s="34"/>
      <x:c r="F34" s="34"/>
      <x:c r="G34" s="38"/>
      <x:c r="H34" s="34"/>
      <x:c r="I34" s="38"/>
      <x:c r="J34" s="34" t="e">
        <x:f>IF(OR(G34="",H34="已完成"),0,MAX(0,项目驾驶舱!$B$3-G34))</x:f>
        <x:v>#NAME?</x:v>
      </x:c>
      <x:c r="K34" s="34"/>
      <x:c r="L34" s="34"/>
    </x:row>
    <x:row r="35">
      <x:c r="A35" s="34"/>
      <x:c r="B35" s="38"/>
      <x:c r="C35" s="34"/>
      <x:c r="D35" s="34"/>
      <x:c r="E35" s="34"/>
      <x:c r="F35" s="34"/>
      <x:c r="G35" s="38"/>
      <x:c r="H35" s="34"/>
      <x:c r="I35" s="38"/>
      <x:c r="J35" s="34" t="e">
        <x:f>IF(OR(G35="",H35="已完成"),0,MAX(0,项目驾驶舱!$B$3-G35))</x:f>
        <x:v>#NAME?</x:v>
      </x:c>
      <x:c r="K35" s="34"/>
      <x:c r="L35" s="34"/>
    </x:row>
    <x:row r="36">
      <x:c r="A36" s="34"/>
      <x:c r="B36" s="38"/>
      <x:c r="C36" s="34"/>
      <x:c r="D36" s="34"/>
      <x:c r="E36" s="34"/>
      <x:c r="F36" s="34"/>
      <x:c r="G36" s="38"/>
      <x:c r="H36" s="34"/>
      <x:c r="I36" s="38"/>
      <x:c r="J36" s="34" t="e">
        <x:f>IF(OR(G36="",H36="已完成"),0,MAX(0,项目驾驶舱!$B$3-G36))</x:f>
        <x:v>#NAME?</x:v>
      </x:c>
      <x:c r="K36" s="34"/>
      <x:c r="L36" s="34"/>
    </x:row>
    <x:row r="37">
      <x:c r="A37" s="34"/>
      <x:c r="B37" s="38"/>
      <x:c r="C37" s="34"/>
      <x:c r="D37" s="34"/>
      <x:c r="E37" s="34"/>
      <x:c r="F37" s="34"/>
      <x:c r="G37" s="38"/>
      <x:c r="H37" s="34"/>
      <x:c r="I37" s="38"/>
      <x:c r="J37" s="34" t="e">
        <x:f>IF(OR(G37="",H37="已完成"),0,MAX(0,项目驾驶舱!$B$3-G37))</x:f>
        <x:v>#NAME?</x:v>
      </x:c>
      <x:c r="K37" s="34"/>
      <x:c r="L37" s="34"/>
    </x:row>
    <x:row r="38">
      <x:c r="A38" s="34"/>
      <x:c r="B38" s="38"/>
      <x:c r="C38" s="34"/>
      <x:c r="D38" s="34"/>
      <x:c r="E38" s="34"/>
      <x:c r="F38" s="34"/>
      <x:c r="G38" s="38"/>
      <x:c r="H38" s="34"/>
      <x:c r="I38" s="38"/>
      <x:c r="J38" s="34" t="e">
        <x:f>IF(OR(G38="",H38="已完成"),0,MAX(0,项目驾驶舱!$B$3-G38))</x:f>
        <x:v>#NAME?</x:v>
      </x:c>
      <x:c r="K38" s="34"/>
      <x:c r="L38" s="34"/>
    </x:row>
    <x:row r="39">
      <x:c r="A39" s="34"/>
      <x:c r="B39" s="38"/>
      <x:c r="C39" s="34"/>
      <x:c r="D39" s="34"/>
      <x:c r="E39" s="34"/>
      <x:c r="F39" s="34"/>
      <x:c r="G39" s="38"/>
      <x:c r="H39" s="34"/>
      <x:c r="I39" s="38"/>
      <x:c r="J39" s="34" t="e">
        <x:f>IF(OR(G39="",H39="已完成"),0,MAX(0,项目驾驶舱!$B$3-G39))</x:f>
        <x:v>#NAME?</x:v>
      </x:c>
      <x:c r="K39" s="34"/>
      <x:c r="L39" s="34"/>
    </x:row>
    <x:row r="40">
      <x:c r="A40" s="34"/>
      <x:c r="B40" s="38"/>
      <x:c r="C40" s="34"/>
      <x:c r="D40" s="34"/>
      <x:c r="E40" s="34"/>
      <x:c r="F40" s="34"/>
      <x:c r="G40" s="38"/>
      <x:c r="H40" s="34"/>
      <x:c r="I40" s="38"/>
      <x:c r="J40" s="34" t="e">
        <x:f>IF(OR(G40="",H40="已完成"),0,MAX(0,项目驾驶舱!$B$3-G40))</x:f>
        <x:v>#NAME?</x:v>
      </x:c>
      <x:c r="K40" s="34"/>
      <x:c r="L40" s="34"/>
    </x:row>
    <x:row r="41">
      <x:c r="A41" s="34"/>
      <x:c r="B41" s="38"/>
      <x:c r="C41" s="34"/>
      <x:c r="D41" s="34"/>
      <x:c r="E41" s="34"/>
      <x:c r="F41" s="34"/>
      <x:c r="G41" s="38"/>
      <x:c r="H41" s="34"/>
      <x:c r="I41" s="38"/>
      <x:c r="J41" s="34" t="e">
        <x:f>IF(OR(G41="",H41="已完成"),0,MAX(0,项目驾驶舱!$B$3-G41))</x:f>
        <x:v>#NAME?</x:v>
      </x:c>
      <x:c r="K41" s="34"/>
      <x:c r="L41" s="34"/>
    </x:row>
    <x:row r="42">
      <x:c r="A42" s="34"/>
      <x:c r="B42" s="38"/>
      <x:c r="C42" s="34"/>
      <x:c r="D42" s="34"/>
      <x:c r="E42" s="34"/>
      <x:c r="F42" s="34"/>
      <x:c r="G42" s="38"/>
      <x:c r="H42" s="34"/>
      <x:c r="I42" s="38"/>
      <x:c r="J42" s="34" t="e">
        <x:f>IF(OR(G42="",H42="已完成"),0,MAX(0,项目驾驶舱!$B$3-G42))</x:f>
        <x:v>#NAME?</x:v>
      </x:c>
      <x:c r="K42" s="34"/>
      <x:c r="L42" s="34"/>
    </x:row>
    <x:row r="43">
      <x:c r="A43" s="34"/>
      <x:c r="B43" s="38"/>
      <x:c r="C43" s="34"/>
      <x:c r="D43" s="34"/>
      <x:c r="E43" s="34"/>
      <x:c r="F43" s="34"/>
      <x:c r="G43" s="38"/>
      <x:c r="H43" s="34"/>
      <x:c r="I43" s="38"/>
      <x:c r="J43" s="34" t="e">
        <x:f>IF(OR(G43="",H43="已完成"),0,MAX(0,项目驾驶舱!$B$3-G43))</x:f>
        <x:v>#NAME?</x:v>
      </x:c>
      <x:c r="K43" s="34"/>
      <x:c r="L43" s="34"/>
    </x:row>
    <x:row r="44">
      <x:c r="A44" s="34"/>
      <x:c r="B44" s="38"/>
      <x:c r="C44" s="34"/>
      <x:c r="D44" s="34"/>
      <x:c r="E44" s="34"/>
      <x:c r="F44" s="34"/>
      <x:c r="G44" s="38"/>
      <x:c r="H44" s="34"/>
      <x:c r="I44" s="38"/>
      <x:c r="J44" s="34" t="e">
        <x:f>IF(OR(G44="",H44="已完成"),0,MAX(0,项目驾驶舱!$B$3-G44))</x:f>
        <x:v>#NAME?</x:v>
      </x:c>
      <x:c r="K44" s="34"/>
      <x:c r="L44" s="34"/>
    </x:row>
    <x:row r="45">
      <x:c r="A45" s="34"/>
      <x:c r="B45" s="38"/>
      <x:c r="C45" s="34"/>
      <x:c r="D45" s="34"/>
      <x:c r="E45" s="34"/>
      <x:c r="F45" s="34"/>
      <x:c r="G45" s="38"/>
      <x:c r="H45" s="34"/>
      <x:c r="I45" s="38"/>
      <x:c r="J45" s="34" t="e">
        <x:f>IF(OR(G45="",H45="已完成"),0,MAX(0,项目驾驶舱!$B$3-G45))</x:f>
        <x:v>#NAME?</x:v>
      </x:c>
      <x:c r="K45" s="34"/>
      <x:c r="L45" s="34"/>
    </x:row>
    <x:row r="46">
      <x:c r="A46" s="34"/>
      <x:c r="B46" s="38"/>
      <x:c r="C46" s="34"/>
      <x:c r="D46" s="34"/>
      <x:c r="E46" s="34"/>
      <x:c r="F46" s="34"/>
      <x:c r="G46" s="38"/>
      <x:c r="H46" s="34"/>
      <x:c r="I46" s="38"/>
      <x:c r="J46" s="34" t="e">
        <x:f>IF(OR(G46="",H46="已完成"),0,MAX(0,项目驾驶舱!$B$3-G46))</x:f>
        <x:v>#NAME?</x:v>
      </x:c>
      <x:c r="K46" s="34"/>
      <x:c r="L46" s="34"/>
    </x:row>
    <x:row r="47">
      <x:c r="A47" s="34"/>
      <x:c r="B47" s="38"/>
      <x:c r="C47" s="34"/>
      <x:c r="D47" s="34"/>
      <x:c r="E47" s="34"/>
      <x:c r="F47" s="34"/>
      <x:c r="G47" s="38"/>
      <x:c r="H47" s="34"/>
      <x:c r="I47" s="38"/>
      <x:c r="J47" s="34" t="e">
        <x:f>IF(OR(G47="",H47="已完成"),0,MAX(0,项目驾驶舱!$B$3-G47))</x:f>
        <x:v>#NAME?</x:v>
      </x:c>
      <x:c r="K47" s="34"/>
      <x:c r="L47" s="34"/>
    </x:row>
    <x:row r="48">
      <x:c r="A48" s="34"/>
      <x:c r="B48" s="38"/>
      <x:c r="C48" s="34"/>
      <x:c r="D48" s="34"/>
      <x:c r="E48" s="34"/>
      <x:c r="F48" s="34"/>
      <x:c r="G48" s="38"/>
      <x:c r="H48" s="34"/>
      <x:c r="I48" s="38"/>
      <x:c r="J48" s="34" t="e">
        <x:f>IF(OR(G48="",H48="已完成"),0,MAX(0,项目驾驶舱!$B$3-G48))</x:f>
        <x:v>#NAME?</x:v>
      </x:c>
      <x:c r="K48" s="34"/>
      <x:c r="L48" s="34"/>
    </x:row>
    <x:row r="49">
      <x:c r="A49" s="34"/>
      <x:c r="B49" s="38"/>
      <x:c r="C49" s="34"/>
      <x:c r="D49" s="34"/>
      <x:c r="E49" s="34"/>
      <x:c r="F49" s="34"/>
      <x:c r="G49" s="38"/>
      <x:c r="H49" s="34"/>
      <x:c r="I49" s="38"/>
      <x:c r="J49" s="34" t="e">
        <x:f>IF(OR(G49="",H49="已完成"),0,MAX(0,项目驾驶舱!$B$3-G49))</x:f>
        <x:v>#NAME?</x:v>
      </x:c>
      <x:c r="K49" s="34"/>
      <x:c r="L49" s="34"/>
    </x:row>
    <x:row r="50">
      <x:c r="A50" s="34"/>
      <x:c r="B50" s="38"/>
      <x:c r="C50" s="34"/>
      <x:c r="D50" s="34"/>
      <x:c r="E50" s="34"/>
      <x:c r="F50" s="34"/>
      <x:c r="G50" s="38"/>
      <x:c r="H50" s="34"/>
      <x:c r="I50" s="38"/>
      <x:c r="J50" s="34" t="e">
        <x:f>IF(OR(G50="",H50="已完成"),0,MAX(0,项目驾驶舱!$B$3-G50))</x:f>
        <x:v>#NAME?</x:v>
      </x:c>
      <x:c r="K50" s="34"/>
      <x:c r="L50" s="34"/>
    </x:row>
    <x:row r="51">
      <x:c r="A51" s="34"/>
      <x:c r="B51" s="38"/>
      <x:c r="C51" s="34"/>
      <x:c r="D51" s="34"/>
      <x:c r="E51" s="34"/>
      <x:c r="F51" s="34"/>
      <x:c r="G51" s="38"/>
      <x:c r="H51" s="34"/>
      <x:c r="I51" s="38"/>
      <x:c r="J51" s="34" t="e">
        <x:f>IF(OR(G51="",H51="已完成"),0,MAX(0,项目驾驶舱!$B$3-G51))</x:f>
        <x:v>#NAME?</x:v>
      </x:c>
      <x:c r="K51" s="34"/>
      <x:c r="L51" s="34"/>
    </x:row>
    <x:row r="52">
      <x:c r="A52" s="34"/>
      <x:c r="B52" s="38"/>
      <x:c r="C52" s="34"/>
      <x:c r="D52" s="34"/>
      <x:c r="E52" s="34"/>
      <x:c r="F52" s="34"/>
      <x:c r="G52" s="38"/>
      <x:c r="H52" s="34"/>
      <x:c r="I52" s="38"/>
      <x:c r="J52" s="34" t="e">
        <x:f>IF(OR(G52="",H52="已完成"),0,MAX(0,项目驾驶舱!$B$3-G52))</x:f>
        <x:v>#NAME?</x:v>
      </x:c>
      <x:c r="K52" s="34"/>
      <x:c r="L52" s="34"/>
    </x:row>
    <x:row r="53">
      <x:c r="A53" s="34"/>
      <x:c r="B53" s="38"/>
      <x:c r="C53" s="34"/>
      <x:c r="D53" s="34"/>
      <x:c r="E53" s="34"/>
      <x:c r="F53" s="34"/>
      <x:c r="G53" s="38"/>
      <x:c r="H53" s="34"/>
      <x:c r="I53" s="38"/>
      <x:c r="J53" s="34" t="e">
        <x:f>IF(OR(G53="",H53="已完成"),0,MAX(0,项目驾驶舱!$B$3-G53))</x:f>
        <x:v>#NAME?</x:v>
      </x:c>
      <x:c r="K53" s="34"/>
      <x:c r="L53" s="34"/>
    </x:row>
    <x:row r="54">
      <x:c r="A54" s="34"/>
      <x:c r="B54" s="38"/>
      <x:c r="C54" s="34"/>
      <x:c r="D54" s="34"/>
      <x:c r="E54" s="34"/>
      <x:c r="F54" s="34"/>
      <x:c r="G54" s="38"/>
      <x:c r="H54" s="34"/>
      <x:c r="I54" s="38"/>
      <x:c r="J54" s="34" t="e">
        <x:f>IF(OR(G54="",H54="已完成"),0,MAX(0,项目驾驶舱!$B$3-G54))</x:f>
        <x:v>#NAME?</x:v>
      </x:c>
      <x:c r="K54" s="34"/>
      <x:c r="L54" s="34"/>
    </x:row>
    <x:row r="55">
      <x:c r="A55" s="34"/>
      <x:c r="B55" s="38"/>
      <x:c r="C55" s="34"/>
      <x:c r="D55" s="34"/>
      <x:c r="E55" s="34"/>
      <x:c r="F55" s="34"/>
      <x:c r="G55" s="38"/>
      <x:c r="H55" s="34"/>
      <x:c r="I55" s="38"/>
      <x:c r="J55" s="34" t="e">
        <x:f>IF(OR(G55="",H55="已完成"),0,MAX(0,项目驾驶舱!$B$3-G55))</x:f>
        <x:v>#NAME?</x:v>
      </x:c>
      <x:c r="K55" s="34"/>
      <x:c r="L55" s="34"/>
    </x:row>
    <x:row r="56">
      <x:c r="A56" s="34"/>
      <x:c r="B56" s="38"/>
      <x:c r="C56" s="34"/>
      <x:c r="D56" s="34"/>
      <x:c r="E56" s="34"/>
      <x:c r="F56" s="34"/>
      <x:c r="G56" s="38"/>
      <x:c r="H56" s="34"/>
      <x:c r="I56" s="38"/>
      <x:c r="J56" s="34" t="e">
        <x:f>IF(OR(G56="",H56="已完成"),0,MAX(0,项目驾驶舱!$B$3-G56))</x:f>
        <x:v>#NAME?</x:v>
      </x:c>
      <x:c r="K56" s="34"/>
      <x:c r="L56" s="34"/>
    </x:row>
    <x:row r="57">
      <x:c r="A57" s="34"/>
      <x:c r="B57" s="38"/>
      <x:c r="C57" s="34"/>
      <x:c r="D57" s="34"/>
      <x:c r="E57" s="34"/>
      <x:c r="F57" s="34"/>
      <x:c r="G57" s="38"/>
      <x:c r="H57" s="34"/>
      <x:c r="I57" s="38"/>
      <x:c r="J57" s="34" t="e">
        <x:f>IF(OR(G57="",H57="已完成"),0,MAX(0,项目驾驶舱!$B$3-G57))</x:f>
        <x:v>#NAME?</x:v>
      </x:c>
      <x:c r="K57" s="34"/>
      <x:c r="L57" s="34"/>
    </x:row>
    <x:row r="58">
      <x:c r="A58" s="34"/>
      <x:c r="B58" s="38"/>
      <x:c r="C58" s="34"/>
      <x:c r="D58" s="34"/>
      <x:c r="E58" s="34"/>
      <x:c r="F58" s="34"/>
      <x:c r="G58" s="38"/>
      <x:c r="H58" s="34"/>
      <x:c r="I58" s="38"/>
      <x:c r="J58" s="34" t="e">
        <x:f>IF(OR(G58="",H58="已完成"),0,MAX(0,项目驾驶舱!$B$3-G58))</x:f>
        <x:v>#NAME?</x:v>
      </x:c>
      <x:c r="K58" s="34"/>
      <x:c r="L58" s="34"/>
    </x:row>
    <x:row r="59">
      <x:c r="A59" s="34"/>
      <x:c r="B59" s="38"/>
      <x:c r="C59" s="34"/>
      <x:c r="D59" s="34"/>
      <x:c r="E59" s="34"/>
      <x:c r="F59" s="34"/>
      <x:c r="G59" s="38"/>
      <x:c r="H59" s="34"/>
      <x:c r="I59" s="38"/>
      <x:c r="J59" s="34" t="e">
        <x:f>IF(OR(G59="",H59="已完成"),0,MAX(0,项目驾驶舱!$B$3-G59))</x:f>
        <x:v>#NAME?</x:v>
      </x:c>
      <x:c r="K59" s="34"/>
      <x:c r="L59" s="34"/>
    </x:row>
    <x:row r="60">
      <x:c r="A60" s="34"/>
      <x:c r="B60" s="38"/>
      <x:c r="C60" s="34"/>
      <x:c r="D60" s="34"/>
      <x:c r="E60" s="34"/>
      <x:c r="F60" s="34"/>
      <x:c r="G60" s="38"/>
      <x:c r="H60" s="34"/>
      <x:c r="I60" s="38"/>
      <x:c r="J60" s="34" t="e">
        <x:f>IF(OR(G60="",H60="已完成"),0,MAX(0,项目驾驶舱!$B$3-G60))</x:f>
        <x:v>#NAME?</x:v>
      </x:c>
      <x:c r="K60" s="34"/>
      <x:c r="L60" s="34"/>
    </x:row>
    <x:row r="61">
      <x:c r="A61" s="34"/>
      <x:c r="B61" s="38"/>
      <x:c r="C61" s="34"/>
      <x:c r="D61" s="34"/>
      <x:c r="E61" s="34"/>
      <x:c r="F61" s="34"/>
      <x:c r="G61" s="38"/>
      <x:c r="H61" s="34"/>
      <x:c r="I61" s="38"/>
      <x:c r="J61" s="34" t="e">
        <x:f>IF(OR(G61="",H61="已完成"),0,MAX(0,项目驾驶舱!$B$3-G61))</x:f>
        <x:v>#NAME?</x:v>
      </x:c>
      <x:c r="K61" s="34"/>
      <x:c r="L61" s="34"/>
    </x:row>
    <x:row r="62">
      <x:c r="A62" s="34"/>
      <x:c r="B62" s="38"/>
      <x:c r="C62" s="34"/>
      <x:c r="D62" s="34"/>
      <x:c r="E62" s="34"/>
      <x:c r="F62" s="34"/>
      <x:c r="G62" s="38"/>
      <x:c r="H62" s="34"/>
      <x:c r="I62" s="38"/>
      <x:c r="J62" s="34" t="e">
        <x:f>IF(OR(G62="",H62="已完成"),0,MAX(0,项目驾驶舱!$B$3-G62))</x:f>
        <x:v>#NAME?</x:v>
      </x:c>
      <x:c r="K62" s="34"/>
      <x:c r="L62" s="34"/>
    </x:row>
    <x:row r="63">
      <x:c r="A63" s="34"/>
      <x:c r="B63" s="38"/>
      <x:c r="C63" s="34"/>
      <x:c r="D63" s="34"/>
      <x:c r="E63" s="34"/>
      <x:c r="F63" s="34"/>
      <x:c r="G63" s="38"/>
      <x:c r="H63" s="34"/>
      <x:c r="I63" s="38"/>
      <x:c r="J63" s="34" t="e">
        <x:f>IF(OR(G63="",H63="已完成"),0,MAX(0,项目驾驶舱!$B$3-G63))</x:f>
        <x:v>#NAME?</x:v>
      </x:c>
      <x:c r="K63" s="34"/>
      <x:c r="L63" s="34"/>
    </x:row>
    <x:row r="64">
      <x:c r="A64" s="34"/>
      <x:c r="B64" s="38"/>
      <x:c r="C64" s="34"/>
      <x:c r="D64" s="34"/>
      <x:c r="E64" s="34"/>
      <x:c r="F64" s="34"/>
      <x:c r="G64" s="38"/>
      <x:c r="H64" s="34"/>
      <x:c r="I64" s="38"/>
      <x:c r="J64" s="34" t="e">
        <x:f>IF(OR(G64="",H64="已完成"),0,MAX(0,项目驾驶舱!$B$3-G64))</x:f>
        <x:v>#NAME?</x:v>
      </x:c>
      <x:c r="K64" s="34"/>
      <x:c r="L64" s="34"/>
    </x:row>
    <x:row r="65">
      <x:c r="A65" s="34"/>
      <x:c r="B65" s="38"/>
      <x:c r="C65" s="34"/>
      <x:c r="D65" s="34"/>
      <x:c r="E65" s="34"/>
      <x:c r="F65" s="34"/>
      <x:c r="G65" s="38"/>
      <x:c r="H65" s="34"/>
      <x:c r="I65" s="38"/>
      <x:c r="J65" s="34" t="e">
        <x:f>IF(OR(G65="",H65="已完成"),0,MAX(0,项目驾驶舱!$B$3-G65))</x:f>
        <x:v>#NAME?</x:v>
      </x:c>
      <x:c r="K65" s="34"/>
      <x:c r="L65" s="34"/>
    </x:row>
    <x:row r="66">
      <x:c r="A66" s="34"/>
      <x:c r="B66" s="38"/>
      <x:c r="C66" s="34"/>
      <x:c r="D66" s="34"/>
      <x:c r="E66" s="34"/>
      <x:c r="F66" s="34"/>
      <x:c r="G66" s="38"/>
      <x:c r="H66" s="34"/>
      <x:c r="I66" s="38"/>
      <x:c r="J66" s="34" t="e">
        <x:f>IF(OR(G66="",H66="已完成"),0,MAX(0,项目驾驶舱!$B$3-G66))</x:f>
        <x:v>#NAME?</x:v>
      </x:c>
      <x:c r="K66" s="34"/>
      <x:c r="L66" s="34"/>
    </x:row>
    <x:row r="67">
      <x:c r="A67" s="34"/>
      <x:c r="B67" s="38"/>
      <x:c r="C67" s="34"/>
      <x:c r="D67" s="34"/>
      <x:c r="E67" s="34"/>
      <x:c r="F67" s="34"/>
      <x:c r="G67" s="38"/>
      <x:c r="H67" s="34"/>
      <x:c r="I67" s="38"/>
      <x:c r="J67" s="34" t="e">
        <x:f>IF(OR(G67="",H67="已完成"),0,MAX(0,项目驾驶舱!$B$3-G67))</x:f>
        <x:v>#NAME?</x:v>
      </x:c>
      <x:c r="K67" s="34"/>
      <x:c r="L67" s="34"/>
    </x:row>
    <x:row r="68">
      <x:c r="A68" s="34"/>
      <x:c r="B68" s="38"/>
      <x:c r="C68" s="34"/>
      <x:c r="D68" s="34"/>
      <x:c r="E68" s="34"/>
      <x:c r="F68" s="34"/>
      <x:c r="G68" s="38"/>
      <x:c r="H68" s="34"/>
      <x:c r="I68" s="38"/>
      <x:c r="J68" s="34" t="e">
        <x:f>IF(OR(G68="",H68="已完成"),0,MAX(0,项目驾驶舱!$B$3-G68))</x:f>
        <x:v>#NAME?</x:v>
      </x:c>
      <x:c r="K68" s="34"/>
      <x:c r="L68" s="34"/>
    </x:row>
    <x:row r="69">
      <x:c r="A69" s="34"/>
      <x:c r="B69" s="38"/>
      <x:c r="C69" s="34"/>
      <x:c r="D69" s="34"/>
      <x:c r="E69" s="34"/>
      <x:c r="F69" s="34"/>
      <x:c r="G69" s="38"/>
      <x:c r="H69" s="34"/>
      <x:c r="I69" s="38"/>
      <x:c r="J69" s="34" t="e">
        <x:f>IF(OR(G69="",H69="已完成"),0,MAX(0,项目驾驶舱!$B$3-G69))</x:f>
        <x:v>#NAME?</x:v>
      </x:c>
      <x:c r="K69" s="34"/>
      <x:c r="L69" s="34"/>
    </x:row>
    <x:row r="70">
      <x:c r="A70" s="34"/>
      <x:c r="B70" s="38"/>
      <x:c r="C70" s="34"/>
      <x:c r="D70" s="34"/>
      <x:c r="E70" s="34"/>
      <x:c r="F70" s="34"/>
      <x:c r="G70" s="38"/>
      <x:c r="H70" s="34"/>
      <x:c r="I70" s="38"/>
      <x:c r="J70" s="34" t="e">
        <x:f>IF(OR(G70="",H70="已完成"),0,MAX(0,项目驾驶舱!$B$3-G70))</x:f>
        <x:v>#NAME?</x:v>
      </x:c>
      <x:c r="K70" s="34"/>
      <x:c r="L70" s="34"/>
    </x:row>
    <x:row r="71">
      <x:c r="A71" s="34"/>
      <x:c r="B71" s="38"/>
      <x:c r="C71" s="34"/>
      <x:c r="D71" s="34"/>
      <x:c r="E71" s="34"/>
      <x:c r="F71" s="34"/>
      <x:c r="G71" s="38"/>
      <x:c r="H71" s="34"/>
      <x:c r="I71" s="38"/>
      <x:c r="J71" s="34" t="e">
        <x:f>IF(OR(G71="",H71="已完成"),0,MAX(0,项目驾驶舱!$B$3-G71))</x:f>
        <x:v>#NAME?</x:v>
      </x:c>
      <x:c r="K71" s="34"/>
      <x:c r="L71" s="34"/>
    </x:row>
    <x:row r="72">
      <x:c r="A72" s="34"/>
      <x:c r="B72" s="38"/>
      <x:c r="C72" s="34"/>
      <x:c r="D72" s="34"/>
      <x:c r="E72" s="34"/>
      <x:c r="F72" s="34"/>
      <x:c r="G72" s="38"/>
      <x:c r="H72" s="34"/>
      <x:c r="I72" s="38"/>
      <x:c r="J72" s="34" t="e">
        <x:f>IF(OR(G72="",H72="已完成"),0,MAX(0,项目驾驶舱!$B$3-G72))</x:f>
        <x:v>#NAME?</x:v>
      </x:c>
      <x:c r="K72" s="34"/>
      <x:c r="L72" s="34"/>
    </x:row>
    <x:row r="73">
      <x:c r="A73" s="34"/>
      <x:c r="B73" s="38"/>
      <x:c r="C73" s="34"/>
      <x:c r="D73" s="34"/>
      <x:c r="E73" s="34"/>
      <x:c r="F73" s="34"/>
      <x:c r="G73" s="38"/>
      <x:c r="H73" s="34"/>
      <x:c r="I73" s="38"/>
      <x:c r="J73" s="34" t="e">
        <x:f>IF(OR(G73="",H73="已完成"),0,MAX(0,项目驾驶舱!$B$3-G73))</x:f>
        <x:v>#NAME?</x:v>
      </x:c>
      <x:c r="K73" s="34"/>
      <x:c r="L73" s="34"/>
    </x:row>
    <x:row r="74">
      <x:c r="A74" s="34"/>
      <x:c r="B74" s="38"/>
      <x:c r="C74" s="34"/>
      <x:c r="D74" s="34"/>
      <x:c r="E74" s="34"/>
      <x:c r="F74" s="34"/>
      <x:c r="G74" s="38"/>
      <x:c r="H74" s="34"/>
      <x:c r="I74" s="38"/>
      <x:c r="J74" s="34" t="e">
        <x:f>IF(OR(G74="",H74="已完成"),0,MAX(0,项目驾驶舱!$B$3-G74))</x:f>
        <x:v>#NAME?</x:v>
      </x:c>
      <x:c r="K74" s="34"/>
      <x:c r="L74" s="34"/>
    </x:row>
    <x:row r="75">
      <x:c r="A75" s="34"/>
      <x:c r="B75" s="38"/>
      <x:c r="C75" s="34"/>
      <x:c r="D75" s="34"/>
      <x:c r="E75" s="34"/>
      <x:c r="F75" s="34"/>
      <x:c r="G75" s="38"/>
      <x:c r="H75" s="34"/>
      <x:c r="I75" s="38"/>
      <x:c r="J75" s="34" t="e">
        <x:f>IF(OR(G75="",H75="已完成"),0,MAX(0,项目驾驶舱!$B$3-G75))</x:f>
        <x:v>#NAME?</x:v>
      </x:c>
      <x:c r="K75" s="34"/>
      <x:c r="L75" s="34"/>
    </x:row>
    <x:row r="76">
      <x:c r="A76" s="34"/>
      <x:c r="B76" s="38"/>
      <x:c r="C76" s="34"/>
      <x:c r="D76" s="34"/>
      <x:c r="E76" s="34"/>
      <x:c r="F76" s="34"/>
      <x:c r="G76" s="38"/>
      <x:c r="H76" s="34"/>
      <x:c r="I76" s="38"/>
      <x:c r="J76" s="34" t="e">
        <x:f>IF(OR(G76="",H76="已完成"),0,MAX(0,项目驾驶舱!$B$3-G76))</x:f>
        <x:v>#NAME?</x:v>
      </x:c>
      <x:c r="K76" s="34"/>
      <x:c r="L76" s="34"/>
    </x:row>
    <x:row r="77">
      <x:c r="A77" s="34"/>
      <x:c r="B77" s="38"/>
      <x:c r="C77" s="34"/>
      <x:c r="D77" s="34"/>
      <x:c r="E77" s="34"/>
      <x:c r="F77" s="34"/>
      <x:c r="G77" s="38"/>
      <x:c r="H77" s="34"/>
      <x:c r="I77" s="38"/>
      <x:c r="J77" s="34" t="e">
        <x:f>IF(OR(G77="",H77="已完成"),0,MAX(0,项目驾驶舱!$B$3-G77))</x:f>
        <x:v>#NAME?</x:v>
      </x:c>
      <x:c r="K77" s="34"/>
      <x:c r="L77" s="34"/>
    </x:row>
    <x:row r="78">
      <x:c r="A78" s="34"/>
      <x:c r="B78" s="38"/>
      <x:c r="C78" s="34"/>
      <x:c r="D78" s="34"/>
      <x:c r="E78" s="34"/>
      <x:c r="F78" s="34"/>
      <x:c r="G78" s="38"/>
      <x:c r="H78" s="34"/>
      <x:c r="I78" s="38"/>
      <x:c r="J78" s="34" t="e">
        <x:f>IF(OR(G78="",H78="已完成"),0,MAX(0,项目驾驶舱!$B$3-G78))</x:f>
        <x:v>#NAME?</x:v>
      </x:c>
      <x:c r="K78" s="34"/>
      <x:c r="L78" s="34"/>
    </x:row>
    <x:row r="79">
      <x:c r="A79" s="34"/>
      <x:c r="B79" s="38"/>
      <x:c r="C79" s="34"/>
      <x:c r="D79" s="34"/>
      <x:c r="E79" s="34"/>
      <x:c r="F79" s="34"/>
      <x:c r="G79" s="38"/>
      <x:c r="H79" s="34"/>
      <x:c r="I79" s="38"/>
      <x:c r="J79" s="34" t="e">
        <x:f>IF(OR(G79="",H79="已完成"),0,MAX(0,项目驾驶舱!$B$3-G79))</x:f>
        <x:v>#NAME?</x:v>
      </x:c>
      <x:c r="K79" s="34"/>
      <x:c r="L79" s="34"/>
    </x:row>
    <x:row r="80">
      <x:c r="A80" s="34"/>
      <x:c r="B80" s="38"/>
      <x:c r="C80" s="34"/>
      <x:c r="D80" s="34"/>
      <x:c r="E80" s="34"/>
      <x:c r="F80" s="34"/>
      <x:c r="G80" s="38"/>
      <x:c r="H80" s="34"/>
      <x:c r="I80" s="38"/>
      <x:c r="J80" s="34" t="e">
        <x:f>IF(OR(G80="",H80="已完成"),0,MAX(0,项目驾驶舱!$B$3-G80))</x:f>
        <x:v>#NAME?</x:v>
      </x:c>
      <x:c r="K80" s="34"/>
      <x:c r="L80" s="34"/>
    </x:row>
    <x:row r="81">
      <x:c r="A81" s="34"/>
      <x:c r="B81" s="38"/>
      <x:c r="C81" s="34"/>
      <x:c r="D81" s="34"/>
      <x:c r="E81" s="34"/>
      <x:c r="F81" s="34"/>
      <x:c r="G81" s="38"/>
      <x:c r="H81" s="34"/>
      <x:c r="I81" s="38"/>
      <x:c r="J81" s="34" t="e">
        <x:f>IF(OR(G81="",H81="已完成"),0,MAX(0,项目驾驶舱!$B$3-G81))</x:f>
        <x:v>#NAME?</x:v>
      </x:c>
      <x:c r="K81" s="34"/>
      <x:c r="L81" s="34"/>
    </x:row>
    <x:row r="82">
      <x:c r="A82" s="34"/>
      <x:c r="B82" s="38"/>
      <x:c r="C82" s="34"/>
      <x:c r="D82" s="34"/>
      <x:c r="E82" s="34"/>
      <x:c r="F82" s="34"/>
      <x:c r="G82" s="38"/>
      <x:c r="H82" s="34"/>
      <x:c r="I82" s="38"/>
      <x:c r="J82" s="34" t="e">
        <x:f>IF(OR(G82="",H82="已完成"),0,MAX(0,项目驾驶舱!$B$3-G82))</x:f>
        <x:v>#NAME?</x:v>
      </x:c>
      <x:c r="K82" s="34"/>
      <x:c r="L82" s="34"/>
    </x:row>
    <x:row r="83">
      <x:c r="A83" s="34"/>
      <x:c r="B83" s="38"/>
      <x:c r="C83" s="34"/>
      <x:c r="D83" s="34"/>
      <x:c r="E83" s="34"/>
      <x:c r="F83" s="34"/>
      <x:c r="G83" s="38"/>
      <x:c r="H83" s="34"/>
      <x:c r="I83" s="38"/>
      <x:c r="J83" s="34" t="e">
        <x:f>IF(OR(G83="",H83="已完成"),0,MAX(0,项目驾驶舱!$B$3-G83))</x:f>
        <x:v>#NAME?</x:v>
      </x:c>
      <x:c r="K83" s="34"/>
      <x:c r="L83" s="34"/>
    </x:row>
    <x:row r="84">
      <x:c r="A84" s="34"/>
      <x:c r="B84" s="38"/>
      <x:c r="C84" s="34"/>
      <x:c r="D84" s="34"/>
      <x:c r="E84" s="34"/>
      <x:c r="F84" s="34"/>
      <x:c r="G84" s="38"/>
      <x:c r="H84" s="34"/>
      <x:c r="I84" s="38"/>
      <x:c r="J84" s="34" t="e">
        <x:f>IF(OR(G84="",H84="已完成"),0,MAX(0,项目驾驶舱!$B$3-G84))</x:f>
        <x:v>#NAME?</x:v>
      </x:c>
      <x:c r="K84" s="34"/>
      <x:c r="L84" s="34"/>
    </x:row>
    <x:row r="85">
      <x:c r="A85" s="34"/>
      <x:c r="B85" s="38"/>
      <x:c r="C85" s="34"/>
      <x:c r="D85" s="34"/>
      <x:c r="E85" s="34"/>
      <x:c r="F85" s="34"/>
      <x:c r="G85" s="38"/>
      <x:c r="H85" s="34"/>
      <x:c r="I85" s="38"/>
      <x:c r="J85" s="34" t="e">
        <x:f>IF(OR(G85="",H85="已完成"),0,MAX(0,项目驾驶舱!$B$3-G85))</x:f>
        <x:v>#NAME?</x:v>
      </x:c>
      <x:c r="K85" s="34"/>
      <x:c r="L85" s="34"/>
    </x:row>
    <x:row r="86">
      <x:c r="A86" s="34"/>
      <x:c r="B86" s="38"/>
      <x:c r="C86" s="34"/>
      <x:c r="D86" s="34"/>
      <x:c r="E86" s="34"/>
      <x:c r="F86" s="34"/>
      <x:c r="G86" s="38"/>
      <x:c r="H86" s="34"/>
      <x:c r="I86" s="38"/>
      <x:c r="J86" s="34" t="e">
        <x:f>IF(OR(G86="",H86="已完成"),0,MAX(0,项目驾驶舱!$B$3-G86))</x:f>
        <x:v>#NAME?</x:v>
      </x:c>
      <x:c r="K86" s="34"/>
      <x:c r="L86" s="34"/>
    </x:row>
    <x:row r="87">
      <x:c r="A87" s="34"/>
      <x:c r="B87" s="38"/>
      <x:c r="C87" s="34"/>
      <x:c r="D87" s="34"/>
      <x:c r="E87" s="34"/>
      <x:c r="F87" s="34"/>
      <x:c r="G87" s="38"/>
      <x:c r="H87" s="34"/>
      <x:c r="I87" s="38"/>
      <x:c r="J87" s="34" t="e">
        <x:f>IF(OR(G87="",H87="已完成"),0,MAX(0,项目驾驶舱!$B$3-G87))</x:f>
        <x:v>#NAME?</x:v>
      </x:c>
      <x:c r="K87" s="34"/>
      <x:c r="L87" s="34"/>
    </x:row>
    <x:row r="88">
      <x:c r="A88" s="34"/>
      <x:c r="B88" s="38"/>
      <x:c r="C88" s="34"/>
      <x:c r="D88" s="34"/>
      <x:c r="E88" s="34"/>
      <x:c r="F88" s="34"/>
      <x:c r="G88" s="38"/>
      <x:c r="H88" s="34"/>
      <x:c r="I88" s="38"/>
      <x:c r="J88" s="34" t="e">
        <x:f>IF(OR(G88="",H88="已完成"),0,MAX(0,项目驾驶舱!$B$3-G88))</x:f>
        <x:v>#NAME?</x:v>
      </x:c>
      <x:c r="K88" s="34"/>
      <x:c r="L88" s="34"/>
    </x:row>
    <x:row r="89">
      <x:c r="A89" s="34"/>
      <x:c r="B89" s="38"/>
      <x:c r="C89" s="34"/>
      <x:c r="D89" s="34"/>
      <x:c r="E89" s="34"/>
      <x:c r="F89" s="34"/>
      <x:c r="G89" s="38"/>
      <x:c r="H89" s="34"/>
      <x:c r="I89" s="38"/>
      <x:c r="J89" s="34" t="e">
        <x:f>IF(OR(G89="",H89="已完成"),0,MAX(0,项目驾驶舱!$B$3-G89))</x:f>
        <x:v>#NAME?</x:v>
      </x:c>
      <x:c r="K89" s="34"/>
      <x:c r="L89" s="34"/>
    </x:row>
    <x:row r="90">
      <x:c r="A90" s="34"/>
      <x:c r="B90" s="38"/>
      <x:c r="C90" s="34"/>
      <x:c r="D90" s="34"/>
      <x:c r="E90" s="34"/>
      <x:c r="F90" s="34"/>
      <x:c r="G90" s="38"/>
      <x:c r="H90" s="34"/>
      <x:c r="I90" s="38"/>
      <x:c r="J90" s="34" t="e">
        <x:f>IF(OR(G90="",H90="已完成"),0,MAX(0,项目驾驶舱!$B$3-G90))</x:f>
        <x:v>#NAME?</x:v>
      </x:c>
      <x:c r="K90" s="34"/>
      <x:c r="L90" s="34"/>
    </x:row>
    <x:row r="91">
      <x:c r="A91" s="34"/>
      <x:c r="B91" s="38"/>
      <x:c r="C91" s="34"/>
      <x:c r="D91" s="34"/>
      <x:c r="E91" s="34"/>
      <x:c r="F91" s="34"/>
      <x:c r="G91" s="38"/>
      <x:c r="H91" s="34"/>
      <x:c r="I91" s="38"/>
      <x:c r="J91" s="34" t="e">
        <x:f>IF(OR(G91="",H91="已完成"),0,MAX(0,项目驾驶舱!$B$3-G91))</x:f>
        <x:v>#NAME?</x:v>
      </x:c>
      <x:c r="K91" s="34"/>
      <x:c r="L91" s="34"/>
    </x:row>
    <x:row r="92">
      <x:c r="A92" s="34"/>
      <x:c r="B92" s="38"/>
      <x:c r="C92" s="34"/>
      <x:c r="D92" s="34"/>
      <x:c r="E92" s="34"/>
      <x:c r="F92" s="34"/>
      <x:c r="G92" s="38"/>
      <x:c r="H92" s="34"/>
      <x:c r="I92" s="38"/>
      <x:c r="J92" s="34" t="e">
        <x:f>IF(OR(G92="",H92="已完成"),0,MAX(0,项目驾驶舱!$B$3-G92))</x:f>
        <x:v>#NAME?</x:v>
      </x:c>
      <x:c r="K92" s="34"/>
      <x:c r="L92" s="34"/>
    </x:row>
    <x:row r="93">
      <x:c r="A93" s="34"/>
      <x:c r="B93" s="38"/>
      <x:c r="C93" s="34"/>
      <x:c r="D93" s="34"/>
      <x:c r="E93" s="34"/>
      <x:c r="F93" s="34"/>
      <x:c r="G93" s="38"/>
      <x:c r="H93" s="34"/>
      <x:c r="I93" s="38"/>
      <x:c r="J93" s="34" t="e">
        <x:f>IF(OR(G93="",H93="已完成"),0,MAX(0,项目驾驶舱!$B$3-G93))</x:f>
        <x:v>#NAME?</x:v>
      </x:c>
      <x:c r="K93" s="34"/>
      <x:c r="L93" s="34"/>
    </x:row>
    <x:row r="94">
      <x:c r="A94" s="34"/>
      <x:c r="B94" s="38"/>
      <x:c r="C94" s="34"/>
      <x:c r="D94" s="34"/>
      <x:c r="E94" s="34"/>
      <x:c r="F94" s="34"/>
      <x:c r="G94" s="38"/>
      <x:c r="H94" s="34"/>
      <x:c r="I94" s="38"/>
      <x:c r="J94" s="34" t="e">
        <x:f>IF(OR(G94="",H94="已完成"),0,MAX(0,项目驾驶舱!$B$3-G94))</x:f>
        <x:v>#NAME?</x:v>
      </x:c>
      <x:c r="K94" s="34"/>
      <x:c r="L94" s="34"/>
    </x:row>
    <x:row r="95">
      <x:c r="A95" s="34"/>
      <x:c r="B95" s="38"/>
      <x:c r="C95" s="34"/>
      <x:c r="D95" s="34"/>
      <x:c r="E95" s="34"/>
      <x:c r="F95" s="34"/>
      <x:c r="G95" s="38"/>
      <x:c r="H95" s="34"/>
      <x:c r="I95" s="38"/>
      <x:c r="J95" s="34" t="e">
        <x:f>IF(OR(G95="",H95="已完成"),0,MAX(0,项目驾驶舱!$B$3-G95))</x:f>
        <x:v>#NAME?</x:v>
      </x:c>
      <x:c r="K95" s="34"/>
      <x:c r="L95" s="34"/>
    </x:row>
    <x:row r="96">
      <x:c r="A96" s="34"/>
      <x:c r="B96" s="38"/>
      <x:c r="C96" s="34"/>
      <x:c r="D96" s="34"/>
      <x:c r="E96" s="34"/>
      <x:c r="F96" s="34"/>
      <x:c r="G96" s="38"/>
      <x:c r="H96" s="34"/>
      <x:c r="I96" s="38"/>
      <x:c r="J96" s="34" t="e">
        <x:f>IF(OR(G96="",H96="已完成"),0,MAX(0,项目驾驶舱!$B$3-G96))</x:f>
        <x:v>#NAME?</x:v>
      </x:c>
      <x:c r="K96" s="34"/>
      <x:c r="L96" s="34"/>
    </x:row>
    <x:row r="97">
      <x:c r="A97" s="34"/>
      <x:c r="B97" s="38"/>
      <x:c r="C97" s="34"/>
      <x:c r="D97" s="34"/>
      <x:c r="E97" s="34"/>
      <x:c r="F97" s="34"/>
      <x:c r="G97" s="38"/>
      <x:c r="H97" s="34"/>
      <x:c r="I97" s="38"/>
      <x:c r="J97" s="34" t="e">
        <x:f>IF(OR(G97="",H97="已完成"),0,MAX(0,项目驾驶舱!$B$3-G97))</x:f>
        <x:v>#NAME?</x:v>
      </x:c>
      <x:c r="K97" s="34"/>
      <x:c r="L97" s="34"/>
    </x:row>
    <x:row r="98">
      <x:c r="A98" s="34"/>
      <x:c r="B98" s="38"/>
      <x:c r="C98" s="34"/>
      <x:c r="D98" s="34"/>
      <x:c r="E98" s="34"/>
      <x:c r="F98" s="34"/>
      <x:c r="G98" s="38"/>
      <x:c r="H98" s="34"/>
      <x:c r="I98" s="38"/>
      <x:c r="J98" s="34" t="e">
        <x:f>IF(OR(G98="",H98="已完成"),0,MAX(0,项目驾驶舱!$B$3-G98))</x:f>
        <x:v>#NAME?</x:v>
      </x:c>
      <x:c r="K98" s="34"/>
      <x:c r="L98" s="34"/>
    </x:row>
    <x:row r="99">
      <x:c r="A99" s="34"/>
      <x:c r="B99" s="38"/>
      <x:c r="C99" s="34"/>
      <x:c r="D99" s="34"/>
      <x:c r="E99" s="34"/>
      <x:c r="F99" s="34"/>
      <x:c r="G99" s="38"/>
      <x:c r="H99" s="34"/>
      <x:c r="I99" s="38"/>
      <x:c r="J99" s="34" t="e">
        <x:f>IF(OR(G99="",H99="已完成"),0,MAX(0,项目驾驶舱!$B$3-G99))</x:f>
        <x:v>#NAME?</x:v>
      </x:c>
      <x:c r="K99" s="34"/>
      <x:c r="L99" s="34"/>
    </x:row>
    <x:row r="100">
      <x:c r="A100" s="34"/>
      <x:c r="B100" s="38"/>
      <x:c r="C100" s="34"/>
      <x:c r="D100" s="34"/>
      <x:c r="E100" s="34"/>
      <x:c r="F100" s="34"/>
      <x:c r="G100" s="38"/>
      <x:c r="H100" s="34"/>
      <x:c r="I100" s="38"/>
      <x:c r="J100" s="34" t="e">
        <x:f>IF(OR(G100="",H100="已完成"),0,MAX(0,项目驾驶舱!$B$3-G100))</x:f>
        <x:v>#NAME?</x:v>
      </x:c>
      <x:c r="K100" s="34"/>
      <x:c r="L100" s="34"/>
    </x:row>
    <x:row r="101">
      <x:c r="A101" s="34"/>
      <x:c r="B101" s="38"/>
      <x:c r="C101" s="34"/>
      <x:c r="D101" s="34"/>
      <x:c r="E101" s="34"/>
      <x:c r="F101" s="34"/>
      <x:c r="G101" s="38"/>
      <x:c r="H101" s="34"/>
      <x:c r="I101" s="38"/>
      <x:c r="J101" s="34" t="e">
        <x:f>IF(OR(G101="",H101="已完成"),0,MAX(0,项目驾驶舱!$B$3-G101))</x:f>
        <x:v>#NAME?</x:v>
      </x:c>
      <x:c r="K101" s="34"/>
      <x:c r="L101" s="34"/>
    </x:row>
    <x:row r="102">
      <x:c r="A102" s="34"/>
      <x:c r="B102" s="38"/>
      <x:c r="C102" s="34"/>
      <x:c r="D102" s="34"/>
      <x:c r="E102" s="34"/>
      <x:c r="F102" s="34"/>
      <x:c r="G102" s="38"/>
      <x:c r="H102" s="34"/>
      <x:c r="I102" s="38"/>
      <x:c r="J102" s="34" t="e">
        <x:f>IF(OR(G102="",H102="已完成"),0,MAX(0,项目驾驶舱!$B$3-G102))</x:f>
        <x:v>#NAME?</x:v>
      </x:c>
      <x:c r="K102" s="34"/>
      <x:c r="L102" s="34"/>
    </x:row>
    <x:row r="103">
      <x:c r="A103" s="34"/>
      <x:c r="B103" s="38"/>
      <x:c r="C103" s="34"/>
      <x:c r="D103" s="34"/>
      <x:c r="E103" s="34"/>
      <x:c r="F103" s="34"/>
      <x:c r="G103" s="38"/>
      <x:c r="H103" s="34"/>
      <x:c r="I103" s="38"/>
      <x:c r="J103" s="34" t="e">
        <x:f>IF(OR(G103="",H103="已完成"),0,MAX(0,项目驾驶舱!$B$3-G103))</x:f>
        <x:v>#NAME?</x:v>
      </x:c>
      <x:c r="K103" s="34"/>
      <x:c r="L103" s="34"/>
    </x:row>
  </x:sheetData>
  <x:mergeCells>
    <x:mergeCell ref="A1:L1"/>
  </x:mergeCells>
  <x:conditionalFormatting sqref="H4:H103">
    <x:cfRule type="containsText" dxfId="0" priority="1" operator="between" text="已完成">
      <x:formula>NOT(ISERROR(SEARCH("已完成",H4)))</x:formula>
    </x:cfRule>
    <x:cfRule type="containsText" dxfId="1" priority="2" operator="between" text="进行中">
      <x:formula>NOT(ISERROR(SEARCH("进行中",H4)))</x:formula>
    </x:cfRule>
    <x:cfRule type="containsText" dxfId="2" priority="3" operator="between" text="未开始">
      <x:formula>NOT(ISERROR(SEARCH("未开始",H4)))</x:formula>
    </x:cfRule>
    <x:cfRule type="containsText" dxfId="3" priority="4" operator="between" text="暂停">
      <x:formula>NOT(ISERROR(SEARCH("暂停",H4)))</x:formula>
    </x:cfRule>
  </x:conditionalFormatting>
  <x:dataValidations count="2">
    <x:dataValidation type="list" sqref="H4:H103">
      <x:formula1>"未开始,进行中,已完成,取消"</x:formula1>
    </x:dataValidation>
    <x:dataValidation type="list" sqref="K4:K103">
      <x:formula1>"低,中,高"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8" style="1" customWidth="1"/>
    <x:col min="2" max="2" width="100" style="1" customWidth="1"/>
  </x:cols>
  <x:sheetData>
    <x:row r="1" ht="34" customHeight="1">
      <x:c r="A1" s="32" t="s">
        <x:v>1377</x:v>
      </x:c>
      <x:c r="B1" s="3"/>
      <x:c r="C1" s="3"/>
      <x:c r="D1" s="3"/>
      <x:c r="E1" s="3"/>
      <x:c r="F1" s="3"/>
      <x:c r="G1" s="3"/>
      <x:c r="H1" s="4"/>
    </x:row>
    <x:row r="3" ht="48" customHeight="1">
      <x:c r="A3" s="33" t="s">
        <x:v>1378</x:v>
      </x:c>
      <x:c r="B3" s="34" t="s">
        <x:v>1379</x:v>
      </x:c>
    </x:row>
    <x:row r="4" ht="48" customHeight="1">
      <x:c r="A4" s="33" t="s">
        <x:v>1380</x:v>
      </x:c>
      <x:c r="B4" s="34" t="s">
        <x:v>1381</x:v>
      </x:c>
    </x:row>
    <x:row r="5" ht="48" customHeight="1">
      <x:c r="A5" s="33" t="s">
        <x:v>1382</x:v>
      </x:c>
      <x:c r="B5" s="34" t="str">
        <x:v>合同全生命周期管理系统案例数据；以V2模板结构为基线形成V3。</x:v>
      </x:c>
    </x:row>
    <x:row r="6" ht="48" customHeight="1">
      <x:c r="A6" s="33" t="s">
        <x:v>1383</x:v>
      </x:c>
      <x:c r="B6" s="34" t="str">
        <x:v>V3首版总控台账包含24条合同系统核心任务，后续从项目数据中心和inputs目录增量更新。</x:v>
      </x:c>
    </x:row>
    <x:row r="7" ht="48" customHeight="1">
      <x:c r="A7" s="33" t="s">
        <x:v>0</x:v>
      </x:c>
      <x:c r="B7" s="34" t="s">
        <x:v>1384</x:v>
      </x:c>
    </x:row>
    <x:row r="8" ht="48" customHeight="1">
      <x:c r="A8" s="33" t="s">
        <x:v>1385</x:v>
      </x:c>
      <x:c r="B8" s="34" t="s">
        <x:v>1386</x:v>
      </x:c>
    </x:row>
    <x:row r="9" ht="48" customHeight="1">
      <x:c r="A9" s="33" t="s">
        <x:v>1387</x:v>
      </x:c>
      <x:c r="B9" s="34" t="s">
        <x:v>1388</x:v>
      </x:c>
    </x:row>
    <x:row r="10" ht="48" customHeight="1">
      <x:c r="A10" s="33" t="s">
        <x:v>1389</x:v>
      </x:c>
      <x:c r="B10" s="34" t="s">
        <x:v>1390</x:v>
      </x:c>
    </x:row>
    <x:row r="11" ht="48" customHeight="1">
      <x:c r="A11" s="33" t="s">
        <x:v>68</x:v>
      </x:c>
      <x:c r="B11" s="34" t="s">
        <x:v>1391</x:v>
      </x:c>
    </x:row>
    <x:row r="12" ht="48" customHeight="1">
      <x:c r="A12" s="33" t="s">
        <x:v>1392</x:v>
      </x:c>
      <x:c r="B12" s="34" t="s">
        <x:v>1393</x:v>
      </x:c>
    </x:row>
    <x:row r="13" ht="48" customHeight="1">
      <x:c r="A13" s="33" t="s">
        <x:v>1394</x:v>
      </x:c>
      <x:c r="B13" s="34" t="s">
        <x:v>1395</x:v>
      </x:c>
    </x:row>
    <x:row r="14" ht="48" customHeight="1">
      <x:c r="A14" s="33" t="s">
        <x:v>1396</x:v>
      </x:c>
      <x:c r="B14" s="34" t="s">
        <x:v>1397</x:v>
      </x:c>
    </x:row>
    <x:row r="15" ht="48" customHeight="1">
      <x:c r="A15" s="33" t="s">
        <x:v>186</x:v>
      </x:c>
      <x:c r="B15" s="34" t="s">
        <x:v>1398</x:v>
      </x:c>
    </x:row>
    <x:row r="16" ht="48" customHeight="1">
      <x:c r="A16" s="33" t="s">
        <x:v>1399</x:v>
      </x:c>
      <x:c r="B16" s="34" t="s">
        <x:v>1400</x:v>
      </x:c>
    </x:row>
    <x:row r="17" ht="48" customHeight="1">
      <x:c r="A17" s="33" t="s">
        <x:v>1401</x:v>
      </x:c>
      <x:c r="B17" s="34" t="s">
        <x:v>1402</x:v>
      </x:c>
    </x:row>
    <x:row r="18" ht="52" customHeight="1">
      <x:c r="A18" s="35" t="s">
        <x:v>28</x:v>
      </x:c>
      <x:c r="B18" s="8" t="s">
        <x:v>1403</x:v>
      </x:c>
      <x:c r="C18" s="8"/>
      <x:c r="D18" s="8"/>
      <x:c r="E18" s="8"/>
      <x:c r="F18" s="8"/>
      <x:c r="G18" s="8"/>
      <x:c r="H18" s="8"/>
    </x:row>
    <x:row r="19" ht="62" customHeight="1">
      <x:c r="A19" s="36" t="s">
        <x:v>1404</x:v>
      </x:c>
      <x:c r="B19" s="31" t="s">
        <x:v>1405</x:v>
      </x:c>
      <x:c r="C19" s="31"/>
      <x:c r="D19" s="31"/>
      <x:c r="E19" s="31"/>
      <x:c r="F19" s="31"/>
      <x:c r="G19" s="31"/>
      <x:c r="H19" s="31"/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5" style="1" customWidth="1"/>
    <x:col min="2" max="2" width="12" style="1" customWidth="1"/>
    <x:col min="3" max="3" width="24" style="1" customWidth="1"/>
    <x:col min="4" max="4" width="26" style="1" customWidth="1"/>
    <x:col min="5" max="5" width="32" style="1" customWidth="1"/>
    <x:col min="6" max="6" width="16" style="1" customWidth="1"/>
    <x:col min="7" max="7" width="3" style="1" customWidth="1"/>
    <x:col min="8" max="8" width="14" style="1" customWidth="1"/>
    <x:col min="9" max="12" width="12" style="1" customWidth="1"/>
  </x:cols>
  <x:sheetData>
    <x:row r="1" ht="28" customHeight="1">
      <x:c r="A1" s="2" t="s">
        <x:v>1406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1407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6" t="s">
        <x:v>1408</x:v>
      </x:c>
      <x:c r="B4" s="26" t="e">
        <x:f>项目驾驶舱!B3</x:f>
        <x:v>#NAME?</x:v>
      </x:c>
      <x:c r="D4" s="6" t="s">
        <x:v>1409</x:v>
      </x:c>
      <x:c r="E4" s="27" t="s">
        <x:v>1410</x:v>
      </x:c>
      <x:c r="G4" s="6" t="s">
        <x:v>1411</x:v>
      </x:c>
      <x:c r="H4" s="27" t="s">
        <x:v>1412</x:v>
      </x:c>
      <x:c r="I4" s="3"/>
      <x:c r="J4" s="3"/>
      <x:c r="K4" s="3"/>
      <x:c r="L4" s="4"/>
    </x:row>
    <x:row r="6">
      <x:c r="A6" s="28" t="s">
        <x:v>1413</x:v>
      </x:c>
      <x:c r="B6" s="4"/>
      <x:c r="D6" s="28" t="s">
        <x:v>1414</x:v>
      </x:c>
      <x:c r="E6" s="4"/>
      <x:c r="G6" s="28" t="s">
        <x:v>1415</x:v>
      </x:c>
      <x:c r="H6" s="4"/>
      <x:c r="J6" s="28" t="s">
        <x:v>1416</x:v>
      </x:c>
      <x:c r="K6" s="4"/>
    </x:row>
    <x:row r="7" ht="26" customHeight="1">
      <x:c r="A7" s="29" t="e">
        <x:f>COUNTIF(项目总控台账!$A$4:$A$148,"&lt;&gt;")</x:f>
        <x:v>#NAME?</x:v>
      </x:c>
      <x:c r="B7" s="4"/>
      <x:c r="D7" s="29" t="e">
        <x:f>COUNTIF(项目总控台账!$G$4:$G$148,"已完成")</x:f>
        <x:v>#NAME?</x:v>
      </x:c>
      <x:c r="E7" s="4"/>
      <x:c r="G7" s="29" t="e">
        <x:f>COUNTIF(项目总控台账!$AC$4:$AC$148,"已延期")+COUNTIF(项目总控台账!$AC$4:$AC$148,"延期")</x:f>
        <x:v>#NAME?</x:v>
      </x:c>
      <x:c r="H7" s="4"/>
      <x:c r="J7" s="29" t="e">
        <x:f>COUNTIFS(项目总控台账!$J$4:$J$148,"&gt;="&amp;项目驾驶舱!$B$3,项目总控台账!$J$4:$J$148,"&lt;="&amp;项目驾驶舱!$B$3+14,项目总控台账!$G$4:$G$148,"&lt;&gt;已完成")</x:f>
        <x:v>#NAME?</x:v>
      </x:c>
      <x:c r="K7" s="4"/>
    </x:row>
    <x:row r="9">
      <x:c r="A9" s="28" t="s">
        <x:v>1417</x:v>
      </x:c>
      <x:c r="B9" s="4"/>
      <x:c r="D9" s="28" t="s">
        <x:v>1418</x:v>
      </x:c>
      <x:c r="E9" s="4"/>
      <x:c r="G9" s="28" t="s">
        <x:v>1419</x:v>
      </x:c>
      <x:c r="H9" s="4"/>
      <x:c r="J9" s="28" t="s">
        <x:v>1420</x:v>
      </x:c>
      <x:c r="K9" s="4"/>
    </x:row>
    <x:row r="10" ht="26" customHeight="1">
      <x:c r="A10" s="29" t="e">
        <x:f>COUNTIFS(风险问题台账!$D$4:$D$102,"高",风险问题台账!$K$4:$K$102,"&lt;&gt;已关闭")</x:f>
        <x:v>#NAME?</x:v>
      </x:c>
      <x:c r="B10" s="4"/>
      <x:c r="D10" s="29" t="e">
        <x:f>COUNTIF(风险问题台账!$M$4:$M$102,"是")</x:f>
        <x:v>#NAME?</x:v>
      </x:c>
      <x:c r="E10" s="4"/>
      <x:c r="G10" s="29" t="e">
        <x:f>COUNTIFS(会议行动项!$J$4:$J$102,"&gt;0",会议行动项!$H$4:$H$102,"&lt;&gt;已完成")</x:f>
        <x:v>#NAME?</x:v>
      </x:c>
      <x:c r="H10" s="4"/>
      <x:c r="J10" s="29" t="e">
        <x:f>COUNTIF(数据质量检查!$H$5:$H$149,"需整改")</x:f>
        <x:v>#NAME?</x:v>
      </x:c>
      <x:c r="K10" s="4"/>
    </x:row>
    <x:row r="13" ht="17.600000381469727" customHeight="1">
      <x:c r="A13" s="23" t="s">
        <x:v>1421</x:v>
      </x:c>
      <x:c r="H13" s="23" t="s">
        <x:v>1422</x:v>
      </x:c>
    </x:row>
    <x:row r="14" ht="28" customHeight="1">
      <x:c r="A14" s="7" t="s">
        <x:v>1423</x:v>
      </x:c>
      <x:c r="B14" s="7" t="s">
        <x:v>20</x:v>
      </x:c>
      <x:c r="C14" s="7" t="s">
        <x:v>1424</x:v>
      </x:c>
      <x:c r="D14" s="7" t="s">
        <x:v>1425</x:v>
      </x:c>
      <x:c r="E14" s="7" t="s">
        <x:v>1426</x:v>
      </x:c>
      <x:c r="F14" s="7" t="s">
        <x:v>1427</x:v>
      </x:c>
      <x:c r="H14" s="30" t="s">
        <x:v>20</x:v>
      </x:c>
      <x:c r="I14" s="30" t="s">
        <x:v>1428</x:v>
      </x:c>
    </x:row>
    <x:row r="15">
      <x:c r="A15" s="8" t="s">
        <x:v>1429</x:v>
      </x:c>
      <x:c r="B15" s="8" t="e">
        <x:f>IF(COUNTIF(项目总控台账!$AC$4:$AC$148,"*延期*")&gt;=5,"红",IF(OR(COUNTIF(项目总控台账!$AC$4:$AC$148,"*延期*")&gt;0,COUNTIF(项目总控台账!$G$4:$G$148,"暂停")&gt;0),"黄","绿"))</x:f>
        <x:v>#NAME?</x:v>
      </x:c>
      <x:c r="C15" s="8" t="e">
        <x:f>COUNTIF(项目总控台账!$AC$4:$AC$148,"*延期*")&amp;"项任务延期；"&amp;COUNTIF(项目总控台账!$G$4:$G$148,"暂停")&amp;"项任务暂停"</x:f>
        <x:v>#NAME?</x:v>
      </x:c>
      <x:c r="D15" s="8" t="s">
        <x:v>1430</x:v>
      </x:c>
      <x:c r="E15" s="8" t="s">
        <x:v>1431</x:v>
      </x:c>
      <x:c r="F15" s="8" t="s">
        <x:v>124</x:v>
      </x:c>
      <x:c r="H15" s="6" t="s">
        <x:v>1432</x:v>
      </x:c>
      <x:c r="I15" s="6" t="n">
        <x:f>COUNTIF($B$15:$B$20,H15)</x:f>
        <x:v>0</x:v>
      </x:c>
    </x:row>
    <x:row r="16">
      <x:c r="A16" s="8" t="s">
        <x:v>1281</x:v>
      </x:c>
      <x:c r="B16" s="8" t="e">
        <x:f>IF(COUNTIFS(风险问题台账!$D$4:$D$102,"高",风险问题台账!$K$4:$K$102,"&lt;&gt;已关闭")&gt;=3,"红",IF(COUNTIFS(风险问题台账!$D$4:$D$102,"高",风险问题台账!$K$4:$K$102,"&lt;&gt;已关闭")&gt;0,"黄","绿"))</x:f>
        <x:v>#NAME?</x:v>
      </x:c>
      <x:c r="C16" s="8" t="e">
        <x:f>COUNTIFS(风险问题台账!$D$4:$D$102,"高",风险问题台账!$K$4:$K$102,"&lt;&gt;已关闭")&amp;"项高风险未关闭"</x:f>
        <x:v>#NAME?</x:v>
      </x:c>
      <x:c r="D16" s="8" t="s">
        <x:v>1433</x:v>
      </x:c>
      <x:c r="E16" s="8" t="s">
        <x:v>1434</x:v>
      </x:c>
      <x:c r="F16" s="8" t="s">
        <x:v>149</x:v>
      </x:c>
      <x:c r="H16" s="6" t="s">
        <x:v>1435</x:v>
      </x:c>
      <x:c r="I16" s="6" t="n">
        <x:f>COUNTIF($B$15:$B$20,H16)</x:f>
        <x:v>0</x:v>
      </x:c>
    </x:row>
    <x:row r="17">
      <x:c r="A17" s="8" t="s">
        <x:v>1436</x:v>
      </x:c>
      <x:c r="B17" s="8" t="e">
        <x:f>IF(COUNTIFS(会议行动项!$J$4:$J$102,"&gt;7",会议行动项!$H$4:$H$102,"&lt;&gt;已完成")&gt;0,"红",IF(COUNTIFS(会议行动项!$J$4:$J$102,"&gt;0",会议行动项!$H$4:$H$102,"&lt;&gt;已完成")&gt;0,"黄","绿"))</x:f>
        <x:v>#NAME?</x:v>
      </x:c>
      <x:c r="C17" s="8" t="e">
        <x:f>COUNTIFS(会议行动项!$J$4:$J$102,"&gt;0",会议行动项!$H$4:$H$102,"&lt;&gt;已完成")&amp;"项行动逾期"</x:f>
        <x:v>#NAME?</x:v>
      </x:c>
      <x:c r="D17" s="8" t="s">
        <x:v>1437</x:v>
      </x:c>
      <x:c r="E17" s="8" t="s">
        <x:v>1438</x:v>
      </x:c>
      <x:c r="F17" s="8" t="s">
        <x:v>159</x:v>
      </x:c>
      <x:c r="H17" s="6" t="s">
        <x:v>1439</x:v>
      </x:c>
      <x:c r="I17" s="6" t="n">
        <x:f>COUNTIF($B$15:$B$20,H17)</x:f>
        <x:v>0</x:v>
      </x:c>
    </x:row>
    <x:row r="18">
      <x:c r="A18" s="8" t="s">
        <x:v>1440</x:v>
      </x:c>
      <x:c r="B18" s="8" t="e">
        <x:f>IF(COUNTIF(数据质量检查!$H$5:$H$149,"需整改")&gt;=10,"红",IF(COUNTIF(数据质量检查!$H$5:$H$149,"需整改")&gt;0,"黄","绿"))</x:f>
        <x:v>#NAME?</x:v>
      </x:c>
      <x:c r="C18" s="8" t="e">
        <x:f>COUNTIF(数据质量检查!$H$5:$H$149,"需整改")&amp;"条数据需整改"</x:f>
        <x:v>#NAME?</x:v>
      </x:c>
      <x:c r="D18" s="8" t="s">
        <x:v>1441</x:v>
      </x:c>
      <x:c r="E18" s="8" t="s">
        <x:v>1442</x:v>
      </x:c>
      <x:c r="F18" s="8" t="s">
        <x:v>1443</x:v>
      </x:c>
      <x:c r="H18" s="6" t="s">
        <x:v>1444</x:v>
      </x:c>
      <x:c r="I18" s="6" t="n">
        <x:f>COUNTIF($B$15:$B$20,H18)</x:f>
        <x:v>0</x:v>
      </x:c>
    </x:row>
    <x:row r="19" ht="31" customHeight="1">
      <x:c r="A19" s="8" t="s">
        <x:v>1445</x:v>
      </x:c>
      <x:c r="B19" s="8" t="e">
        <x:f>IF(COUNTIFS(相关方管理!$H$9:$H$108,"高",相关方管理!$J$9:$J$108,"抵触")+COUNTIFS(相关方管理!$H$9:$H$108,"高",相关方管理!$J$9:$J$108,"不支持")&gt;0,"红",IF(COUNTIFS(相关方管理!$L$9:$L$108,"&gt;0")+COUNTIFS(相关方管理!$T$9:$T$108,"&lt;"&amp;项目驾驶舱!$B$3,相关方管理!$T$9:$T$108,"&lt;&gt;")&gt;0,"黄","绿"))</x:f>
        <x:v>#NAME?</x:v>
      </x:c>
      <x:c r="C19" s="8" t="e">
        <x:f>COUNTIFS(相关方管理!$L$9:$L$108,"&gt;0")&amp;"人存在支持差距；"&amp;COUNTIFS(相关方管理!$Z$9:$Z$108,"是")&amp;"项需升级"</x:f>
        <x:v>#NAME?</x:v>
      </x:c>
      <x:c r="D19" s="8" t="s">
        <x:v>1446</x:v>
      </x:c>
      <x:c r="E19" s="8" t="s">
        <x:v>1447</x:v>
      </x:c>
      <x:c r="F19" s="8" t="s">
        <x:v>124</x:v>
      </x:c>
    </x:row>
    <x:row r="20" ht="34">
      <x:c r="A20" s="31" t="s">
        <x:v>1448</x:v>
      </x:c>
      <x:c r="B20" s="31" t="e">
        <x:f>IF(COUNTIFS(风险登记册!$AH$9:$AH$108,"重大")&gt;0,"红",IF(COUNTIFS(风险登记册!$AH$9:$AH$108,"高")+COUNTIFS(风险应对计划!$Q$5:$Q$104,"是")&gt;0,"黄","绿"))</x:f>
        <x:v>#NAME?</x:v>
      </x:c>
      <x:c r="C20" s="31" t="e">
        <x:f>COUNTIFS(风险登记册!$AH$9:$AH$108,"重大")&amp;"项重大剩余风险；"&amp;COUNTIFS(风险应对计划!$Q$5:$Q$104,"是")&amp;"项应对逾期"</x:f>
        <x:v>#NAME?</x:v>
      </x:c>
      <x:c r="D20" s="31" t="s">
        <x:v>1449</x:v>
      </x:c>
      <x:c r="E20" s="31" t="s">
        <x:v>1450</x:v>
      </x:c>
      <x:c r="F20" s="31" t="s">
        <x:v>159</x:v>
      </x:c>
    </x:row>
  </x:sheetData>
  <x:mergeCells>
    <x:mergeCell ref="A1:L1"/>
    <x:mergeCell ref="A2:L2"/>
    <x:mergeCell ref="H4:L4"/>
    <x:mergeCell ref="A6:B6"/>
    <x:mergeCell ref="D6:E6"/>
    <x:mergeCell ref="G6:H6"/>
    <x:mergeCell ref="J6:K6"/>
    <x:mergeCell ref="A7:B7"/>
    <x:mergeCell ref="D7:E7"/>
    <x:mergeCell ref="G7:H7"/>
    <x:mergeCell ref="J7:K7"/>
    <x:mergeCell ref="A9:B9"/>
    <x:mergeCell ref="D9:E9"/>
    <x:mergeCell ref="G9:H9"/>
    <x:mergeCell ref="J9:K9"/>
    <x:mergeCell ref="A10:B10"/>
    <x:mergeCell ref="D10:E10"/>
    <x:mergeCell ref="G10:H10"/>
    <x:mergeCell ref="J10:K10"/>
  </x:mergeCells>
  <x:conditionalFormatting sqref="B15:B18">
    <x:cfRule type="expression" dxfId="6" priority="1">
      <x:formula>$B5="红"</x:formula>
    </x:cfRule>
    <x:cfRule type="expression" dxfId="7" priority="2">
      <x:formula>$B5="黄"</x:formula>
    </x:cfRule>
    <x:cfRule type="expression" dxfId="13" priority="3">
      <x:formula>$B5="绿"</x:formula>
    </x:cfRule>
    <x:cfRule type="expression" dxfId="14" priority="4">
      <x:formula>$B5="灰"</x:formula>
    </x:cfRule>
  </x:conditionalFormatting>
  <x:pageMargins left="0.7" right="0.7" top="0.75" bottom="0.75" header="0.3" footer="0.3"/>
  <x:drawing xmlns:r="http://schemas.openxmlformats.org/officeDocument/2006/relationships" r:id="R585953b3708545f3"/>
</x:worksheet>
</file>

<file path=xl/worksheets/sheet20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6" style="1" customWidth="1"/>
    <x:col min="2" max="2" width="12" style="1" customWidth="1"/>
    <x:col min="3" max="3" width="28" style="1" customWidth="1"/>
    <x:col min="4" max="4" width="16" style="1" customWidth="1"/>
    <x:col min="5" max="6" width="13" style="1" customWidth="1"/>
    <x:col min="7" max="7" width="38" style="1" customWidth="1"/>
    <x:col min="8" max="8" width="12" style="1" customWidth="1"/>
    <x:col min="9" max="9" width="32" style="1" customWidth="1"/>
    <x:col min="10" max="10" width="10" style="1" customWidth="1"/>
  </x:cols>
  <x:sheetData>
    <x:row r="1" ht="28" customHeight="1">
      <x:c r="A1" s="2" t="s">
        <x:v>1451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2" customHeight="1">
      <x:c r="A2" s="5" t="s">
        <x:v>1452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8" customHeight="1">
      <x:c r="A4" s="7" t="s">
        <x:v>1453</x:v>
      </x:c>
      <x:c r="B4" s="7" t="s">
        <x:v>1454</x:v>
      </x:c>
      <x:c r="C4" s="7" t="s">
        <x:v>355</x:v>
      </x:c>
      <x:c r="D4" s="7" t="s">
        <x:v>323</x:v>
      </x:c>
      <x:c r="E4" s="7" t="s">
        <x:v>46</x:v>
      </x:c>
      <x:c r="F4" s="7" t="s">
        <x:v>47</x:v>
      </x:c>
      <x:c r="G4" s="7" t="s">
        <x:v>1455</x:v>
      </x:c>
      <x:c r="H4" s="7" t="s">
        <x:v>1456</x:v>
      </x:c>
      <x:c r="I4" s="7" t="s">
        <x:v>1426</x:v>
      </x:c>
      <x:c r="J4" s="7" t="s">
        <x:v>1457</x:v>
      </x:c>
    </x:row>
    <x:row r="5">
      <x:c r="A5" s="8" t="s">
        <x:v>1458</x:v>
      </x:c>
      <x:c r="B5" s="8" t="e">
        <x:f>项目总控台账!A4</x:f>
        <x:v>#NAME?</x:v>
      </x:c>
      <x:c r="C5" s="8" t="e">
        <x:f>IF(AND(项目总控台账!E4&lt;&gt;"",项目总控台账!E4&lt;&gt;"/"),项目总控台账!E4,IF(AND(项目总控台账!D4&lt;&gt;"",项目总控台账!D4&lt;&gt;"/"),项目总控台账!D4,项目总控台账!C4))</x:f>
        <x:v>#NAME?</x:v>
      </x:c>
      <x:c r="D5" s="8" t="e">
        <x:f>项目总控台账!H4</x:f>
        <x:v>#NAME?</x:v>
      </x:c>
      <x:c r="E5" s="25" t="e">
        <x:f>项目总控台账!I4</x:f>
        <x:v>#NAME?</x:v>
      </x:c>
      <x:c r="F5" s="25" t="e">
        <x:f>项目总控台账!J4</x:f>
        <x:v>#NAME?</x:v>
      </x:c>
      <x:c r="G5" s="8" t="e">
        <x:f>IF(B5="","",IF(OR(C5="",C5="/"),"缺少任务名称；","")&amp;IF(OR(D5="",D5="/"),"缺少有效主责人；","")&amp;IF(OR(E5="",E5&lt;DATE(2000,1,1)),"缺少有效计划开始；","")&amp;IF(OR(F5="",F5&lt;DATE(2000,1,1)),"缺少有效计划完成；","")&amp;IF(项目总控台账!G4="","缺少总体状态；","")&amp;IF(AND(ISNUMBER(E5),ISNUMBER(F5),E5&gt;=DATE(2000,1,1),F5&gt;=DATE(2000,1,1),E5&gt;F5),"开始晚于完成；","")&amp;IF(AND(项目总控台账!G4="已完成",项目总控台账!AB4&lt;1),"已完成但进度不足100%；",""))</x:f>
        <x:v>#NAME?</x:v>
      </x:c>
      <x:c r="H5" s="8" t="e">
        <x:f t="shared" ref="H5:H68" si="0">IF(B5="","",IF(G5="","通过","需整改"))</x:f>
        <x:v>#NAME?</x:v>
      </x:c>
      <x:c r="I5" s="8" t="e">
        <x:f t="shared" ref="I5:I68" si="1">IF(H5="需整改","回到项目总控台账第"&amp;J5&amp;"行补齐或修正","无需处理")</x:f>
        <x:v>#NAME?</x:v>
      </x:c>
      <x:c r="J5" s="8">
        <x:v>4</x:v>
      </x:c>
    </x:row>
    <x:row r="6">
      <x:c r="A6" s="8" t="s">
        <x:v>1458</x:v>
      </x:c>
      <x:c r="B6" s="8" t="e">
        <x:f>项目总控台账!A5</x:f>
        <x:v>#NAME?</x:v>
      </x:c>
      <x:c r="C6" s="8" t="e">
        <x:f>IF(AND(项目总控台账!E5&lt;&gt;"",项目总控台账!E5&lt;&gt;"/"),项目总控台账!E5,IF(AND(项目总控台账!D5&lt;&gt;"",项目总控台账!D5&lt;&gt;"/"),项目总控台账!D5,项目总控台账!C5))</x:f>
        <x:v>#NAME?</x:v>
      </x:c>
      <x:c r="D6" s="8" t="e">
        <x:f>项目总控台账!H5</x:f>
        <x:v>#NAME?</x:v>
      </x:c>
      <x:c r="E6" s="25" t="e">
        <x:f>项目总控台账!I5</x:f>
        <x:v>#NAME?</x:v>
      </x:c>
      <x:c r="F6" s="25" t="e">
        <x:f>项目总控台账!J5</x:f>
        <x:v>#NAME?</x:v>
      </x:c>
      <x:c r="G6" s="8" t="e">
        <x:f>IF(B6="","",IF(OR(C6="",C6="/"),"缺少任务名称；","")&amp;IF(OR(D6="",D6="/"),"缺少有效主责人；","")&amp;IF(OR(E6="",E6&lt;DATE(2000,1,1)),"缺少有效计划开始；","")&amp;IF(OR(F6="",F6&lt;DATE(2000,1,1)),"缺少有效计划完成；","")&amp;IF(项目总控台账!G5="","缺少总体状态；","")&amp;IF(AND(ISNUMBER(E6),ISNUMBER(F6),E6&gt;=DATE(2000,1,1),F6&gt;=DATE(2000,1,1),E6&gt;F6),"开始晚于完成；","")&amp;IF(AND(项目总控台账!G5="已完成",项目总控台账!AB5&lt;1),"已完成但进度不足100%；",""))</x:f>
        <x:v>#NAME?</x:v>
      </x:c>
      <x:c r="H6" s="8" t="str">
        <x:f t="shared" si="0"/>
        <x:v>通过</x:v>
      </x:c>
      <x:c r="I6" s="8" t="str">
        <x:f t="shared" si="1"/>
        <x:v>无需处理</x:v>
      </x:c>
      <x:c r="J6" s="8">
        <x:v>5</x:v>
      </x:c>
    </x:row>
    <x:row r="7">
      <x:c r="A7" s="8" t="s">
        <x:v>1458</x:v>
      </x:c>
      <x:c r="B7" s="8" t="e">
        <x:f>项目总控台账!A6</x:f>
        <x:v>#NAME?</x:v>
      </x:c>
      <x:c r="C7" s="8" t="e">
        <x:f>IF(AND(项目总控台账!E6&lt;&gt;"",项目总控台账!E6&lt;&gt;"/"),项目总控台账!E6,IF(AND(项目总控台账!D6&lt;&gt;"",项目总控台账!D6&lt;&gt;"/"),项目总控台账!D6,项目总控台账!C6))</x:f>
        <x:v>#NAME?</x:v>
      </x:c>
      <x:c r="D7" s="8" t="e">
        <x:f>项目总控台账!H6</x:f>
        <x:v>#NAME?</x:v>
      </x:c>
      <x:c r="E7" s="25" t="e">
        <x:f>项目总控台账!I6</x:f>
        <x:v>#NAME?</x:v>
      </x:c>
      <x:c r="F7" s="25" t="e">
        <x:f>项目总控台账!J6</x:f>
        <x:v>#NAME?</x:v>
      </x:c>
      <x:c r="G7" s="8" t="e">
        <x:f>IF(B7="","",IF(OR(C7="",C7="/"),"缺少任务名称；","")&amp;IF(OR(D7="",D7="/"),"缺少有效主责人；","")&amp;IF(OR(E7="",E7&lt;DATE(2000,1,1)),"缺少有效计划开始；","")&amp;IF(OR(F7="",F7&lt;DATE(2000,1,1)),"缺少有效计划完成；","")&amp;IF(项目总控台账!G6="","缺少总体状态；","")&amp;IF(AND(ISNUMBER(E7),ISNUMBER(F7),E7&gt;=DATE(2000,1,1),F7&gt;=DATE(2000,1,1),E7&gt;F7),"开始晚于完成；","")&amp;IF(AND(项目总控台账!G6="已完成",项目总控台账!AB6&lt;1),"已完成但进度不足100%；",""))</x:f>
        <x:v>#NAME?</x:v>
      </x:c>
      <x:c r="H7" s="8" t="str">
        <x:f t="shared" si="0"/>
        <x:v>通过</x:v>
      </x:c>
      <x:c r="I7" s="8" t="str">
        <x:f t="shared" si="1"/>
        <x:v>无需处理</x:v>
      </x:c>
      <x:c r="J7" s="8">
        <x:v>6</x:v>
      </x:c>
    </x:row>
    <x:row r="8">
      <x:c r="A8" s="8" t="s">
        <x:v>1458</x:v>
      </x:c>
      <x:c r="B8" s="8" t="e">
        <x:f>项目总控台账!A7</x:f>
        <x:v>#NAME?</x:v>
      </x:c>
      <x:c r="C8" s="8" t="e">
        <x:f>IF(AND(项目总控台账!E7&lt;&gt;"",项目总控台账!E7&lt;&gt;"/"),项目总控台账!E7,IF(AND(项目总控台账!D7&lt;&gt;"",项目总控台账!D7&lt;&gt;"/"),项目总控台账!D7,项目总控台账!C7))</x:f>
        <x:v>#NAME?</x:v>
      </x:c>
      <x:c r="D8" s="8" t="e">
        <x:f>项目总控台账!H7</x:f>
        <x:v>#NAME?</x:v>
      </x:c>
      <x:c r="E8" s="25" t="e">
        <x:f>项目总控台账!I7</x:f>
        <x:v>#NAME?</x:v>
      </x:c>
      <x:c r="F8" s="25" t="e">
        <x:f>项目总控台账!J7</x:f>
        <x:v>#NAME?</x:v>
      </x:c>
      <x:c r="G8" s="8" t="e">
        <x:f>IF(B8="","",IF(OR(C8="",C8="/"),"缺少任务名称；","")&amp;IF(OR(D8="",D8="/"),"缺少有效主责人；","")&amp;IF(OR(E8="",E8&lt;DATE(2000,1,1)),"缺少有效计划开始；","")&amp;IF(OR(F8="",F8&lt;DATE(2000,1,1)),"缺少有效计划完成；","")&amp;IF(项目总控台账!G7="","缺少总体状态；","")&amp;IF(AND(ISNUMBER(E8),ISNUMBER(F8),E8&gt;=DATE(2000,1,1),F8&gt;=DATE(2000,1,1),E8&gt;F8),"开始晚于完成；","")&amp;IF(AND(项目总控台账!G7="已完成",项目总控台账!AB7&lt;1),"已完成但进度不足100%；",""))</x:f>
        <x:v>#NAME?</x:v>
      </x:c>
      <x:c r="H8" s="8" t="str">
        <x:f t="shared" si="0"/>
        <x:v>通过</x:v>
      </x:c>
      <x:c r="I8" s="8" t="str">
        <x:f t="shared" si="1"/>
        <x:v>无需处理</x:v>
      </x:c>
      <x:c r="J8" s="8">
        <x:v>7</x:v>
      </x:c>
    </x:row>
    <x:row r="9">
      <x:c r="A9" s="8" t="s">
        <x:v>1458</x:v>
      </x:c>
      <x:c r="B9" s="8" t="e">
        <x:f>项目总控台账!A8</x:f>
        <x:v>#NAME?</x:v>
      </x:c>
      <x:c r="C9" s="8" t="e">
        <x:f>IF(AND(项目总控台账!E8&lt;&gt;"",项目总控台账!E8&lt;&gt;"/"),项目总控台账!E8,IF(AND(项目总控台账!D8&lt;&gt;"",项目总控台账!D8&lt;&gt;"/"),项目总控台账!D8,项目总控台账!C8))</x:f>
        <x:v>#NAME?</x:v>
      </x:c>
      <x:c r="D9" s="8" t="e">
        <x:f>项目总控台账!H8</x:f>
        <x:v>#NAME?</x:v>
      </x:c>
      <x:c r="E9" s="25" t="e">
        <x:f>项目总控台账!I8</x:f>
        <x:v>#NAME?</x:v>
      </x:c>
      <x:c r="F9" s="25" t="e">
        <x:f>项目总控台账!J8</x:f>
        <x:v>#NAME?</x:v>
      </x:c>
      <x:c r="G9" s="8" t="e">
        <x:f>IF(B9="","",IF(OR(C9="",C9="/"),"缺少任务名称；","")&amp;IF(OR(D9="",D9="/"),"缺少有效主责人；","")&amp;IF(OR(E9="",E9&lt;DATE(2000,1,1)),"缺少有效计划开始；","")&amp;IF(OR(F9="",F9&lt;DATE(2000,1,1)),"缺少有效计划完成；","")&amp;IF(项目总控台账!G8="","缺少总体状态；","")&amp;IF(AND(ISNUMBER(E9),ISNUMBER(F9),E9&gt;=DATE(2000,1,1),F9&gt;=DATE(2000,1,1),E9&gt;F9),"开始晚于完成；","")&amp;IF(AND(项目总控台账!G8="已完成",项目总控台账!AB8&lt;1),"已完成但进度不足100%；",""))</x:f>
        <x:v>#NAME?</x:v>
      </x:c>
      <x:c r="H9" s="8" t="str">
        <x:f t="shared" si="0"/>
        <x:v>通过</x:v>
      </x:c>
      <x:c r="I9" s="8" t="str">
        <x:f t="shared" si="1"/>
        <x:v>无需处理</x:v>
      </x:c>
      <x:c r="J9" s="8">
        <x:v>8</x:v>
      </x:c>
    </x:row>
    <x:row r="10">
      <x:c r="A10" s="8" t="s">
        <x:v>1458</x:v>
      </x:c>
      <x:c r="B10" s="8" t="e">
        <x:f>项目总控台账!A9</x:f>
        <x:v>#NAME?</x:v>
      </x:c>
      <x:c r="C10" s="8" t="e">
        <x:f>IF(AND(项目总控台账!E9&lt;&gt;"",项目总控台账!E9&lt;&gt;"/"),项目总控台账!E9,IF(AND(项目总控台账!D9&lt;&gt;"",项目总控台账!D9&lt;&gt;"/"),项目总控台账!D9,项目总控台账!C9))</x:f>
        <x:v>#NAME?</x:v>
      </x:c>
      <x:c r="D10" s="8" t="e">
        <x:f>项目总控台账!H9</x:f>
        <x:v>#NAME?</x:v>
      </x:c>
      <x:c r="E10" s="25" t="e">
        <x:f>项目总控台账!I9</x:f>
        <x:v>#NAME?</x:v>
      </x:c>
      <x:c r="F10" s="25" t="e">
        <x:f>项目总控台账!J9</x:f>
        <x:v>#NAME?</x:v>
      </x:c>
      <x:c r="G10" s="8" t="e">
        <x:f>IF(B10="","",IF(OR(C10="",C10="/"),"缺少任务名称；","")&amp;IF(OR(D10="",D10="/"),"缺少有效主责人；","")&amp;IF(OR(E10="",E10&lt;DATE(2000,1,1)),"缺少有效计划开始；","")&amp;IF(OR(F10="",F10&lt;DATE(2000,1,1)),"缺少有效计划完成；","")&amp;IF(项目总控台账!G9="","缺少总体状态；","")&amp;IF(AND(ISNUMBER(E10),ISNUMBER(F10),E10&gt;=DATE(2000,1,1),F10&gt;=DATE(2000,1,1),E10&gt;F10),"开始晚于完成；","")&amp;IF(AND(项目总控台账!G9="已完成",项目总控台账!AB9&lt;1),"已完成但进度不足100%；",""))</x:f>
        <x:v>#NAME?</x:v>
      </x:c>
      <x:c r="H10" s="8" t="str">
        <x:f t="shared" si="0"/>
        <x:v>通过</x:v>
      </x:c>
      <x:c r="I10" s="8" t="str">
        <x:f t="shared" si="1"/>
        <x:v>无需处理</x:v>
      </x:c>
      <x:c r="J10" s="8">
        <x:v>9</x:v>
      </x:c>
    </x:row>
    <x:row r="11">
      <x:c r="A11" s="8" t="s">
        <x:v>1458</x:v>
      </x:c>
      <x:c r="B11" s="8" t="e">
        <x:f>项目总控台账!A10</x:f>
        <x:v>#NAME?</x:v>
      </x:c>
      <x:c r="C11" s="8" t="e">
        <x:f>IF(AND(项目总控台账!E10&lt;&gt;"",项目总控台账!E10&lt;&gt;"/"),项目总控台账!E10,IF(AND(项目总控台账!D10&lt;&gt;"",项目总控台账!D10&lt;&gt;"/"),项目总控台账!D10,项目总控台账!C10))</x:f>
        <x:v>#NAME?</x:v>
      </x:c>
      <x:c r="D11" s="8" t="e">
        <x:f>项目总控台账!H10</x:f>
        <x:v>#NAME?</x:v>
      </x:c>
      <x:c r="E11" s="25" t="e">
        <x:f>项目总控台账!I10</x:f>
        <x:v>#NAME?</x:v>
      </x:c>
      <x:c r="F11" s="25" t="e">
        <x:f>项目总控台账!J10</x:f>
        <x:v>#NAME?</x:v>
      </x:c>
      <x:c r="G11" s="8" t="e">
        <x:f>IF(B11="","",IF(OR(C11="",C11="/"),"缺少任务名称；","")&amp;IF(OR(D11="",D11="/"),"缺少有效主责人；","")&amp;IF(OR(E11="",E11&lt;DATE(2000,1,1)),"缺少有效计划开始；","")&amp;IF(OR(F11="",F11&lt;DATE(2000,1,1)),"缺少有效计划完成；","")&amp;IF(项目总控台账!G10="","缺少总体状态；","")&amp;IF(AND(ISNUMBER(E11),ISNUMBER(F11),E11&gt;=DATE(2000,1,1),F11&gt;=DATE(2000,1,1),E11&gt;F11),"开始晚于完成；","")&amp;IF(AND(项目总控台账!G10="已完成",项目总控台账!AB10&lt;1),"已完成但进度不足100%；",""))</x:f>
        <x:v>#NAME?</x:v>
      </x:c>
      <x:c r="H11" s="8" t="str">
        <x:f t="shared" si="0"/>
        <x:v>通过</x:v>
      </x:c>
      <x:c r="I11" s="8" t="str">
        <x:f t="shared" si="1"/>
        <x:v>无需处理</x:v>
      </x:c>
      <x:c r="J11" s="8">
        <x:v>10</x:v>
      </x:c>
    </x:row>
    <x:row r="12">
      <x:c r="A12" s="8" t="s">
        <x:v>1458</x:v>
      </x:c>
      <x:c r="B12" s="8" t="e">
        <x:f>项目总控台账!A11</x:f>
        <x:v>#NAME?</x:v>
      </x:c>
      <x:c r="C12" s="8" t="e">
        <x:f>IF(AND(项目总控台账!E11&lt;&gt;"",项目总控台账!E11&lt;&gt;"/"),项目总控台账!E11,IF(AND(项目总控台账!D11&lt;&gt;"",项目总控台账!D11&lt;&gt;"/"),项目总控台账!D11,项目总控台账!C11))</x:f>
        <x:v>#NAME?</x:v>
      </x:c>
      <x:c r="D12" s="8" t="e">
        <x:f>项目总控台账!H11</x:f>
        <x:v>#NAME?</x:v>
      </x:c>
      <x:c r="E12" s="25" t="e">
        <x:f>项目总控台账!I11</x:f>
        <x:v>#NAME?</x:v>
      </x:c>
      <x:c r="F12" s="25" t="e">
        <x:f>项目总控台账!J11</x:f>
        <x:v>#NAME?</x:v>
      </x:c>
      <x:c r="G12" s="8" t="e">
        <x:f>IF(B12="","",IF(OR(C12="",C12="/"),"缺少任务名称；","")&amp;IF(OR(D12="",D12="/"),"缺少有效主责人；","")&amp;IF(OR(E12="",E12&lt;DATE(2000,1,1)),"缺少有效计划开始；","")&amp;IF(OR(F12="",F12&lt;DATE(2000,1,1)),"缺少有效计划完成；","")&amp;IF(项目总控台账!G11="","缺少总体状态；","")&amp;IF(AND(ISNUMBER(E12),ISNUMBER(F12),E12&gt;=DATE(2000,1,1),F12&gt;=DATE(2000,1,1),E12&gt;F12),"开始晚于完成；","")&amp;IF(AND(项目总控台账!G11="已完成",项目总控台账!AB11&lt;1),"已完成但进度不足100%；",""))</x:f>
        <x:v>#NAME?</x:v>
      </x:c>
      <x:c r="H12" s="8" t="str">
        <x:f t="shared" si="0"/>
        <x:v>通过</x:v>
      </x:c>
      <x:c r="I12" s="8" t="str">
        <x:f t="shared" si="1"/>
        <x:v>无需处理</x:v>
      </x:c>
      <x:c r="J12" s="8">
        <x:v>11</x:v>
      </x:c>
    </x:row>
    <x:row r="13">
      <x:c r="A13" s="8" t="s">
        <x:v>1458</x:v>
      </x:c>
      <x:c r="B13" s="8" t="e">
        <x:f>项目总控台账!A12</x:f>
        <x:v>#NAME?</x:v>
      </x:c>
      <x:c r="C13" s="8" t="e">
        <x:f>IF(AND(项目总控台账!E12&lt;&gt;"",项目总控台账!E12&lt;&gt;"/"),项目总控台账!E12,IF(AND(项目总控台账!D12&lt;&gt;"",项目总控台账!D12&lt;&gt;"/"),项目总控台账!D12,项目总控台账!C12))</x:f>
        <x:v>#NAME?</x:v>
      </x:c>
      <x:c r="D13" s="8" t="e">
        <x:f>项目总控台账!H12</x:f>
        <x:v>#NAME?</x:v>
      </x:c>
      <x:c r="E13" s="25" t="e">
        <x:f>项目总控台账!I12</x:f>
        <x:v>#NAME?</x:v>
      </x:c>
      <x:c r="F13" s="25" t="e">
        <x:f>项目总控台账!J12</x:f>
        <x:v>#NAME?</x:v>
      </x:c>
      <x:c r="G13" s="8" t="e">
        <x:f>IF(B13="","",IF(OR(C13="",C13="/"),"缺少任务名称；","")&amp;IF(OR(D13="",D13="/"),"缺少有效主责人；","")&amp;IF(OR(E13="",E13&lt;DATE(2000,1,1)),"缺少有效计划开始；","")&amp;IF(OR(F13="",F13&lt;DATE(2000,1,1)),"缺少有效计划完成；","")&amp;IF(项目总控台账!G12="","缺少总体状态；","")&amp;IF(AND(ISNUMBER(E13),ISNUMBER(F13),E13&gt;=DATE(2000,1,1),F13&gt;=DATE(2000,1,1),E13&gt;F13),"开始晚于完成；","")&amp;IF(AND(项目总控台账!G12="已完成",项目总控台账!AB12&lt;1),"已完成但进度不足100%；",""))</x:f>
        <x:v>#NAME?</x:v>
      </x:c>
      <x:c r="H13" s="8" t="str">
        <x:f t="shared" si="0"/>
        <x:v>通过</x:v>
      </x:c>
      <x:c r="I13" s="8" t="str">
        <x:f t="shared" si="1"/>
        <x:v>无需处理</x:v>
      </x:c>
      <x:c r="J13" s="8">
        <x:v>12</x:v>
      </x:c>
    </x:row>
    <x:row r="14">
      <x:c r="A14" s="8" t="s">
        <x:v>1458</x:v>
      </x:c>
      <x:c r="B14" s="8" t="e">
        <x:f>项目总控台账!A13</x:f>
        <x:v>#NAME?</x:v>
      </x:c>
      <x:c r="C14" s="8" t="e">
        <x:f>IF(AND(项目总控台账!E13&lt;&gt;"",项目总控台账!E13&lt;&gt;"/"),项目总控台账!E13,IF(AND(项目总控台账!D13&lt;&gt;"",项目总控台账!D13&lt;&gt;"/"),项目总控台账!D13,项目总控台账!C13))</x:f>
        <x:v>#NAME?</x:v>
      </x:c>
      <x:c r="D14" s="8" t="e">
        <x:f>项目总控台账!H13</x:f>
        <x:v>#NAME?</x:v>
      </x:c>
      <x:c r="E14" s="25" t="e">
        <x:f>项目总控台账!I13</x:f>
        <x:v>#NAME?</x:v>
      </x:c>
      <x:c r="F14" s="25" t="e">
        <x:f>项目总控台账!J13</x:f>
        <x:v>#NAME?</x:v>
      </x:c>
      <x:c r="G14" s="8" t="e">
        <x:f>IF(B14="","",IF(OR(C14="",C14="/"),"缺少任务名称；","")&amp;IF(OR(D14="",D14="/"),"缺少有效主责人；","")&amp;IF(OR(E14="",E14&lt;DATE(2000,1,1)),"缺少有效计划开始；","")&amp;IF(OR(F14="",F14&lt;DATE(2000,1,1)),"缺少有效计划完成；","")&amp;IF(项目总控台账!G13="","缺少总体状态；","")&amp;IF(AND(ISNUMBER(E14),ISNUMBER(F14),E14&gt;=DATE(2000,1,1),F14&gt;=DATE(2000,1,1),E14&gt;F14),"开始晚于完成；","")&amp;IF(AND(项目总控台账!G13="已完成",项目总控台账!AB13&lt;1),"已完成但进度不足100%；",""))</x:f>
        <x:v>#NAME?</x:v>
      </x:c>
      <x:c r="H14" s="8" t="str">
        <x:f t="shared" si="0"/>
        <x:v>通过</x:v>
      </x:c>
      <x:c r="I14" s="8" t="str">
        <x:f t="shared" si="1"/>
        <x:v>无需处理</x:v>
      </x:c>
      <x:c r="J14" s="8">
        <x:v>13</x:v>
      </x:c>
    </x:row>
    <x:row r="15">
      <x:c r="A15" s="8" t="s">
        <x:v>1458</x:v>
      </x:c>
      <x:c r="B15" s="8" t="e">
        <x:f>项目总控台账!A14</x:f>
        <x:v>#NAME?</x:v>
      </x:c>
      <x:c r="C15" s="8" t="e">
        <x:f>IF(AND(项目总控台账!E14&lt;&gt;"",项目总控台账!E14&lt;&gt;"/"),项目总控台账!E14,IF(AND(项目总控台账!D14&lt;&gt;"",项目总控台账!D14&lt;&gt;"/"),项目总控台账!D14,项目总控台账!C14))</x:f>
        <x:v>#NAME?</x:v>
      </x:c>
      <x:c r="D15" s="8" t="e">
        <x:f>项目总控台账!H14</x:f>
        <x:v>#NAME?</x:v>
      </x:c>
      <x:c r="E15" s="25" t="e">
        <x:f>项目总控台账!I14</x:f>
        <x:v>#NAME?</x:v>
      </x:c>
      <x:c r="F15" s="25" t="e">
        <x:f>项目总控台账!J14</x:f>
        <x:v>#NAME?</x:v>
      </x:c>
      <x:c r="G15" s="8" t="e">
        <x:f>IF(B15="","",IF(OR(C15="",C15="/"),"缺少任务名称；","")&amp;IF(OR(D15="",D15="/"),"缺少有效主责人；","")&amp;IF(OR(E15="",E15&lt;DATE(2000,1,1)),"缺少有效计划开始；","")&amp;IF(OR(F15="",F15&lt;DATE(2000,1,1)),"缺少有效计划完成；","")&amp;IF(项目总控台账!G14="","缺少总体状态；","")&amp;IF(AND(ISNUMBER(E15),ISNUMBER(F15),E15&gt;=DATE(2000,1,1),F15&gt;=DATE(2000,1,1),E15&gt;F15),"开始晚于完成；","")&amp;IF(AND(项目总控台账!G14="已完成",项目总控台账!AB14&lt;1),"已完成但进度不足100%；",""))</x:f>
        <x:v>#NAME?</x:v>
      </x:c>
      <x:c r="H15" s="8" t="str">
        <x:f t="shared" si="0"/>
        <x:v>通过</x:v>
      </x:c>
      <x:c r="I15" s="8" t="str">
        <x:f t="shared" si="1"/>
        <x:v>无需处理</x:v>
      </x:c>
      <x:c r="J15" s="8">
        <x:v>14</x:v>
      </x:c>
    </x:row>
    <x:row r="16">
      <x:c r="A16" s="8" t="s">
        <x:v>1458</x:v>
      </x:c>
      <x:c r="B16" s="8" t="e">
        <x:f>项目总控台账!A15</x:f>
        <x:v>#NAME?</x:v>
      </x:c>
      <x:c r="C16" s="8" t="e">
        <x:f>IF(AND(项目总控台账!E15&lt;&gt;"",项目总控台账!E15&lt;&gt;"/"),项目总控台账!E15,IF(AND(项目总控台账!D15&lt;&gt;"",项目总控台账!D15&lt;&gt;"/"),项目总控台账!D15,项目总控台账!C15))</x:f>
        <x:v>#NAME?</x:v>
      </x:c>
      <x:c r="D16" s="8" t="e">
        <x:f>项目总控台账!H15</x:f>
        <x:v>#NAME?</x:v>
      </x:c>
      <x:c r="E16" s="25" t="e">
        <x:f>项目总控台账!I15</x:f>
        <x:v>#NAME?</x:v>
      </x:c>
      <x:c r="F16" s="25" t="e">
        <x:f>项目总控台账!J15</x:f>
        <x:v>#NAME?</x:v>
      </x:c>
      <x:c r="G16" s="8" t="e">
        <x:f>IF(B16="","",IF(OR(C16="",C16="/"),"缺少任务名称；","")&amp;IF(OR(D16="",D16="/"),"缺少有效主责人；","")&amp;IF(OR(E16="",E16&lt;DATE(2000,1,1)),"缺少有效计划开始；","")&amp;IF(OR(F16="",F16&lt;DATE(2000,1,1)),"缺少有效计划完成；","")&amp;IF(项目总控台账!G15="","缺少总体状态；","")&amp;IF(AND(ISNUMBER(E16),ISNUMBER(F16),E16&gt;=DATE(2000,1,1),F16&gt;=DATE(2000,1,1),E16&gt;F16),"开始晚于完成；","")&amp;IF(AND(项目总控台账!G15="已完成",项目总控台账!AB15&lt;1),"已完成但进度不足100%；",""))</x:f>
        <x:v>#NAME?</x:v>
      </x:c>
      <x:c r="H16" s="8" t="str">
        <x:f t="shared" si="0"/>
        <x:v>通过</x:v>
      </x:c>
      <x:c r="I16" s="8" t="str">
        <x:f t="shared" si="1"/>
        <x:v>无需处理</x:v>
      </x:c>
      <x:c r="J16" s="8">
        <x:v>15</x:v>
      </x:c>
    </x:row>
    <x:row r="17">
      <x:c r="A17" s="8" t="s">
        <x:v>1458</x:v>
      </x:c>
      <x:c r="B17" s="8" t="e">
        <x:f>项目总控台账!A16</x:f>
        <x:v>#NAME?</x:v>
      </x:c>
      <x:c r="C17" s="8" t="e">
        <x:f>IF(AND(项目总控台账!E16&lt;&gt;"",项目总控台账!E16&lt;&gt;"/"),项目总控台账!E16,IF(AND(项目总控台账!D16&lt;&gt;"",项目总控台账!D16&lt;&gt;"/"),项目总控台账!D16,项目总控台账!C16))</x:f>
        <x:v>#NAME?</x:v>
      </x:c>
      <x:c r="D17" s="8" t="e">
        <x:f>项目总控台账!H16</x:f>
        <x:v>#NAME?</x:v>
      </x:c>
      <x:c r="E17" s="25" t="e">
        <x:f>项目总控台账!I16</x:f>
        <x:v>#NAME?</x:v>
      </x:c>
      <x:c r="F17" s="25" t="e">
        <x:f>项目总控台账!J16</x:f>
        <x:v>#NAME?</x:v>
      </x:c>
      <x:c r="G17" s="8" t="e">
        <x:f>IF(B17="","",IF(OR(C17="",C17="/"),"缺少任务名称；","")&amp;IF(OR(D17="",D17="/"),"缺少有效主责人；","")&amp;IF(OR(E17="",E17&lt;DATE(2000,1,1)),"缺少有效计划开始；","")&amp;IF(OR(F17="",F17&lt;DATE(2000,1,1)),"缺少有效计划完成；","")&amp;IF(项目总控台账!G16="","缺少总体状态；","")&amp;IF(AND(ISNUMBER(E17),ISNUMBER(F17),E17&gt;=DATE(2000,1,1),F17&gt;=DATE(2000,1,1),E17&gt;F17),"开始晚于完成；","")&amp;IF(AND(项目总控台账!G16="已完成",项目总控台账!AB16&lt;1),"已完成但进度不足100%；",""))</x:f>
        <x:v>#NAME?</x:v>
      </x:c>
      <x:c r="H17" s="8" t="str">
        <x:f t="shared" si="0"/>
        <x:v>通过</x:v>
      </x:c>
      <x:c r="I17" s="8" t="str">
        <x:f t="shared" si="1"/>
        <x:v>无需处理</x:v>
      </x:c>
      <x:c r="J17" s="8">
        <x:v>16</x:v>
      </x:c>
    </x:row>
    <x:row r="18">
      <x:c r="A18" s="8" t="s">
        <x:v>1458</x:v>
      </x:c>
      <x:c r="B18" s="8" t="e">
        <x:f>项目总控台账!A17</x:f>
        <x:v>#NAME?</x:v>
      </x:c>
      <x:c r="C18" s="8" t="e">
        <x:f>IF(AND(项目总控台账!E17&lt;&gt;"",项目总控台账!E17&lt;&gt;"/"),项目总控台账!E17,IF(AND(项目总控台账!D17&lt;&gt;"",项目总控台账!D17&lt;&gt;"/"),项目总控台账!D17,项目总控台账!C17))</x:f>
        <x:v>#NAME?</x:v>
      </x:c>
      <x:c r="D18" s="8" t="e">
        <x:f>项目总控台账!H17</x:f>
        <x:v>#NAME?</x:v>
      </x:c>
      <x:c r="E18" s="25" t="e">
        <x:f>项目总控台账!I17</x:f>
        <x:v>#NAME?</x:v>
      </x:c>
      <x:c r="F18" s="25" t="e">
        <x:f>项目总控台账!J17</x:f>
        <x:v>#NAME?</x:v>
      </x:c>
      <x:c r="G18" s="8" t="e">
        <x:f>IF(B18="","",IF(OR(C18="",C18="/"),"缺少任务名称；","")&amp;IF(OR(D18="",D18="/"),"缺少有效主责人；","")&amp;IF(OR(E18="",E18&lt;DATE(2000,1,1)),"缺少有效计划开始；","")&amp;IF(OR(F18="",F18&lt;DATE(2000,1,1)),"缺少有效计划完成；","")&amp;IF(项目总控台账!G17="","缺少总体状态；","")&amp;IF(AND(ISNUMBER(E18),ISNUMBER(F18),E18&gt;=DATE(2000,1,1),F18&gt;=DATE(2000,1,1),E18&gt;F18),"开始晚于完成；","")&amp;IF(AND(项目总控台账!G17="已完成",项目总控台账!AB17&lt;1),"已完成但进度不足100%；",""))</x:f>
        <x:v>#NAME?</x:v>
      </x:c>
      <x:c r="H18" s="8" t="str">
        <x:f t="shared" si="0"/>
        <x:v>通过</x:v>
      </x:c>
      <x:c r="I18" s="8" t="str">
        <x:f t="shared" si="1"/>
        <x:v>无需处理</x:v>
      </x:c>
      <x:c r="J18" s="8">
        <x:v>17</x:v>
      </x:c>
    </x:row>
    <x:row r="19">
      <x:c r="A19" s="8" t="s">
        <x:v>1458</x:v>
      </x:c>
      <x:c r="B19" s="8" t="e">
        <x:f>项目总控台账!A18</x:f>
        <x:v>#NAME?</x:v>
      </x:c>
      <x:c r="C19" s="8" t="e">
        <x:f>IF(AND(项目总控台账!E18&lt;&gt;"",项目总控台账!E18&lt;&gt;"/"),项目总控台账!E18,IF(AND(项目总控台账!D18&lt;&gt;"",项目总控台账!D18&lt;&gt;"/"),项目总控台账!D18,项目总控台账!C18))</x:f>
        <x:v>#NAME?</x:v>
      </x:c>
      <x:c r="D19" s="8" t="e">
        <x:f>项目总控台账!H18</x:f>
        <x:v>#NAME?</x:v>
      </x:c>
      <x:c r="E19" s="25" t="e">
        <x:f>项目总控台账!I18</x:f>
        <x:v>#NAME?</x:v>
      </x:c>
      <x:c r="F19" s="25" t="e">
        <x:f>项目总控台账!J18</x:f>
        <x:v>#NAME?</x:v>
      </x:c>
      <x:c r="G19" s="8" t="e">
        <x:f>IF(B19="","",IF(OR(C19="",C19="/"),"缺少任务名称；","")&amp;IF(OR(D19="",D19="/"),"缺少有效主责人；","")&amp;IF(OR(E19="",E19&lt;DATE(2000,1,1)),"缺少有效计划开始；","")&amp;IF(OR(F19="",F19&lt;DATE(2000,1,1)),"缺少有效计划完成；","")&amp;IF(项目总控台账!G18="","缺少总体状态；","")&amp;IF(AND(ISNUMBER(E19),ISNUMBER(F19),E19&gt;=DATE(2000,1,1),F19&gt;=DATE(2000,1,1),E19&gt;F19),"开始晚于完成；","")&amp;IF(AND(项目总控台账!G18="已完成",项目总控台账!AB18&lt;1),"已完成但进度不足100%；",""))</x:f>
        <x:v>#NAME?</x:v>
      </x:c>
      <x:c r="H19" s="8" t="str">
        <x:f t="shared" si="0"/>
        <x:v>通过</x:v>
      </x:c>
      <x:c r="I19" s="8" t="str">
        <x:f t="shared" si="1"/>
        <x:v>无需处理</x:v>
      </x:c>
      <x:c r="J19" s="8">
        <x:v>18</x:v>
      </x:c>
    </x:row>
    <x:row r="20">
      <x:c r="A20" s="8" t="s">
        <x:v>1458</x:v>
      </x:c>
      <x:c r="B20" s="8" t="e">
        <x:f>项目总控台账!A19</x:f>
        <x:v>#NAME?</x:v>
      </x:c>
      <x:c r="C20" s="8" t="e">
        <x:f>IF(AND(项目总控台账!E19&lt;&gt;"",项目总控台账!E19&lt;&gt;"/"),项目总控台账!E19,IF(AND(项目总控台账!D19&lt;&gt;"",项目总控台账!D19&lt;&gt;"/"),项目总控台账!D19,项目总控台账!C19))</x:f>
        <x:v>#NAME?</x:v>
      </x:c>
      <x:c r="D20" s="8" t="e">
        <x:f>项目总控台账!H19</x:f>
        <x:v>#NAME?</x:v>
      </x:c>
      <x:c r="E20" s="25" t="e">
        <x:f>项目总控台账!I19</x:f>
        <x:v>#NAME?</x:v>
      </x:c>
      <x:c r="F20" s="25" t="e">
        <x:f>项目总控台账!J19</x:f>
        <x:v>#NAME?</x:v>
      </x:c>
      <x:c r="G20" s="8" t="e">
        <x:f>IF(B20="","",IF(OR(C20="",C20="/"),"缺少任务名称；","")&amp;IF(OR(D20="",D20="/"),"缺少有效主责人；","")&amp;IF(OR(E20="",E20&lt;DATE(2000,1,1)),"缺少有效计划开始；","")&amp;IF(OR(F20="",F20&lt;DATE(2000,1,1)),"缺少有效计划完成；","")&amp;IF(项目总控台账!G19="","缺少总体状态；","")&amp;IF(AND(ISNUMBER(E20),ISNUMBER(F20),E20&gt;=DATE(2000,1,1),F20&gt;=DATE(2000,1,1),E20&gt;F20),"开始晚于完成；","")&amp;IF(AND(项目总控台账!G19="已完成",项目总控台账!AB19&lt;1),"已完成但进度不足100%；",""))</x:f>
        <x:v>#NAME?</x:v>
      </x:c>
      <x:c r="H20" s="8" t="str">
        <x:f t="shared" si="0"/>
        <x:v>通过</x:v>
      </x:c>
      <x:c r="I20" s="8" t="str">
        <x:f t="shared" si="1"/>
        <x:v>无需处理</x:v>
      </x:c>
      <x:c r="J20" s="8">
        <x:v>19</x:v>
      </x:c>
    </x:row>
    <x:row r="21">
      <x:c r="A21" s="8" t="s">
        <x:v>1458</x:v>
      </x:c>
      <x:c r="B21" s="8" t="e">
        <x:f>项目总控台账!A20</x:f>
        <x:v>#NAME?</x:v>
      </x:c>
      <x:c r="C21" s="8" t="e">
        <x:f>IF(AND(项目总控台账!E20&lt;&gt;"",项目总控台账!E20&lt;&gt;"/"),项目总控台账!E20,IF(AND(项目总控台账!D20&lt;&gt;"",项目总控台账!D20&lt;&gt;"/"),项目总控台账!D20,项目总控台账!C20))</x:f>
        <x:v>#NAME?</x:v>
      </x:c>
      <x:c r="D21" s="8" t="e">
        <x:f>项目总控台账!H20</x:f>
        <x:v>#NAME?</x:v>
      </x:c>
      <x:c r="E21" s="25" t="e">
        <x:f>项目总控台账!I20</x:f>
        <x:v>#NAME?</x:v>
      </x:c>
      <x:c r="F21" s="25" t="e">
        <x:f>项目总控台账!J20</x:f>
        <x:v>#NAME?</x:v>
      </x:c>
      <x:c r="G21" s="8" t="e">
        <x:f>IF(B21="","",IF(OR(C21="",C21="/"),"缺少任务名称；","")&amp;IF(OR(D21="",D21="/"),"缺少有效主责人；","")&amp;IF(OR(E21="",E21&lt;DATE(2000,1,1)),"缺少有效计划开始；","")&amp;IF(OR(F21="",F21&lt;DATE(2000,1,1)),"缺少有效计划完成；","")&amp;IF(项目总控台账!G20="","缺少总体状态；","")&amp;IF(AND(ISNUMBER(E21),ISNUMBER(F21),E21&gt;=DATE(2000,1,1),F21&gt;=DATE(2000,1,1),E21&gt;F21),"开始晚于完成；","")&amp;IF(AND(项目总控台账!G20="已完成",项目总控台账!AB20&lt;1),"已完成但进度不足100%；",""))</x:f>
        <x:v>#NAME?</x:v>
      </x:c>
      <x:c r="H21" s="8" t="str">
        <x:f t="shared" si="0"/>
        <x:v>通过</x:v>
      </x:c>
      <x:c r="I21" s="8" t="str">
        <x:f t="shared" si="1"/>
        <x:v>无需处理</x:v>
      </x:c>
      <x:c r="J21" s="8">
        <x:v>20</x:v>
      </x:c>
    </x:row>
    <x:row r="22">
      <x:c r="A22" s="8" t="s">
        <x:v>1458</x:v>
      </x:c>
      <x:c r="B22" s="8" t="e">
        <x:f>项目总控台账!A21</x:f>
        <x:v>#NAME?</x:v>
      </x:c>
      <x:c r="C22" s="8" t="e">
        <x:f>IF(AND(项目总控台账!E21&lt;&gt;"",项目总控台账!E21&lt;&gt;"/"),项目总控台账!E21,IF(AND(项目总控台账!D21&lt;&gt;"",项目总控台账!D21&lt;&gt;"/"),项目总控台账!D21,项目总控台账!C21))</x:f>
        <x:v>#NAME?</x:v>
      </x:c>
      <x:c r="D22" s="8" t="e">
        <x:f>项目总控台账!H21</x:f>
        <x:v>#NAME?</x:v>
      </x:c>
      <x:c r="E22" s="25" t="e">
        <x:f>项目总控台账!I21</x:f>
        <x:v>#NAME?</x:v>
      </x:c>
      <x:c r="F22" s="25" t="e">
        <x:f>项目总控台账!J21</x:f>
        <x:v>#NAME?</x:v>
      </x:c>
      <x:c r="G22" s="8" t="e">
        <x:f>IF(B22="","",IF(OR(C22="",C22="/"),"缺少任务名称；","")&amp;IF(OR(D22="",D22="/"),"缺少有效主责人；","")&amp;IF(OR(E22="",E22&lt;DATE(2000,1,1)),"缺少有效计划开始；","")&amp;IF(OR(F22="",F22&lt;DATE(2000,1,1)),"缺少有效计划完成；","")&amp;IF(项目总控台账!G21="","缺少总体状态；","")&amp;IF(AND(ISNUMBER(E22),ISNUMBER(F22),E22&gt;=DATE(2000,1,1),F22&gt;=DATE(2000,1,1),E22&gt;F22),"开始晚于完成；","")&amp;IF(AND(项目总控台账!G21="已完成",项目总控台账!AB21&lt;1),"已完成但进度不足100%；",""))</x:f>
        <x:v>#NAME?</x:v>
      </x:c>
      <x:c r="H22" s="8" t="str">
        <x:f t="shared" si="0"/>
        <x:v>通过</x:v>
      </x:c>
      <x:c r="I22" s="8" t="str">
        <x:f t="shared" si="1"/>
        <x:v>无需处理</x:v>
      </x:c>
      <x:c r="J22" s="8">
        <x:v>21</x:v>
      </x:c>
    </x:row>
    <x:row r="23">
      <x:c r="A23" s="8" t="s">
        <x:v>1458</x:v>
      </x:c>
      <x:c r="B23" s="8" t="e">
        <x:f>项目总控台账!A22</x:f>
        <x:v>#NAME?</x:v>
      </x:c>
      <x:c r="C23" s="8" t="e">
        <x:f>IF(AND(项目总控台账!E22&lt;&gt;"",项目总控台账!E22&lt;&gt;"/"),项目总控台账!E22,IF(AND(项目总控台账!D22&lt;&gt;"",项目总控台账!D22&lt;&gt;"/"),项目总控台账!D22,项目总控台账!C22))</x:f>
        <x:v>#NAME?</x:v>
      </x:c>
      <x:c r="D23" s="8" t="e">
        <x:f>项目总控台账!H22</x:f>
        <x:v>#NAME?</x:v>
      </x:c>
      <x:c r="E23" s="25" t="e">
        <x:f>项目总控台账!I22</x:f>
        <x:v>#NAME?</x:v>
      </x:c>
      <x:c r="F23" s="25" t="e">
        <x:f>项目总控台账!J22</x:f>
        <x:v>#NAME?</x:v>
      </x:c>
      <x:c r="G23" s="8" t="e">
        <x:f>IF(B23="","",IF(OR(C23="",C23="/"),"缺少任务名称；","")&amp;IF(OR(D23="",D23="/"),"缺少有效主责人；","")&amp;IF(OR(E23="",E23&lt;DATE(2000,1,1)),"缺少有效计划开始；","")&amp;IF(OR(F23="",F23&lt;DATE(2000,1,1)),"缺少有效计划完成；","")&amp;IF(项目总控台账!G22="","缺少总体状态；","")&amp;IF(AND(ISNUMBER(E23),ISNUMBER(F23),E23&gt;=DATE(2000,1,1),F23&gt;=DATE(2000,1,1),E23&gt;F23),"开始晚于完成；","")&amp;IF(AND(项目总控台账!G22="已完成",项目总控台账!AB22&lt;1),"已完成但进度不足100%；",""))</x:f>
        <x:v>#NAME?</x:v>
      </x:c>
      <x:c r="H23" s="8" t="str">
        <x:f t="shared" si="0"/>
        <x:v>通过</x:v>
      </x:c>
      <x:c r="I23" s="8" t="str">
        <x:f t="shared" si="1"/>
        <x:v>无需处理</x:v>
      </x:c>
      <x:c r="J23" s="8">
        <x:v>22</x:v>
      </x:c>
    </x:row>
    <x:row r="24">
      <x:c r="A24" s="8" t="s">
        <x:v>1458</x:v>
      </x:c>
      <x:c r="B24" s="8" t="e">
        <x:f>项目总控台账!A23</x:f>
        <x:v>#NAME?</x:v>
      </x:c>
      <x:c r="C24" s="8" t="e">
        <x:f>IF(AND(项目总控台账!E23&lt;&gt;"",项目总控台账!E23&lt;&gt;"/"),项目总控台账!E23,IF(AND(项目总控台账!D23&lt;&gt;"",项目总控台账!D23&lt;&gt;"/"),项目总控台账!D23,项目总控台账!C23))</x:f>
        <x:v>#NAME?</x:v>
      </x:c>
      <x:c r="D24" s="8" t="e">
        <x:f>项目总控台账!H23</x:f>
        <x:v>#NAME?</x:v>
      </x:c>
      <x:c r="E24" s="25" t="e">
        <x:f>项目总控台账!I23</x:f>
        <x:v>#NAME?</x:v>
      </x:c>
      <x:c r="F24" s="25" t="e">
        <x:f>项目总控台账!J23</x:f>
        <x:v>#NAME?</x:v>
      </x:c>
      <x:c r="G24" s="8" t="e">
        <x:f>IF(B24="","",IF(OR(C24="",C24="/"),"缺少任务名称；","")&amp;IF(OR(D24="",D24="/"),"缺少有效主责人；","")&amp;IF(OR(E24="",E24&lt;DATE(2000,1,1)),"缺少有效计划开始；","")&amp;IF(OR(F24="",F24&lt;DATE(2000,1,1)),"缺少有效计划完成；","")&amp;IF(项目总控台账!G23="","缺少总体状态；","")&amp;IF(AND(ISNUMBER(E24),ISNUMBER(F24),E24&gt;=DATE(2000,1,1),F24&gt;=DATE(2000,1,1),E24&gt;F24),"开始晚于完成；","")&amp;IF(AND(项目总控台账!G23="已完成",项目总控台账!AB23&lt;1),"已完成但进度不足100%；",""))</x:f>
        <x:v>#NAME?</x:v>
      </x:c>
      <x:c r="H24" s="8" t="str">
        <x:f t="shared" si="0"/>
        <x:v>通过</x:v>
      </x:c>
      <x:c r="I24" s="8" t="str">
        <x:f t="shared" si="1"/>
        <x:v>无需处理</x:v>
      </x:c>
      <x:c r="J24" s="8">
        <x:v>23</x:v>
      </x:c>
    </x:row>
    <x:row r="25">
      <x:c r="A25" s="8" t="s">
        <x:v>1458</x:v>
      </x:c>
      <x:c r="B25" s="8" t="e">
        <x:f>项目总控台账!A24</x:f>
        <x:v>#NAME?</x:v>
      </x:c>
      <x:c r="C25" s="8" t="e">
        <x:f>IF(AND(项目总控台账!E24&lt;&gt;"",项目总控台账!E24&lt;&gt;"/"),项目总控台账!E24,IF(AND(项目总控台账!D24&lt;&gt;"",项目总控台账!D24&lt;&gt;"/"),项目总控台账!D24,项目总控台账!C24))</x:f>
        <x:v>#NAME?</x:v>
      </x:c>
      <x:c r="D25" s="8" t="e">
        <x:f>项目总控台账!H24</x:f>
        <x:v>#NAME?</x:v>
      </x:c>
      <x:c r="E25" s="25" t="e">
        <x:f>项目总控台账!I24</x:f>
        <x:v>#NAME?</x:v>
      </x:c>
      <x:c r="F25" s="25" t="e">
        <x:f>项目总控台账!J24</x:f>
        <x:v>#NAME?</x:v>
      </x:c>
      <x:c r="G25" s="8" t="e">
        <x:f>IF(B25="","",IF(OR(C25="",C25="/"),"缺少任务名称；","")&amp;IF(OR(D25="",D25="/"),"缺少有效主责人；","")&amp;IF(OR(E25="",E25&lt;DATE(2000,1,1)),"缺少有效计划开始；","")&amp;IF(OR(F25="",F25&lt;DATE(2000,1,1)),"缺少有效计划完成；","")&amp;IF(项目总控台账!G24="","缺少总体状态；","")&amp;IF(AND(ISNUMBER(E25),ISNUMBER(F25),E25&gt;=DATE(2000,1,1),F25&gt;=DATE(2000,1,1),E25&gt;F25),"开始晚于完成；","")&amp;IF(AND(项目总控台账!G24="已完成",项目总控台账!AB24&lt;1),"已完成但进度不足100%；",""))</x:f>
        <x:v>#NAME?</x:v>
      </x:c>
      <x:c r="H25" s="8" t="str">
        <x:f t="shared" si="0"/>
        <x:v>通过</x:v>
      </x:c>
      <x:c r="I25" s="8" t="str">
        <x:f t="shared" si="1"/>
        <x:v>无需处理</x:v>
      </x:c>
      <x:c r="J25" s="8">
        <x:v>24</x:v>
      </x:c>
    </x:row>
    <x:row r="26">
      <x:c r="A26" s="8" t="s">
        <x:v>1458</x:v>
      </x:c>
      <x:c r="B26" s="8" t="e">
        <x:f>项目总控台账!A25</x:f>
        <x:v>#NAME?</x:v>
      </x:c>
      <x:c r="C26" s="8" t="e">
        <x:f>IF(AND(项目总控台账!E25&lt;&gt;"",项目总控台账!E25&lt;&gt;"/"),项目总控台账!E25,IF(AND(项目总控台账!D25&lt;&gt;"",项目总控台账!D25&lt;&gt;"/"),项目总控台账!D25,项目总控台账!C25))</x:f>
        <x:v>#NAME?</x:v>
      </x:c>
      <x:c r="D26" s="8" t="e">
        <x:f>项目总控台账!H25</x:f>
        <x:v>#NAME?</x:v>
      </x:c>
      <x:c r="E26" s="25" t="e">
        <x:f>项目总控台账!I25</x:f>
        <x:v>#NAME?</x:v>
      </x:c>
      <x:c r="F26" s="25" t="e">
        <x:f>项目总控台账!J25</x:f>
        <x:v>#NAME?</x:v>
      </x:c>
      <x:c r="G26" s="8" t="e">
        <x:f>IF(B26="","",IF(OR(C26="",C26="/"),"缺少任务名称；","")&amp;IF(OR(D26="",D26="/"),"缺少有效主责人；","")&amp;IF(OR(E26="",E26&lt;DATE(2000,1,1)),"缺少有效计划开始；","")&amp;IF(OR(F26="",F26&lt;DATE(2000,1,1)),"缺少有效计划完成；","")&amp;IF(项目总控台账!G25="","缺少总体状态；","")&amp;IF(AND(ISNUMBER(E26),ISNUMBER(F26),E26&gt;=DATE(2000,1,1),F26&gt;=DATE(2000,1,1),E26&gt;F26),"开始晚于完成；","")&amp;IF(AND(项目总控台账!G25="已完成",项目总控台账!AB25&lt;1),"已完成但进度不足100%；",""))</x:f>
        <x:v>#NAME?</x:v>
      </x:c>
      <x:c r="H26" s="8" t="str">
        <x:f t="shared" si="0"/>
        <x:v>通过</x:v>
      </x:c>
      <x:c r="I26" s="8" t="str">
        <x:f t="shared" si="1"/>
        <x:v>无需处理</x:v>
      </x:c>
      <x:c r="J26" s="8">
        <x:v>25</x:v>
      </x:c>
    </x:row>
    <x:row r="27">
      <x:c r="A27" s="8" t="s">
        <x:v>1458</x:v>
      </x:c>
      <x:c r="B27" s="8" t="e">
        <x:f>项目总控台账!A26</x:f>
        <x:v>#NAME?</x:v>
      </x:c>
      <x:c r="C27" s="8" t="e">
        <x:f>IF(AND(项目总控台账!E26&lt;&gt;"",项目总控台账!E26&lt;&gt;"/"),项目总控台账!E26,IF(AND(项目总控台账!D26&lt;&gt;"",项目总控台账!D26&lt;&gt;"/"),项目总控台账!D26,项目总控台账!C26))</x:f>
        <x:v>#NAME?</x:v>
      </x:c>
      <x:c r="D27" s="8" t="e">
        <x:f>项目总控台账!H26</x:f>
        <x:v>#NAME?</x:v>
      </x:c>
      <x:c r="E27" s="25" t="e">
        <x:f>项目总控台账!I26</x:f>
        <x:v>#NAME?</x:v>
      </x:c>
      <x:c r="F27" s="25" t="e">
        <x:f>项目总控台账!J26</x:f>
        <x:v>#NAME?</x:v>
      </x:c>
      <x:c r="G27" s="8" t="e">
        <x:f>IF(B27="","",IF(OR(C27="",C27="/"),"缺少任务名称；","")&amp;IF(OR(D27="",D27="/"),"缺少有效主责人；","")&amp;IF(OR(E27="",E27&lt;DATE(2000,1,1)),"缺少有效计划开始；","")&amp;IF(OR(F27="",F27&lt;DATE(2000,1,1)),"缺少有效计划完成；","")&amp;IF(项目总控台账!G26="","缺少总体状态；","")&amp;IF(AND(ISNUMBER(E27),ISNUMBER(F27),E27&gt;=DATE(2000,1,1),F27&gt;=DATE(2000,1,1),E27&gt;F27),"开始晚于完成；","")&amp;IF(AND(项目总控台账!G26="已完成",项目总控台账!AB26&lt;1),"已完成但进度不足100%；",""))</x:f>
        <x:v>#NAME?</x:v>
      </x:c>
      <x:c r="H27" s="8" t="str">
        <x:f t="shared" si="0"/>
        <x:v>通过</x:v>
      </x:c>
      <x:c r="I27" s="8" t="str">
        <x:f t="shared" si="1"/>
        <x:v>无需处理</x:v>
      </x:c>
      <x:c r="J27" s="8">
        <x:v>26</x:v>
      </x:c>
    </x:row>
    <x:row r="28">
      <x:c r="A28" s="8" t="s">
        <x:v>1458</x:v>
      </x:c>
      <x:c r="B28" s="8" t="e">
        <x:f>项目总控台账!A27</x:f>
        <x:v>#NAME?</x:v>
      </x:c>
      <x:c r="C28" s="8" t="e">
        <x:f>IF(AND(项目总控台账!E27&lt;&gt;"",项目总控台账!E27&lt;&gt;"/"),项目总控台账!E27,IF(AND(项目总控台账!D27&lt;&gt;"",项目总控台账!D27&lt;&gt;"/"),项目总控台账!D27,项目总控台账!C27))</x:f>
        <x:v>#NAME?</x:v>
      </x:c>
      <x:c r="D28" s="8" t="e">
        <x:f>项目总控台账!H27</x:f>
        <x:v>#NAME?</x:v>
      </x:c>
      <x:c r="E28" s="25" t="e">
        <x:f>项目总控台账!I27</x:f>
        <x:v>#NAME?</x:v>
      </x:c>
      <x:c r="F28" s="25" t="e">
        <x:f>项目总控台账!J27</x:f>
        <x:v>#NAME?</x:v>
      </x:c>
      <x:c r="G28" s="8" t="e">
        <x:f>IF(B28="","",IF(OR(C28="",C28="/"),"缺少任务名称；","")&amp;IF(OR(D28="",D28="/"),"缺少有效主责人；","")&amp;IF(OR(E28="",E28&lt;DATE(2000,1,1)),"缺少有效计划开始；","")&amp;IF(OR(F28="",F28&lt;DATE(2000,1,1)),"缺少有效计划完成；","")&amp;IF(项目总控台账!G27="","缺少总体状态；","")&amp;IF(AND(ISNUMBER(E28),ISNUMBER(F28),E28&gt;=DATE(2000,1,1),F28&gt;=DATE(2000,1,1),E28&gt;F28),"开始晚于完成；","")&amp;IF(AND(项目总控台账!G27="已完成",项目总控台账!AB27&lt;1),"已完成但进度不足100%；",""))</x:f>
        <x:v>#NAME?</x:v>
      </x:c>
      <x:c r="H28" s="8" t="str">
        <x:f t="shared" si="0"/>
        <x:v>通过</x:v>
      </x:c>
      <x:c r="I28" s="8" t="str">
        <x:f t="shared" si="1"/>
        <x:v>无需处理</x:v>
      </x:c>
      <x:c r="J28" s="8">
        <x:v>27</x:v>
      </x:c>
    </x:row>
    <x:row r="29">
      <x:c r="A29" s="8" t="s">
        <x:v>1458</x:v>
      </x:c>
      <x:c r="B29" s="8" t="e">
        <x:f>项目总控台账!A28</x:f>
        <x:v>#NAME?</x:v>
      </x:c>
      <x:c r="C29" s="8" t="e">
        <x:f>IF(AND(项目总控台账!E28&lt;&gt;"",项目总控台账!E28&lt;&gt;"/"),项目总控台账!E28,IF(AND(项目总控台账!D28&lt;&gt;"",项目总控台账!D28&lt;&gt;"/"),项目总控台账!D28,项目总控台账!C28))</x:f>
        <x:v>#NAME?</x:v>
      </x:c>
      <x:c r="D29" s="8" t="e">
        <x:f>项目总控台账!H28</x:f>
        <x:v>#NAME?</x:v>
      </x:c>
      <x:c r="E29" s="25" t="e">
        <x:f>项目总控台账!I28</x:f>
        <x:v>#NAME?</x:v>
      </x:c>
      <x:c r="F29" s="25" t="e">
        <x:f>项目总控台账!J28</x:f>
        <x:v>#NAME?</x:v>
      </x:c>
      <x:c r="G29" s="8" t="e">
        <x:f>IF(B29="","",IF(OR(C29="",C29="/"),"缺少任务名称；","")&amp;IF(OR(D29="",D29="/"),"缺少有效主责人；","")&amp;IF(OR(E29="",E29&lt;DATE(2000,1,1)),"缺少有效计划开始；","")&amp;IF(OR(F29="",F29&lt;DATE(2000,1,1)),"缺少有效计划完成；","")&amp;IF(项目总控台账!G28="","缺少总体状态；","")&amp;IF(AND(ISNUMBER(E29),ISNUMBER(F29),E29&gt;=DATE(2000,1,1),F29&gt;=DATE(2000,1,1),E29&gt;F29),"开始晚于完成；","")&amp;IF(AND(项目总控台账!G28="已完成",项目总控台账!AB28&lt;1),"已完成但进度不足100%；",""))</x:f>
        <x:v>#NAME?</x:v>
      </x:c>
      <x:c r="H29" s="8" t="str">
        <x:f t="shared" si="0"/>
        <x:v>通过</x:v>
      </x:c>
      <x:c r="I29" s="8" t="str">
        <x:f t="shared" si="1"/>
        <x:v>无需处理</x:v>
      </x:c>
      <x:c r="J29" s="8">
        <x:v>28</x:v>
      </x:c>
    </x:row>
    <x:row r="30">
      <x:c r="A30" s="8" t="s">
        <x:v>1458</x:v>
      </x:c>
      <x:c r="B30" s="8" t="e">
        <x:f>项目总控台账!A29</x:f>
        <x:v>#NAME?</x:v>
      </x:c>
      <x:c r="C30" s="8" t="e">
        <x:f>IF(AND(项目总控台账!E29&lt;&gt;"",项目总控台账!E29&lt;&gt;"/"),项目总控台账!E29,IF(AND(项目总控台账!D29&lt;&gt;"",项目总控台账!D29&lt;&gt;"/"),项目总控台账!D29,项目总控台账!C29))</x:f>
        <x:v>#NAME?</x:v>
      </x:c>
      <x:c r="D30" s="8" t="e">
        <x:f>项目总控台账!H29</x:f>
        <x:v>#NAME?</x:v>
      </x:c>
      <x:c r="E30" s="25" t="e">
        <x:f>项目总控台账!I29</x:f>
        <x:v>#NAME?</x:v>
      </x:c>
      <x:c r="F30" s="25" t="e">
        <x:f>项目总控台账!J29</x:f>
        <x:v>#NAME?</x:v>
      </x:c>
      <x:c r="G30" s="8" t="e">
        <x:f>IF(B30="","",IF(OR(C30="",C30="/"),"缺少任务名称；","")&amp;IF(OR(D30="",D30="/"),"缺少有效主责人；","")&amp;IF(OR(E30="",E30&lt;DATE(2000,1,1)),"缺少有效计划开始；","")&amp;IF(OR(F30="",F30&lt;DATE(2000,1,1)),"缺少有效计划完成；","")&amp;IF(项目总控台账!G29="","缺少总体状态；","")&amp;IF(AND(ISNUMBER(E30),ISNUMBER(F30),E30&gt;=DATE(2000,1,1),F30&gt;=DATE(2000,1,1),E30&gt;F30),"开始晚于完成；","")&amp;IF(AND(项目总控台账!G29="已完成",项目总控台账!AB29&lt;1),"已完成但进度不足100%；",""))</x:f>
        <x:v>#NAME?</x:v>
      </x:c>
      <x:c r="H30" s="8" t="str">
        <x:f t="shared" si="0"/>
        <x:v>通过</x:v>
      </x:c>
      <x:c r="I30" s="8" t="str">
        <x:f t="shared" si="1"/>
        <x:v>无需处理</x:v>
      </x:c>
      <x:c r="J30" s="8">
        <x:v>29</x:v>
      </x:c>
    </x:row>
    <x:row r="31">
      <x:c r="A31" s="8" t="s">
        <x:v>1458</x:v>
      </x:c>
      <x:c r="B31" s="8" t="e">
        <x:f>项目总控台账!A30</x:f>
        <x:v>#NAME?</x:v>
      </x:c>
      <x:c r="C31" s="8" t="e">
        <x:f>IF(AND(项目总控台账!E30&lt;&gt;"",项目总控台账!E30&lt;&gt;"/"),项目总控台账!E30,IF(AND(项目总控台账!D30&lt;&gt;"",项目总控台账!D30&lt;&gt;"/"),项目总控台账!D30,项目总控台账!C30))</x:f>
        <x:v>#NAME?</x:v>
      </x:c>
      <x:c r="D31" s="8" t="e">
        <x:f>项目总控台账!H30</x:f>
        <x:v>#NAME?</x:v>
      </x:c>
      <x:c r="E31" s="25" t="e">
        <x:f>项目总控台账!I30</x:f>
        <x:v>#NAME?</x:v>
      </x:c>
      <x:c r="F31" s="25" t="e">
        <x:f>项目总控台账!J30</x:f>
        <x:v>#NAME?</x:v>
      </x:c>
      <x:c r="G31" s="8" t="e">
        <x:f>IF(B31="","",IF(OR(C31="",C31="/"),"缺少任务名称；","")&amp;IF(OR(D31="",D31="/"),"缺少有效主责人；","")&amp;IF(OR(E31="",E31&lt;DATE(2000,1,1)),"缺少有效计划开始；","")&amp;IF(OR(F31="",F31&lt;DATE(2000,1,1)),"缺少有效计划完成；","")&amp;IF(项目总控台账!G30="","缺少总体状态；","")&amp;IF(AND(ISNUMBER(E31),ISNUMBER(F31),E31&gt;=DATE(2000,1,1),F31&gt;=DATE(2000,1,1),E31&gt;F31),"开始晚于完成；","")&amp;IF(AND(项目总控台账!G30="已完成",项目总控台账!AB30&lt;1),"已完成但进度不足100%；",""))</x:f>
        <x:v>#NAME?</x:v>
      </x:c>
      <x:c r="H31" s="8" t="str">
        <x:f t="shared" si="0"/>
        <x:v>通过</x:v>
      </x:c>
      <x:c r="I31" s="8" t="str">
        <x:f t="shared" si="1"/>
        <x:v>无需处理</x:v>
      </x:c>
      <x:c r="J31" s="8">
        <x:v>30</x:v>
      </x:c>
    </x:row>
    <x:row r="32">
      <x:c r="A32" s="8" t="s">
        <x:v>1458</x:v>
      </x:c>
      <x:c r="B32" s="8" t="e">
        <x:f>项目总控台账!A31</x:f>
        <x:v>#NAME?</x:v>
      </x:c>
      <x:c r="C32" s="8" t="e">
        <x:f>IF(AND(项目总控台账!E31&lt;&gt;"",项目总控台账!E31&lt;&gt;"/"),项目总控台账!E31,IF(AND(项目总控台账!D31&lt;&gt;"",项目总控台账!D31&lt;&gt;"/"),项目总控台账!D31,项目总控台账!C31))</x:f>
        <x:v>#NAME?</x:v>
      </x:c>
      <x:c r="D32" s="8" t="e">
        <x:f>项目总控台账!H31</x:f>
        <x:v>#NAME?</x:v>
      </x:c>
      <x:c r="E32" s="25" t="e">
        <x:f>项目总控台账!I31</x:f>
        <x:v>#NAME?</x:v>
      </x:c>
      <x:c r="F32" s="25" t="e">
        <x:f>项目总控台账!J31</x:f>
        <x:v>#NAME?</x:v>
      </x:c>
      <x:c r="G32" s="8" t="e">
        <x:f>IF(B32="","",IF(OR(C32="",C32="/"),"缺少任务名称；","")&amp;IF(OR(D32="",D32="/"),"缺少有效主责人；","")&amp;IF(OR(E32="",E32&lt;DATE(2000,1,1)),"缺少有效计划开始；","")&amp;IF(OR(F32="",F32&lt;DATE(2000,1,1)),"缺少有效计划完成；","")&amp;IF(项目总控台账!G31="","缺少总体状态；","")&amp;IF(AND(ISNUMBER(E32),ISNUMBER(F32),E32&gt;=DATE(2000,1,1),F32&gt;=DATE(2000,1,1),E32&gt;F32),"开始晚于完成；","")&amp;IF(AND(项目总控台账!G31="已完成",项目总控台账!AB31&lt;1),"已完成但进度不足100%；",""))</x:f>
        <x:v>#NAME?</x:v>
      </x:c>
      <x:c r="H32" s="8" t="str">
        <x:f t="shared" si="0"/>
        <x:v>通过</x:v>
      </x:c>
      <x:c r="I32" s="8" t="str">
        <x:f t="shared" si="1"/>
        <x:v>无需处理</x:v>
      </x:c>
      <x:c r="J32" s="8">
        <x:v>31</x:v>
      </x:c>
    </x:row>
    <x:row r="33">
      <x:c r="A33" s="8" t="s">
        <x:v>1458</x:v>
      </x:c>
      <x:c r="B33" s="8" t="e">
        <x:f>项目总控台账!A32</x:f>
        <x:v>#NAME?</x:v>
      </x:c>
      <x:c r="C33" s="8" t="e">
        <x:f>IF(AND(项目总控台账!E32&lt;&gt;"",项目总控台账!E32&lt;&gt;"/"),项目总控台账!E32,IF(AND(项目总控台账!D32&lt;&gt;"",项目总控台账!D32&lt;&gt;"/"),项目总控台账!D32,项目总控台账!C32))</x:f>
        <x:v>#NAME?</x:v>
      </x:c>
      <x:c r="D33" s="8" t="e">
        <x:f>项目总控台账!H32</x:f>
        <x:v>#NAME?</x:v>
      </x:c>
      <x:c r="E33" s="25" t="e">
        <x:f>项目总控台账!I32</x:f>
        <x:v>#NAME?</x:v>
      </x:c>
      <x:c r="F33" s="25" t="e">
        <x:f>项目总控台账!J32</x:f>
        <x:v>#NAME?</x:v>
      </x:c>
      <x:c r="G33" s="8" t="e">
        <x:f>IF(B33="","",IF(OR(C33="",C33="/"),"缺少任务名称；","")&amp;IF(OR(D33="",D33="/"),"缺少有效主责人；","")&amp;IF(OR(E33="",E33&lt;DATE(2000,1,1)),"缺少有效计划开始；","")&amp;IF(OR(F33="",F33&lt;DATE(2000,1,1)),"缺少有效计划完成；","")&amp;IF(项目总控台账!G32="","缺少总体状态；","")&amp;IF(AND(ISNUMBER(E33),ISNUMBER(F33),E33&gt;=DATE(2000,1,1),F33&gt;=DATE(2000,1,1),E33&gt;F33),"开始晚于完成；","")&amp;IF(AND(项目总控台账!G32="已完成",项目总控台账!AB32&lt;1),"已完成但进度不足100%；",""))</x:f>
        <x:v>#NAME?</x:v>
      </x:c>
      <x:c r="H33" s="8" t="str">
        <x:f t="shared" si="0"/>
        <x:v>通过</x:v>
      </x:c>
      <x:c r="I33" s="8" t="str">
        <x:f t="shared" si="1"/>
        <x:v>无需处理</x:v>
      </x:c>
      <x:c r="J33" s="8">
        <x:v>32</x:v>
      </x:c>
    </x:row>
    <x:row r="34">
      <x:c r="A34" s="8" t="s">
        <x:v>1458</x:v>
      </x:c>
      <x:c r="B34" s="8" t="e">
        <x:f>项目总控台账!A33</x:f>
        <x:v>#NAME?</x:v>
      </x:c>
      <x:c r="C34" s="8" t="e">
        <x:f>IF(AND(项目总控台账!E33&lt;&gt;"",项目总控台账!E33&lt;&gt;"/"),项目总控台账!E33,IF(AND(项目总控台账!D33&lt;&gt;"",项目总控台账!D33&lt;&gt;"/"),项目总控台账!D33,项目总控台账!C33))</x:f>
        <x:v>#NAME?</x:v>
      </x:c>
      <x:c r="D34" s="8" t="e">
        <x:f>项目总控台账!H33</x:f>
        <x:v>#NAME?</x:v>
      </x:c>
      <x:c r="E34" s="25" t="e">
        <x:f>项目总控台账!I33</x:f>
        <x:v>#NAME?</x:v>
      </x:c>
      <x:c r="F34" s="25" t="e">
        <x:f>项目总控台账!J33</x:f>
        <x:v>#NAME?</x:v>
      </x:c>
      <x:c r="G34" s="8" t="e">
        <x:f>IF(B34="","",IF(OR(C34="",C34="/"),"缺少任务名称；","")&amp;IF(OR(D34="",D34="/"),"缺少有效主责人；","")&amp;IF(OR(E34="",E34&lt;DATE(2000,1,1)),"缺少有效计划开始；","")&amp;IF(OR(F34="",F34&lt;DATE(2000,1,1)),"缺少有效计划完成；","")&amp;IF(项目总控台账!G33="","缺少总体状态；","")&amp;IF(AND(ISNUMBER(E34),ISNUMBER(F34),E34&gt;=DATE(2000,1,1),F34&gt;=DATE(2000,1,1),E34&gt;F34),"开始晚于完成；","")&amp;IF(AND(项目总控台账!G33="已完成",项目总控台账!AB33&lt;1),"已完成但进度不足100%；",""))</x:f>
        <x:v>#NAME?</x:v>
      </x:c>
      <x:c r="H34" s="8" t="str">
        <x:f t="shared" si="0"/>
        <x:v>通过</x:v>
      </x:c>
      <x:c r="I34" s="8" t="str">
        <x:f t="shared" si="1"/>
        <x:v>无需处理</x:v>
      </x:c>
      <x:c r="J34" s="8">
        <x:v>33</x:v>
      </x:c>
    </x:row>
    <x:row r="35">
      <x:c r="A35" s="8" t="s">
        <x:v>1458</x:v>
      </x:c>
      <x:c r="B35" s="8" t="e">
        <x:f>项目总控台账!A34</x:f>
        <x:v>#NAME?</x:v>
      </x:c>
      <x:c r="C35" s="8" t="e">
        <x:f>IF(AND(项目总控台账!E34&lt;&gt;"",项目总控台账!E34&lt;&gt;"/"),项目总控台账!E34,IF(AND(项目总控台账!D34&lt;&gt;"",项目总控台账!D34&lt;&gt;"/"),项目总控台账!D34,项目总控台账!C34))</x:f>
        <x:v>#NAME?</x:v>
      </x:c>
      <x:c r="D35" s="8" t="e">
        <x:f>项目总控台账!H34</x:f>
        <x:v>#NAME?</x:v>
      </x:c>
      <x:c r="E35" s="25" t="e">
        <x:f>项目总控台账!I34</x:f>
        <x:v>#NAME?</x:v>
      </x:c>
      <x:c r="F35" s="25" t="e">
        <x:f>项目总控台账!J34</x:f>
        <x:v>#NAME?</x:v>
      </x:c>
      <x:c r="G35" s="8" t="e">
        <x:f>IF(B35="","",IF(OR(C35="",C35="/"),"缺少任务名称；","")&amp;IF(OR(D35="",D35="/"),"缺少有效主责人；","")&amp;IF(OR(E35="",E35&lt;DATE(2000,1,1)),"缺少有效计划开始；","")&amp;IF(OR(F35="",F35&lt;DATE(2000,1,1)),"缺少有效计划完成；","")&amp;IF(项目总控台账!G34="","缺少总体状态；","")&amp;IF(AND(ISNUMBER(E35),ISNUMBER(F35),E35&gt;=DATE(2000,1,1),F35&gt;=DATE(2000,1,1),E35&gt;F35),"开始晚于完成；","")&amp;IF(AND(项目总控台账!G34="已完成",项目总控台账!AB34&lt;1),"已完成但进度不足100%；",""))</x:f>
        <x:v>#NAME?</x:v>
      </x:c>
      <x:c r="H35" s="8" t="str">
        <x:f t="shared" si="0"/>
        <x:v>通过</x:v>
      </x:c>
      <x:c r="I35" s="8" t="str">
        <x:f t="shared" si="1"/>
        <x:v>无需处理</x:v>
      </x:c>
      <x:c r="J35" s="8">
        <x:v>34</x:v>
      </x:c>
    </x:row>
    <x:row r="36">
      <x:c r="A36" s="8" t="s">
        <x:v>1458</x:v>
      </x:c>
      <x:c r="B36" s="8" t="e">
        <x:f>项目总控台账!A35</x:f>
        <x:v>#NAME?</x:v>
      </x:c>
      <x:c r="C36" s="8" t="e">
        <x:f>IF(AND(项目总控台账!E35&lt;&gt;"",项目总控台账!E35&lt;&gt;"/"),项目总控台账!E35,IF(AND(项目总控台账!D35&lt;&gt;"",项目总控台账!D35&lt;&gt;"/"),项目总控台账!D35,项目总控台账!C35))</x:f>
        <x:v>#NAME?</x:v>
      </x:c>
      <x:c r="D36" s="8" t="e">
        <x:f>项目总控台账!H35</x:f>
        <x:v>#NAME?</x:v>
      </x:c>
      <x:c r="E36" s="25" t="e">
        <x:f>项目总控台账!I35</x:f>
        <x:v>#NAME?</x:v>
      </x:c>
      <x:c r="F36" s="25" t="e">
        <x:f>项目总控台账!J35</x:f>
        <x:v>#NAME?</x:v>
      </x:c>
      <x:c r="G36" s="8" t="e">
        <x:f>IF(B36="","",IF(OR(C36="",C36="/"),"缺少任务名称；","")&amp;IF(OR(D36="",D36="/"),"缺少有效主责人；","")&amp;IF(OR(E36="",E36&lt;DATE(2000,1,1)),"缺少有效计划开始；","")&amp;IF(OR(F36="",F36&lt;DATE(2000,1,1)),"缺少有效计划完成；","")&amp;IF(项目总控台账!G35="","缺少总体状态；","")&amp;IF(AND(ISNUMBER(E36),ISNUMBER(F36),E36&gt;=DATE(2000,1,1),F36&gt;=DATE(2000,1,1),E36&gt;F36),"开始晚于完成；","")&amp;IF(AND(项目总控台账!G35="已完成",项目总控台账!AB35&lt;1),"已完成但进度不足100%；",""))</x:f>
        <x:v>#NAME?</x:v>
      </x:c>
      <x:c r="H36" s="8" t="str">
        <x:f t="shared" si="0"/>
        <x:v>通过</x:v>
      </x:c>
      <x:c r="I36" s="8" t="str">
        <x:f t="shared" si="1"/>
        <x:v>无需处理</x:v>
      </x:c>
      <x:c r="J36" s="8">
        <x:v>35</x:v>
      </x:c>
    </x:row>
    <x:row r="37">
      <x:c r="A37" s="8" t="s">
        <x:v>1458</x:v>
      </x:c>
      <x:c r="B37" s="8" t="e">
        <x:f>项目总控台账!A36</x:f>
        <x:v>#NAME?</x:v>
      </x:c>
      <x:c r="C37" s="8" t="e">
        <x:f>IF(AND(项目总控台账!E36&lt;&gt;"",项目总控台账!E36&lt;&gt;"/"),项目总控台账!E36,IF(AND(项目总控台账!D36&lt;&gt;"",项目总控台账!D36&lt;&gt;"/"),项目总控台账!D36,项目总控台账!C36))</x:f>
        <x:v>#NAME?</x:v>
      </x:c>
      <x:c r="D37" s="8" t="e">
        <x:f>项目总控台账!H36</x:f>
        <x:v>#NAME?</x:v>
      </x:c>
      <x:c r="E37" s="25" t="e">
        <x:f>项目总控台账!I36</x:f>
        <x:v>#NAME?</x:v>
      </x:c>
      <x:c r="F37" s="25" t="e">
        <x:f>项目总控台账!J36</x:f>
        <x:v>#NAME?</x:v>
      </x:c>
      <x:c r="G37" s="8" t="e">
        <x:f>IF(B37="","",IF(OR(C37="",C37="/"),"缺少任务名称；","")&amp;IF(OR(D37="",D37="/"),"缺少有效主责人；","")&amp;IF(OR(E37="",E37&lt;DATE(2000,1,1)),"缺少有效计划开始；","")&amp;IF(OR(F37="",F37&lt;DATE(2000,1,1)),"缺少有效计划完成；","")&amp;IF(项目总控台账!G36="","缺少总体状态；","")&amp;IF(AND(ISNUMBER(E37),ISNUMBER(F37),E37&gt;=DATE(2000,1,1),F37&gt;=DATE(2000,1,1),E37&gt;F37),"开始晚于完成；","")&amp;IF(AND(项目总控台账!G36="已完成",项目总控台账!AB36&lt;1),"已完成但进度不足100%；",""))</x:f>
        <x:v>#NAME?</x:v>
      </x:c>
      <x:c r="H37" s="8" t="str">
        <x:f t="shared" si="0"/>
        <x:v>通过</x:v>
      </x:c>
      <x:c r="I37" s="8" t="str">
        <x:f t="shared" si="1"/>
        <x:v>无需处理</x:v>
      </x:c>
      <x:c r="J37" s="8">
        <x:v>36</x:v>
      </x:c>
    </x:row>
    <x:row r="38">
      <x:c r="A38" s="8" t="s">
        <x:v>1458</x:v>
      </x:c>
      <x:c r="B38" s="8" t="e">
        <x:f>项目总控台账!A37</x:f>
        <x:v>#NAME?</x:v>
      </x:c>
      <x:c r="C38" s="8" t="e">
        <x:f>IF(AND(项目总控台账!E37&lt;&gt;"",项目总控台账!E37&lt;&gt;"/"),项目总控台账!E37,IF(AND(项目总控台账!D37&lt;&gt;"",项目总控台账!D37&lt;&gt;"/"),项目总控台账!D37,项目总控台账!C37))</x:f>
        <x:v>#NAME?</x:v>
      </x:c>
      <x:c r="D38" s="8" t="e">
        <x:f>项目总控台账!H37</x:f>
        <x:v>#NAME?</x:v>
      </x:c>
      <x:c r="E38" s="25" t="e">
        <x:f>项目总控台账!I37</x:f>
        <x:v>#NAME?</x:v>
      </x:c>
      <x:c r="F38" s="25" t="e">
        <x:f>项目总控台账!J37</x:f>
        <x:v>#NAME?</x:v>
      </x:c>
      <x:c r="G38" s="8" t="e">
        <x:f>IF(B38="","",IF(OR(C38="",C38="/"),"缺少任务名称；","")&amp;IF(OR(D38="",D38="/"),"缺少有效主责人；","")&amp;IF(OR(E38="",E38&lt;DATE(2000,1,1)),"缺少有效计划开始；","")&amp;IF(OR(F38="",F38&lt;DATE(2000,1,1)),"缺少有效计划完成；","")&amp;IF(项目总控台账!G37="","缺少总体状态；","")&amp;IF(AND(ISNUMBER(E38),ISNUMBER(F38),E38&gt;=DATE(2000,1,1),F38&gt;=DATE(2000,1,1),E38&gt;F38),"开始晚于完成；","")&amp;IF(AND(项目总控台账!G37="已完成",项目总控台账!AB37&lt;1),"已完成但进度不足100%；",""))</x:f>
        <x:v>#NAME?</x:v>
      </x:c>
      <x:c r="H38" s="8" t="str">
        <x:f t="shared" si="0"/>
        <x:v>通过</x:v>
      </x:c>
      <x:c r="I38" s="8" t="str">
        <x:f t="shared" si="1"/>
        <x:v>无需处理</x:v>
      </x:c>
      <x:c r="J38" s="8">
        <x:v>37</x:v>
      </x:c>
    </x:row>
    <x:row r="39">
      <x:c r="A39" s="8" t="s">
        <x:v>1458</x:v>
      </x:c>
      <x:c r="B39" s="8" t="e">
        <x:f>项目总控台账!A38</x:f>
        <x:v>#NAME?</x:v>
      </x:c>
      <x:c r="C39" s="8" t="e">
        <x:f>IF(AND(项目总控台账!E38&lt;&gt;"",项目总控台账!E38&lt;&gt;"/"),项目总控台账!E38,IF(AND(项目总控台账!D38&lt;&gt;"",项目总控台账!D38&lt;&gt;"/"),项目总控台账!D38,项目总控台账!C38))</x:f>
        <x:v>#NAME?</x:v>
      </x:c>
      <x:c r="D39" s="8" t="e">
        <x:f>项目总控台账!H38</x:f>
        <x:v>#NAME?</x:v>
      </x:c>
      <x:c r="E39" s="25" t="e">
        <x:f>项目总控台账!I38</x:f>
        <x:v>#NAME?</x:v>
      </x:c>
      <x:c r="F39" s="25" t="e">
        <x:f>项目总控台账!J38</x:f>
        <x:v>#NAME?</x:v>
      </x:c>
      <x:c r="G39" s="8" t="e">
        <x:f>IF(B39="","",IF(OR(C39="",C39="/"),"缺少任务名称；","")&amp;IF(OR(D39="",D39="/"),"缺少有效主责人；","")&amp;IF(OR(E39="",E39&lt;DATE(2000,1,1)),"缺少有效计划开始；","")&amp;IF(OR(F39="",F39&lt;DATE(2000,1,1)),"缺少有效计划完成；","")&amp;IF(项目总控台账!G38="","缺少总体状态；","")&amp;IF(AND(ISNUMBER(E39),ISNUMBER(F39),E39&gt;=DATE(2000,1,1),F39&gt;=DATE(2000,1,1),E39&gt;F39),"开始晚于完成；","")&amp;IF(AND(项目总控台账!G38="已完成",项目总控台账!AB38&lt;1),"已完成但进度不足100%；",""))</x:f>
        <x:v>#NAME?</x:v>
      </x:c>
      <x:c r="H39" s="8" t="str">
        <x:f t="shared" si="0"/>
        <x:v>通过</x:v>
      </x:c>
      <x:c r="I39" s="8" t="str">
        <x:f t="shared" si="1"/>
        <x:v>无需处理</x:v>
      </x:c>
      <x:c r="J39" s="8">
        <x:v>38</x:v>
      </x:c>
    </x:row>
    <x:row r="40">
      <x:c r="A40" s="8" t="s">
        <x:v>1458</x:v>
      </x:c>
      <x:c r="B40" s="8" t="e">
        <x:f>项目总控台账!A39</x:f>
        <x:v>#NAME?</x:v>
      </x:c>
      <x:c r="C40" s="8" t="e">
        <x:f>IF(AND(项目总控台账!E39&lt;&gt;"",项目总控台账!E39&lt;&gt;"/"),项目总控台账!E39,IF(AND(项目总控台账!D39&lt;&gt;"",项目总控台账!D39&lt;&gt;"/"),项目总控台账!D39,项目总控台账!C39))</x:f>
        <x:v>#NAME?</x:v>
      </x:c>
      <x:c r="D40" s="8" t="e">
        <x:f>项目总控台账!H39</x:f>
        <x:v>#NAME?</x:v>
      </x:c>
      <x:c r="E40" s="25" t="e">
        <x:f>项目总控台账!I39</x:f>
        <x:v>#NAME?</x:v>
      </x:c>
      <x:c r="F40" s="25" t="e">
        <x:f>项目总控台账!J39</x:f>
        <x:v>#NAME?</x:v>
      </x:c>
      <x:c r="G40" s="8" t="e">
        <x:f>IF(B40="","",IF(OR(C40="",C40="/"),"缺少任务名称；","")&amp;IF(OR(D40="",D40="/"),"缺少有效主责人；","")&amp;IF(OR(E40="",E40&lt;DATE(2000,1,1)),"缺少有效计划开始；","")&amp;IF(OR(F40="",F40&lt;DATE(2000,1,1)),"缺少有效计划完成；","")&amp;IF(项目总控台账!G39="","缺少总体状态；","")&amp;IF(AND(ISNUMBER(E40),ISNUMBER(F40),E40&gt;=DATE(2000,1,1),F40&gt;=DATE(2000,1,1),E40&gt;F40),"开始晚于完成；","")&amp;IF(AND(项目总控台账!G39="已完成",项目总控台账!AB39&lt;1),"已完成但进度不足100%；",""))</x:f>
        <x:v>#NAME?</x:v>
      </x:c>
      <x:c r="H40" s="8" t="str">
        <x:f t="shared" si="0"/>
        <x:v>通过</x:v>
      </x:c>
      <x:c r="I40" s="8" t="str">
        <x:f t="shared" si="1"/>
        <x:v>无需处理</x:v>
      </x:c>
      <x:c r="J40" s="8">
        <x:v>39</x:v>
      </x:c>
    </x:row>
    <x:row r="41">
      <x:c r="A41" s="8" t="s">
        <x:v>1458</x:v>
      </x:c>
      <x:c r="B41" s="8" t="e">
        <x:f>项目总控台账!A40</x:f>
        <x:v>#NAME?</x:v>
      </x:c>
      <x:c r="C41" s="8" t="e">
        <x:f>IF(AND(项目总控台账!E40&lt;&gt;"",项目总控台账!E40&lt;&gt;"/"),项目总控台账!E40,IF(AND(项目总控台账!D40&lt;&gt;"",项目总控台账!D40&lt;&gt;"/"),项目总控台账!D40,项目总控台账!C40))</x:f>
        <x:v>#NAME?</x:v>
      </x:c>
      <x:c r="D41" s="8" t="e">
        <x:f>项目总控台账!H40</x:f>
        <x:v>#NAME?</x:v>
      </x:c>
      <x:c r="E41" s="25" t="e">
        <x:f>项目总控台账!I40</x:f>
        <x:v>#NAME?</x:v>
      </x:c>
      <x:c r="F41" s="25" t="e">
        <x:f>项目总控台账!J40</x:f>
        <x:v>#NAME?</x:v>
      </x:c>
      <x:c r="G41" s="8" t="e">
        <x:f>IF(B41="","",IF(OR(C41="",C41="/"),"缺少任务名称；","")&amp;IF(OR(D41="",D41="/"),"缺少有效主责人；","")&amp;IF(OR(E41="",E41&lt;DATE(2000,1,1)),"缺少有效计划开始；","")&amp;IF(OR(F41="",F41&lt;DATE(2000,1,1)),"缺少有效计划完成；","")&amp;IF(项目总控台账!G40="","缺少总体状态；","")&amp;IF(AND(ISNUMBER(E41),ISNUMBER(F41),E41&gt;=DATE(2000,1,1),F41&gt;=DATE(2000,1,1),E41&gt;F41),"开始晚于完成；","")&amp;IF(AND(项目总控台账!G40="已完成",项目总控台账!AB40&lt;1),"已完成但进度不足100%；",""))</x:f>
        <x:v>#NAME?</x:v>
      </x:c>
      <x:c r="H41" s="8" t="str">
        <x:f t="shared" si="0"/>
        <x:v>通过</x:v>
      </x:c>
      <x:c r="I41" s="8" t="str">
        <x:f t="shared" si="1"/>
        <x:v>无需处理</x:v>
      </x:c>
      <x:c r="J41" s="8">
        <x:v>40</x:v>
      </x:c>
    </x:row>
    <x:row r="42">
      <x:c r="A42" s="8" t="s">
        <x:v>1458</x:v>
      </x:c>
      <x:c r="B42" s="8" t="e">
        <x:f>项目总控台账!A41</x:f>
        <x:v>#NAME?</x:v>
      </x:c>
      <x:c r="C42" s="8" t="e">
        <x:f>IF(AND(项目总控台账!E41&lt;&gt;"",项目总控台账!E41&lt;&gt;"/"),项目总控台账!E41,IF(AND(项目总控台账!D41&lt;&gt;"",项目总控台账!D41&lt;&gt;"/"),项目总控台账!D41,项目总控台账!C41))</x:f>
        <x:v>#NAME?</x:v>
      </x:c>
      <x:c r="D42" s="8" t="e">
        <x:f>项目总控台账!H41</x:f>
        <x:v>#NAME?</x:v>
      </x:c>
      <x:c r="E42" s="25" t="e">
        <x:f>项目总控台账!I41</x:f>
        <x:v>#NAME?</x:v>
      </x:c>
      <x:c r="F42" s="25" t="e">
        <x:f>项目总控台账!J41</x:f>
        <x:v>#NAME?</x:v>
      </x:c>
      <x:c r="G42" s="8" t="e">
        <x:f>IF(B42="","",IF(OR(C42="",C42="/"),"缺少任务名称；","")&amp;IF(OR(D42="",D42="/"),"缺少有效主责人；","")&amp;IF(OR(E42="",E42&lt;DATE(2000,1,1)),"缺少有效计划开始；","")&amp;IF(OR(F42="",F42&lt;DATE(2000,1,1)),"缺少有效计划完成；","")&amp;IF(项目总控台账!G41="","缺少总体状态；","")&amp;IF(AND(ISNUMBER(E42),ISNUMBER(F42),E42&gt;=DATE(2000,1,1),F42&gt;=DATE(2000,1,1),E42&gt;F42),"开始晚于完成；","")&amp;IF(AND(项目总控台账!G41="已完成",项目总控台账!AB41&lt;1),"已完成但进度不足100%；",""))</x:f>
        <x:v>#NAME?</x:v>
      </x:c>
      <x:c r="H42" s="8" t="str">
        <x:f t="shared" si="0"/>
        <x:v>通过</x:v>
      </x:c>
      <x:c r="I42" s="8" t="str">
        <x:f t="shared" si="1"/>
        <x:v>无需处理</x:v>
      </x:c>
      <x:c r="J42" s="8">
        <x:v>41</x:v>
      </x:c>
    </x:row>
    <x:row r="43">
      <x:c r="A43" s="8" t="s">
        <x:v>1458</x:v>
      </x:c>
      <x:c r="B43" s="8" t="e">
        <x:f>项目总控台账!A42</x:f>
        <x:v>#NAME?</x:v>
      </x:c>
      <x:c r="C43" s="8" t="e">
        <x:f>IF(AND(项目总控台账!E42&lt;&gt;"",项目总控台账!E42&lt;&gt;"/"),项目总控台账!E42,IF(AND(项目总控台账!D42&lt;&gt;"",项目总控台账!D42&lt;&gt;"/"),项目总控台账!D42,项目总控台账!C42))</x:f>
        <x:v>#NAME?</x:v>
      </x:c>
      <x:c r="D43" s="8" t="e">
        <x:f>项目总控台账!H42</x:f>
        <x:v>#NAME?</x:v>
      </x:c>
      <x:c r="E43" s="25" t="e">
        <x:f>项目总控台账!I42</x:f>
        <x:v>#NAME?</x:v>
      </x:c>
      <x:c r="F43" s="25" t="e">
        <x:f>项目总控台账!J42</x:f>
        <x:v>#NAME?</x:v>
      </x:c>
      <x:c r="G43" s="8" t="e">
        <x:f>IF(B43="","",IF(OR(C43="",C43="/"),"缺少任务名称；","")&amp;IF(OR(D43="",D43="/"),"缺少有效主责人；","")&amp;IF(OR(E43="",E43&lt;DATE(2000,1,1)),"缺少有效计划开始；","")&amp;IF(OR(F43="",F43&lt;DATE(2000,1,1)),"缺少有效计划完成；","")&amp;IF(项目总控台账!G42="","缺少总体状态；","")&amp;IF(AND(ISNUMBER(E43),ISNUMBER(F43),E43&gt;=DATE(2000,1,1),F43&gt;=DATE(2000,1,1),E43&gt;F43),"开始晚于完成；","")&amp;IF(AND(项目总控台账!G42="已完成",项目总控台账!AB42&lt;1),"已完成但进度不足100%；",""))</x:f>
        <x:v>#NAME?</x:v>
      </x:c>
      <x:c r="H43" s="8" t="str">
        <x:f t="shared" si="0"/>
        <x:v>通过</x:v>
      </x:c>
      <x:c r="I43" s="8" t="str">
        <x:f t="shared" si="1"/>
        <x:v>无需处理</x:v>
      </x:c>
      <x:c r="J43" s="8">
        <x:v>42</x:v>
      </x:c>
    </x:row>
    <x:row r="44">
      <x:c r="A44" s="8" t="s">
        <x:v>1458</x:v>
      </x:c>
      <x:c r="B44" s="8" t="e">
        <x:f>项目总控台账!A43</x:f>
        <x:v>#NAME?</x:v>
      </x:c>
      <x:c r="C44" s="8" t="e">
        <x:f>IF(AND(项目总控台账!E43&lt;&gt;"",项目总控台账!E43&lt;&gt;"/"),项目总控台账!E43,IF(AND(项目总控台账!D43&lt;&gt;"",项目总控台账!D43&lt;&gt;"/"),项目总控台账!D43,项目总控台账!C43))</x:f>
        <x:v>#NAME?</x:v>
      </x:c>
      <x:c r="D44" s="8" t="e">
        <x:f>项目总控台账!H43</x:f>
        <x:v>#NAME?</x:v>
      </x:c>
      <x:c r="E44" s="25" t="e">
        <x:f>项目总控台账!I43</x:f>
        <x:v>#NAME?</x:v>
      </x:c>
      <x:c r="F44" s="25" t="e">
        <x:f>项目总控台账!J43</x:f>
        <x:v>#NAME?</x:v>
      </x:c>
      <x:c r="G44" s="8" t="e">
        <x:f>IF(B44="","",IF(OR(C44="",C44="/"),"缺少任务名称；","")&amp;IF(OR(D44="",D44="/"),"缺少有效主责人；","")&amp;IF(OR(E44="",E44&lt;DATE(2000,1,1)),"缺少有效计划开始；","")&amp;IF(OR(F44="",F44&lt;DATE(2000,1,1)),"缺少有效计划完成；","")&amp;IF(项目总控台账!G43="","缺少总体状态；","")&amp;IF(AND(ISNUMBER(E44),ISNUMBER(F44),E44&gt;=DATE(2000,1,1),F44&gt;=DATE(2000,1,1),E44&gt;F44),"开始晚于完成；","")&amp;IF(AND(项目总控台账!G43="已完成",项目总控台账!AB43&lt;1),"已完成但进度不足100%；",""))</x:f>
        <x:v>#NAME?</x:v>
      </x:c>
      <x:c r="H44" s="8" t="str">
        <x:f t="shared" si="0"/>
        <x:v>通过</x:v>
      </x:c>
      <x:c r="I44" s="8" t="str">
        <x:f t="shared" si="1"/>
        <x:v>无需处理</x:v>
      </x:c>
      <x:c r="J44" s="8">
        <x:v>43</x:v>
      </x:c>
    </x:row>
    <x:row r="45">
      <x:c r="A45" s="8" t="s">
        <x:v>1458</x:v>
      </x:c>
      <x:c r="B45" s="8" t="e">
        <x:f>项目总控台账!A44</x:f>
        <x:v>#NAME?</x:v>
      </x:c>
      <x:c r="C45" s="8" t="e">
        <x:f>IF(AND(项目总控台账!E44&lt;&gt;"",项目总控台账!E44&lt;&gt;"/"),项目总控台账!E44,IF(AND(项目总控台账!D44&lt;&gt;"",项目总控台账!D44&lt;&gt;"/"),项目总控台账!D44,项目总控台账!C44))</x:f>
        <x:v>#NAME?</x:v>
      </x:c>
      <x:c r="D45" s="8" t="e">
        <x:f>项目总控台账!H44</x:f>
        <x:v>#NAME?</x:v>
      </x:c>
      <x:c r="E45" s="25" t="e">
        <x:f>项目总控台账!I44</x:f>
        <x:v>#NAME?</x:v>
      </x:c>
      <x:c r="F45" s="25" t="e">
        <x:f>项目总控台账!J44</x:f>
        <x:v>#NAME?</x:v>
      </x:c>
      <x:c r="G45" s="8" t="e">
        <x:f>IF(B45="","",IF(OR(C45="",C45="/"),"缺少任务名称；","")&amp;IF(OR(D45="",D45="/"),"缺少有效主责人；","")&amp;IF(OR(E45="",E45&lt;DATE(2000,1,1)),"缺少有效计划开始；","")&amp;IF(OR(F45="",F45&lt;DATE(2000,1,1)),"缺少有效计划完成；","")&amp;IF(项目总控台账!G44="","缺少总体状态；","")&amp;IF(AND(ISNUMBER(E45),ISNUMBER(F45),E45&gt;=DATE(2000,1,1),F45&gt;=DATE(2000,1,1),E45&gt;F45),"开始晚于完成；","")&amp;IF(AND(项目总控台账!G44="已完成",项目总控台账!AB44&lt;1),"已完成但进度不足100%；",""))</x:f>
        <x:v>#NAME?</x:v>
      </x:c>
      <x:c r="H45" s="8" t="str">
        <x:f t="shared" si="0"/>
        <x:v>通过</x:v>
      </x:c>
      <x:c r="I45" s="8" t="str">
        <x:f t="shared" si="1"/>
        <x:v>无需处理</x:v>
      </x:c>
      <x:c r="J45" s="8">
        <x:v>44</x:v>
      </x:c>
    </x:row>
    <x:row r="46">
      <x:c r="A46" s="8" t="s">
        <x:v>1458</x:v>
      </x:c>
      <x:c r="B46" s="8" t="e">
        <x:f>项目总控台账!A45</x:f>
        <x:v>#NAME?</x:v>
      </x:c>
      <x:c r="C46" s="8" t="e">
        <x:f>IF(AND(项目总控台账!E45&lt;&gt;"",项目总控台账!E45&lt;&gt;"/"),项目总控台账!E45,IF(AND(项目总控台账!D45&lt;&gt;"",项目总控台账!D45&lt;&gt;"/"),项目总控台账!D45,项目总控台账!C45))</x:f>
        <x:v>#NAME?</x:v>
      </x:c>
      <x:c r="D46" s="8" t="e">
        <x:f>项目总控台账!H45</x:f>
        <x:v>#NAME?</x:v>
      </x:c>
      <x:c r="E46" s="25" t="e">
        <x:f>项目总控台账!I45</x:f>
        <x:v>#NAME?</x:v>
      </x:c>
      <x:c r="F46" s="25" t="e">
        <x:f>项目总控台账!J45</x:f>
        <x:v>#NAME?</x:v>
      </x:c>
      <x:c r="G46" s="8" t="e">
        <x:f>IF(B46="","",IF(OR(C46="",C46="/"),"缺少任务名称；","")&amp;IF(OR(D46="",D46="/"),"缺少有效主责人；","")&amp;IF(OR(E46="",E46&lt;DATE(2000,1,1)),"缺少有效计划开始；","")&amp;IF(OR(F46="",F46&lt;DATE(2000,1,1)),"缺少有效计划完成；","")&amp;IF(项目总控台账!G45="","缺少总体状态；","")&amp;IF(AND(ISNUMBER(E46),ISNUMBER(F46),E46&gt;=DATE(2000,1,1),F46&gt;=DATE(2000,1,1),E46&gt;F46),"开始晚于完成；","")&amp;IF(AND(项目总控台账!G45="已完成",项目总控台账!AB45&lt;1),"已完成但进度不足100%；",""))</x:f>
        <x:v>#NAME?</x:v>
      </x:c>
      <x:c r="H46" s="8" t="str">
        <x:f t="shared" si="0"/>
        <x:v>通过</x:v>
      </x:c>
      <x:c r="I46" s="8" t="str">
        <x:f t="shared" si="1"/>
        <x:v>无需处理</x:v>
      </x:c>
      <x:c r="J46" s="8">
        <x:v>45</x:v>
      </x:c>
    </x:row>
    <x:row r="47">
      <x:c r="A47" s="8" t="s">
        <x:v>1458</x:v>
      </x:c>
      <x:c r="B47" s="8" t="e">
        <x:f>项目总控台账!A46</x:f>
        <x:v>#NAME?</x:v>
      </x:c>
      <x:c r="C47" s="8" t="e">
        <x:f>IF(AND(项目总控台账!E46&lt;&gt;"",项目总控台账!E46&lt;&gt;"/"),项目总控台账!E46,IF(AND(项目总控台账!D46&lt;&gt;"",项目总控台账!D46&lt;&gt;"/"),项目总控台账!D46,项目总控台账!C46))</x:f>
        <x:v>#NAME?</x:v>
      </x:c>
      <x:c r="D47" s="8" t="e">
        <x:f>项目总控台账!H46</x:f>
        <x:v>#NAME?</x:v>
      </x:c>
      <x:c r="E47" s="25" t="e">
        <x:f>项目总控台账!I46</x:f>
        <x:v>#NAME?</x:v>
      </x:c>
      <x:c r="F47" s="25" t="e">
        <x:f>项目总控台账!J46</x:f>
        <x:v>#NAME?</x:v>
      </x:c>
      <x:c r="G47" s="8" t="e">
        <x:f>IF(B47="","",IF(OR(C47="",C47="/"),"缺少任务名称；","")&amp;IF(OR(D47="",D47="/"),"缺少有效主责人；","")&amp;IF(OR(E47="",E47&lt;DATE(2000,1,1)),"缺少有效计划开始；","")&amp;IF(OR(F47="",F47&lt;DATE(2000,1,1)),"缺少有效计划完成；","")&amp;IF(项目总控台账!G46="","缺少总体状态；","")&amp;IF(AND(ISNUMBER(E47),ISNUMBER(F47),E47&gt;=DATE(2000,1,1),F47&gt;=DATE(2000,1,1),E47&gt;F47),"开始晚于完成；","")&amp;IF(AND(项目总控台账!G46="已完成",项目总控台账!AB46&lt;1),"已完成但进度不足100%；",""))</x:f>
        <x:v>#NAME?</x:v>
      </x:c>
      <x:c r="H47" s="8" t="str">
        <x:f t="shared" si="0"/>
        <x:v>通过</x:v>
      </x:c>
      <x:c r="I47" s="8" t="str">
        <x:f t="shared" si="1"/>
        <x:v>无需处理</x:v>
      </x:c>
      <x:c r="J47" s="8">
        <x:v>46</x:v>
      </x:c>
    </x:row>
    <x:row r="48">
      <x:c r="A48" s="8" t="s">
        <x:v>1458</x:v>
      </x:c>
      <x:c r="B48" s="8" t="e">
        <x:f>项目总控台账!A47</x:f>
        <x:v>#NAME?</x:v>
      </x:c>
      <x:c r="C48" s="8" t="e">
        <x:f>IF(AND(项目总控台账!E47&lt;&gt;"",项目总控台账!E47&lt;&gt;"/"),项目总控台账!E47,IF(AND(项目总控台账!D47&lt;&gt;"",项目总控台账!D47&lt;&gt;"/"),项目总控台账!D47,项目总控台账!C47))</x:f>
        <x:v>#NAME?</x:v>
      </x:c>
      <x:c r="D48" s="8" t="e">
        <x:f>项目总控台账!H47</x:f>
        <x:v>#NAME?</x:v>
      </x:c>
      <x:c r="E48" s="25" t="e">
        <x:f>项目总控台账!I47</x:f>
        <x:v>#NAME?</x:v>
      </x:c>
      <x:c r="F48" s="25" t="e">
        <x:f>项目总控台账!J47</x:f>
        <x:v>#NAME?</x:v>
      </x:c>
      <x:c r="G48" s="8" t="e">
        <x:f>IF(B48="","",IF(OR(C48="",C48="/"),"缺少任务名称；","")&amp;IF(OR(D48="",D48="/"),"缺少有效主责人；","")&amp;IF(OR(E48="",E48&lt;DATE(2000,1,1)),"缺少有效计划开始；","")&amp;IF(OR(F48="",F48&lt;DATE(2000,1,1)),"缺少有效计划完成；","")&amp;IF(项目总控台账!G47="","缺少总体状态；","")&amp;IF(AND(ISNUMBER(E48),ISNUMBER(F48),E48&gt;=DATE(2000,1,1),F48&gt;=DATE(2000,1,1),E48&gt;F48),"开始晚于完成；","")&amp;IF(AND(项目总控台账!G47="已完成",项目总控台账!AB47&lt;1),"已完成但进度不足100%；",""))</x:f>
        <x:v>#NAME?</x:v>
      </x:c>
      <x:c r="H48" s="8" t="str">
        <x:f t="shared" si="0"/>
        <x:v>通过</x:v>
      </x:c>
      <x:c r="I48" s="8" t="str">
        <x:f t="shared" si="1"/>
        <x:v>无需处理</x:v>
      </x:c>
      <x:c r="J48" s="8">
        <x:v>47</x:v>
      </x:c>
    </x:row>
    <x:row r="49">
      <x:c r="A49" s="8" t="s">
        <x:v>1458</x:v>
      </x:c>
      <x:c r="B49" s="8" t="e">
        <x:f>项目总控台账!A48</x:f>
        <x:v>#NAME?</x:v>
      </x:c>
      <x:c r="C49" s="8" t="e">
        <x:f>IF(AND(项目总控台账!E48&lt;&gt;"",项目总控台账!E48&lt;&gt;"/"),项目总控台账!E48,IF(AND(项目总控台账!D48&lt;&gt;"",项目总控台账!D48&lt;&gt;"/"),项目总控台账!D48,项目总控台账!C48))</x:f>
        <x:v>#NAME?</x:v>
      </x:c>
      <x:c r="D49" s="8" t="e">
        <x:f>项目总控台账!H48</x:f>
        <x:v>#NAME?</x:v>
      </x:c>
      <x:c r="E49" s="25" t="e">
        <x:f>项目总控台账!I48</x:f>
        <x:v>#NAME?</x:v>
      </x:c>
      <x:c r="F49" s="25" t="e">
        <x:f>项目总控台账!J48</x:f>
        <x:v>#NAME?</x:v>
      </x:c>
      <x:c r="G49" s="8" t="e">
        <x:f>IF(B49="","",IF(OR(C49="",C49="/"),"缺少任务名称；","")&amp;IF(OR(D49="",D49="/"),"缺少有效主责人；","")&amp;IF(OR(E49="",E49&lt;DATE(2000,1,1)),"缺少有效计划开始；","")&amp;IF(OR(F49="",F49&lt;DATE(2000,1,1)),"缺少有效计划完成；","")&amp;IF(项目总控台账!G48="","缺少总体状态；","")&amp;IF(AND(ISNUMBER(E49),ISNUMBER(F49),E49&gt;=DATE(2000,1,1),F49&gt;=DATE(2000,1,1),E49&gt;F49),"开始晚于完成；","")&amp;IF(AND(项目总控台账!G48="已完成",项目总控台账!AB48&lt;1),"已完成但进度不足100%；",""))</x:f>
        <x:v>#NAME?</x:v>
      </x:c>
      <x:c r="H49" s="8" t="str">
        <x:f t="shared" si="0"/>
        <x:v>通过</x:v>
      </x:c>
      <x:c r="I49" s="8" t="str">
        <x:f t="shared" si="1"/>
        <x:v>无需处理</x:v>
      </x:c>
      <x:c r="J49" s="8">
        <x:v>48</x:v>
      </x:c>
    </x:row>
    <x:row r="50">
      <x:c r="A50" s="8" t="s">
        <x:v>1458</x:v>
      </x:c>
      <x:c r="B50" s="8" t="e">
        <x:f>项目总控台账!A49</x:f>
        <x:v>#NAME?</x:v>
      </x:c>
      <x:c r="C50" s="8" t="e">
        <x:f>IF(AND(项目总控台账!E49&lt;&gt;"",项目总控台账!E49&lt;&gt;"/"),项目总控台账!E49,IF(AND(项目总控台账!D49&lt;&gt;"",项目总控台账!D49&lt;&gt;"/"),项目总控台账!D49,项目总控台账!C49))</x:f>
        <x:v>#NAME?</x:v>
      </x:c>
      <x:c r="D50" s="8" t="e">
        <x:f>项目总控台账!H49</x:f>
        <x:v>#NAME?</x:v>
      </x:c>
      <x:c r="E50" s="25" t="e">
        <x:f>项目总控台账!I49</x:f>
        <x:v>#NAME?</x:v>
      </x:c>
      <x:c r="F50" s="25" t="e">
        <x:f>项目总控台账!J49</x:f>
        <x:v>#NAME?</x:v>
      </x:c>
      <x:c r="G50" s="8" t="e">
        <x:f>IF(B50="","",IF(OR(C50="",C50="/"),"缺少任务名称；","")&amp;IF(OR(D50="",D50="/"),"缺少有效主责人；","")&amp;IF(OR(E50="",E50&lt;DATE(2000,1,1)),"缺少有效计划开始；","")&amp;IF(OR(F50="",F50&lt;DATE(2000,1,1)),"缺少有效计划完成；","")&amp;IF(项目总控台账!G49="","缺少总体状态；","")&amp;IF(AND(ISNUMBER(E50),ISNUMBER(F50),E50&gt;=DATE(2000,1,1),F50&gt;=DATE(2000,1,1),E50&gt;F50),"开始晚于完成；","")&amp;IF(AND(项目总控台账!G49="已完成",项目总控台账!AB49&lt;1),"已完成但进度不足100%；",""))</x:f>
        <x:v>#NAME?</x:v>
      </x:c>
      <x:c r="H50" s="8" t="str">
        <x:f t="shared" si="0"/>
        <x:v>通过</x:v>
      </x:c>
      <x:c r="I50" s="8" t="str">
        <x:f t="shared" si="1"/>
        <x:v>无需处理</x:v>
      </x:c>
      <x:c r="J50" s="8">
        <x:v>49</x:v>
      </x:c>
    </x:row>
    <x:row r="51">
      <x:c r="A51" s="8" t="s">
        <x:v>1458</x:v>
      </x:c>
      <x:c r="B51" s="8" t="e">
        <x:f>项目总控台账!A50</x:f>
        <x:v>#NAME?</x:v>
      </x:c>
      <x:c r="C51" s="8" t="e">
        <x:f>IF(AND(项目总控台账!E50&lt;&gt;"",项目总控台账!E50&lt;&gt;"/"),项目总控台账!E50,IF(AND(项目总控台账!D50&lt;&gt;"",项目总控台账!D50&lt;&gt;"/"),项目总控台账!D50,项目总控台账!C50))</x:f>
        <x:v>#NAME?</x:v>
      </x:c>
      <x:c r="D51" s="8" t="e">
        <x:f>项目总控台账!H50</x:f>
        <x:v>#NAME?</x:v>
      </x:c>
      <x:c r="E51" s="25" t="e">
        <x:f>项目总控台账!I50</x:f>
        <x:v>#NAME?</x:v>
      </x:c>
      <x:c r="F51" s="25" t="e">
        <x:f>项目总控台账!J50</x:f>
        <x:v>#NAME?</x:v>
      </x:c>
      <x:c r="G51" s="8" t="e">
        <x:f>IF(B51="","",IF(OR(C51="",C51="/"),"缺少任务名称；","")&amp;IF(OR(D51="",D51="/"),"缺少有效主责人；","")&amp;IF(OR(E51="",E51&lt;DATE(2000,1,1)),"缺少有效计划开始；","")&amp;IF(OR(F51="",F51&lt;DATE(2000,1,1)),"缺少有效计划完成；","")&amp;IF(项目总控台账!G50="","缺少总体状态；","")&amp;IF(AND(ISNUMBER(E51),ISNUMBER(F51),E51&gt;=DATE(2000,1,1),F51&gt;=DATE(2000,1,1),E51&gt;F51),"开始晚于完成；","")&amp;IF(AND(项目总控台账!G50="已完成",项目总控台账!AB50&lt;1),"已完成但进度不足100%；",""))</x:f>
        <x:v>#NAME?</x:v>
      </x:c>
      <x:c r="H51" s="8" t="str">
        <x:f t="shared" si="0"/>
        <x:v>通过</x:v>
      </x:c>
      <x:c r="I51" s="8" t="str">
        <x:f t="shared" si="1"/>
        <x:v>无需处理</x:v>
      </x:c>
      <x:c r="J51" s="8">
        <x:v>50</x:v>
      </x:c>
    </x:row>
    <x:row r="52">
      <x:c r="A52" s="8" t="s">
        <x:v>1458</x:v>
      </x:c>
      <x:c r="B52" s="8" t="e">
        <x:f>项目总控台账!A51</x:f>
        <x:v>#NAME?</x:v>
      </x:c>
      <x:c r="C52" s="8" t="e">
        <x:f>IF(AND(项目总控台账!E51&lt;&gt;"",项目总控台账!E51&lt;&gt;"/"),项目总控台账!E51,IF(AND(项目总控台账!D51&lt;&gt;"",项目总控台账!D51&lt;&gt;"/"),项目总控台账!D51,项目总控台账!C51))</x:f>
        <x:v>#NAME?</x:v>
      </x:c>
      <x:c r="D52" s="8" t="e">
        <x:f>项目总控台账!H51</x:f>
        <x:v>#NAME?</x:v>
      </x:c>
      <x:c r="E52" s="25" t="e">
        <x:f>项目总控台账!I51</x:f>
        <x:v>#NAME?</x:v>
      </x:c>
      <x:c r="F52" s="25" t="e">
        <x:f>项目总控台账!J51</x:f>
        <x:v>#NAME?</x:v>
      </x:c>
      <x:c r="G52" s="8" t="e">
        <x:f>IF(B52="","",IF(OR(C52="",C52="/"),"缺少任务名称；","")&amp;IF(OR(D52="",D52="/"),"缺少有效主责人；","")&amp;IF(OR(E52="",E52&lt;DATE(2000,1,1)),"缺少有效计划开始；","")&amp;IF(OR(F52="",F52&lt;DATE(2000,1,1)),"缺少有效计划完成；","")&amp;IF(项目总控台账!G51="","缺少总体状态；","")&amp;IF(AND(ISNUMBER(E52),ISNUMBER(F52),E52&gt;=DATE(2000,1,1),F52&gt;=DATE(2000,1,1),E52&gt;F52),"开始晚于完成；","")&amp;IF(AND(项目总控台账!G51="已完成",项目总控台账!AB51&lt;1),"已完成但进度不足100%；",""))</x:f>
        <x:v>#NAME?</x:v>
      </x:c>
      <x:c r="H52" s="8" t="str">
        <x:f t="shared" si="0"/>
        <x:v>通过</x:v>
      </x:c>
      <x:c r="I52" s="8" t="str">
        <x:f t="shared" si="1"/>
        <x:v>无需处理</x:v>
      </x:c>
      <x:c r="J52" s="8">
        <x:v>51</x:v>
      </x:c>
    </x:row>
    <x:row r="53">
      <x:c r="A53" s="8" t="s">
        <x:v>1458</x:v>
      </x:c>
      <x:c r="B53" s="8" t="e">
        <x:f>项目总控台账!A52</x:f>
        <x:v>#NAME?</x:v>
      </x:c>
      <x:c r="C53" s="8" t="e">
        <x:f>IF(AND(项目总控台账!E52&lt;&gt;"",项目总控台账!E52&lt;&gt;"/"),项目总控台账!E52,IF(AND(项目总控台账!D52&lt;&gt;"",项目总控台账!D52&lt;&gt;"/"),项目总控台账!D52,项目总控台账!C52))</x:f>
        <x:v>#NAME?</x:v>
      </x:c>
      <x:c r="D53" s="8" t="e">
        <x:f>项目总控台账!H52</x:f>
        <x:v>#NAME?</x:v>
      </x:c>
      <x:c r="E53" s="25" t="e">
        <x:f>项目总控台账!I52</x:f>
        <x:v>#NAME?</x:v>
      </x:c>
      <x:c r="F53" s="25" t="e">
        <x:f>项目总控台账!J52</x:f>
        <x:v>#NAME?</x:v>
      </x:c>
      <x:c r="G53" s="8" t="e">
        <x:f>IF(B53="","",IF(OR(C53="",C53="/"),"缺少任务名称；","")&amp;IF(OR(D53="",D53="/"),"缺少有效主责人；","")&amp;IF(OR(E53="",E53&lt;DATE(2000,1,1)),"缺少有效计划开始；","")&amp;IF(OR(F53="",F53&lt;DATE(2000,1,1)),"缺少有效计划完成；","")&amp;IF(项目总控台账!G52="","缺少总体状态；","")&amp;IF(AND(ISNUMBER(E53),ISNUMBER(F53),E53&gt;=DATE(2000,1,1),F53&gt;=DATE(2000,1,1),E53&gt;F53),"开始晚于完成；","")&amp;IF(AND(项目总控台账!G52="已完成",项目总控台账!AB52&lt;1),"已完成但进度不足100%；",""))</x:f>
        <x:v>#NAME?</x:v>
      </x:c>
      <x:c r="H53" s="8" t="str">
        <x:f t="shared" si="0"/>
        <x:v>通过</x:v>
      </x:c>
      <x:c r="I53" s="8" t="str">
        <x:f t="shared" si="1"/>
        <x:v>无需处理</x:v>
      </x:c>
      <x:c r="J53" s="8">
        <x:v>52</x:v>
      </x:c>
    </x:row>
    <x:row r="54">
      <x:c r="A54" s="8" t="s">
        <x:v>1458</x:v>
      </x:c>
      <x:c r="B54" s="8" t="e">
        <x:f>项目总控台账!A53</x:f>
        <x:v>#NAME?</x:v>
      </x:c>
      <x:c r="C54" s="8" t="e">
        <x:f>IF(AND(项目总控台账!E53&lt;&gt;"",项目总控台账!E53&lt;&gt;"/"),项目总控台账!E53,IF(AND(项目总控台账!D53&lt;&gt;"",项目总控台账!D53&lt;&gt;"/"),项目总控台账!D53,项目总控台账!C53))</x:f>
        <x:v>#NAME?</x:v>
      </x:c>
      <x:c r="D54" s="8" t="e">
        <x:f>项目总控台账!H53</x:f>
        <x:v>#NAME?</x:v>
      </x:c>
      <x:c r="E54" s="25" t="e">
        <x:f>项目总控台账!I53</x:f>
        <x:v>#NAME?</x:v>
      </x:c>
      <x:c r="F54" s="25" t="e">
        <x:f>项目总控台账!J53</x:f>
        <x:v>#NAME?</x:v>
      </x:c>
      <x:c r="G54" s="8" t="e">
        <x:f>IF(B54="","",IF(OR(C54="",C54="/"),"缺少任务名称；","")&amp;IF(OR(D54="",D54="/"),"缺少有效主责人；","")&amp;IF(OR(E54="",E54&lt;DATE(2000,1,1)),"缺少有效计划开始；","")&amp;IF(OR(F54="",F54&lt;DATE(2000,1,1)),"缺少有效计划完成；","")&amp;IF(项目总控台账!G53="","缺少总体状态；","")&amp;IF(AND(ISNUMBER(E54),ISNUMBER(F54),E54&gt;=DATE(2000,1,1),F54&gt;=DATE(2000,1,1),E54&gt;F54),"开始晚于完成；","")&amp;IF(AND(项目总控台账!G53="已完成",项目总控台账!AB53&lt;1),"已完成但进度不足100%；",""))</x:f>
        <x:v>#NAME?</x:v>
      </x:c>
      <x:c r="H54" s="8" t="str">
        <x:f t="shared" si="0"/>
        <x:v>通过</x:v>
      </x:c>
      <x:c r="I54" s="8" t="str">
        <x:f t="shared" si="1"/>
        <x:v>无需处理</x:v>
      </x:c>
      <x:c r="J54" s="8">
        <x:v>53</x:v>
      </x:c>
    </x:row>
    <x:row r="55">
      <x:c r="A55" s="8" t="s">
        <x:v>1458</x:v>
      </x:c>
      <x:c r="B55" s="8" t="e">
        <x:f>项目总控台账!A54</x:f>
        <x:v>#NAME?</x:v>
      </x:c>
      <x:c r="C55" s="8" t="e">
        <x:f>IF(AND(项目总控台账!E54&lt;&gt;"",项目总控台账!E54&lt;&gt;"/"),项目总控台账!E54,IF(AND(项目总控台账!D54&lt;&gt;"",项目总控台账!D54&lt;&gt;"/"),项目总控台账!D54,项目总控台账!C54))</x:f>
        <x:v>#NAME?</x:v>
      </x:c>
      <x:c r="D55" s="8" t="e">
        <x:f>项目总控台账!H54</x:f>
        <x:v>#NAME?</x:v>
      </x:c>
      <x:c r="E55" s="25" t="e">
        <x:f>项目总控台账!I54</x:f>
        <x:v>#NAME?</x:v>
      </x:c>
      <x:c r="F55" s="25" t="e">
        <x:f>项目总控台账!J54</x:f>
        <x:v>#NAME?</x:v>
      </x:c>
      <x:c r="G55" s="8" t="e">
        <x:f>IF(B55="","",IF(OR(C55="",C55="/"),"缺少任务名称；","")&amp;IF(OR(D55="",D55="/"),"缺少有效主责人；","")&amp;IF(OR(E55="",E55&lt;DATE(2000,1,1)),"缺少有效计划开始；","")&amp;IF(OR(F55="",F55&lt;DATE(2000,1,1)),"缺少有效计划完成；","")&amp;IF(项目总控台账!G54="","缺少总体状态；","")&amp;IF(AND(ISNUMBER(E55),ISNUMBER(F55),E55&gt;=DATE(2000,1,1),F55&gt;=DATE(2000,1,1),E55&gt;F55),"开始晚于完成；","")&amp;IF(AND(项目总控台账!G54="已完成",项目总控台账!AB54&lt;1),"已完成但进度不足100%；",""))</x:f>
        <x:v>#NAME?</x:v>
      </x:c>
      <x:c r="H55" s="8" t="str">
        <x:f t="shared" si="0"/>
        <x:v>通过</x:v>
      </x:c>
      <x:c r="I55" s="8" t="str">
        <x:f t="shared" si="1"/>
        <x:v>无需处理</x:v>
      </x:c>
      <x:c r="J55" s="8">
        <x:v>54</x:v>
      </x:c>
    </x:row>
    <x:row r="56">
      <x:c r="A56" s="8" t="s">
        <x:v>1458</x:v>
      </x:c>
      <x:c r="B56" s="8" t="e">
        <x:f>项目总控台账!A55</x:f>
        <x:v>#NAME?</x:v>
      </x:c>
      <x:c r="C56" s="8" t="e">
        <x:f>IF(AND(项目总控台账!E55&lt;&gt;"",项目总控台账!E55&lt;&gt;"/"),项目总控台账!E55,IF(AND(项目总控台账!D55&lt;&gt;"",项目总控台账!D55&lt;&gt;"/"),项目总控台账!D55,项目总控台账!C55))</x:f>
        <x:v>#NAME?</x:v>
      </x:c>
      <x:c r="D56" s="8" t="e">
        <x:f>项目总控台账!H55</x:f>
        <x:v>#NAME?</x:v>
      </x:c>
      <x:c r="E56" s="25" t="e">
        <x:f>项目总控台账!I55</x:f>
        <x:v>#NAME?</x:v>
      </x:c>
      <x:c r="F56" s="25" t="e">
        <x:f>项目总控台账!J55</x:f>
        <x:v>#NAME?</x:v>
      </x:c>
      <x:c r="G56" s="8" t="e">
        <x:f>IF(B56="","",IF(OR(C56="",C56="/"),"缺少任务名称；","")&amp;IF(OR(D56="",D56="/"),"缺少有效主责人；","")&amp;IF(OR(E56="",E56&lt;DATE(2000,1,1)),"缺少有效计划开始；","")&amp;IF(OR(F56="",F56&lt;DATE(2000,1,1)),"缺少有效计划完成；","")&amp;IF(项目总控台账!G55="","缺少总体状态；","")&amp;IF(AND(ISNUMBER(E56),ISNUMBER(F56),E56&gt;=DATE(2000,1,1),F56&gt;=DATE(2000,1,1),E56&gt;F56),"开始晚于完成；","")&amp;IF(AND(项目总控台账!G55="已完成",项目总控台账!AB55&lt;1),"已完成但进度不足100%；",""))</x:f>
        <x:v>#NAME?</x:v>
      </x:c>
      <x:c r="H56" s="8" t="str">
        <x:f t="shared" si="0"/>
        <x:v>通过</x:v>
      </x:c>
      <x:c r="I56" s="8" t="str">
        <x:f t="shared" si="1"/>
        <x:v>无需处理</x:v>
      </x:c>
      <x:c r="J56" s="8">
        <x:v>55</x:v>
      </x:c>
    </x:row>
    <x:row r="57">
      <x:c r="A57" s="8" t="s">
        <x:v>1458</x:v>
      </x:c>
      <x:c r="B57" s="8" t="e">
        <x:f>项目总控台账!A56</x:f>
        <x:v>#NAME?</x:v>
      </x:c>
      <x:c r="C57" s="8" t="e">
        <x:f>IF(AND(项目总控台账!E56&lt;&gt;"",项目总控台账!E56&lt;&gt;"/"),项目总控台账!E56,IF(AND(项目总控台账!D56&lt;&gt;"",项目总控台账!D56&lt;&gt;"/"),项目总控台账!D56,项目总控台账!C56))</x:f>
        <x:v>#NAME?</x:v>
      </x:c>
      <x:c r="D57" s="8" t="e">
        <x:f>项目总控台账!H56</x:f>
        <x:v>#NAME?</x:v>
      </x:c>
      <x:c r="E57" s="25" t="e">
        <x:f>项目总控台账!I56</x:f>
        <x:v>#NAME?</x:v>
      </x:c>
      <x:c r="F57" s="25" t="e">
        <x:f>项目总控台账!J56</x:f>
        <x:v>#NAME?</x:v>
      </x:c>
      <x:c r="G57" s="8" t="e">
        <x:f>IF(B57="","",IF(OR(C57="",C57="/"),"缺少任务名称；","")&amp;IF(OR(D57="",D57="/"),"缺少有效主责人；","")&amp;IF(OR(E57="",E57&lt;DATE(2000,1,1)),"缺少有效计划开始；","")&amp;IF(OR(F57="",F57&lt;DATE(2000,1,1)),"缺少有效计划完成；","")&amp;IF(项目总控台账!G56="","缺少总体状态；","")&amp;IF(AND(ISNUMBER(E57),ISNUMBER(F57),E57&gt;=DATE(2000,1,1),F57&gt;=DATE(2000,1,1),E57&gt;F57),"开始晚于完成；","")&amp;IF(AND(项目总控台账!G56="已完成",项目总控台账!AB56&lt;1),"已完成但进度不足100%；",""))</x:f>
        <x:v>#NAME?</x:v>
      </x:c>
      <x:c r="H57" s="8" t="str">
        <x:f t="shared" si="0"/>
        <x:v>通过</x:v>
      </x:c>
      <x:c r="I57" s="8" t="str">
        <x:f t="shared" si="1"/>
        <x:v>无需处理</x:v>
      </x:c>
      <x:c r="J57" s="8">
        <x:v>56</x:v>
      </x:c>
    </x:row>
    <x:row r="58">
      <x:c r="A58" s="8" t="s">
        <x:v>1458</x:v>
      </x:c>
      <x:c r="B58" s="8" t="e">
        <x:f>项目总控台账!A57</x:f>
        <x:v>#NAME?</x:v>
      </x:c>
      <x:c r="C58" s="8" t="e">
        <x:f>IF(AND(项目总控台账!E57&lt;&gt;"",项目总控台账!E57&lt;&gt;"/"),项目总控台账!E57,IF(AND(项目总控台账!D57&lt;&gt;"",项目总控台账!D57&lt;&gt;"/"),项目总控台账!D57,项目总控台账!C57))</x:f>
        <x:v>#NAME?</x:v>
      </x:c>
      <x:c r="D58" s="8" t="e">
        <x:f>项目总控台账!H57</x:f>
        <x:v>#NAME?</x:v>
      </x:c>
      <x:c r="E58" s="25" t="e">
        <x:f>项目总控台账!I57</x:f>
        <x:v>#NAME?</x:v>
      </x:c>
      <x:c r="F58" s="25" t="e">
        <x:f>项目总控台账!J57</x:f>
        <x:v>#NAME?</x:v>
      </x:c>
      <x:c r="G58" s="8" t="e">
        <x:f>IF(B58="","",IF(OR(C58="",C58="/"),"缺少任务名称；","")&amp;IF(OR(D58="",D58="/"),"缺少有效主责人；","")&amp;IF(OR(E58="",E58&lt;DATE(2000,1,1)),"缺少有效计划开始；","")&amp;IF(OR(F58="",F58&lt;DATE(2000,1,1)),"缺少有效计划完成；","")&amp;IF(项目总控台账!G57="","缺少总体状态；","")&amp;IF(AND(ISNUMBER(E58),ISNUMBER(F58),E58&gt;=DATE(2000,1,1),F58&gt;=DATE(2000,1,1),E58&gt;F58),"开始晚于完成；","")&amp;IF(AND(项目总控台账!G57="已完成",项目总控台账!AB57&lt;1),"已完成但进度不足100%；",""))</x:f>
        <x:v>#NAME?</x:v>
      </x:c>
      <x:c r="H58" s="8" t="str">
        <x:f t="shared" si="0"/>
        <x:v>通过</x:v>
      </x:c>
      <x:c r="I58" s="8" t="str">
        <x:f t="shared" si="1"/>
        <x:v>无需处理</x:v>
      </x:c>
      <x:c r="J58" s="8">
        <x:v>57</x:v>
      </x:c>
    </x:row>
    <x:row r="59">
      <x:c r="A59" s="8" t="s">
        <x:v>1458</x:v>
      </x:c>
      <x:c r="B59" s="8" t="e">
        <x:f>项目总控台账!A58</x:f>
        <x:v>#NAME?</x:v>
      </x:c>
      <x:c r="C59" s="8" t="e">
        <x:f>IF(AND(项目总控台账!E58&lt;&gt;"",项目总控台账!E58&lt;&gt;"/"),项目总控台账!E58,IF(AND(项目总控台账!D58&lt;&gt;"",项目总控台账!D58&lt;&gt;"/"),项目总控台账!D58,项目总控台账!C58))</x:f>
        <x:v>#NAME?</x:v>
      </x:c>
      <x:c r="D59" s="8" t="e">
        <x:f>项目总控台账!H58</x:f>
        <x:v>#NAME?</x:v>
      </x:c>
      <x:c r="E59" s="25" t="e">
        <x:f>项目总控台账!I58</x:f>
        <x:v>#NAME?</x:v>
      </x:c>
      <x:c r="F59" s="25" t="e">
        <x:f>项目总控台账!J58</x:f>
        <x:v>#NAME?</x:v>
      </x:c>
      <x:c r="G59" s="8" t="e">
        <x:f>IF(B59="","",IF(OR(C59="",C59="/"),"缺少任务名称；","")&amp;IF(OR(D59="",D59="/"),"缺少有效主责人；","")&amp;IF(OR(E59="",E59&lt;DATE(2000,1,1)),"缺少有效计划开始；","")&amp;IF(OR(F59="",F59&lt;DATE(2000,1,1)),"缺少有效计划完成；","")&amp;IF(项目总控台账!G58="","缺少总体状态；","")&amp;IF(AND(ISNUMBER(E59),ISNUMBER(F59),E59&gt;=DATE(2000,1,1),F59&gt;=DATE(2000,1,1),E59&gt;F59),"开始晚于完成；","")&amp;IF(AND(项目总控台账!G58="已完成",项目总控台账!AB58&lt;1),"已完成但进度不足100%；",""))</x:f>
        <x:v>#NAME?</x:v>
      </x:c>
      <x:c r="H59" s="8" t="str">
        <x:f t="shared" si="0"/>
        <x:v>通过</x:v>
      </x:c>
      <x:c r="I59" s="8" t="str">
        <x:f t="shared" si="1"/>
        <x:v>无需处理</x:v>
      </x:c>
      <x:c r="J59" s="8">
        <x:v>58</x:v>
      </x:c>
    </x:row>
    <x:row r="60">
      <x:c r="A60" s="8" t="s">
        <x:v>1458</x:v>
      </x:c>
      <x:c r="B60" s="8" t="e">
        <x:f>项目总控台账!A59</x:f>
        <x:v>#NAME?</x:v>
      </x:c>
      <x:c r="C60" s="8" t="e">
        <x:f>IF(AND(项目总控台账!E59&lt;&gt;"",项目总控台账!E59&lt;&gt;"/"),项目总控台账!E59,IF(AND(项目总控台账!D59&lt;&gt;"",项目总控台账!D59&lt;&gt;"/"),项目总控台账!D59,项目总控台账!C59))</x:f>
        <x:v>#NAME?</x:v>
      </x:c>
      <x:c r="D60" s="8" t="e">
        <x:f>项目总控台账!H59</x:f>
        <x:v>#NAME?</x:v>
      </x:c>
      <x:c r="E60" s="25" t="e">
        <x:f>项目总控台账!I59</x:f>
        <x:v>#NAME?</x:v>
      </x:c>
      <x:c r="F60" s="25" t="e">
        <x:f>项目总控台账!J59</x:f>
        <x:v>#NAME?</x:v>
      </x:c>
      <x:c r="G60" s="8" t="e">
        <x:f>IF(B60="","",IF(OR(C60="",C60="/"),"缺少任务名称；","")&amp;IF(OR(D60="",D60="/"),"缺少有效主责人；","")&amp;IF(OR(E60="",E60&lt;DATE(2000,1,1)),"缺少有效计划开始；","")&amp;IF(OR(F60="",F60&lt;DATE(2000,1,1)),"缺少有效计划完成；","")&amp;IF(项目总控台账!G59="","缺少总体状态；","")&amp;IF(AND(ISNUMBER(E60),ISNUMBER(F60),E60&gt;=DATE(2000,1,1),F60&gt;=DATE(2000,1,1),E60&gt;F60),"开始晚于完成；","")&amp;IF(AND(项目总控台账!G59="已完成",项目总控台账!AB59&lt;1),"已完成但进度不足100%；",""))</x:f>
        <x:v>#NAME?</x:v>
      </x:c>
      <x:c r="H60" s="8" t="str">
        <x:f t="shared" si="0"/>
        <x:v>通过</x:v>
      </x:c>
      <x:c r="I60" s="8" t="str">
        <x:f t="shared" si="1"/>
        <x:v>无需处理</x:v>
      </x:c>
      <x:c r="J60" s="8">
        <x:v>59</x:v>
      </x:c>
    </x:row>
    <x:row r="61">
      <x:c r="A61" s="8" t="s">
        <x:v>1458</x:v>
      </x:c>
      <x:c r="B61" s="8" t="e">
        <x:f>项目总控台账!A60</x:f>
        <x:v>#NAME?</x:v>
      </x:c>
      <x:c r="C61" s="8" t="e">
        <x:f>IF(AND(项目总控台账!E60&lt;&gt;"",项目总控台账!E60&lt;&gt;"/"),项目总控台账!E60,IF(AND(项目总控台账!D60&lt;&gt;"",项目总控台账!D60&lt;&gt;"/"),项目总控台账!D60,项目总控台账!C60))</x:f>
        <x:v>#NAME?</x:v>
      </x:c>
      <x:c r="D61" s="8" t="e">
        <x:f>项目总控台账!H60</x:f>
        <x:v>#NAME?</x:v>
      </x:c>
      <x:c r="E61" s="25" t="e">
        <x:f>项目总控台账!I60</x:f>
        <x:v>#NAME?</x:v>
      </x:c>
      <x:c r="F61" s="25" t="e">
        <x:f>项目总控台账!J60</x:f>
        <x:v>#NAME?</x:v>
      </x:c>
      <x:c r="G61" s="8" t="e">
        <x:f>IF(B61="","",IF(OR(C61="",C61="/"),"缺少任务名称；","")&amp;IF(OR(D61="",D61="/"),"缺少有效主责人；","")&amp;IF(OR(E61="",E61&lt;DATE(2000,1,1)),"缺少有效计划开始；","")&amp;IF(OR(F61="",F61&lt;DATE(2000,1,1)),"缺少有效计划完成；","")&amp;IF(项目总控台账!G60="","缺少总体状态；","")&amp;IF(AND(ISNUMBER(E61),ISNUMBER(F61),E61&gt;=DATE(2000,1,1),F61&gt;=DATE(2000,1,1),E61&gt;F61),"开始晚于完成；","")&amp;IF(AND(项目总控台账!G60="已完成",项目总控台账!AB60&lt;1),"已完成但进度不足100%；",""))</x:f>
        <x:v>#NAME?</x:v>
      </x:c>
      <x:c r="H61" s="8" t="str">
        <x:f t="shared" si="0"/>
        <x:v>通过</x:v>
      </x:c>
      <x:c r="I61" s="8" t="str">
        <x:f t="shared" si="1"/>
        <x:v>无需处理</x:v>
      </x:c>
      <x:c r="J61" s="8">
        <x:v>60</x:v>
      </x:c>
    </x:row>
    <x:row r="62">
      <x:c r="A62" s="8" t="s">
        <x:v>1458</x:v>
      </x:c>
      <x:c r="B62" s="8" t="e">
        <x:f>项目总控台账!A61</x:f>
        <x:v>#NAME?</x:v>
      </x:c>
      <x:c r="C62" s="8" t="e">
        <x:f>IF(AND(项目总控台账!E61&lt;&gt;"",项目总控台账!E61&lt;&gt;"/"),项目总控台账!E61,IF(AND(项目总控台账!D61&lt;&gt;"",项目总控台账!D61&lt;&gt;"/"),项目总控台账!D61,项目总控台账!C61))</x:f>
        <x:v>#NAME?</x:v>
      </x:c>
      <x:c r="D62" s="8" t="e">
        <x:f>项目总控台账!H61</x:f>
        <x:v>#NAME?</x:v>
      </x:c>
      <x:c r="E62" s="25" t="e">
        <x:f>项目总控台账!I61</x:f>
        <x:v>#NAME?</x:v>
      </x:c>
      <x:c r="F62" s="25" t="e">
        <x:f>项目总控台账!J61</x:f>
        <x:v>#NAME?</x:v>
      </x:c>
      <x:c r="G62" s="8" t="e">
        <x:f>IF(B62="","",IF(OR(C62="",C62="/"),"缺少任务名称；","")&amp;IF(OR(D62="",D62="/"),"缺少有效主责人；","")&amp;IF(OR(E62="",E62&lt;DATE(2000,1,1)),"缺少有效计划开始；","")&amp;IF(OR(F62="",F62&lt;DATE(2000,1,1)),"缺少有效计划完成；","")&amp;IF(项目总控台账!G61="","缺少总体状态；","")&amp;IF(AND(ISNUMBER(E62),ISNUMBER(F62),E62&gt;=DATE(2000,1,1),F62&gt;=DATE(2000,1,1),E62&gt;F62),"开始晚于完成；","")&amp;IF(AND(项目总控台账!G61="已完成",项目总控台账!AB61&lt;1),"已完成但进度不足100%；",""))</x:f>
        <x:v>#NAME?</x:v>
      </x:c>
      <x:c r="H62" s="8" t="str">
        <x:f t="shared" si="0"/>
        <x:v>通过</x:v>
      </x:c>
      <x:c r="I62" s="8" t="str">
        <x:f t="shared" si="1"/>
        <x:v>无需处理</x:v>
      </x:c>
      <x:c r="J62" s="8">
        <x:v>61</x:v>
      </x:c>
    </x:row>
    <x:row r="63">
      <x:c r="A63" s="8" t="s">
        <x:v>1458</x:v>
      </x:c>
      <x:c r="B63" s="8" t="e">
        <x:f>项目总控台账!A62</x:f>
        <x:v>#NAME?</x:v>
      </x:c>
      <x:c r="C63" s="8" t="e">
        <x:f>IF(AND(项目总控台账!E62&lt;&gt;"",项目总控台账!E62&lt;&gt;"/"),项目总控台账!E62,IF(AND(项目总控台账!D62&lt;&gt;"",项目总控台账!D62&lt;&gt;"/"),项目总控台账!D62,项目总控台账!C62))</x:f>
        <x:v>#NAME?</x:v>
      </x:c>
      <x:c r="D63" s="8" t="e">
        <x:f>项目总控台账!H62</x:f>
        <x:v>#NAME?</x:v>
      </x:c>
      <x:c r="E63" s="25" t="e">
        <x:f>项目总控台账!I62</x:f>
        <x:v>#NAME?</x:v>
      </x:c>
      <x:c r="F63" s="25" t="e">
        <x:f>项目总控台账!J62</x:f>
        <x:v>#NAME?</x:v>
      </x:c>
      <x:c r="G63" s="8" t="e">
        <x:f>IF(B63="","",IF(OR(C63="",C63="/"),"缺少任务名称；","")&amp;IF(OR(D63="",D63="/"),"缺少有效主责人；","")&amp;IF(OR(E63="",E63&lt;DATE(2000,1,1)),"缺少有效计划开始；","")&amp;IF(OR(F63="",F63&lt;DATE(2000,1,1)),"缺少有效计划完成；","")&amp;IF(项目总控台账!G62="","缺少总体状态；","")&amp;IF(AND(ISNUMBER(E63),ISNUMBER(F63),E63&gt;=DATE(2000,1,1),F63&gt;=DATE(2000,1,1),E63&gt;F63),"开始晚于完成；","")&amp;IF(AND(项目总控台账!G62="已完成",项目总控台账!AB62&lt;1),"已完成但进度不足100%；",""))</x:f>
        <x:v>#NAME?</x:v>
      </x:c>
      <x:c r="H63" s="8" t="str">
        <x:f t="shared" si="0"/>
        <x:v>通过</x:v>
      </x:c>
      <x:c r="I63" s="8" t="str">
        <x:f t="shared" si="1"/>
        <x:v>无需处理</x:v>
      </x:c>
      <x:c r="J63" s="8">
        <x:v>62</x:v>
      </x:c>
    </x:row>
    <x:row r="64">
      <x:c r="A64" s="8" t="s">
        <x:v>1458</x:v>
      </x:c>
      <x:c r="B64" s="8" t="e">
        <x:f>项目总控台账!A63</x:f>
        <x:v>#NAME?</x:v>
      </x:c>
      <x:c r="C64" s="8" t="e">
        <x:f>IF(AND(项目总控台账!E63&lt;&gt;"",项目总控台账!E63&lt;&gt;"/"),项目总控台账!E63,IF(AND(项目总控台账!D63&lt;&gt;"",项目总控台账!D63&lt;&gt;"/"),项目总控台账!D63,项目总控台账!C63))</x:f>
        <x:v>#NAME?</x:v>
      </x:c>
      <x:c r="D64" s="8" t="e">
        <x:f>项目总控台账!H63</x:f>
        <x:v>#NAME?</x:v>
      </x:c>
      <x:c r="E64" s="25" t="e">
        <x:f>项目总控台账!I63</x:f>
        <x:v>#NAME?</x:v>
      </x:c>
      <x:c r="F64" s="25" t="e">
        <x:f>项目总控台账!J63</x:f>
        <x:v>#NAME?</x:v>
      </x:c>
      <x:c r="G64" s="8" t="e">
        <x:f>IF(B64="","",IF(OR(C64="",C64="/"),"缺少任务名称；","")&amp;IF(OR(D64="",D64="/"),"缺少有效主责人；","")&amp;IF(OR(E64="",E64&lt;DATE(2000,1,1)),"缺少有效计划开始；","")&amp;IF(OR(F64="",F64&lt;DATE(2000,1,1)),"缺少有效计划完成；","")&amp;IF(项目总控台账!G63="","缺少总体状态；","")&amp;IF(AND(ISNUMBER(E64),ISNUMBER(F64),E64&gt;=DATE(2000,1,1),F64&gt;=DATE(2000,1,1),E64&gt;F64),"开始晚于完成；","")&amp;IF(AND(项目总控台账!G63="已完成",项目总控台账!AB63&lt;1),"已完成但进度不足100%；",""))</x:f>
        <x:v>#NAME?</x:v>
      </x:c>
      <x:c r="H64" s="8" t="str">
        <x:f t="shared" si="0"/>
        <x:v>通过</x:v>
      </x:c>
      <x:c r="I64" s="8" t="str">
        <x:f t="shared" si="1"/>
        <x:v>无需处理</x:v>
      </x:c>
      <x:c r="J64" s="8">
        <x:v>63</x:v>
      </x:c>
    </x:row>
    <x:row r="65">
      <x:c r="A65" s="8" t="s">
        <x:v>1458</x:v>
      </x:c>
      <x:c r="B65" s="8" t="e">
        <x:f>项目总控台账!A64</x:f>
        <x:v>#NAME?</x:v>
      </x:c>
      <x:c r="C65" s="8" t="e">
        <x:f>IF(AND(项目总控台账!E64&lt;&gt;"",项目总控台账!E64&lt;&gt;"/"),项目总控台账!E64,IF(AND(项目总控台账!D64&lt;&gt;"",项目总控台账!D64&lt;&gt;"/"),项目总控台账!D64,项目总控台账!C64))</x:f>
        <x:v>#NAME?</x:v>
      </x:c>
      <x:c r="D65" s="8" t="e">
        <x:f>项目总控台账!H64</x:f>
        <x:v>#NAME?</x:v>
      </x:c>
      <x:c r="E65" s="25" t="e">
        <x:f>项目总控台账!I64</x:f>
        <x:v>#NAME?</x:v>
      </x:c>
      <x:c r="F65" s="25" t="e">
        <x:f>项目总控台账!J64</x:f>
        <x:v>#NAME?</x:v>
      </x:c>
      <x:c r="G65" s="8" t="e">
        <x:f>IF(B65="","",IF(OR(C65="",C65="/"),"缺少任务名称；","")&amp;IF(OR(D65="",D65="/"),"缺少有效主责人；","")&amp;IF(OR(E65="",E65&lt;DATE(2000,1,1)),"缺少有效计划开始；","")&amp;IF(OR(F65="",F65&lt;DATE(2000,1,1)),"缺少有效计划完成；","")&amp;IF(项目总控台账!G64="","缺少总体状态；","")&amp;IF(AND(ISNUMBER(E65),ISNUMBER(F65),E65&gt;=DATE(2000,1,1),F65&gt;=DATE(2000,1,1),E65&gt;F65),"开始晚于完成；","")&amp;IF(AND(项目总控台账!G64="已完成",项目总控台账!AB64&lt;1),"已完成但进度不足100%；",""))</x:f>
        <x:v>#NAME?</x:v>
      </x:c>
      <x:c r="H65" s="8" t="str">
        <x:f t="shared" si="0"/>
        <x:v>通过</x:v>
      </x:c>
      <x:c r="I65" s="8" t="str">
        <x:f t="shared" si="1"/>
        <x:v>无需处理</x:v>
      </x:c>
      <x:c r="J65" s="8">
        <x:v>64</x:v>
      </x:c>
    </x:row>
    <x:row r="66">
      <x:c r="A66" s="8" t="s">
        <x:v>1458</x:v>
      </x:c>
      <x:c r="B66" s="8" t="e">
        <x:f>项目总控台账!A65</x:f>
        <x:v>#NAME?</x:v>
      </x:c>
      <x:c r="C66" s="8" t="e">
        <x:f>IF(AND(项目总控台账!E65&lt;&gt;"",项目总控台账!E65&lt;&gt;"/"),项目总控台账!E65,IF(AND(项目总控台账!D65&lt;&gt;"",项目总控台账!D65&lt;&gt;"/"),项目总控台账!D65,项目总控台账!C65))</x:f>
        <x:v>#NAME?</x:v>
      </x:c>
      <x:c r="D66" s="8" t="e">
        <x:f>项目总控台账!H65</x:f>
        <x:v>#NAME?</x:v>
      </x:c>
      <x:c r="E66" s="25" t="e">
        <x:f>项目总控台账!I65</x:f>
        <x:v>#NAME?</x:v>
      </x:c>
      <x:c r="F66" s="25" t="e">
        <x:f>项目总控台账!J65</x:f>
        <x:v>#NAME?</x:v>
      </x:c>
      <x:c r="G66" s="8" t="e">
        <x:f>IF(B66="","",IF(OR(C66="",C66="/"),"缺少任务名称；","")&amp;IF(OR(D66="",D66="/"),"缺少有效主责人；","")&amp;IF(OR(E66="",E66&lt;DATE(2000,1,1)),"缺少有效计划开始；","")&amp;IF(OR(F66="",F66&lt;DATE(2000,1,1)),"缺少有效计划完成；","")&amp;IF(项目总控台账!G65="","缺少总体状态；","")&amp;IF(AND(ISNUMBER(E66),ISNUMBER(F66),E66&gt;=DATE(2000,1,1),F66&gt;=DATE(2000,1,1),E66&gt;F66),"开始晚于完成；","")&amp;IF(AND(项目总控台账!G65="已完成",项目总控台账!AB65&lt;1),"已完成但进度不足100%；",""))</x:f>
        <x:v>#NAME?</x:v>
      </x:c>
      <x:c r="H66" s="8" t="str">
        <x:f t="shared" si="0"/>
        <x:v>通过</x:v>
      </x:c>
      <x:c r="I66" s="8" t="str">
        <x:f t="shared" si="1"/>
        <x:v>无需处理</x:v>
      </x:c>
      <x:c r="J66" s="8">
        <x:v>65</x:v>
      </x:c>
    </x:row>
    <x:row r="67">
      <x:c r="A67" s="8" t="s">
        <x:v>1458</x:v>
      </x:c>
      <x:c r="B67" s="8" t="e">
        <x:f>项目总控台账!A66</x:f>
        <x:v>#NAME?</x:v>
      </x:c>
      <x:c r="C67" s="8" t="e">
        <x:f>IF(AND(项目总控台账!E66&lt;&gt;"",项目总控台账!E66&lt;&gt;"/"),项目总控台账!E66,IF(AND(项目总控台账!D66&lt;&gt;"",项目总控台账!D66&lt;&gt;"/"),项目总控台账!D66,项目总控台账!C66))</x:f>
        <x:v>#NAME?</x:v>
      </x:c>
      <x:c r="D67" s="8" t="e">
        <x:f>项目总控台账!H66</x:f>
        <x:v>#NAME?</x:v>
      </x:c>
      <x:c r="E67" s="25" t="e">
        <x:f>项目总控台账!I66</x:f>
        <x:v>#NAME?</x:v>
      </x:c>
      <x:c r="F67" s="25" t="e">
        <x:f>项目总控台账!J66</x:f>
        <x:v>#NAME?</x:v>
      </x:c>
      <x:c r="G67" s="8" t="e">
        <x:f>IF(B67="","",IF(OR(C67="",C67="/"),"缺少任务名称；","")&amp;IF(OR(D67="",D67="/"),"缺少有效主责人；","")&amp;IF(OR(E67="",E67&lt;DATE(2000,1,1)),"缺少有效计划开始；","")&amp;IF(OR(F67="",F67&lt;DATE(2000,1,1)),"缺少有效计划完成；","")&amp;IF(项目总控台账!G66="","缺少总体状态；","")&amp;IF(AND(ISNUMBER(E67),ISNUMBER(F67),E67&gt;=DATE(2000,1,1),F67&gt;=DATE(2000,1,1),E67&gt;F67),"开始晚于完成；","")&amp;IF(AND(项目总控台账!G66="已完成",项目总控台账!AB66&lt;1),"已完成但进度不足100%；",""))</x:f>
        <x:v>#NAME?</x:v>
      </x:c>
      <x:c r="H67" s="8" t="str">
        <x:f t="shared" si="0"/>
        <x:v>通过</x:v>
      </x:c>
      <x:c r="I67" s="8" t="str">
        <x:f t="shared" si="1"/>
        <x:v>无需处理</x:v>
      </x:c>
      <x:c r="J67" s="8">
        <x:v>66</x:v>
      </x:c>
    </x:row>
    <x:row r="68">
      <x:c r="A68" s="8" t="s">
        <x:v>1458</x:v>
      </x:c>
      <x:c r="B68" s="8" t="e">
        <x:f>项目总控台账!A67</x:f>
        <x:v>#NAME?</x:v>
      </x:c>
      <x:c r="C68" s="8" t="e">
        <x:f>IF(AND(项目总控台账!E67&lt;&gt;"",项目总控台账!E67&lt;&gt;"/"),项目总控台账!E67,IF(AND(项目总控台账!D67&lt;&gt;"",项目总控台账!D67&lt;&gt;"/"),项目总控台账!D67,项目总控台账!C67))</x:f>
        <x:v>#NAME?</x:v>
      </x:c>
      <x:c r="D68" s="8" t="e">
        <x:f>项目总控台账!H67</x:f>
        <x:v>#NAME?</x:v>
      </x:c>
      <x:c r="E68" s="25" t="e">
        <x:f>项目总控台账!I67</x:f>
        <x:v>#NAME?</x:v>
      </x:c>
      <x:c r="F68" s="25" t="e">
        <x:f>项目总控台账!J67</x:f>
        <x:v>#NAME?</x:v>
      </x:c>
      <x:c r="G68" s="8" t="e">
        <x:f>IF(B68="","",IF(OR(C68="",C68="/"),"缺少任务名称；","")&amp;IF(OR(D68="",D68="/"),"缺少有效主责人；","")&amp;IF(OR(E68="",E68&lt;DATE(2000,1,1)),"缺少有效计划开始；","")&amp;IF(OR(F68="",F68&lt;DATE(2000,1,1)),"缺少有效计划完成；","")&amp;IF(项目总控台账!G67="","缺少总体状态；","")&amp;IF(AND(ISNUMBER(E68),ISNUMBER(F68),E68&gt;=DATE(2000,1,1),F68&gt;=DATE(2000,1,1),E68&gt;F68),"开始晚于完成；","")&amp;IF(AND(项目总控台账!G67="已完成",项目总控台账!AB67&lt;1),"已完成但进度不足100%；",""))</x:f>
        <x:v>#NAME?</x:v>
      </x:c>
      <x:c r="H68" s="8" t="str">
        <x:f t="shared" si="0"/>
        <x:v>通过</x:v>
      </x:c>
      <x:c r="I68" s="8" t="str">
        <x:f t="shared" si="1"/>
        <x:v>无需处理</x:v>
      </x:c>
      <x:c r="J68" s="8">
        <x:v>67</x:v>
      </x:c>
    </x:row>
    <x:row r="69">
      <x:c r="A69" s="8" t="s">
        <x:v>1458</x:v>
      </x:c>
      <x:c r="B69" s="8" t="e">
        <x:f>项目总控台账!A68</x:f>
        <x:v>#NAME?</x:v>
      </x:c>
      <x:c r="C69" s="8" t="e">
        <x:f>IF(AND(项目总控台账!E68&lt;&gt;"",项目总控台账!E68&lt;&gt;"/"),项目总控台账!E68,IF(AND(项目总控台账!D68&lt;&gt;"",项目总控台账!D68&lt;&gt;"/"),项目总控台账!D68,项目总控台账!C68))</x:f>
        <x:v>#NAME?</x:v>
      </x:c>
      <x:c r="D69" s="8" t="e">
        <x:f>项目总控台账!H68</x:f>
        <x:v>#NAME?</x:v>
      </x:c>
      <x:c r="E69" s="25" t="e">
        <x:f>项目总控台账!I68</x:f>
        <x:v>#NAME?</x:v>
      </x:c>
      <x:c r="F69" s="25" t="e">
        <x:f>项目总控台账!J68</x:f>
        <x:v>#NAME?</x:v>
      </x:c>
      <x:c r="G69" s="8" t="e">
        <x:f>IF(B69="","",IF(OR(C69="",C69="/"),"缺少任务名称；","")&amp;IF(OR(D69="",D69="/"),"缺少有效主责人；","")&amp;IF(OR(E69="",E69&lt;DATE(2000,1,1)),"缺少有效计划开始；","")&amp;IF(OR(F69="",F69&lt;DATE(2000,1,1)),"缺少有效计划完成；","")&amp;IF(项目总控台账!G68="","缺少总体状态；","")&amp;IF(AND(ISNUMBER(E69),ISNUMBER(F69),E69&gt;=DATE(2000,1,1),F69&gt;=DATE(2000,1,1),E69&gt;F69),"开始晚于完成；","")&amp;IF(AND(项目总控台账!G68="已完成",项目总控台账!AB68&lt;1),"已完成但进度不足100%；",""))</x:f>
        <x:v>#NAME?</x:v>
      </x:c>
      <x:c r="H69" s="8" t="e">
        <x:f t="shared" ref="H69:H132" si="2">IF(B69="","",IF(G69="","通过","需整改"))</x:f>
        <x:v>#NAME?</x:v>
      </x:c>
      <x:c r="I69" s="8" t="e">
        <x:f t="shared" ref="I69:I132" si="3">IF(H69="需整改","回到项目总控台账第"&amp;J69&amp;"行补齐或修正","无需处理")</x:f>
        <x:v>#NAME?</x:v>
      </x:c>
      <x:c r="J69" s="8">
        <x:v>68</x:v>
      </x:c>
    </x:row>
    <x:row r="70">
      <x:c r="A70" s="8" t="s">
        <x:v>1458</x:v>
      </x:c>
      <x:c r="B70" s="8" t="e">
        <x:f>项目总控台账!A69</x:f>
        <x:v>#NAME?</x:v>
      </x:c>
      <x:c r="C70" s="8" t="e">
        <x:f>IF(AND(项目总控台账!E69&lt;&gt;"",项目总控台账!E69&lt;&gt;"/"),项目总控台账!E69,IF(AND(项目总控台账!D69&lt;&gt;"",项目总控台账!D69&lt;&gt;"/"),项目总控台账!D69,项目总控台账!C69))</x:f>
        <x:v>#NAME?</x:v>
      </x:c>
      <x:c r="D70" s="8" t="e">
        <x:f>项目总控台账!H69</x:f>
        <x:v>#NAME?</x:v>
      </x:c>
      <x:c r="E70" s="25" t="e">
        <x:f>项目总控台账!I69</x:f>
        <x:v>#NAME?</x:v>
      </x:c>
      <x:c r="F70" s="25" t="e">
        <x:f>项目总控台账!J69</x:f>
        <x:v>#NAME?</x:v>
      </x:c>
      <x:c r="G70" s="8" t="e">
        <x:f>IF(B70="","",IF(OR(C70="",C70="/"),"缺少任务名称；","")&amp;IF(OR(D70="",D70="/"),"缺少有效主责人；","")&amp;IF(OR(E70="",E70&lt;DATE(2000,1,1)),"缺少有效计划开始；","")&amp;IF(OR(F70="",F70&lt;DATE(2000,1,1)),"缺少有效计划完成；","")&amp;IF(项目总控台账!G69="","缺少总体状态；","")&amp;IF(AND(ISNUMBER(E70),ISNUMBER(F70),E70&gt;=DATE(2000,1,1),F70&gt;=DATE(2000,1,1),E70&gt;F70),"开始晚于完成；","")&amp;IF(AND(项目总控台账!G69="已完成",项目总控台账!AB69&lt;1),"已完成但进度不足100%；",""))</x:f>
        <x:v>#NAME?</x:v>
      </x:c>
      <x:c r="H70" s="8" t="str">
        <x:f t="shared" si="2"/>
        <x:v>通过</x:v>
      </x:c>
      <x:c r="I70" s="8" t="str">
        <x:f t="shared" si="3"/>
        <x:v>无需处理</x:v>
      </x:c>
      <x:c r="J70" s="8">
        <x:v>69</x:v>
      </x:c>
    </x:row>
    <x:row r="71">
      <x:c r="A71" s="8" t="s">
        <x:v>1458</x:v>
      </x:c>
      <x:c r="B71" s="8" t="e">
        <x:f>项目总控台账!A70</x:f>
        <x:v>#NAME?</x:v>
      </x:c>
      <x:c r="C71" s="8" t="e">
        <x:f>IF(AND(项目总控台账!E70&lt;&gt;"",项目总控台账!E70&lt;&gt;"/"),项目总控台账!E70,IF(AND(项目总控台账!D70&lt;&gt;"",项目总控台账!D70&lt;&gt;"/"),项目总控台账!D70,项目总控台账!C70))</x:f>
        <x:v>#NAME?</x:v>
      </x:c>
      <x:c r="D71" s="8" t="e">
        <x:f>项目总控台账!H70</x:f>
        <x:v>#NAME?</x:v>
      </x:c>
      <x:c r="E71" s="25" t="e">
        <x:f>项目总控台账!I70</x:f>
        <x:v>#NAME?</x:v>
      </x:c>
      <x:c r="F71" s="25" t="e">
        <x:f>项目总控台账!J70</x:f>
        <x:v>#NAME?</x:v>
      </x:c>
      <x:c r="G71" s="8" t="e">
        <x:f>IF(B71="","",IF(OR(C71="",C71="/"),"缺少任务名称；","")&amp;IF(OR(D71="",D71="/"),"缺少有效主责人；","")&amp;IF(OR(E71="",E71&lt;DATE(2000,1,1)),"缺少有效计划开始；","")&amp;IF(OR(F71="",F71&lt;DATE(2000,1,1)),"缺少有效计划完成；","")&amp;IF(项目总控台账!G70="","缺少总体状态；","")&amp;IF(AND(ISNUMBER(E71),ISNUMBER(F71),E71&gt;=DATE(2000,1,1),F71&gt;=DATE(2000,1,1),E71&gt;F71),"开始晚于完成；","")&amp;IF(AND(项目总控台账!G70="已完成",项目总控台账!AB70&lt;1),"已完成但进度不足100%；",""))</x:f>
        <x:v>#NAME?</x:v>
      </x:c>
      <x:c r="H71" s="8" t="str">
        <x:f t="shared" si="2"/>
        <x:v>通过</x:v>
      </x:c>
      <x:c r="I71" s="8" t="str">
        <x:f t="shared" si="3"/>
        <x:v>无需处理</x:v>
      </x:c>
      <x:c r="J71" s="8">
        <x:v>70</x:v>
      </x:c>
    </x:row>
    <x:row r="72">
      <x:c r="A72" s="8" t="s">
        <x:v>1458</x:v>
      </x:c>
      <x:c r="B72" s="8" t="e">
        <x:f>项目总控台账!A71</x:f>
        <x:v>#NAME?</x:v>
      </x:c>
      <x:c r="C72" s="8" t="e">
        <x:f>IF(AND(项目总控台账!E71&lt;&gt;"",项目总控台账!E71&lt;&gt;"/"),项目总控台账!E71,IF(AND(项目总控台账!D71&lt;&gt;"",项目总控台账!D71&lt;&gt;"/"),项目总控台账!D71,项目总控台账!C71))</x:f>
        <x:v>#NAME?</x:v>
      </x:c>
      <x:c r="D72" s="8" t="e">
        <x:f>项目总控台账!H71</x:f>
        <x:v>#NAME?</x:v>
      </x:c>
      <x:c r="E72" s="25" t="e">
        <x:f>项目总控台账!I71</x:f>
        <x:v>#NAME?</x:v>
      </x:c>
      <x:c r="F72" s="25" t="e">
        <x:f>项目总控台账!J71</x:f>
        <x:v>#NAME?</x:v>
      </x:c>
      <x:c r="G72" s="8" t="e">
        <x:f>IF(B72="","",IF(OR(C72="",C72="/"),"缺少任务名称；","")&amp;IF(OR(D72="",D72="/"),"缺少有效主责人；","")&amp;IF(OR(E72="",E72&lt;DATE(2000,1,1)),"缺少有效计划开始；","")&amp;IF(OR(F72="",F72&lt;DATE(2000,1,1)),"缺少有效计划完成；","")&amp;IF(项目总控台账!G71="","缺少总体状态；","")&amp;IF(AND(ISNUMBER(E72),ISNUMBER(F72),E72&gt;=DATE(2000,1,1),F72&gt;=DATE(2000,1,1),E72&gt;F72),"开始晚于完成；","")&amp;IF(AND(项目总控台账!G71="已完成",项目总控台账!AB71&lt;1),"已完成但进度不足100%；",""))</x:f>
        <x:v>#NAME?</x:v>
      </x:c>
      <x:c r="H72" s="8" t="str">
        <x:f t="shared" si="2"/>
        <x:v>通过</x:v>
      </x:c>
      <x:c r="I72" s="8" t="str">
        <x:f t="shared" si="3"/>
        <x:v>无需处理</x:v>
      </x:c>
      <x:c r="J72" s="8">
        <x:v>71</x:v>
      </x:c>
    </x:row>
    <x:row r="73">
      <x:c r="A73" s="8" t="s">
        <x:v>1458</x:v>
      </x:c>
      <x:c r="B73" s="8" t="e">
        <x:f>项目总控台账!A72</x:f>
        <x:v>#NAME?</x:v>
      </x:c>
      <x:c r="C73" s="8" t="e">
        <x:f>IF(AND(项目总控台账!E72&lt;&gt;"",项目总控台账!E72&lt;&gt;"/"),项目总控台账!E72,IF(AND(项目总控台账!D72&lt;&gt;"",项目总控台账!D72&lt;&gt;"/"),项目总控台账!D72,项目总控台账!C72))</x:f>
        <x:v>#NAME?</x:v>
      </x:c>
      <x:c r="D73" s="8" t="e">
        <x:f>项目总控台账!H72</x:f>
        <x:v>#NAME?</x:v>
      </x:c>
      <x:c r="E73" s="25" t="e">
        <x:f>项目总控台账!I72</x:f>
        <x:v>#NAME?</x:v>
      </x:c>
      <x:c r="F73" s="25" t="e">
        <x:f>项目总控台账!J72</x:f>
        <x:v>#NAME?</x:v>
      </x:c>
      <x:c r="G73" s="8" t="e">
        <x:f>IF(B73="","",IF(OR(C73="",C73="/"),"缺少任务名称；","")&amp;IF(OR(D73="",D73="/"),"缺少有效主责人；","")&amp;IF(OR(E73="",E73&lt;DATE(2000,1,1)),"缺少有效计划开始；","")&amp;IF(OR(F73="",F73&lt;DATE(2000,1,1)),"缺少有效计划完成；","")&amp;IF(项目总控台账!G72="","缺少总体状态；","")&amp;IF(AND(ISNUMBER(E73),ISNUMBER(F73),E73&gt;=DATE(2000,1,1),F73&gt;=DATE(2000,1,1),E73&gt;F73),"开始晚于完成；","")&amp;IF(AND(项目总控台账!G72="已完成",项目总控台账!AB72&lt;1),"已完成但进度不足100%；",""))</x:f>
        <x:v>#NAME?</x:v>
      </x:c>
      <x:c r="H73" s="8" t="str">
        <x:f t="shared" si="2"/>
        <x:v>通过</x:v>
      </x:c>
      <x:c r="I73" s="8" t="str">
        <x:f t="shared" si="3"/>
        <x:v>无需处理</x:v>
      </x:c>
      <x:c r="J73" s="8">
        <x:v>72</x:v>
      </x:c>
    </x:row>
    <x:row r="74">
      <x:c r="A74" s="8" t="s">
        <x:v>1458</x:v>
      </x:c>
      <x:c r="B74" s="8" t="e">
        <x:f>项目总控台账!A73</x:f>
        <x:v>#NAME?</x:v>
      </x:c>
      <x:c r="C74" s="8" t="e">
        <x:f>IF(AND(项目总控台账!E73&lt;&gt;"",项目总控台账!E73&lt;&gt;"/"),项目总控台账!E73,IF(AND(项目总控台账!D73&lt;&gt;"",项目总控台账!D73&lt;&gt;"/"),项目总控台账!D73,项目总控台账!C73))</x:f>
        <x:v>#NAME?</x:v>
      </x:c>
      <x:c r="D74" s="8" t="e">
        <x:f>项目总控台账!H73</x:f>
        <x:v>#NAME?</x:v>
      </x:c>
      <x:c r="E74" s="25" t="e">
        <x:f>项目总控台账!I73</x:f>
        <x:v>#NAME?</x:v>
      </x:c>
      <x:c r="F74" s="25" t="e">
        <x:f>项目总控台账!J73</x:f>
        <x:v>#NAME?</x:v>
      </x:c>
      <x:c r="G74" s="8" t="e">
        <x:f>IF(B74="","",IF(OR(C74="",C74="/"),"缺少任务名称；","")&amp;IF(OR(D74="",D74="/"),"缺少有效主责人；","")&amp;IF(OR(E74="",E74&lt;DATE(2000,1,1)),"缺少有效计划开始；","")&amp;IF(OR(F74="",F74&lt;DATE(2000,1,1)),"缺少有效计划完成；","")&amp;IF(项目总控台账!G73="","缺少总体状态；","")&amp;IF(AND(ISNUMBER(E74),ISNUMBER(F74),E74&gt;=DATE(2000,1,1),F74&gt;=DATE(2000,1,1),E74&gt;F74),"开始晚于完成；","")&amp;IF(AND(项目总控台账!G73="已完成",项目总控台账!AB73&lt;1),"已完成但进度不足100%；",""))</x:f>
        <x:v>#NAME?</x:v>
      </x:c>
      <x:c r="H74" s="8" t="str">
        <x:f t="shared" si="2"/>
        <x:v>通过</x:v>
      </x:c>
      <x:c r="I74" s="8" t="str">
        <x:f t="shared" si="3"/>
        <x:v>无需处理</x:v>
      </x:c>
      <x:c r="J74" s="8">
        <x:v>73</x:v>
      </x:c>
    </x:row>
    <x:row r="75">
      <x:c r="A75" s="8" t="s">
        <x:v>1458</x:v>
      </x:c>
      <x:c r="B75" s="8" t="e">
        <x:f>项目总控台账!A74</x:f>
        <x:v>#NAME?</x:v>
      </x:c>
      <x:c r="C75" s="8" t="e">
        <x:f>IF(AND(项目总控台账!E74&lt;&gt;"",项目总控台账!E74&lt;&gt;"/"),项目总控台账!E74,IF(AND(项目总控台账!D74&lt;&gt;"",项目总控台账!D74&lt;&gt;"/"),项目总控台账!D74,项目总控台账!C74))</x:f>
        <x:v>#NAME?</x:v>
      </x:c>
      <x:c r="D75" s="8" t="e">
        <x:f>项目总控台账!H74</x:f>
        <x:v>#NAME?</x:v>
      </x:c>
      <x:c r="E75" s="25" t="e">
        <x:f>项目总控台账!I74</x:f>
        <x:v>#NAME?</x:v>
      </x:c>
      <x:c r="F75" s="25" t="e">
        <x:f>项目总控台账!J74</x:f>
        <x:v>#NAME?</x:v>
      </x:c>
      <x:c r="G75" s="8" t="e">
        <x:f>IF(B75="","",IF(OR(C75="",C75="/"),"缺少任务名称；","")&amp;IF(OR(D75="",D75="/"),"缺少有效主责人；","")&amp;IF(OR(E75="",E75&lt;DATE(2000,1,1)),"缺少有效计划开始；","")&amp;IF(OR(F75="",F75&lt;DATE(2000,1,1)),"缺少有效计划完成；","")&amp;IF(项目总控台账!G74="","缺少总体状态；","")&amp;IF(AND(ISNUMBER(E75),ISNUMBER(F75),E75&gt;=DATE(2000,1,1),F75&gt;=DATE(2000,1,1),E75&gt;F75),"开始晚于完成；","")&amp;IF(AND(项目总控台账!G74="已完成",项目总控台账!AB74&lt;1),"已完成但进度不足100%；",""))</x:f>
        <x:v>#NAME?</x:v>
      </x:c>
      <x:c r="H75" s="8" t="str">
        <x:f t="shared" si="2"/>
        <x:v>通过</x:v>
      </x:c>
      <x:c r="I75" s="8" t="str">
        <x:f t="shared" si="3"/>
        <x:v>无需处理</x:v>
      </x:c>
      <x:c r="J75" s="8">
        <x:v>74</x:v>
      </x:c>
    </x:row>
    <x:row r="76">
      <x:c r="A76" s="8" t="s">
        <x:v>1458</x:v>
      </x:c>
      <x:c r="B76" s="8" t="e">
        <x:f>项目总控台账!A75</x:f>
        <x:v>#NAME?</x:v>
      </x:c>
      <x:c r="C76" s="8" t="e">
        <x:f>IF(AND(项目总控台账!E75&lt;&gt;"",项目总控台账!E75&lt;&gt;"/"),项目总控台账!E75,IF(AND(项目总控台账!D75&lt;&gt;"",项目总控台账!D75&lt;&gt;"/"),项目总控台账!D75,项目总控台账!C75))</x:f>
        <x:v>#NAME?</x:v>
      </x:c>
      <x:c r="D76" s="8" t="e">
        <x:f>项目总控台账!H75</x:f>
        <x:v>#NAME?</x:v>
      </x:c>
      <x:c r="E76" s="25" t="e">
        <x:f>项目总控台账!I75</x:f>
        <x:v>#NAME?</x:v>
      </x:c>
      <x:c r="F76" s="25" t="e">
        <x:f>项目总控台账!J75</x:f>
        <x:v>#NAME?</x:v>
      </x:c>
      <x:c r="G76" s="8" t="e">
        <x:f>IF(B76="","",IF(OR(C76="",C76="/"),"缺少任务名称；","")&amp;IF(OR(D76="",D76="/"),"缺少有效主责人；","")&amp;IF(OR(E76="",E76&lt;DATE(2000,1,1)),"缺少有效计划开始；","")&amp;IF(OR(F76="",F76&lt;DATE(2000,1,1)),"缺少有效计划完成；","")&amp;IF(项目总控台账!G75="","缺少总体状态；","")&amp;IF(AND(ISNUMBER(E76),ISNUMBER(F76),E76&gt;=DATE(2000,1,1),F76&gt;=DATE(2000,1,1),E76&gt;F76),"开始晚于完成；","")&amp;IF(AND(项目总控台账!G75="已完成",项目总控台账!AB75&lt;1),"已完成但进度不足100%；",""))</x:f>
        <x:v>#NAME?</x:v>
      </x:c>
      <x:c r="H76" s="8" t="str">
        <x:f t="shared" si="2"/>
        <x:v>通过</x:v>
      </x:c>
      <x:c r="I76" s="8" t="str">
        <x:f t="shared" si="3"/>
        <x:v>无需处理</x:v>
      </x:c>
      <x:c r="J76" s="8">
        <x:v>75</x:v>
      </x:c>
    </x:row>
    <x:row r="77">
      <x:c r="A77" s="8" t="s">
        <x:v>1458</x:v>
      </x:c>
      <x:c r="B77" s="8" t="e">
        <x:f>项目总控台账!A76</x:f>
        <x:v>#NAME?</x:v>
      </x:c>
      <x:c r="C77" s="8" t="e">
        <x:f>IF(AND(项目总控台账!E76&lt;&gt;"",项目总控台账!E76&lt;&gt;"/"),项目总控台账!E76,IF(AND(项目总控台账!D76&lt;&gt;"",项目总控台账!D76&lt;&gt;"/"),项目总控台账!D76,项目总控台账!C76))</x:f>
        <x:v>#NAME?</x:v>
      </x:c>
      <x:c r="D77" s="8" t="e">
        <x:f>项目总控台账!H76</x:f>
        <x:v>#NAME?</x:v>
      </x:c>
      <x:c r="E77" s="25" t="e">
        <x:f>项目总控台账!I76</x:f>
        <x:v>#NAME?</x:v>
      </x:c>
      <x:c r="F77" s="25" t="e">
        <x:f>项目总控台账!J76</x:f>
        <x:v>#NAME?</x:v>
      </x:c>
      <x:c r="G77" s="8" t="e">
        <x:f>IF(B77="","",IF(OR(C77="",C77="/"),"缺少任务名称；","")&amp;IF(OR(D77="",D77="/"),"缺少有效主责人；","")&amp;IF(OR(E77="",E77&lt;DATE(2000,1,1)),"缺少有效计划开始；","")&amp;IF(OR(F77="",F77&lt;DATE(2000,1,1)),"缺少有效计划完成；","")&amp;IF(项目总控台账!G76="","缺少总体状态；","")&amp;IF(AND(ISNUMBER(E77),ISNUMBER(F77),E77&gt;=DATE(2000,1,1),F77&gt;=DATE(2000,1,1),E77&gt;F77),"开始晚于完成；","")&amp;IF(AND(项目总控台账!G76="已完成",项目总控台账!AB76&lt;1),"已完成但进度不足100%；",""))</x:f>
        <x:v>#NAME?</x:v>
      </x:c>
      <x:c r="H77" s="8" t="str">
        <x:f t="shared" si="2"/>
        <x:v>通过</x:v>
      </x:c>
      <x:c r="I77" s="8" t="str">
        <x:f t="shared" si="3"/>
        <x:v>无需处理</x:v>
      </x:c>
      <x:c r="J77" s="8">
        <x:v>76</x:v>
      </x:c>
    </x:row>
    <x:row r="78">
      <x:c r="A78" s="8" t="s">
        <x:v>1458</x:v>
      </x:c>
      <x:c r="B78" s="8" t="e">
        <x:f>项目总控台账!A77</x:f>
        <x:v>#NAME?</x:v>
      </x:c>
      <x:c r="C78" s="8" t="e">
        <x:f>IF(AND(项目总控台账!E77&lt;&gt;"",项目总控台账!E77&lt;&gt;"/"),项目总控台账!E77,IF(AND(项目总控台账!D77&lt;&gt;"",项目总控台账!D77&lt;&gt;"/"),项目总控台账!D77,项目总控台账!C77))</x:f>
        <x:v>#NAME?</x:v>
      </x:c>
      <x:c r="D78" s="8" t="e">
        <x:f>项目总控台账!H77</x:f>
        <x:v>#NAME?</x:v>
      </x:c>
      <x:c r="E78" s="25" t="e">
        <x:f>项目总控台账!I77</x:f>
        <x:v>#NAME?</x:v>
      </x:c>
      <x:c r="F78" s="25" t="e">
        <x:f>项目总控台账!J77</x:f>
        <x:v>#NAME?</x:v>
      </x:c>
      <x:c r="G78" s="8" t="e">
        <x:f>IF(B78="","",IF(OR(C78="",C78="/"),"缺少任务名称；","")&amp;IF(OR(D78="",D78="/"),"缺少有效主责人；","")&amp;IF(OR(E78="",E78&lt;DATE(2000,1,1)),"缺少有效计划开始；","")&amp;IF(OR(F78="",F78&lt;DATE(2000,1,1)),"缺少有效计划完成；","")&amp;IF(项目总控台账!G77="","缺少总体状态；","")&amp;IF(AND(ISNUMBER(E78),ISNUMBER(F78),E78&gt;=DATE(2000,1,1),F78&gt;=DATE(2000,1,1),E78&gt;F78),"开始晚于完成；","")&amp;IF(AND(项目总控台账!G77="已完成",项目总控台账!AB77&lt;1),"已完成但进度不足100%；",""))</x:f>
        <x:v>#NAME?</x:v>
      </x:c>
      <x:c r="H78" s="8" t="str">
        <x:f t="shared" si="2"/>
        <x:v>通过</x:v>
      </x:c>
      <x:c r="I78" s="8" t="str">
        <x:f t="shared" si="3"/>
        <x:v>无需处理</x:v>
      </x:c>
      <x:c r="J78" s="8">
        <x:v>77</x:v>
      </x:c>
    </x:row>
    <x:row r="79">
      <x:c r="A79" s="8" t="s">
        <x:v>1458</x:v>
      </x:c>
      <x:c r="B79" s="8" t="e">
        <x:f>项目总控台账!A78</x:f>
        <x:v>#NAME?</x:v>
      </x:c>
      <x:c r="C79" s="8" t="e">
        <x:f>IF(AND(项目总控台账!E78&lt;&gt;"",项目总控台账!E78&lt;&gt;"/"),项目总控台账!E78,IF(AND(项目总控台账!D78&lt;&gt;"",项目总控台账!D78&lt;&gt;"/"),项目总控台账!D78,项目总控台账!C78))</x:f>
        <x:v>#NAME?</x:v>
      </x:c>
      <x:c r="D79" s="8" t="e">
        <x:f>项目总控台账!H78</x:f>
        <x:v>#NAME?</x:v>
      </x:c>
      <x:c r="E79" s="25" t="e">
        <x:f>项目总控台账!I78</x:f>
        <x:v>#NAME?</x:v>
      </x:c>
      <x:c r="F79" s="25" t="e">
        <x:f>项目总控台账!J78</x:f>
        <x:v>#NAME?</x:v>
      </x:c>
      <x:c r="G79" s="8" t="e">
        <x:f>IF(B79="","",IF(OR(C79="",C79="/"),"缺少任务名称；","")&amp;IF(OR(D79="",D79="/"),"缺少有效主责人；","")&amp;IF(OR(E79="",E79&lt;DATE(2000,1,1)),"缺少有效计划开始；","")&amp;IF(OR(F79="",F79&lt;DATE(2000,1,1)),"缺少有效计划完成；","")&amp;IF(项目总控台账!G78="","缺少总体状态；","")&amp;IF(AND(ISNUMBER(E79),ISNUMBER(F79),E79&gt;=DATE(2000,1,1),F79&gt;=DATE(2000,1,1),E79&gt;F79),"开始晚于完成；","")&amp;IF(AND(项目总控台账!G78="已完成",项目总控台账!AB78&lt;1),"已完成但进度不足100%；",""))</x:f>
        <x:v>#NAME?</x:v>
      </x:c>
      <x:c r="H79" s="8" t="str">
        <x:f t="shared" si="2"/>
        <x:v>通过</x:v>
      </x:c>
      <x:c r="I79" s="8" t="str">
        <x:f t="shared" si="3"/>
        <x:v>无需处理</x:v>
      </x:c>
      <x:c r="J79" s="8">
        <x:v>78</x:v>
      </x:c>
    </x:row>
    <x:row r="80">
      <x:c r="A80" s="8" t="s">
        <x:v>1458</x:v>
      </x:c>
      <x:c r="B80" s="8" t="e">
        <x:f>项目总控台账!A79</x:f>
        <x:v>#NAME?</x:v>
      </x:c>
      <x:c r="C80" s="8" t="e">
        <x:f>IF(AND(项目总控台账!E79&lt;&gt;"",项目总控台账!E79&lt;&gt;"/"),项目总控台账!E79,IF(AND(项目总控台账!D79&lt;&gt;"",项目总控台账!D79&lt;&gt;"/"),项目总控台账!D79,项目总控台账!C79))</x:f>
        <x:v>#NAME?</x:v>
      </x:c>
      <x:c r="D80" s="8" t="e">
        <x:f>项目总控台账!H79</x:f>
        <x:v>#NAME?</x:v>
      </x:c>
      <x:c r="E80" s="25" t="e">
        <x:f>项目总控台账!I79</x:f>
        <x:v>#NAME?</x:v>
      </x:c>
      <x:c r="F80" s="25" t="e">
        <x:f>项目总控台账!J79</x:f>
        <x:v>#NAME?</x:v>
      </x:c>
      <x:c r="G80" s="8" t="e">
        <x:f>IF(B80="","",IF(OR(C80="",C80="/"),"缺少任务名称；","")&amp;IF(OR(D80="",D80="/"),"缺少有效主责人；","")&amp;IF(OR(E80="",E80&lt;DATE(2000,1,1)),"缺少有效计划开始；","")&amp;IF(OR(F80="",F80&lt;DATE(2000,1,1)),"缺少有效计划完成；","")&amp;IF(项目总控台账!G79="","缺少总体状态；","")&amp;IF(AND(ISNUMBER(E80),ISNUMBER(F80),E80&gt;=DATE(2000,1,1),F80&gt;=DATE(2000,1,1),E80&gt;F80),"开始晚于完成；","")&amp;IF(AND(项目总控台账!G79="已完成",项目总控台账!AB79&lt;1),"已完成但进度不足100%；",""))</x:f>
        <x:v>#NAME?</x:v>
      </x:c>
      <x:c r="H80" s="8" t="str">
        <x:f t="shared" si="2"/>
        <x:v>通过</x:v>
      </x:c>
      <x:c r="I80" s="8" t="str">
        <x:f t="shared" si="3"/>
        <x:v>无需处理</x:v>
      </x:c>
      <x:c r="J80" s="8">
        <x:v>79</x:v>
      </x:c>
    </x:row>
    <x:row r="81">
      <x:c r="A81" s="8" t="s">
        <x:v>1458</x:v>
      </x:c>
      <x:c r="B81" s="8" t="e">
        <x:f>项目总控台账!A80</x:f>
        <x:v>#NAME?</x:v>
      </x:c>
      <x:c r="C81" s="8" t="e">
        <x:f>IF(AND(项目总控台账!E80&lt;&gt;"",项目总控台账!E80&lt;&gt;"/"),项目总控台账!E80,IF(AND(项目总控台账!D80&lt;&gt;"",项目总控台账!D80&lt;&gt;"/"),项目总控台账!D80,项目总控台账!C80))</x:f>
        <x:v>#NAME?</x:v>
      </x:c>
      <x:c r="D81" s="8" t="e">
        <x:f>项目总控台账!H80</x:f>
        <x:v>#NAME?</x:v>
      </x:c>
      <x:c r="E81" s="25" t="e">
        <x:f>项目总控台账!I80</x:f>
        <x:v>#NAME?</x:v>
      </x:c>
      <x:c r="F81" s="25" t="e">
        <x:f>项目总控台账!J80</x:f>
        <x:v>#NAME?</x:v>
      </x:c>
      <x:c r="G81" s="8" t="e">
        <x:f>IF(B81="","",IF(OR(C81="",C81="/"),"缺少任务名称；","")&amp;IF(OR(D81="",D81="/"),"缺少有效主责人；","")&amp;IF(OR(E81="",E81&lt;DATE(2000,1,1)),"缺少有效计划开始；","")&amp;IF(OR(F81="",F81&lt;DATE(2000,1,1)),"缺少有效计划完成；","")&amp;IF(项目总控台账!G80="","缺少总体状态；","")&amp;IF(AND(ISNUMBER(E81),ISNUMBER(F81),E81&gt;=DATE(2000,1,1),F81&gt;=DATE(2000,1,1),E81&gt;F81),"开始晚于完成；","")&amp;IF(AND(项目总控台账!G80="已完成",项目总控台账!AB80&lt;1),"已完成但进度不足100%；",""))</x:f>
        <x:v>#NAME?</x:v>
      </x:c>
      <x:c r="H81" s="8" t="str">
        <x:f t="shared" si="2"/>
        <x:v>通过</x:v>
      </x:c>
      <x:c r="I81" s="8" t="str">
        <x:f t="shared" si="3"/>
        <x:v>无需处理</x:v>
      </x:c>
      <x:c r="J81" s="8">
        <x:v>80</x:v>
      </x:c>
    </x:row>
    <x:row r="82">
      <x:c r="A82" s="8" t="s">
        <x:v>1458</x:v>
      </x:c>
      <x:c r="B82" s="8" t="e">
        <x:f>项目总控台账!A81</x:f>
        <x:v>#NAME?</x:v>
      </x:c>
      <x:c r="C82" s="8" t="e">
        <x:f>IF(AND(项目总控台账!E81&lt;&gt;"",项目总控台账!E81&lt;&gt;"/"),项目总控台账!E81,IF(AND(项目总控台账!D81&lt;&gt;"",项目总控台账!D81&lt;&gt;"/"),项目总控台账!D81,项目总控台账!C81))</x:f>
        <x:v>#NAME?</x:v>
      </x:c>
      <x:c r="D82" s="8" t="e">
        <x:f>项目总控台账!H81</x:f>
        <x:v>#NAME?</x:v>
      </x:c>
      <x:c r="E82" s="25" t="e">
        <x:f>项目总控台账!I81</x:f>
        <x:v>#NAME?</x:v>
      </x:c>
      <x:c r="F82" s="25" t="e">
        <x:f>项目总控台账!J81</x:f>
        <x:v>#NAME?</x:v>
      </x:c>
      <x:c r="G82" s="8" t="e">
        <x:f>IF(B82="","",IF(OR(C82="",C82="/"),"缺少任务名称；","")&amp;IF(OR(D82="",D82="/"),"缺少有效主责人；","")&amp;IF(OR(E82="",E82&lt;DATE(2000,1,1)),"缺少有效计划开始；","")&amp;IF(OR(F82="",F82&lt;DATE(2000,1,1)),"缺少有效计划完成；","")&amp;IF(项目总控台账!G81="","缺少总体状态；","")&amp;IF(AND(ISNUMBER(E82),ISNUMBER(F82),E82&gt;=DATE(2000,1,1),F82&gt;=DATE(2000,1,1),E82&gt;F82),"开始晚于完成；","")&amp;IF(AND(项目总控台账!G81="已完成",项目总控台账!AB81&lt;1),"已完成但进度不足100%；",""))</x:f>
        <x:v>#NAME?</x:v>
      </x:c>
      <x:c r="H82" s="8" t="str">
        <x:f t="shared" si="2"/>
        <x:v>通过</x:v>
      </x:c>
      <x:c r="I82" s="8" t="str">
        <x:f t="shared" si="3"/>
        <x:v>无需处理</x:v>
      </x:c>
      <x:c r="J82" s="8">
        <x:v>81</x:v>
      </x:c>
    </x:row>
    <x:row r="83">
      <x:c r="A83" s="8" t="s">
        <x:v>1458</x:v>
      </x:c>
      <x:c r="B83" s="8" t="e">
        <x:f>项目总控台账!A82</x:f>
        <x:v>#NAME?</x:v>
      </x:c>
      <x:c r="C83" s="8" t="e">
        <x:f>IF(AND(项目总控台账!E82&lt;&gt;"",项目总控台账!E82&lt;&gt;"/"),项目总控台账!E82,IF(AND(项目总控台账!D82&lt;&gt;"",项目总控台账!D82&lt;&gt;"/"),项目总控台账!D82,项目总控台账!C82))</x:f>
        <x:v>#NAME?</x:v>
      </x:c>
      <x:c r="D83" s="8" t="e">
        <x:f>项目总控台账!H82</x:f>
        <x:v>#NAME?</x:v>
      </x:c>
      <x:c r="E83" s="25" t="e">
        <x:f>项目总控台账!I82</x:f>
        <x:v>#NAME?</x:v>
      </x:c>
      <x:c r="F83" s="25" t="e">
        <x:f>项目总控台账!J82</x:f>
        <x:v>#NAME?</x:v>
      </x:c>
      <x:c r="G83" s="8" t="e">
        <x:f>IF(B83="","",IF(OR(C83="",C83="/"),"缺少任务名称；","")&amp;IF(OR(D83="",D83="/"),"缺少有效主责人；","")&amp;IF(OR(E83="",E83&lt;DATE(2000,1,1)),"缺少有效计划开始；","")&amp;IF(OR(F83="",F83&lt;DATE(2000,1,1)),"缺少有效计划完成；","")&amp;IF(项目总控台账!G82="","缺少总体状态；","")&amp;IF(AND(ISNUMBER(E83),ISNUMBER(F83),E83&gt;=DATE(2000,1,1),F83&gt;=DATE(2000,1,1),E83&gt;F83),"开始晚于完成；","")&amp;IF(AND(项目总控台账!G82="已完成",项目总控台账!AB82&lt;1),"已完成但进度不足100%；",""))</x:f>
        <x:v>#NAME?</x:v>
      </x:c>
      <x:c r="H83" s="8" t="str">
        <x:f t="shared" si="2"/>
        <x:v>通过</x:v>
      </x:c>
      <x:c r="I83" s="8" t="str">
        <x:f t="shared" si="3"/>
        <x:v>无需处理</x:v>
      </x:c>
      <x:c r="J83" s="8">
        <x:v>82</x:v>
      </x:c>
    </x:row>
    <x:row r="84">
      <x:c r="A84" s="8" t="s">
        <x:v>1458</x:v>
      </x:c>
      <x:c r="B84" s="8" t="e">
        <x:f>项目总控台账!A83</x:f>
        <x:v>#NAME?</x:v>
      </x:c>
      <x:c r="C84" s="8" t="e">
        <x:f>IF(AND(项目总控台账!E83&lt;&gt;"",项目总控台账!E83&lt;&gt;"/"),项目总控台账!E83,IF(AND(项目总控台账!D83&lt;&gt;"",项目总控台账!D83&lt;&gt;"/"),项目总控台账!D83,项目总控台账!C83))</x:f>
        <x:v>#NAME?</x:v>
      </x:c>
      <x:c r="D84" s="8" t="e">
        <x:f>项目总控台账!H83</x:f>
        <x:v>#NAME?</x:v>
      </x:c>
      <x:c r="E84" s="25" t="e">
        <x:f>项目总控台账!I83</x:f>
        <x:v>#NAME?</x:v>
      </x:c>
      <x:c r="F84" s="25" t="e">
        <x:f>项目总控台账!J83</x:f>
        <x:v>#NAME?</x:v>
      </x:c>
      <x:c r="G84" s="8" t="e">
        <x:f>IF(B84="","",IF(OR(C84="",C84="/"),"缺少任务名称；","")&amp;IF(OR(D84="",D84="/"),"缺少有效主责人；","")&amp;IF(OR(E84="",E84&lt;DATE(2000,1,1)),"缺少有效计划开始；","")&amp;IF(OR(F84="",F84&lt;DATE(2000,1,1)),"缺少有效计划完成；","")&amp;IF(项目总控台账!G83="","缺少总体状态；","")&amp;IF(AND(ISNUMBER(E84),ISNUMBER(F84),E84&gt;=DATE(2000,1,1),F84&gt;=DATE(2000,1,1),E84&gt;F84),"开始晚于完成；","")&amp;IF(AND(项目总控台账!G83="已完成",项目总控台账!AB83&lt;1),"已完成但进度不足100%；",""))</x:f>
        <x:v>#NAME?</x:v>
      </x:c>
      <x:c r="H84" s="8" t="str">
        <x:f t="shared" si="2"/>
        <x:v>通过</x:v>
      </x:c>
      <x:c r="I84" s="8" t="str">
        <x:f t="shared" si="3"/>
        <x:v>无需处理</x:v>
      </x:c>
      <x:c r="J84" s="8">
        <x:v>83</x:v>
      </x:c>
    </x:row>
    <x:row r="85">
      <x:c r="A85" s="8" t="s">
        <x:v>1458</x:v>
      </x:c>
      <x:c r="B85" s="8" t="e">
        <x:f>项目总控台账!A84</x:f>
        <x:v>#NAME?</x:v>
      </x:c>
      <x:c r="C85" s="8" t="e">
        <x:f>IF(AND(项目总控台账!E84&lt;&gt;"",项目总控台账!E84&lt;&gt;"/"),项目总控台账!E84,IF(AND(项目总控台账!D84&lt;&gt;"",项目总控台账!D84&lt;&gt;"/"),项目总控台账!D84,项目总控台账!C84))</x:f>
        <x:v>#NAME?</x:v>
      </x:c>
      <x:c r="D85" s="8" t="e">
        <x:f>项目总控台账!H84</x:f>
        <x:v>#NAME?</x:v>
      </x:c>
      <x:c r="E85" s="25" t="e">
        <x:f>项目总控台账!I84</x:f>
        <x:v>#NAME?</x:v>
      </x:c>
      <x:c r="F85" s="25" t="e">
        <x:f>项目总控台账!J84</x:f>
        <x:v>#NAME?</x:v>
      </x:c>
      <x:c r="G85" s="8" t="e">
        <x:f>IF(B85="","",IF(OR(C85="",C85="/"),"缺少任务名称；","")&amp;IF(OR(D85="",D85="/"),"缺少有效主责人；","")&amp;IF(OR(E85="",E85&lt;DATE(2000,1,1)),"缺少有效计划开始；","")&amp;IF(OR(F85="",F85&lt;DATE(2000,1,1)),"缺少有效计划完成；","")&amp;IF(项目总控台账!G84="","缺少总体状态；","")&amp;IF(AND(ISNUMBER(E85),ISNUMBER(F85),E85&gt;=DATE(2000,1,1),F85&gt;=DATE(2000,1,1),E85&gt;F85),"开始晚于完成；","")&amp;IF(AND(项目总控台账!G84="已完成",项目总控台账!AB84&lt;1),"已完成但进度不足100%；",""))</x:f>
        <x:v>#NAME?</x:v>
      </x:c>
      <x:c r="H85" s="8" t="str">
        <x:f t="shared" si="2"/>
        <x:v>通过</x:v>
      </x:c>
      <x:c r="I85" s="8" t="str">
        <x:f t="shared" si="3"/>
        <x:v>无需处理</x:v>
      </x:c>
      <x:c r="J85" s="8">
        <x:v>84</x:v>
      </x:c>
    </x:row>
    <x:row r="86">
      <x:c r="A86" s="8" t="s">
        <x:v>1458</x:v>
      </x:c>
      <x:c r="B86" s="8" t="e">
        <x:f>项目总控台账!A85</x:f>
        <x:v>#NAME?</x:v>
      </x:c>
      <x:c r="C86" s="8" t="e">
        <x:f>IF(AND(项目总控台账!E85&lt;&gt;"",项目总控台账!E85&lt;&gt;"/"),项目总控台账!E85,IF(AND(项目总控台账!D85&lt;&gt;"",项目总控台账!D85&lt;&gt;"/"),项目总控台账!D85,项目总控台账!C85))</x:f>
        <x:v>#NAME?</x:v>
      </x:c>
      <x:c r="D86" s="8" t="e">
        <x:f>项目总控台账!H85</x:f>
        <x:v>#NAME?</x:v>
      </x:c>
      <x:c r="E86" s="25" t="e">
        <x:f>项目总控台账!I85</x:f>
        <x:v>#NAME?</x:v>
      </x:c>
      <x:c r="F86" s="25" t="e">
        <x:f>项目总控台账!J85</x:f>
        <x:v>#NAME?</x:v>
      </x:c>
      <x:c r="G86" s="8" t="e">
        <x:f>IF(B86="","",IF(OR(C86="",C86="/"),"缺少任务名称；","")&amp;IF(OR(D86="",D86="/"),"缺少有效主责人；","")&amp;IF(OR(E86="",E86&lt;DATE(2000,1,1)),"缺少有效计划开始；","")&amp;IF(OR(F86="",F86&lt;DATE(2000,1,1)),"缺少有效计划完成；","")&amp;IF(项目总控台账!G85="","缺少总体状态；","")&amp;IF(AND(ISNUMBER(E86),ISNUMBER(F86),E86&gt;=DATE(2000,1,1),F86&gt;=DATE(2000,1,1),E86&gt;F86),"开始晚于完成；","")&amp;IF(AND(项目总控台账!G85="已完成",项目总控台账!AB85&lt;1),"已完成但进度不足100%；",""))</x:f>
        <x:v>#NAME?</x:v>
      </x:c>
      <x:c r="H86" s="8" t="str">
        <x:f t="shared" si="2"/>
        <x:v>需整改</x:v>
      </x:c>
      <x:c r="I86" s="8" t="str">
        <x:f t="shared" si="3"/>
        <x:v>回到项目总控台账第85行补齐或修正</x:v>
      </x:c>
      <x:c r="J86" s="8">
        <x:v>85</x:v>
      </x:c>
    </x:row>
    <x:row r="87">
      <x:c r="A87" s="8" t="s">
        <x:v>1458</x:v>
      </x:c>
      <x:c r="B87" s="8" t="e">
        <x:f>项目总控台账!A86</x:f>
        <x:v>#NAME?</x:v>
      </x:c>
      <x:c r="C87" s="8" t="e">
        <x:f>IF(AND(项目总控台账!E86&lt;&gt;"",项目总控台账!E86&lt;&gt;"/"),项目总控台账!E86,IF(AND(项目总控台账!D86&lt;&gt;"",项目总控台账!D86&lt;&gt;"/"),项目总控台账!D86,项目总控台账!C86))</x:f>
        <x:v>#NAME?</x:v>
      </x:c>
      <x:c r="D87" s="8" t="e">
        <x:f>项目总控台账!H86</x:f>
        <x:v>#NAME?</x:v>
      </x:c>
      <x:c r="E87" s="25" t="e">
        <x:f>项目总控台账!I86</x:f>
        <x:v>#NAME?</x:v>
      </x:c>
      <x:c r="F87" s="25" t="e">
        <x:f>项目总控台账!J86</x:f>
        <x:v>#NAME?</x:v>
      </x:c>
      <x:c r="G87" s="8" t="e">
        <x:f>IF(B87="","",IF(OR(C87="",C87="/"),"缺少任务名称；","")&amp;IF(OR(D87="",D87="/"),"缺少有效主责人；","")&amp;IF(OR(E87="",E87&lt;DATE(2000,1,1)),"缺少有效计划开始；","")&amp;IF(OR(F87="",F87&lt;DATE(2000,1,1)),"缺少有效计划完成；","")&amp;IF(项目总控台账!G86="","缺少总体状态；","")&amp;IF(AND(ISNUMBER(E87),ISNUMBER(F87),E87&gt;=DATE(2000,1,1),F87&gt;=DATE(2000,1,1),E87&gt;F87),"开始晚于完成；","")&amp;IF(AND(项目总控台账!G86="已完成",项目总控台账!AB86&lt;1),"已完成但进度不足100%；",""))</x:f>
        <x:v>#NAME?</x:v>
      </x:c>
      <x:c r="H87" s="8" t="str">
        <x:f t="shared" si="2"/>
        <x:v>需整改</x:v>
      </x:c>
      <x:c r="I87" s="8" t="str">
        <x:f t="shared" si="3"/>
        <x:v>回到项目总控台账第86行补齐或修正</x:v>
      </x:c>
      <x:c r="J87" s="8">
        <x:v>86</x:v>
      </x:c>
    </x:row>
    <x:row r="88">
      <x:c r="A88" s="8" t="s">
        <x:v>1458</x:v>
      </x:c>
      <x:c r="B88" s="8" t="e">
        <x:f>项目总控台账!A87</x:f>
        <x:v>#NAME?</x:v>
      </x:c>
      <x:c r="C88" s="8" t="e">
        <x:f>IF(AND(项目总控台账!E87&lt;&gt;"",项目总控台账!E87&lt;&gt;"/"),项目总控台账!E87,IF(AND(项目总控台账!D87&lt;&gt;"",项目总控台账!D87&lt;&gt;"/"),项目总控台账!D87,项目总控台账!C87))</x:f>
        <x:v>#NAME?</x:v>
      </x:c>
      <x:c r="D88" s="8" t="e">
        <x:f>项目总控台账!H87</x:f>
        <x:v>#NAME?</x:v>
      </x:c>
      <x:c r="E88" s="25" t="e">
        <x:f>项目总控台账!I87</x:f>
        <x:v>#NAME?</x:v>
      </x:c>
      <x:c r="F88" s="25" t="e">
        <x:f>项目总控台账!J87</x:f>
        <x:v>#NAME?</x:v>
      </x:c>
      <x:c r="G88" s="8" t="e">
        <x:f>IF(B88="","",IF(OR(C88="",C88="/"),"缺少任务名称；","")&amp;IF(OR(D88="",D88="/"),"缺少有效主责人；","")&amp;IF(OR(E88="",E88&lt;DATE(2000,1,1)),"缺少有效计划开始；","")&amp;IF(OR(F88="",F88&lt;DATE(2000,1,1)),"缺少有效计划完成；","")&amp;IF(项目总控台账!G87="","缺少总体状态；","")&amp;IF(AND(ISNUMBER(E88),ISNUMBER(F88),E88&gt;=DATE(2000,1,1),F88&gt;=DATE(2000,1,1),E88&gt;F88),"开始晚于完成；","")&amp;IF(AND(项目总控台账!G87="已完成",项目总控台账!AB87&lt;1),"已完成但进度不足100%；",""))</x:f>
        <x:v>#NAME?</x:v>
      </x:c>
      <x:c r="H88" s="8" t="str">
        <x:f t="shared" si="2"/>
        <x:v>需整改</x:v>
      </x:c>
      <x:c r="I88" s="8" t="str">
        <x:f t="shared" si="3"/>
        <x:v>回到项目总控台账第87行补齐或修正</x:v>
      </x:c>
      <x:c r="J88" s="8">
        <x:v>87</x:v>
      </x:c>
    </x:row>
    <x:row r="89">
      <x:c r="A89" s="8" t="s">
        <x:v>1458</x:v>
      </x:c>
      <x:c r="B89" s="8" t="e">
        <x:f>项目总控台账!A88</x:f>
        <x:v>#NAME?</x:v>
      </x:c>
      <x:c r="C89" s="8" t="e">
        <x:f>IF(AND(项目总控台账!E88&lt;&gt;"",项目总控台账!E88&lt;&gt;"/"),项目总控台账!E88,IF(AND(项目总控台账!D88&lt;&gt;"",项目总控台账!D88&lt;&gt;"/"),项目总控台账!D88,项目总控台账!C88))</x:f>
        <x:v>#NAME?</x:v>
      </x:c>
      <x:c r="D89" s="8" t="e">
        <x:f>项目总控台账!H88</x:f>
        <x:v>#NAME?</x:v>
      </x:c>
      <x:c r="E89" s="25" t="e">
        <x:f>项目总控台账!I88</x:f>
        <x:v>#NAME?</x:v>
      </x:c>
      <x:c r="F89" s="25" t="e">
        <x:f>项目总控台账!J88</x:f>
        <x:v>#NAME?</x:v>
      </x:c>
      <x:c r="G89" s="8" t="e">
        <x:f>IF(B89="","",IF(OR(C89="",C89="/"),"缺少任务名称；","")&amp;IF(OR(D89="",D89="/"),"缺少有效主责人；","")&amp;IF(OR(E89="",E89&lt;DATE(2000,1,1)),"缺少有效计划开始；","")&amp;IF(OR(F89="",F89&lt;DATE(2000,1,1)),"缺少有效计划完成；","")&amp;IF(项目总控台账!G88="","缺少总体状态；","")&amp;IF(AND(ISNUMBER(E89),ISNUMBER(F89),E89&gt;=DATE(2000,1,1),F89&gt;=DATE(2000,1,1),E89&gt;F89),"开始晚于完成；","")&amp;IF(AND(项目总控台账!G88="已完成",项目总控台账!AB88&lt;1),"已完成但进度不足100%；",""))</x:f>
        <x:v>#NAME?</x:v>
      </x:c>
      <x:c r="H89" s="8" t="str">
        <x:f t="shared" si="2"/>
        <x:v>需整改</x:v>
      </x:c>
      <x:c r="I89" s="8" t="str">
        <x:f t="shared" si="3"/>
        <x:v>回到项目总控台账第88行补齐或修正</x:v>
      </x:c>
      <x:c r="J89" s="8">
        <x:v>88</x:v>
      </x:c>
    </x:row>
    <x:row r="90">
      <x:c r="A90" s="8" t="s">
        <x:v>1458</x:v>
      </x:c>
      <x:c r="B90" s="8" t="e">
        <x:f>项目总控台账!A89</x:f>
        <x:v>#NAME?</x:v>
      </x:c>
      <x:c r="C90" s="8" t="e">
        <x:f>IF(AND(项目总控台账!E89&lt;&gt;"",项目总控台账!E89&lt;&gt;"/"),项目总控台账!E89,IF(AND(项目总控台账!D89&lt;&gt;"",项目总控台账!D89&lt;&gt;"/"),项目总控台账!D89,项目总控台账!C89))</x:f>
        <x:v>#NAME?</x:v>
      </x:c>
      <x:c r="D90" s="8" t="e">
        <x:f>项目总控台账!H89</x:f>
        <x:v>#NAME?</x:v>
      </x:c>
      <x:c r="E90" s="25" t="e">
        <x:f>项目总控台账!I89</x:f>
        <x:v>#NAME?</x:v>
      </x:c>
      <x:c r="F90" s="25" t="e">
        <x:f>项目总控台账!J89</x:f>
        <x:v>#NAME?</x:v>
      </x:c>
      <x:c r="G90" s="8" t="e">
        <x:f>IF(B90="","",IF(OR(C90="",C90="/"),"缺少任务名称；","")&amp;IF(OR(D90="",D90="/"),"缺少有效主责人；","")&amp;IF(OR(E90="",E90&lt;DATE(2000,1,1)),"缺少有效计划开始；","")&amp;IF(OR(F90="",F90&lt;DATE(2000,1,1)),"缺少有效计划完成；","")&amp;IF(项目总控台账!G89="","缺少总体状态；","")&amp;IF(AND(ISNUMBER(E90),ISNUMBER(F90),E90&gt;=DATE(2000,1,1),F90&gt;=DATE(2000,1,1),E90&gt;F90),"开始晚于完成；","")&amp;IF(AND(项目总控台账!G89="已完成",项目总控台账!AB89&lt;1),"已完成但进度不足100%；",""))</x:f>
        <x:v>#NAME?</x:v>
      </x:c>
      <x:c r="H90" s="8" t="str">
        <x:f t="shared" si="2"/>
        <x:v>需整改</x:v>
      </x:c>
      <x:c r="I90" s="8" t="str">
        <x:f t="shared" si="3"/>
        <x:v>回到项目总控台账第89行补齐或修正</x:v>
      </x:c>
      <x:c r="J90" s="8">
        <x:v>89</x:v>
      </x:c>
    </x:row>
    <x:row r="91">
      <x:c r="A91" s="8" t="s">
        <x:v>1458</x:v>
      </x:c>
      <x:c r="B91" s="8" t="e">
        <x:f>项目总控台账!A90</x:f>
        <x:v>#NAME?</x:v>
      </x:c>
      <x:c r="C91" s="8" t="e">
        <x:f>IF(AND(项目总控台账!E90&lt;&gt;"",项目总控台账!E90&lt;&gt;"/"),项目总控台账!E90,IF(AND(项目总控台账!D90&lt;&gt;"",项目总控台账!D90&lt;&gt;"/"),项目总控台账!D90,项目总控台账!C90))</x:f>
        <x:v>#NAME?</x:v>
      </x:c>
      <x:c r="D91" s="8" t="e">
        <x:f>项目总控台账!H90</x:f>
        <x:v>#NAME?</x:v>
      </x:c>
      <x:c r="E91" s="25" t="e">
        <x:f>项目总控台账!I90</x:f>
        <x:v>#NAME?</x:v>
      </x:c>
      <x:c r="F91" s="25" t="e">
        <x:f>项目总控台账!J90</x:f>
        <x:v>#NAME?</x:v>
      </x:c>
      <x:c r="G91" s="8" t="e">
        <x:f>IF(B91="","",IF(OR(C91="",C91="/"),"缺少任务名称；","")&amp;IF(OR(D91="",D91="/"),"缺少有效主责人；","")&amp;IF(OR(E91="",E91&lt;DATE(2000,1,1)),"缺少有效计划开始；","")&amp;IF(OR(F91="",F91&lt;DATE(2000,1,1)),"缺少有效计划完成；","")&amp;IF(项目总控台账!G90="","缺少总体状态；","")&amp;IF(AND(ISNUMBER(E91),ISNUMBER(F91),E91&gt;=DATE(2000,1,1),F91&gt;=DATE(2000,1,1),E91&gt;F91),"开始晚于完成；","")&amp;IF(AND(项目总控台账!G90="已完成",项目总控台账!AB90&lt;1),"已完成但进度不足100%；",""))</x:f>
        <x:v>#NAME?</x:v>
      </x:c>
      <x:c r="H91" s="8" t="str">
        <x:f t="shared" si="2"/>
        <x:v>需整改</x:v>
      </x:c>
      <x:c r="I91" s="8" t="str">
        <x:f t="shared" si="3"/>
        <x:v>回到项目总控台账第90行补齐或修正</x:v>
      </x:c>
      <x:c r="J91" s="8">
        <x:v>90</x:v>
      </x:c>
    </x:row>
    <x:row r="92">
      <x:c r="A92" s="8" t="s">
        <x:v>1458</x:v>
      </x:c>
      <x:c r="B92" s="8" t="e">
        <x:f>项目总控台账!A91</x:f>
        <x:v>#NAME?</x:v>
      </x:c>
      <x:c r="C92" s="8" t="e">
        <x:f>IF(AND(项目总控台账!E91&lt;&gt;"",项目总控台账!E91&lt;&gt;"/"),项目总控台账!E91,IF(AND(项目总控台账!D91&lt;&gt;"",项目总控台账!D91&lt;&gt;"/"),项目总控台账!D91,项目总控台账!C91))</x:f>
        <x:v>#NAME?</x:v>
      </x:c>
      <x:c r="D92" s="8" t="e">
        <x:f>项目总控台账!H91</x:f>
        <x:v>#NAME?</x:v>
      </x:c>
      <x:c r="E92" s="25" t="e">
        <x:f>项目总控台账!I91</x:f>
        <x:v>#NAME?</x:v>
      </x:c>
      <x:c r="F92" s="25" t="e">
        <x:f>项目总控台账!J91</x:f>
        <x:v>#NAME?</x:v>
      </x:c>
      <x:c r="G92" s="8" t="e">
        <x:f>IF(B92="","",IF(OR(C92="",C92="/"),"缺少任务名称；","")&amp;IF(OR(D92="",D92="/"),"缺少有效主责人；","")&amp;IF(OR(E92="",E92&lt;DATE(2000,1,1)),"缺少有效计划开始；","")&amp;IF(OR(F92="",F92&lt;DATE(2000,1,1)),"缺少有效计划完成；","")&amp;IF(项目总控台账!G91="","缺少总体状态；","")&amp;IF(AND(ISNUMBER(E92),ISNUMBER(F92),E92&gt;=DATE(2000,1,1),F92&gt;=DATE(2000,1,1),E92&gt;F92),"开始晚于完成；","")&amp;IF(AND(项目总控台账!G91="已完成",项目总控台账!AB91&lt;1),"已完成但进度不足100%；",""))</x:f>
        <x:v>#NAME?</x:v>
      </x:c>
      <x:c r="H92" s="8" t="str">
        <x:f t="shared" si="2"/>
        <x:v>通过</x:v>
      </x:c>
      <x:c r="I92" s="8" t="str">
        <x:f t="shared" si="3"/>
        <x:v>无需处理</x:v>
      </x:c>
      <x:c r="J92" s="8">
        <x:v>91</x:v>
      </x:c>
    </x:row>
    <x:row r="93">
      <x:c r="A93" s="8" t="s">
        <x:v>1458</x:v>
      </x:c>
      <x:c r="B93" s="8" t="e">
        <x:f>项目总控台账!A92</x:f>
        <x:v>#NAME?</x:v>
      </x:c>
      <x:c r="C93" s="8" t="e">
        <x:f>IF(AND(项目总控台账!E92&lt;&gt;"",项目总控台账!E92&lt;&gt;"/"),项目总控台账!E92,IF(AND(项目总控台账!D92&lt;&gt;"",项目总控台账!D92&lt;&gt;"/"),项目总控台账!D92,项目总控台账!C92))</x:f>
        <x:v>#NAME?</x:v>
      </x:c>
      <x:c r="D93" s="8" t="e">
        <x:f>项目总控台账!H92</x:f>
        <x:v>#NAME?</x:v>
      </x:c>
      <x:c r="E93" s="25" t="e">
        <x:f>项目总控台账!I92</x:f>
        <x:v>#NAME?</x:v>
      </x:c>
      <x:c r="F93" s="25" t="e">
        <x:f>项目总控台账!J92</x:f>
        <x:v>#NAME?</x:v>
      </x:c>
      <x:c r="G93" s="8" t="e">
        <x:f>IF(B93="","",IF(OR(C93="",C93="/"),"缺少任务名称；","")&amp;IF(OR(D93="",D93="/"),"缺少有效主责人；","")&amp;IF(OR(E93="",E93&lt;DATE(2000,1,1)),"缺少有效计划开始；","")&amp;IF(OR(F93="",F93&lt;DATE(2000,1,1)),"缺少有效计划完成；","")&amp;IF(项目总控台账!G92="","缺少总体状态；","")&amp;IF(AND(ISNUMBER(E93),ISNUMBER(F93),E93&gt;=DATE(2000,1,1),F93&gt;=DATE(2000,1,1),E93&gt;F93),"开始晚于完成；","")&amp;IF(AND(项目总控台账!G92="已完成",项目总控台账!AB92&lt;1),"已完成但进度不足100%；",""))</x:f>
        <x:v>#NAME?</x:v>
      </x:c>
      <x:c r="H93" s="8" t="str">
        <x:f t="shared" si="2"/>
        <x:v>通过</x:v>
      </x:c>
      <x:c r="I93" s="8" t="str">
        <x:f t="shared" si="3"/>
        <x:v>无需处理</x:v>
      </x:c>
      <x:c r="J93" s="8">
        <x:v>92</x:v>
      </x:c>
    </x:row>
    <x:row r="94">
      <x:c r="A94" s="8" t="s">
        <x:v>1458</x:v>
      </x:c>
      <x:c r="B94" s="8" t="e">
        <x:f>项目总控台账!A93</x:f>
        <x:v>#NAME?</x:v>
      </x:c>
      <x:c r="C94" s="8" t="e">
        <x:f>IF(AND(项目总控台账!E93&lt;&gt;"",项目总控台账!E93&lt;&gt;"/"),项目总控台账!E93,IF(AND(项目总控台账!D93&lt;&gt;"",项目总控台账!D93&lt;&gt;"/"),项目总控台账!D93,项目总控台账!C93))</x:f>
        <x:v>#NAME?</x:v>
      </x:c>
      <x:c r="D94" s="8" t="e">
        <x:f>项目总控台账!H93</x:f>
        <x:v>#NAME?</x:v>
      </x:c>
      <x:c r="E94" s="25" t="e">
        <x:f>项目总控台账!I93</x:f>
        <x:v>#NAME?</x:v>
      </x:c>
      <x:c r="F94" s="25" t="e">
        <x:f>项目总控台账!J93</x:f>
        <x:v>#NAME?</x:v>
      </x:c>
      <x:c r="G94" s="8" t="e">
        <x:f>IF(B94="","",IF(OR(C94="",C94="/"),"缺少任务名称；","")&amp;IF(OR(D94="",D94="/"),"缺少有效主责人；","")&amp;IF(OR(E94="",E94&lt;DATE(2000,1,1)),"缺少有效计划开始；","")&amp;IF(OR(F94="",F94&lt;DATE(2000,1,1)),"缺少有效计划完成；","")&amp;IF(项目总控台账!G93="","缺少总体状态；","")&amp;IF(AND(ISNUMBER(E94),ISNUMBER(F94),E94&gt;=DATE(2000,1,1),F94&gt;=DATE(2000,1,1),E94&gt;F94),"开始晚于完成；","")&amp;IF(AND(项目总控台账!G93="已完成",项目总控台账!AB93&lt;1),"已完成但进度不足100%；",""))</x:f>
        <x:v>#NAME?</x:v>
      </x:c>
      <x:c r="H94" s="8" t="str">
        <x:f t="shared" si="2"/>
        <x:v>通过</x:v>
      </x:c>
      <x:c r="I94" s="8" t="str">
        <x:f t="shared" si="3"/>
        <x:v>无需处理</x:v>
      </x:c>
      <x:c r="J94" s="8">
        <x:v>93</x:v>
      </x:c>
    </x:row>
    <x:row r="95">
      <x:c r="A95" s="8" t="s">
        <x:v>1458</x:v>
      </x:c>
      <x:c r="B95" s="8" t="e">
        <x:f>项目总控台账!A94</x:f>
        <x:v>#NAME?</x:v>
      </x:c>
      <x:c r="C95" s="8" t="e">
        <x:f>IF(AND(项目总控台账!E94&lt;&gt;"",项目总控台账!E94&lt;&gt;"/"),项目总控台账!E94,IF(AND(项目总控台账!D94&lt;&gt;"",项目总控台账!D94&lt;&gt;"/"),项目总控台账!D94,项目总控台账!C94))</x:f>
        <x:v>#NAME?</x:v>
      </x:c>
      <x:c r="D95" s="8" t="e">
        <x:f>项目总控台账!H94</x:f>
        <x:v>#NAME?</x:v>
      </x:c>
      <x:c r="E95" s="25" t="e">
        <x:f>项目总控台账!I94</x:f>
        <x:v>#NAME?</x:v>
      </x:c>
      <x:c r="F95" s="25" t="e">
        <x:f>项目总控台账!J94</x:f>
        <x:v>#NAME?</x:v>
      </x:c>
      <x:c r="G95" s="8" t="e">
        <x:f>IF(B95="","",IF(OR(C95="",C95="/"),"缺少任务名称；","")&amp;IF(OR(D95="",D95="/"),"缺少有效主责人；","")&amp;IF(OR(E95="",E95&lt;DATE(2000,1,1)),"缺少有效计划开始；","")&amp;IF(OR(F95="",F95&lt;DATE(2000,1,1)),"缺少有效计划完成；","")&amp;IF(项目总控台账!G94="","缺少总体状态；","")&amp;IF(AND(ISNUMBER(E95),ISNUMBER(F95),E95&gt;=DATE(2000,1,1),F95&gt;=DATE(2000,1,1),E95&gt;F95),"开始晚于完成；","")&amp;IF(AND(项目总控台账!G94="已完成",项目总控台账!AB94&lt;1),"已完成但进度不足100%；",""))</x:f>
        <x:v>#NAME?</x:v>
      </x:c>
      <x:c r="H95" s="8" t="str">
        <x:f t="shared" si="2"/>
        <x:v>通过</x:v>
      </x:c>
      <x:c r="I95" s="8" t="str">
        <x:f t="shared" si="3"/>
        <x:v>无需处理</x:v>
      </x:c>
      <x:c r="J95" s="8">
        <x:v>94</x:v>
      </x:c>
    </x:row>
    <x:row r="96">
      <x:c r="A96" s="8" t="s">
        <x:v>1458</x:v>
      </x:c>
      <x:c r="B96" s="8" t="e">
        <x:f>项目总控台账!A95</x:f>
        <x:v>#NAME?</x:v>
      </x:c>
      <x:c r="C96" s="8" t="e">
        <x:f>IF(AND(项目总控台账!E95&lt;&gt;"",项目总控台账!E95&lt;&gt;"/"),项目总控台账!E95,IF(AND(项目总控台账!D95&lt;&gt;"",项目总控台账!D95&lt;&gt;"/"),项目总控台账!D95,项目总控台账!C95))</x:f>
        <x:v>#NAME?</x:v>
      </x:c>
      <x:c r="D96" s="8" t="e">
        <x:f>项目总控台账!H95</x:f>
        <x:v>#NAME?</x:v>
      </x:c>
      <x:c r="E96" s="25" t="e">
        <x:f>项目总控台账!I95</x:f>
        <x:v>#NAME?</x:v>
      </x:c>
      <x:c r="F96" s="25" t="e">
        <x:f>项目总控台账!J95</x:f>
        <x:v>#NAME?</x:v>
      </x:c>
      <x:c r="G96" s="8" t="e">
        <x:f>IF(B96="","",IF(OR(C96="",C96="/"),"缺少任务名称；","")&amp;IF(OR(D96="",D96="/"),"缺少有效主责人；","")&amp;IF(OR(E96="",E96&lt;DATE(2000,1,1)),"缺少有效计划开始；","")&amp;IF(OR(F96="",F96&lt;DATE(2000,1,1)),"缺少有效计划完成；","")&amp;IF(项目总控台账!G95="","缺少总体状态；","")&amp;IF(AND(ISNUMBER(E96),ISNUMBER(F96),E96&gt;=DATE(2000,1,1),F96&gt;=DATE(2000,1,1),E96&gt;F96),"开始晚于完成；","")&amp;IF(AND(项目总控台账!G95="已完成",项目总控台账!AB95&lt;1),"已完成但进度不足100%；",""))</x:f>
        <x:v>#NAME?</x:v>
      </x:c>
      <x:c r="H96" s="8" t="str">
        <x:f t="shared" si="2"/>
        <x:v>通过</x:v>
      </x:c>
      <x:c r="I96" s="8" t="str">
        <x:f t="shared" si="3"/>
        <x:v>无需处理</x:v>
      </x:c>
      <x:c r="J96" s="8">
        <x:v>95</x:v>
      </x:c>
    </x:row>
    <x:row r="97">
      <x:c r="A97" s="8" t="s">
        <x:v>1458</x:v>
      </x:c>
      <x:c r="B97" s="8" t="e">
        <x:f>项目总控台账!A96</x:f>
        <x:v>#NAME?</x:v>
      </x:c>
      <x:c r="C97" s="8" t="e">
        <x:f>IF(AND(项目总控台账!E96&lt;&gt;"",项目总控台账!E96&lt;&gt;"/"),项目总控台账!E96,IF(AND(项目总控台账!D96&lt;&gt;"",项目总控台账!D96&lt;&gt;"/"),项目总控台账!D96,项目总控台账!C96))</x:f>
        <x:v>#NAME?</x:v>
      </x:c>
      <x:c r="D97" s="8" t="e">
        <x:f>项目总控台账!H96</x:f>
        <x:v>#NAME?</x:v>
      </x:c>
      <x:c r="E97" s="25" t="e">
        <x:f>项目总控台账!I96</x:f>
        <x:v>#NAME?</x:v>
      </x:c>
      <x:c r="F97" s="25" t="e">
        <x:f>项目总控台账!J96</x:f>
        <x:v>#NAME?</x:v>
      </x:c>
      <x:c r="G97" s="8" t="e">
        <x:f>IF(B97="","",IF(OR(C97="",C97="/"),"缺少任务名称；","")&amp;IF(OR(D97="",D97="/"),"缺少有效主责人；","")&amp;IF(OR(E97="",E97&lt;DATE(2000,1,1)),"缺少有效计划开始；","")&amp;IF(OR(F97="",F97&lt;DATE(2000,1,1)),"缺少有效计划完成；","")&amp;IF(项目总控台账!G96="","缺少总体状态；","")&amp;IF(AND(ISNUMBER(E97),ISNUMBER(F97),E97&gt;=DATE(2000,1,1),F97&gt;=DATE(2000,1,1),E97&gt;F97),"开始晚于完成；","")&amp;IF(AND(项目总控台账!G96="已完成",项目总控台账!AB96&lt;1),"已完成但进度不足100%；",""))</x:f>
        <x:v>#NAME?</x:v>
      </x:c>
      <x:c r="H97" s="8" t="str">
        <x:f t="shared" si="2"/>
        <x:v>通过</x:v>
      </x:c>
      <x:c r="I97" s="8" t="str">
        <x:f t="shared" si="3"/>
        <x:v>无需处理</x:v>
      </x:c>
      <x:c r="J97" s="8">
        <x:v>96</x:v>
      </x:c>
    </x:row>
    <x:row r="98">
      <x:c r="A98" s="8" t="s">
        <x:v>1458</x:v>
      </x:c>
      <x:c r="B98" s="8" t="e">
        <x:f>项目总控台账!A97</x:f>
        <x:v>#NAME?</x:v>
      </x:c>
      <x:c r="C98" s="8" t="e">
        <x:f>IF(AND(项目总控台账!E97&lt;&gt;"",项目总控台账!E97&lt;&gt;"/"),项目总控台账!E97,IF(AND(项目总控台账!D97&lt;&gt;"",项目总控台账!D97&lt;&gt;"/"),项目总控台账!D97,项目总控台账!C97))</x:f>
        <x:v>#NAME?</x:v>
      </x:c>
      <x:c r="D98" s="8" t="e">
        <x:f>项目总控台账!H97</x:f>
        <x:v>#NAME?</x:v>
      </x:c>
      <x:c r="E98" s="25" t="e">
        <x:f>项目总控台账!I97</x:f>
        <x:v>#NAME?</x:v>
      </x:c>
      <x:c r="F98" s="25" t="e">
        <x:f>项目总控台账!J97</x:f>
        <x:v>#NAME?</x:v>
      </x:c>
      <x:c r="G98" s="8" t="e">
        <x:f>IF(B98="","",IF(OR(C98="",C98="/"),"缺少任务名称；","")&amp;IF(OR(D98="",D98="/"),"缺少有效主责人；","")&amp;IF(OR(E98="",E98&lt;DATE(2000,1,1)),"缺少有效计划开始；","")&amp;IF(OR(F98="",F98&lt;DATE(2000,1,1)),"缺少有效计划完成；","")&amp;IF(项目总控台账!G97="","缺少总体状态；","")&amp;IF(AND(ISNUMBER(E98),ISNUMBER(F98),E98&gt;=DATE(2000,1,1),F98&gt;=DATE(2000,1,1),E98&gt;F98),"开始晚于完成；","")&amp;IF(AND(项目总控台账!G97="已完成",项目总控台账!AB97&lt;1),"已完成但进度不足100%；",""))</x:f>
        <x:v>#NAME?</x:v>
      </x:c>
      <x:c r="H98" s="8" t="str">
        <x:f t="shared" si="2"/>
        <x:v>通过</x:v>
      </x:c>
      <x:c r="I98" s="8" t="str">
        <x:f t="shared" si="3"/>
        <x:v>无需处理</x:v>
      </x:c>
      <x:c r="J98" s="8">
        <x:v>97</x:v>
      </x:c>
    </x:row>
    <x:row r="99">
      <x:c r="A99" s="8" t="s">
        <x:v>1458</x:v>
      </x:c>
      <x:c r="B99" s="8" t="e">
        <x:f>项目总控台账!A98</x:f>
        <x:v>#NAME?</x:v>
      </x:c>
      <x:c r="C99" s="8" t="e">
        <x:f>IF(AND(项目总控台账!E98&lt;&gt;"",项目总控台账!E98&lt;&gt;"/"),项目总控台账!E98,IF(AND(项目总控台账!D98&lt;&gt;"",项目总控台账!D98&lt;&gt;"/"),项目总控台账!D98,项目总控台账!C98))</x:f>
        <x:v>#NAME?</x:v>
      </x:c>
      <x:c r="D99" s="8" t="e">
        <x:f>项目总控台账!H98</x:f>
        <x:v>#NAME?</x:v>
      </x:c>
      <x:c r="E99" s="25" t="e">
        <x:f>项目总控台账!I98</x:f>
        <x:v>#NAME?</x:v>
      </x:c>
      <x:c r="F99" s="25" t="e">
        <x:f>项目总控台账!J98</x:f>
        <x:v>#NAME?</x:v>
      </x:c>
      <x:c r="G99" s="8" t="e">
        <x:f>IF(B99="","",IF(OR(C99="",C99="/"),"缺少任务名称；","")&amp;IF(OR(D99="",D99="/"),"缺少有效主责人；","")&amp;IF(OR(E99="",E99&lt;DATE(2000,1,1)),"缺少有效计划开始；","")&amp;IF(OR(F99="",F99&lt;DATE(2000,1,1)),"缺少有效计划完成；","")&amp;IF(项目总控台账!G98="","缺少总体状态；","")&amp;IF(AND(ISNUMBER(E99),ISNUMBER(F99),E99&gt;=DATE(2000,1,1),F99&gt;=DATE(2000,1,1),E99&gt;F99),"开始晚于完成；","")&amp;IF(AND(项目总控台账!G98="已完成",项目总控台账!AB98&lt;1),"已完成但进度不足100%；",""))</x:f>
        <x:v>#NAME?</x:v>
      </x:c>
      <x:c r="H99" s="8" t="str">
        <x:f t="shared" si="2"/>
        <x:v>通过</x:v>
      </x:c>
      <x:c r="I99" s="8" t="str">
        <x:f t="shared" si="3"/>
        <x:v>无需处理</x:v>
      </x:c>
      <x:c r="J99" s="8">
        <x:v>98</x:v>
      </x:c>
    </x:row>
    <x:row r="100">
      <x:c r="A100" s="8" t="s">
        <x:v>1458</x:v>
      </x:c>
      <x:c r="B100" s="8" t="e">
        <x:f>项目总控台账!A99</x:f>
        <x:v>#NAME?</x:v>
      </x:c>
      <x:c r="C100" s="8" t="e">
        <x:f>IF(AND(项目总控台账!E99&lt;&gt;"",项目总控台账!E99&lt;&gt;"/"),项目总控台账!E99,IF(AND(项目总控台账!D99&lt;&gt;"",项目总控台账!D99&lt;&gt;"/"),项目总控台账!D99,项目总控台账!C99))</x:f>
        <x:v>#NAME?</x:v>
      </x:c>
      <x:c r="D100" s="8" t="e">
        <x:f>项目总控台账!H99</x:f>
        <x:v>#NAME?</x:v>
      </x:c>
      <x:c r="E100" s="25" t="e">
        <x:f>项目总控台账!I99</x:f>
        <x:v>#NAME?</x:v>
      </x:c>
      <x:c r="F100" s="25" t="e">
        <x:f>项目总控台账!J99</x:f>
        <x:v>#NAME?</x:v>
      </x:c>
      <x:c r="G100" s="8" t="e">
        <x:f>IF(B100="","",IF(OR(C100="",C100="/"),"缺少任务名称；","")&amp;IF(OR(D100="",D100="/"),"缺少有效主责人；","")&amp;IF(OR(E100="",E100&lt;DATE(2000,1,1)),"缺少有效计划开始；","")&amp;IF(OR(F100="",F100&lt;DATE(2000,1,1)),"缺少有效计划完成；","")&amp;IF(项目总控台账!G99="","缺少总体状态；","")&amp;IF(AND(ISNUMBER(E100),ISNUMBER(F100),E100&gt;=DATE(2000,1,1),F100&gt;=DATE(2000,1,1),E100&gt;F100),"开始晚于完成；","")&amp;IF(AND(项目总控台账!G99="已完成",项目总控台账!AB99&lt;1),"已完成但进度不足100%；",""))</x:f>
        <x:v>#NAME?</x:v>
      </x:c>
      <x:c r="H100" s="8" t="str">
        <x:f t="shared" si="2"/>
        <x:v>通过</x:v>
      </x:c>
      <x:c r="I100" s="8" t="str">
        <x:f t="shared" si="3"/>
        <x:v>无需处理</x:v>
      </x:c>
      <x:c r="J100" s="8">
        <x:v>99</x:v>
      </x:c>
    </x:row>
    <x:row r="101">
      <x:c r="A101" s="8" t="s">
        <x:v>1458</x:v>
      </x:c>
      <x:c r="B101" s="8" t="e">
        <x:f>项目总控台账!A100</x:f>
        <x:v>#NAME?</x:v>
      </x:c>
      <x:c r="C101" s="8" t="e">
        <x:f>IF(AND(项目总控台账!E100&lt;&gt;"",项目总控台账!E100&lt;&gt;"/"),项目总控台账!E100,IF(AND(项目总控台账!D100&lt;&gt;"",项目总控台账!D100&lt;&gt;"/"),项目总控台账!D100,项目总控台账!C100))</x:f>
        <x:v>#NAME?</x:v>
      </x:c>
      <x:c r="D101" s="8" t="e">
        <x:f>项目总控台账!H100</x:f>
        <x:v>#NAME?</x:v>
      </x:c>
      <x:c r="E101" s="25" t="e">
        <x:f>项目总控台账!I100</x:f>
        <x:v>#NAME?</x:v>
      </x:c>
      <x:c r="F101" s="25" t="e">
        <x:f>项目总控台账!J100</x:f>
        <x:v>#NAME?</x:v>
      </x:c>
      <x:c r="G101" s="8" t="e">
        <x:f>IF(B101="","",IF(OR(C101="",C101="/"),"缺少任务名称；","")&amp;IF(OR(D101="",D101="/"),"缺少有效主责人；","")&amp;IF(OR(E101="",E101&lt;DATE(2000,1,1)),"缺少有效计划开始；","")&amp;IF(OR(F101="",F101&lt;DATE(2000,1,1)),"缺少有效计划完成；","")&amp;IF(项目总控台账!G100="","缺少总体状态；","")&amp;IF(AND(ISNUMBER(E101),ISNUMBER(F101),E101&gt;=DATE(2000,1,1),F101&gt;=DATE(2000,1,1),E101&gt;F101),"开始晚于完成；","")&amp;IF(AND(项目总控台账!G100="已完成",项目总控台账!AB100&lt;1),"已完成但进度不足100%；",""))</x:f>
        <x:v>#NAME?</x:v>
      </x:c>
      <x:c r="H101" s="8" t="str">
        <x:f t="shared" si="2"/>
        <x:v>通过</x:v>
      </x:c>
      <x:c r="I101" s="8" t="str">
        <x:f t="shared" si="3"/>
        <x:v>无需处理</x:v>
      </x:c>
      <x:c r="J101" s="8">
        <x:v>100</x:v>
      </x:c>
    </x:row>
    <x:row r="102">
      <x:c r="A102" s="8" t="s">
        <x:v>1458</x:v>
      </x:c>
      <x:c r="B102" s="8" t="e">
        <x:f>项目总控台账!A101</x:f>
        <x:v>#NAME?</x:v>
      </x:c>
      <x:c r="C102" s="8" t="e">
        <x:f>IF(AND(项目总控台账!E101&lt;&gt;"",项目总控台账!E101&lt;&gt;"/"),项目总控台账!E101,IF(AND(项目总控台账!D101&lt;&gt;"",项目总控台账!D101&lt;&gt;"/"),项目总控台账!D101,项目总控台账!C101))</x:f>
        <x:v>#NAME?</x:v>
      </x:c>
      <x:c r="D102" s="8" t="e">
        <x:f>项目总控台账!H101</x:f>
        <x:v>#NAME?</x:v>
      </x:c>
      <x:c r="E102" s="25" t="e">
        <x:f>项目总控台账!I101</x:f>
        <x:v>#NAME?</x:v>
      </x:c>
      <x:c r="F102" s="25" t="e">
        <x:f>项目总控台账!J101</x:f>
        <x:v>#NAME?</x:v>
      </x:c>
      <x:c r="G102" s="8" t="e">
        <x:f>IF(B102="","",IF(OR(C102="",C102="/"),"缺少任务名称；","")&amp;IF(OR(D102="",D102="/"),"缺少有效主责人；","")&amp;IF(OR(E102="",E102&lt;DATE(2000,1,1)),"缺少有效计划开始；","")&amp;IF(OR(F102="",F102&lt;DATE(2000,1,1)),"缺少有效计划完成；","")&amp;IF(项目总控台账!G101="","缺少总体状态；","")&amp;IF(AND(ISNUMBER(E102),ISNUMBER(F102),E102&gt;=DATE(2000,1,1),F102&gt;=DATE(2000,1,1),E102&gt;F102),"开始晚于完成；","")&amp;IF(AND(项目总控台账!G101="已完成",项目总控台账!AB101&lt;1),"已完成但进度不足100%；",""))</x:f>
        <x:v>#NAME?</x:v>
      </x:c>
      <x:c r="H102" s="8" t="str">
        <x:f t="shared" si="2"/>
        <x:v>通过</x:v>
      </x:c>
      <x:c r="I102" s="8" t="str">
        <x:f t="shared" si="3"/>
        <x:v>无需处理</x:v>
      </x:c>
      <x:c r="J102" s="8">
        <x:v>101</x:v>
      </x:c>
    </x:row>
    <x:row r="103">
      <x:c r="A103" s="8" t="s">
        <x:v>1458</x:v>
      </x:c>
      <x:c r="B103" s="8" t="e">
        <x:f>项目总控台账!A102</x:f>
        <x:v>#NAME?</x:v>
      </x:c>
      <x:c r="C103" s="8" t="e">
        <x:f>IF(AND(项目总控台账!E102&lt;&gt;"",项目总控台账!E102&lt;&gt;"/"),项目总控台账!E102,IF(AND(项目总控台账!D102&lt;&gt;"",项目总控台账!D102&lt;&gt;"/"),项目总控台账!D102,项目总控台账!C102))</x:f>
        <x:v>#NAME?</x:v>
      </x:c>
      <x:c r="D103" s="8" t="e">
        <x:f>项目总控台账!H102</x:f>
        <x:v>#NAME?</x:v>
      </x:c>
      <x:c r="E103" s="25" t="e">
        <x:f>项目总控台账!I102</x:f>
        <x:v>#NAME?</x:v>
      </x:c>
      <x:c r="F103" s="25" t="e">
        <x:f>项目总控台账!J102</x:f>
        <x:v>#NAME?</x:v>
      </x:c>
      <x:c r="G103" s="8" t="e">
        <x:f>IF(B103="","",IF(OR(C103="",C103="/"),"缺少任务名称；","")&amp;IF(OR(D103="",D103="/"),"缺少有效主责人；","")&amp;IF(OR(E103="",E103&lt;DATE(2000,1,1)),"缺少有效计划开始；","")&amp;IF(OR(F103="",F103&lt;DATE(2000,1,1)),"缺少有效计划完成；","")&amp;IF(项目总控台账!G102="","缺少总体状态；","")&amp;IF(AND(ISNUMBER(E103),ISNUMBER(F103),E103&gt;=DATE(2000,1,1),F103&gt;=DATE(2000,1,1),E103&gt;F103),"开始晚于完成；","")&amp;IF(AND(项目总控台账!G102="已完成",项目总控台账!AB102&lt;1),"已完成但进度不足100%；",""))</x:f>
        <x:v>#NAME?</x:v>
      </x:c>
      <x:c r="H103" s="8" t="str">
        <x:f t="shared" si="2"/>
        <x:v>通过</x:v>
      </x:c>
      <x:c r="I103" s="8" t="str">
        <x:f t="shared" si="3"/>
        <x:v>无需处理</x:v>
      </x:c>
      <x:c r="J103" s="8">
        <x:v>102</x:v>
      </x:c>
    </x:row>
    <x:row r="104">
      <x:c r="A104" s="8" t="s">
        <x:v>1458</x:v>
      </x:c>
      <x:c r="B104" s="8" t="e">
        <x:f>项目总控台账!A103</x:f>
        <x:v>#NAME?</x:v>
      </x:c>
      <x:c r="C104" s="8" t="e">
        <x:f>IF(AND(项目总控台账!E103&lt;&gt;"",项目总控台账!E103&lt;&gt;"/"),项目总控台账!E103,IF(AND(项目总控台账!D103&lt;&gt;"",项目总控台账!D103&lt;&gt;"/"),项目总控台账!D103,项目总控台账!C103))</x:f>
        <x:v>#NAME?</x:v>
      </x:c>
      <x:c r="D104" s="8" t="e">
        <x:f>项目总控台账!H103</x:f>
        <x:v>#NAME?</x:v>
      </x:c>
      <x:c r="E104" s="25" t="e">
        <x:f>项目总控台账!I103</x:f>
        <x:v>#NAME?</x:v>
      </x:c>
      <x:c r="F104" s="25" t="e">
        <x:f>项目总控台账!J103</x:f>
        <x:v>#NAME?</x:v>
      </x:c>
      <x:c r="G104" s="8" t="e">
        <x:f>IF(B104="","",IF(OR(C104="",C104="/"),"缺少任务名称；","")&amp;IF(OR(D104="",D104="/"),"缺少有效主责人；","")&amp;IF(OR(E104="",E104&lt;DATE(2000,1,1)),"缺少有效计划开始；","")&amp;IF(OR(F104="",F104&lt;DATE(2000,1,1)),"缺少有效计划完成；","")&amp;IF(项目总控台账!G103="","缺少总体状态；","")&amp;IF(AND(ISNUMBER(E104),ISNUMBER(F104),E104&gt;=DATE(2000,1,1),F104&gt;=DATE(2000,1,1),E104&gt;F104),"开始晚于完成；","")&amp;IF(AND(项目总控台账!G103="已完成",项目总控台账!AB103&lt;1),"已完成但进度不足100%；",""))</x:f>
        <x:v>#NAME?</x:v>
      </x:c>
      <x:c r="H104" s="8" t="str">
        <x:f t="shared" si="2"/>
        <x:v>通过</x:v>
      </x:c>
      <x:c r="I104" s="8" t="str">
        <x:f t="shared" si="3"/>
        <x:v>无需处理</x:v>
      </x:c>
      <x:c r="J104" s="8">
        <x:v>103</x:v>
      </x:c>
    </x:row>
    <x:row r="105">
      <x:c r="A105" s="8" t="s">
        <x:v>1458</x:v>
      </x:c>
      <x:c r="B105" s="8" t="e">
        <x:f>项目总控台账!A104</x:f>
        <x:v>#NAME?</x:v>
      </x:c>
      <x:c r="C105" s="8" t="e">
        <x:f>IF(AND(项目总控台账!E104&lt;&gt;"",项目总控台账!E104&lt;&gt;"/"),项目总控台账!E104,IF(AND(项目总控台账!D104&lt;&gt;"",项目总控台账!D104&lt;&gt;"/"),项目总控台账!D104,项目总控台账!C104))</x:f>
        <x:v>#NAME?</x:v>
      </x:c>
      <x:c r="D105" s="8" t="e">
        <x:f>项目总控台账!H104</x:f>
        <x:v>#NAME?</x:v>
      </x:c>
      <x:c r="E105" s="25" t="e">
        <x:f>项目总控台账!I104</x:f>
        <x:v>#NAME?</x:v>
      </x:c>
      <x:c r="F105" s="25" t="e">
        <x:f>项目总控台账!J104</x:f>
        <x:v>#NAME?</x:v>
      </x:c>
      <x:c r="G105" s="8" t="e">
        <x:f>IF(B105="","",IF(OR(C105="",C105="/"),"缺少任务名称；","")&amp;IF(OR(D105="",D105="/"),"缺少有效主责人；","")&amp;IF(OR(E105="",E105&lt;DATE(2000,1,1)),"缺少有效计划开始；","")&amp;IF(OR(F105="",F105&lt;DATE(2000,1,1)),"缺少有效计划完成；","")&amp;IF(项目总控台账!G104="","缺少总体状态；","")&amp;IF(AND(ISNUMBER(E105),ISNUMBER(F105),E105&gt;=DATE(2000,1,1),F105&gt;=DATE(2000,1,1),E105&gt;F105),"开始晚于完成；","")&amp;IF(AND(项目总控台账!G104="已完成",项目总控台账!AB104&lt;1),"已完成但进度不足100%；",""))</x:f>
        <x:v>#NAME?</x:v>
      </x:c>
      <x:c r="H105" s="8" t="str">
        <x:f t="shared" si="2"/>
        <x:v>通过</x:v>
      </x:c>
      <x:c r="I105" s="8" t="str">
        <x:f t="shared" si="3"/>
        <x:v>无需处理</x:v>
      </x:c>
      <x:c r="J105" s="8">
        <x:v>104</x:v>
      </x:c>
    </x:row>
    <x:row r="106">
      <x:c r="A106" s="8" t="s">
        <x:v>1458</x:v>
      </x:c>
      <x:c r="B106" s="8" t="e">
        <x:f>项目总控台账!A105</x:f>
        <x:v>#NAME?</x:v>
      </x:c>
      <x:c r="C106" s="8" t="e">
        <x:f>IF(AND(项目总控台账!E105&lt;&gt;"",项目总控台账!E105&lt;&gt;"/"),项目总控台账!E105,IF(AND(项目总控台账!D105&lt;&gt;"",项目总控台账!D105&lt;&gt;"/"),项目总控台账!D105,项目总控台账!C105))</x:f>
        <x:v>#NAME?</x:v>
      </x:c>
      <x:c r="D106" s="8" t="e">
        <x:f>项目总控台账!H105</x:f>
        <x:v>#NAME?</x:v>
      </x:c>
      <x:c r="E106" s="25" t="e">
        <x:f>项目总控台账!I105</x:f>
        <x:v>#NAME?</x:v>
      </x:c>
      <x:c r="F106" s="25" t="e">
        <x:f>项目总控台账!J105</x:f>
        <x:v>#NAME?</x:v>
      </x:c>
      <x:c r="G106" s="8" t="e">
        <x:f>IF(B106="","",IF(OR(C106="",C106="/"),"缺少任务名称；","")&amp;IF(OR(D106="",D106="/"),"缺少有效主责人；","")&amp;IF(OR(E106="",E106&lt;DATE(2000,1,1)),"缺少有效计划开始；","")&amp;IF(OR(F106="",F106&lt;DATE(2000,1,1)),"缺少有效计划完成；","")&amp;IF(项目总控台账!G105="","缺少总体状态；","")&amp;IF(AND(ISNUMBER(E106),ISNUMBER(F106),E106&gt;=DATE(2000,1,1),F106&gt;=DATE(2000,1,1),E106&gt;F106),"开始晚于完成；","")&amp;IF(AND(项目总控台账!G105="已完成",项目总控台账!AB105&lt;1),"已完成但进度不足100%；",""))</x:f>
        <x:v>#NAME?</x:v>
      </x:c>
      <x:c r="H106" s="8" t="str">
        <x:f t="shared" si="2"/>
        <x:v>通过</x:v>
      </x:c>
      <x:c r="I106" s="8" t="str">
        <x:f t="shared" si="3"/>
        <x:v>无需处理</x:v>
      </x:c>
      <x:c r="J106" s="8">
        <x:v>105</x:v>
      </x:c>
    </x:row>
    <x:row r="107">
      <x:c r="A107" s="8" t="s">
        <x:v>1458</x:v>
      </x:c>
      <x:c r="B107" s="8" t="e">
        <x:f>项目总控台账!A106</x:f>
        <x:v>#NAME?</x:v>
      </x:c>
      <x:c r="C107" s="8" t="e">
        <x:f>IF(AND(项目总控台账!E106&lt;&gt;"",项目总控台账!E106&lt;&gt;"/"),项目总控台账!E106,IF(AND(项目总控台账!D106&lt;&gt;"",项目总控台账!D106&lt;&gt;"/"),项目总控台账!D106,项目总控台账!C106))</x:f>
        <x:v>#NAME?</x:v>
      </x:c>
      <x:c r="D107" s="8" t="e">
        <x:f>项目总控台账!H106</x:f>
        <x:v>#NAME?</x:v>
      </x:c>
      <x:c r="E107" s="25" t="e">
        <x:f>项目总控台账!I106</x:f>
        <x:v>#NAME?</x:v>
      </x:c>
      <x:c r="F107" s="25" t="e">
        <x:f>项目总控台账!J106</x:f>
        <x:v>#NAME?</x:v>
      </x:c>
      <x:c r="G107" s="8" t="e">
        <x:f>IF(B107="","",IF(OR(C107="",C107="/"),"缺少任务名称；","")&amp;IF(OR(D107="",D107="/"),"缺少有效主责人；","")&amp;IF(OR(E107="",E107&lt;DATE(2000,1,1)),"缺少有效计划开始；","")&amp;IF(OR(F107="",F107&lt;DATE(2000,1,1)),"缺少有效计划完成；","")&amp;IF(项目总控台账!G106="","缺少总体状态；","")&amp;IF(AND(ISNUMBER(E107),ISNUMBER(F107),E107&gt;=DATE(2000,1,1),F107&gt;=DATE(2000,1,1),E107&gt;F107),"开始晚于完成；","")&amp;IF(AND(项目总控台账!G106="已完成",项目总控台账!AB106&lt;1),"已完成但进度不足100%；",""))</x:f>
        <x:v>#NAME?</x:v>
      </x:c>
      <x:c r="H107" s="8" t="str">
        <x:f t="shared" si="2"/>
        <x:v>通过</x:v>
      </x:c>
      <x:c r="I107" s="8" t="str">
        <x:f t="shared" si="3"/>
        <x:v>无需处理</x:v>
      </x:c>
      <x:c r="J107" s="8">
        <x:v>106</x:v>
      </x:c>
    </x:row>
    <x:row r="108">
      <x:c r="A108" s="8" t="s">
        <x:v>1458</x:v>
      </x:c>
      <x:c r="B108" s="8" t="e">
        <x:f>项目总控台账!A107</x:f>
        <x:v>#NAME?</x:v>
      </x:c>
      <x:c r="C108" s="8" t="e">
        <x:f>IF(AND(项目总控台账!E107&lt;&gt;"",项目总控台账!E107&lt;&gt;"/"),项目总控台账!E107,IF(AND(项目总控台账!D107&lt;&gt;"",项目总控台账!D107&lt;&gt;"/"),项目总控台账!D107,项目总控台账!C107))</x:f>
        <x:v>#NAME?</x:v>
      </x:c>
      <x:c r="D108" s="8" t="e">
        <x:f>项目总控台账!H107</x:f>
        <x:v>#NAME?</x:v>
      </x:c>
      <x:c r="E108" s="25" t="e">
        <x:f>项目总控台账!I107</x:f>
        <x:v>#NAME?</x:v>
      </x:c>
      <x:c r="F108" s="25" t="e">
        <x:f>项目总控台账!J107</x:f>
        <x:v>#NAME?</x:v>
      </x:c>
      <x:c r="G108" s="8" t="e">
        <x:f>IF(B108="","",IF(OR(C108="",C108="/"),"缺少任务名称；","")&amp;IF(OR(D108="",D108="/"),"缺少有效主责人；","")&amp;IF(OR(E108="",E108&lt;DATE(2000,1,1)),"缺少有效计划开始；","")&amp;IF(OR(F108="",F108&lt;DATE(2000,1,1)),"缺少有效计划完成；","")&amp;IF(项目总控台账!G107="","缺少总体状态；","")&amp;IF(AND(ISNUMBER(E108),ISNUMBER(F108),E108&gt;=DATE(2000,1,1),F108&gt;=DATE(2000,1,1),E108&gt;F108),"开始晚于完成；","")&amp;IF(AND(项目总控台账!G107="已完成",项目总控台账!AB107&lt;1),"已完成但进度不足100%；",""))</x:f>
        <x:v>#NAME?</x:v>
      </x:c>
      <x:c r="H108" s="8" t="str">
        <x:f t="shared" si="2"/>
        <x:v>通过</x:v>
      </x:c>
      <x:c r="I108" s="8" t="str">
        <x:f t="shared" si="3"/>
        <x:v>无需处理</x:v>
      </x:c>
      <x:c r="J108" s="8">
        <x:v>107</x:v>
      </x:c>
    </x:row>
    <x:row r="109">
      <x:c r="A109" s="8" t="s">
        <x:v>1458</x:v>
      </x:c>
      <x:c r="B109" s="8" t="e">
        <x:f>项目总控台账!A108</x:f>
        <x:v>#NAME?</x:v>
      </x:c>
      <x:c r="C109" s="8" t="e">
        <x:f>IF(AND(项目总控台账!E108&lt;&gt;"",项目总控台账!E108&lt;&gt;"/"),项目总控台账!E108,IF(AND(项目总控台账!D108&lt;&gt;"",项目总控台账!D108&lt;&gt;"/"),项目总控台账!D108,项目总控台账!C108))</x:f>
        <x:v>#NAME?</x:v>
      </x:c>
      <x:c r="D109" s="8" t="e">
        <x:f>项目总控台账!H108</x:f>
        <x:v>#NAME?</x:v>
      </x:c>
      <x:c r="E109" s="25" t="e">
        <x:f>项目总控台账!I108</x:f>
        <x:v>#NAME?</x:v>
      </x:c>
      <x:c r="F109" s="25" t="e">
        <x:f>项目总控台账!J108</x:f>
        <x:v>#NAME?</x:v>
      </x:c>
      <x:c r="G109" s="8" t="e">
        <x:f>IF(B109="","",IF(OR(C109="",C109="/"),"缺少任务名称；","")&amp;IF(OR(D109="",D109="/"),"缺少有效主责人；","")&amp;IF(OR(E109="",E109&lt;DATE(2000,1,1)),"缺少有效计划开始；","")&amp;IF(OR(F109="",F109&lt;DATE(2000,1,1)),"缺少有效计划完成；","")&amp;IF(项目总控台账!G108="","缺少总体状态；","")&amp;IF(AND(ISNUMBER(E109),ISNUMBER(F109),E109&gt;=DATE(2000,1,1),F109&gt;=DATE(2000,1,1),E109&gt;F109),"开始晚于完成；","")&amp;IF(AND(项目总控台账!G108="已完成",项目总控台账!AB108&lt;1),"已完成但进度不足100%；",""))</x:f>
        <x:v>#NAME?</x:v>
      </x:c>
      <x:c r="H109" s="8" t="str">
        <x:f t="shared" si="2"/>
        <x:v>通过</x:v>
      </x:c>
      <x:c r="I109" s="8" t="str">
        <x:f t="shared" si="3"/>
        <x:v>无需处理</x:v>
      </x:c>
      <x:c r="J109" s="8">
        <x:v>108</x:v>
      </x:c>
    </x:row>
    <x:row r="110">
      <x:c r="A110" s="8" t="s">
        <x:v>1458</x:v>
      </x:c>
      <x:c r="B110" s="8" t="e">
        <x:f>项目总控台账!A109</x:f>
        <x:v>#NAME?</x:v>
      </x:c>
      <x:c r="C110" s="8" t="e">
        <x:f>IF(AND(项目总控台账!E109&lt;&gt;"",项目总控台账!E109&lt;&gt;"/"),项目总控台账!E109,IF(AND(项目总控台账!D109&lt;&gt;"",项目总控台账!D109&lt;&gt;"/"),项目总控台账!D109,项目总控台账!C109))</x:f>
        <x:v>#NAME?</x:v>
      </x:c>
      <x:c r="D110" s="8" t="e">
        <x:f>项目总控台账!H109</x:f>
        <x:v>#NAME?</x:v>
      </x:c>
      <x:c r="E110" s="25" t="e">
        <x:f>项目总控台账!I109</x:f>
        <x:v>#NAME?</x:v>
      </x:c>
      <x:c r="F110" s="25" t="e">
        <x:f>项目总控台账!J109</x:f>
        <x:v>#NAME?</x:v>
      </x:c>
      <x:c r="G110" s="8" t="e">
        <x:f>IF(B110="","",IF(OR(C110="",C110="/"),"缺少任务名称；","")&amp;IF(OR(D110="",D110="/"),"缺少有效主责人；","")&amp;IF(OR(E110="",E110&lt;DATE(2000,1,1)),"缺少有效计划开始；","")&amp;IF(OR(F110="",F110&lt;DATE(2000,1,1)),"缺少有效计划完成；","")&amp;IF(项目总控台账!G109="","缺少总体状态；","")&amp;IF(AND(ISNUMBER(E110),ISNUMBER(F110),E110&gt;=DATE(2000,1,1),F110&gt;=DATE(2000,1,1),E110&gt;F110),"开始晚于完成；","")&amp;IF(AND(项目总控台账!G109="已完成",项目总控台账!AB109&lt;1),"已完成但进度不足100%；",""))</x:f>
        <x:v>#NAME?</x:v>
      </x:c>
      <x:c r="H110" s="8" t="str">
        <x:f t="shared" si="2"/>
        <x:v>通过</x:v>
      </x:c>
      <x:c r="I110" s="8" t="str">
        <x:f t="shared" si="3"/>
        <x:v>无需处理</x:v>
      </x:c>
      <x:c r="J110" s="8">
        <x:v>109</x:v>
      </x:c>
    </x:row>
    <x:row r="111">
      <x:c r="A111" s="8" t="s">
        <x:v>1458</x:v>
      </x:c>
      <x:c r="B111" s="8" t="e">
        <x:f>项目总控台账!A110</x:f>
        <x:v>#NAME?</x:v>
      </x:c>
      <x:c r="C111" s="8" t="e">
        <x:f>IF(AND(项目总控台账!E110&lt;&gt;"",项目总控台账!E110&lt;&gt;"/"),项目总控台账!E110,IF(AND(项目总控台账!D110&lt;&gt;"",项目总控台账!D110&lt;&gt;"/"),项目总控台账!D110,项目总控台账!C110))</x:f>
        <x:v>#NAME?</x:v>
      </x:c>
      <x:c r="D111" s="8" t="e">
        <x:f>项目总控台账!H110</x:f>
        <x:v>#NAME?</x:v>
      </x:c>
      <x:c r="E111" s="25" t="e">
        <x:f>项目总控台账!I110</x:f>
        <x:v>#NAME?</x:v>
      </x:c>
      <x:c r="F111" s="25" t="e">
        <x:f>项目总控台账!J110</x:f>
        <x:v>#NAME?</x:v>
      </x:c>
      <x:c r="G111" s="8" t="e">
        <x:f>IF(B111="","",IF(OR(C111="",C111="/"),"缺少任务名称；","")&amp;IF(OR(D111="",D111="/"),"缺少有效主责人；","")&amp;IF(OR(E111="",E111&lt;DATE(2000,1,1)),"缺少有效计划开始；","")&amp;IF(OR(F111="",F111&lt;DATE(2000,1,1)),"缺少有效计划完成；","")&amp;IF(项目总控台账!G110="","缺少总体状态；","")&amp;IF(AND(ISNUMBER(E111),ISNUMBER(F111),E111&gt;=DATE(2000,1,1),F111&gt;=DATE(2000,1,1),E111&gt;F111),"开始晚于完成；","")&amp;IF(AND(项目总控台账!G110="已完成",项目总控台账!AB110&lt;1),"已完成但进度不足100%；",""))</x:f>
        <x:v>#NAME?</x:v>
      </x:c>
      <x:c r="H111" s="8" t="str">
        <x:f t="shared" si="2"/>
        <x:v>通过</x:v>
      </x:c>
      <x:c r="I111" s="8" t="str">
        <x:f t="shared" si="3"/>
        <x:v>无需处理</x:v>
      </x:c>
      <x:c r="J111" s="8">
        <x:v>110</x:v>
      </x:c>
    </x:row>
    <x:row r="112">
      <x:c r="A112" s="8" t="s">
        <x:v>1458</x:v>
      </x:c>
      <x:c r="B112" s="8" t="e">
        <x:f>项目总控台账!A111</x:f>
        <x:v>#NAME?</x:v>
      </x:c>
      <x:c r="C112" s="8" t="e">
        <x:f>IF(AND(项目总控台账!E111&lt;&gt;"",项目总控台账!E111&lt;&gt;"/"),项目总控台账!E111,IF(AND(项目总控台账!D111&lt;&gt;"",项目总控台账!D111&lt;&gt;"/"),项目总控台账!D111,项目总控台账!C111))</x:f>
        <x:v>#NAME?</x:v>
      </x:c>
      <x:c r="D112" s="8" t="e">
        <x:f>项目总控台账!H111</x:f>
        <x:v>#NAME?</x:v>
      </x:c>
      <x:c r="E112" s="25" t="e">
        <x:f>项目总控台账!I111</x:f>
        <x:v>#NAME?</x:v>
      </x:c>
      <x:c r="F112" s="25" t="e">
        <x:f>项目总控台账!J111</x:f>
        <x:v>#NAME?</x:v>
      </x:c>
      <x:c r="G112" s="8" t="e">
        <x:f>IF(B112="","",IF(OR(C112="",C112="/"),"缺少任务名称；","")&amp;IF(OR(D112="",D112="/"),"缺少有效主责人；","")&amp;IF(OR(E112="",E112&lt;DATE(2000,1,1)),"缺少有效计划开始；","")&amp;IF(OR(F112="",F112&lt;DATE(2000,1,1)),"缺少有效计划完成；","")&amp;IF(项目总控台账!G111="","缺少总体状态；","")&amp;IF(AND(ISNUMBER(E112),ISNUMBER(F112),E112&gt;=DATE(2000,1,1),F112&gt;=DATE(2000,1,1),E112&gt;F112),"开始晚于完成；","")&amp;IF(AND(项目总控台账!G111="已完成",项目总控台账!AB111&lt;1),"已完成但进度不足100%；",""))</x:f>
        <x:v>#NAME?</x:v>
      </x:c>
      <x:c r="H112" s="8" t="str">
        <x:f t="shared" si="2"/>
        <x:v>通过</x:v>
      </x:c>
      <x:c r="I112" s="8" t="str">
        <x:f t="shared" si="3"/>
        <x:v>无需处理</x:v>
      </x:c>
      <x:c r="J112" s="8">
        <x:v>111</x:v>
      </x:c>
    </x:row>
    <x:row r="113">
      <x:c r="A113" s="8" t="s">
        <x:v>1458</x:v>
      </x:c>
      <x:c r="B113" s="8" t="e">
        <x:f>项目总控台账!A112</x:f>
        <x:v>#NAME?</x:v>
      </x:c>
      <x:c r="C113" s="8" t="e">
        <x:f>IF(AND(项目总控台账!E112&lt;&gt;"",项目总控台账!E112&lt;&gt;"/"),项目总控台账!E112,IF(AND(项目总控台账!D112&lt;&gt;"",项目总控台账!D112&lt;&gt;"/"),项目总控台账!D112,项目总控台账!C112))</x:f>
        <x:v>#NAME?</x:v>
      </x:c>
      <x:c r="D113" s="8" t="e">
        <x:f>项目总控台账!H112</x:f>
        <x:v>#NAME?</x:v>
      </x:c>
      <x:c r="E113" s="25" t="e">
        <x:f>项目总控台账!I112</x:f>
        <x:v>#NAME?</x:v>
      </x:c>
      <x:c r="F113" s="25" t="e">
        <x:f>项目总控台账!J112</x:f>
        <x:v>#NAME?</x:v>
      </x:c>
      <x:c r="G113" s="8" t="e">
        <x:f>IF(B113="","",IF(OR(C113="",C113="/"),"缺少任务名称；","")&amp;IF(OR(D113="",D113="/"),"缺少有效主责人；","")&amp;IF(OR(E113="",E113&lt;DATE(2000,1,1)),"缺少有效计划开始；","")&amp;IF(OR(F113="",F113&lt;DATE(2000,1,1)),"缺少有效计划完成；","")&amp;IF(项目总控台账!G112="","缺少总体状态；","")&amp;IF(AND(ISNUMBER(E113),ISNUMBER(F113),E113&gt;=DATE(2000,1,1),F113&gt;=DATE(2000,1,1),E113&gt;F113),"开始晚于完成；","")&amp;IF(AND(项目总控台账!G112="已完成",项目总控台账!AB112&lt;1),"已完成但进度不足100%；",""))</x:f>
        <x:v>#NAME?</x:v>
      </x:c>
      <x:c r="H113" s="8" t="str">
        <x:f t="shared" si="2"/>
        <x:v>通过</x:v>
      </x:c>
      <x:c r="I113" s="8" t="str">
        <x:f t="shared" si="3"/>
        <x:v>无需处理</x:v>
      </x:c>
      <x:c r="J113" s="8">
        <x:v>112</x:v>
      </x:c>
    </x:row>
    <x:row r="114">
      <x:c r="A114" s="8" t="s">
        <x:v>1458</x:v>
      </x:c>
      <x:c r="B114" s="8" t="e">
        <x:f>项目总控台账!A113</x:f>
        <x:v>#NAME?</x:v>
      </x:c>
      <x:c r="C114" s="8" t="e">
        <x:f>IF(AND(项目总控台账!E113&lt;&gt;"",项目总控台账!E113&lt;&gt;"/"),项目总控台账!E113,IF(AND(项目总控台账!D113&lt;&gt;"",项目总控台账!D113&lt;&gt;"/"),项目总控台账!D113,项目总控台账!C113))</x:f>
        <x:v>#NAME?</x:v>
      </x:c>
      <x:c r="D114" s="8" t="e">
        <x:f>项目总控台账!H113</x:f>
        <x:v>#NAME?</x:v>
      </x:c>
      <x:c r="E114" s="25" t="e">
        <x:f>项目总控台账!I113</x:f>
        <x:v>#NAME?</x:v>
      </x:c>
      <x:c r="F114" s="25" t="e">
        <x:f>项目总控台账!J113</x:f>
        <x:v>#NAME?</x:v>
      </x:c>
      <x:c r="G114" s="8" t="e">
        <x:f>IF(B114="","",IF(OR(C114="",C114="/"),"缺少任务名称；","")&amp;IF(OR(D114="",D114="/"),"缺少有效主责人；","")&amp;IF(OR(E114="",E114&lt;DATE(2000,1,1)),"缺少有效计划开始；","")&amp;IF(OR(F114="",F114&lt;DATE(2000,1,1)),"缺少有效计划完成；","")&amp;IF(项目总控台账!G113="","缺少总体状态；","")&amp;IF(AND(ISNUMBER(E114),ISNUMBER(F114),E114&gt;=DATE(2000,1,1),F114&gt;=DATE(2000,1,1),E114&gt;F114),"开始晚于完成；","")&amp;IF(AND(项目总控台账!G113="已完成",项目总控台账!AB113&lt;1),"已完成但进度不足100%；",""))</x:f>
        <x:v>#NAME?</x:v>
      </x:c>
      <x:c r="H114" s="8" t="str">
        <x:f t="shared" si="2"/>
        <x:v>通过</x:v>
      </x:c>
      <x:c r="I114" s="8" t="str">
        <x:f t="shared" si="3"/>
        <x:v>无需处理</x:v>
      </x:c>
      <x:c r="J114" s="8">
        <x:v>113</x:v>
      </x:c>
    </x:row>
    <x:row r="115">
      <x:c r="A115" s="8" t="s">
        <x:v>1458</x:v>
      </x:c>
      <x:c r="B115" s="8" t="e">
        <x:f>项目总控台账!A114</x:f>
        <x:v>#NAME?</x:v>
      </x:c>
      <x:c r="C115" s="8" t="e">
        <x:f>IF(AND(项目总控台账!E114&lt;&gt;"",项目总控台账!E114&lt;&gt;"/"),项目总控台账!E114,IF(AND(项目总控台账!D114&lt;&gt;"",项目总控台账!D114&lt;&gt;"/"),项目总控台账!D114,项目总控台账!C114))</x:f>
        <x:v>#NAME?</x:v>
      </x:c>
      <x:c r="D115" s="8" t="e">
        <x:f>项目总控台账!H114</x:f>
        <x:v>#NAME?</x:v>
      </x:c>
      <x:c r="E115" s="25" t="e">
        <x:f>项目总控台账!I114</x:f>
        <x:v>#NAME?</x:v>
      </x:c>
      <x:c r="F115" s="25" t="e">
        <x:f>项目总控台账!J114</x:f>
        <x:v>#NAME?</x:v>
      </x:c>
      <x:c r="G115" s="8" t="e">
        <x:f>IF(B115="","",IF(OR(C115="",C115="/"),"缺少任务名称；","")&amp;IF(OR(D115="",D115="/"),"缺少有效主责人；","")&amp;IF(OR(E115="",E115&lt;DATE(2000,1,1)),"缺少有效计划开始；","")&amp;IF(OR(F115="",F115&lt;DATE(2000,1,1)),"缺少有效计划完成；","")&amp;IF(项目总控台账!G114="","缺少总体状态；","")&amp;IF(AND(ISNUMBER(E115),ISNUMBER(F115),E115&gt;=DATE(2000,1,1),F115&gt;=DATE(2000,1,1),E115&gt;F115),"开始晚于完成；","")&amp;IF(AND(项目总控台账!G114="已完成",项目总控台账!AB114&lt;1),"已完成但进度不足100%；",""))</x:f>
        <x:v>#NAME?</x:v>
      </x:c>
      <x:c r="H115" s="8" t="str">
        <x:f t="shared" si="2"/>
        <x:v>需整改</x:v>
      </x:c>
      <x:c r="I115" s="8" t="str">
        <x:f t="shared" si="3"/>
        <x:v>回到项目总控台账第114行补齐或修正</x:v>
      </x:c>
      <x:c r="J115" s="8">
        <x:v>114</x:v>
      </x:c>
    </x:row>
    <x:row r="116">
      <x:c r="A116" s="8" t="s">
        <x:v>1458</x:v>
      </x:c>
      <x:c r="B116" s="8" t="e">
        <x:f>项目总控台账!A115</x:f>
        <x:v>#NAME?</x:v>
      </x:c>
      <x:c r="C116" s="8" t="e">
        <x:f>IF(AND(项目总控台账!E115&lt;&gt;"",项目总控台账!E115&lt;&gt;"/"),项目总控台账!E115,IF(AND(项目总控台账!D115&lt;&gt;"",项目总控台账!D115&lt;&gt;"/"),项目总控台账!D115,项目总控台账!C115))</x:f>
        <x:v>#NAME?</x:v>
      </x:c>
      <x:c r="D116" s="8" t="e">
        <x:f>项目总控台账!H115</x:f>
        <x:v>#NAME?</x:v>
      </x:c>
      <x:c r="E116" s="25" t="e">
        <x:f>项目总控台账!I115</x:f>
        <x:v>#NAME?</x:v>
      </x:c>
      <x:c r="F116" s="25" t="e">
        <x:f>项目总控台账!J115</x:f>
        <x:v>#NAME?</x:v>
      </x:c>
      <x:c r="G116" s="8" t="e">
        <x:f>IF(B116="","",IF(OR(C116="",C116="/"),"缺少任务名称；","")&amp;IF(OR(D116="",D116="/"),"缺少有效主责人；","")&amp;IF(OR(E116="",E116&lt;DATE(2000,1,1)),"缺少有效计划开始；","")&amp;IF(OR(F116="",F116&lt;DATE(2000,1,1)),"缺少有效计划完成；","")&amp;IF(项目总控台账!G115="","缺少总体状态；","")&amp;IF(AND(ISNUMBER(E116),ISNUMBER(F116),E116&gt;=DATE(2000,1,1),F116&gt;=DATE(2000,1,1),E116&gt;F116),"开始晚于完成；","")&amp;IF(AND(项目总控台账!G115="已完成",项目总控台账!AB115&lt;1),"已完成但进度不足100%；",""))</x:f>
        <x:v>#NAME?</x:v>
      </x:c>
      <x:c r="H116" s="8" t="str">
        <x:f t="shared" si="2"/>
        <x:v>需整改</x:v>
      </x:c>
      <x:c r="I116" s="8" t="str">
        <x:f t="shared" si="3"/>
        <x:v>回到项目总控台账第115行补齐或修正</x:v>
      </x:c>
      <x:c r="J116" s="8">
        <x:v>115</x:v>
      </x:c>
    </x:row>
    <x:row r="117">
      <x:c r="A117" s="8" t="s">
        <x:v>1458</x:v>
      </x:c>
      <x:c r="B117" s="8" t="e">
        <x:f>项目总控台账!A116</x:f>
        <x:v>#NAME?</x:v>
      </x:c>
      <x:c r="C117" s="8" t="e">
        <x:f>IF(AND(项目总控台账!E116&lt;&gt;"",项目总控台账!E116&lt;&gt;"/"),项目总控台账!E116,IF(AND(项目总控台账!D116&lt;&gt;"",项目总控台账!D116&lt;&gt;"/"),项目总控台账!D116,项目总控台账!C116))</x:f>
        <x:v>#NAME?</x:v>
      </x:c>
      <x:c r="D117" s="8" t="e">
        <x:f>项目总控台账!H116</x:f>
        <x:v>#NAME?</x:v>
      </x:c>
      <x:c r="E117" s="25" t="e">
        <x:f>项目总控台账!I116</x:f>
        <x:v>#NAME?</x:v>
      </x:c>
      <x:c r="F117" s="25" t="e">
        <x:f>项目总控台账!J116</x:f>
        <x:v>#NAME?</x:v>
      </x:c>
      <x:c r="G117" s="8" t="e">
        <x:f>IF(B117="","",IF(OR(C117="",C117="/"),"缺少任务名称；","")&amp;IF(OR(D117="",D117="/"),"缺少有效主责人；","")&amp;IF(OR(E117="",E117&lt;DATE(2000,1,1)),"缺少有效计划开始；","")&amp;IF(OR(F117="",F117&lt;DATE(2000,1,1)),"缺少有效计划完成；","")&amp;IF(项目总控台账!G116="","缺少总体状态；","")&amp;IF(AND(ISNUMBER(E117),ISNUMBER(F117),E117&gt;=DATE(2000,1,1),F117&gt;=DATE(2000,1,1),E117&gt;F117),"开始晚于完成；","")&amp;IF(AND(项目总控台账!G116="已完成",项目总控台账!AB116&lt;1),"已完成但进度不足100%；",""))</x:f>
        <x:v>#NAME?</x:v>
      </x:c>
      <x:c r="H117" s="8" t="str">
        <x:f t="shared" si="2"/>
        <x:v>需整改</x:v>
      </x:c>
      <x:c r="I117" s="8" t="str">
        <x:f t="shared" si="3"/>
        <x:v>回到项目总控台账第116行补齐或修正</x:v>
      </x:c>
      <x:c r="J117" s="8">
        <x:v>116</x:v>
      </x:c>
    </x:row>
    <x:row r="118">
      <x:c r="A118" s="8" t="s">
        <x:v>1458</x:v>
      </x:c>
      <x:c r="B118" s="8" t="e">
        <x:f>项目总控台账!A117</x:f>
        <x:v>#NAME?</x:v>
      </x:c>
      <x:c r="C118" s="8" t="e">
        <x:f>IF(AND(项目总控台账!E117&lt;&gt;"",项目总控台账!E117&lt;&gt;"/"),项目总控台账!E117,IF(AND(项目总控台账!D117&lt;&gt;"",项目总控台账!D117&lt;&gt;"/"),项目总控台账!D117,项目总控台账!C117))</x:f>
        <x:v>#NAME?</x:v>
      </x:c>
      <x:c r="D118" s="8" t="e">
        <x:f>项目总控台账!H117</x:f>
        <x:v>#NAME?</x:v>
      </x:c>
      <x:c r="E118" s="25" t="e">
        <x:f>项目总控台账!I117</x:f>
        <x:v>#NAME?</x:v>
      </x:c>
      <x:c r="F118" s="25" t="e">
        <x:f>项目总控台账!J117</x:f>
        <x:v>#NAME?</x:v>
      </x:c>
      <x:c r="G118" s="8" t="e">
        <x:f>IF(B118="","",IF(OR(C118="",C118="/"),"缺少任务名称；","")&amp;IF(OR(D118="",D118="/"),"缺少有效主责人；","")&amp;IF(OR(E118="",E118&lt;DATE(2000,1,1)),"缺少有效计划开始；","")&amp;IF(OR(F118="",F118&lt;DATE(2000,1,1)),"缺少有效计划完成；","")&amp;IF(项目总控台账!G117="","缺少总体状态；","")&amp;IF(AND(ISNUMBER(E118),ISNUMBER(F118),E118&gt;=DATE(2000,1,1),F118&gt;=DATE(2000,1,1),E118&gt;F118),"开始晚于完成；","")&amp;IF(AND(项目总控台账!G117="已完成",项目总控台账!AB117&lt;1),"已完成但进度不足100%；",""))</x:f>
        <x:v>#NAME?</x:v>
      </x:c>
      <x:c r="H118" s="8" t="str">
        <x:f t="shared" si="2"/>
        <x:v>需整改</x:v>
      </x:c>
      <x:c r="I118" s="8" t="str">
        <x:f t="shared" si="3"/>
        <x:v>回到项目总控台账第117行补齐或修正</x:v>
      </x:c>
      <x:c r="J118" s="8">
        <x:v>117</x:v>
      </x:c>
    </x:row>
    <x:row r="119">
      <x:c r="A119" s="8" t="s">
        <x:v>1458</x:v>
      </x:c>
      <x:c r="B119" s="8" t="e">
        <x:f>项目总控台账!A118</x:f>
        <x:v>#NAME?</x:v>
      </x:c>
      <x:c r="C119" s="8" t="e">
        <x:f>IF(AND(项目总控台账!E118&lt;&gt;"",项目总控台账!E118&lt;&gt;"/"),项目总控台账!E118,IF(AND(项目总控台账!D118&lt;&gt;"",项目总控台账!D118&lt;&gt;"/"),项目总控台账!D118,项目总控台账!C118))</x:f>
        <x:v>#NAME?</x:v>
      </x:c>
      <x:c r="D119" s="8" t="e">
        <x:f>项目总控台账!H118</x:f>
        <x:v>#NAME?</x:v>
      </x:c>
      <x:c r="E119" s="25" t="e">
        <x:f>项目总控台账!I118</x:f>
        <x:v>#NAME?</x:v>
      </x:c>
      <x:c r="F119" s="25" t="e">
        <x:f>项目总控台账!J118</x:f>
        <x:v>#NAME?</x:v>
      </x:c>
      <x:c r="G119" s="8" t="e">
        <x:f>IF(B119="","",IF(OR(C119="",C119="/"),"缺少任务名称；","")&amp;IF(OR(D119="",D119="/"),"缺少有效主责人；","")&amp;IF(OR(E119="",E119&lt;DATE(2000,1,1)),"缺少有效计划开始；","")&amp;IF(OR(F119="",F119&lt;DATE(2000,1,1)),"缺少有效计划完成；","")&amp;IF(项目总控台账!G118="","缺少总体状态；","")&amp;IF(AND(ISNUMBER(E119),ISNUMBER(F119),E119&gt;=DATE(2000,1,1),F119&gt;=DATE(2000,1,1),E119&gt;F119),"开始晚于完成；","")&amp;IF(AND(项目总控台账!G118="已完成",项目总控台账!AB118&lt;1),"已完成但进度不足100%；",""))</x:f>
        <x:v>#NAME?</x:v>
      </x:c>
      <x:c r="H119" s="8" t="str">
        <x:f t="shared" si="2"/>
        <x:v>需整改</x:v>
      </x:c>
      <x:c r="I119" s="8" t="str">
        <x:f t="shared" si="3"/>
        <x:v>回到项目总控台账第118行补齐或修正</x:v>
      </x:c>
      <x:c r="J119" s="8">
        <x:v>118</x:v>
      </x:c>
    </x:row>
    <x:row r="120">
      <x:c r="A120" s="8" t="s">
        <x:v>1458</x:v>
      </x:c>
      <x:c r="B120" s="8" t="e">
        <x:f>项目总控台账!A119</x:f>
        <x:v>#NAME?</x:v>
      </x:c>
      <x:c r="C120" s="8" t="e">
        <x:f>IF(AND(项目总控台账!E119&lt;&gt;"",项目总控台账!E119&lt;&gt;"/"),项目总控台账!E119,IF(AND(项目总控台账!D119&lt;&gt;"",项目总控台账!D119&lt;&gt;"/"),项目总控台账!D119,项目总控台账!C119))</x:f>
        <x:v>#NAME?</x:v>
      </x:c>
      <x:c r="D120" s="8" t="e">
        <x:f>项目总控台账!H119</x:f>
        <x:v>#NAME?</x:v>
      </x:c>
      <x:c r="E120" s="25" t="e">
        <x:f>项目总控台账!I119</x:f>
        <x:v>#NAME?</x:v>
      </x:c>
      <x:c r="F120" s="25" t="e">
        <x:f>项目总控台账!J119</x:f>
        <x:v>#NAME?</x:v>
      </x:c>
      <x:c r="G120" s="8" t="e">
        <x:f>IF(B120="","",IF(OR(C120="",C120="/"),"缺少任务名称；","")&amp;IF(OR(D120="",D120="/"),"缺少有效主责人；","")&amp;IF(OR(E120="",E120&lt;DATE(2000,1,1)),"缺少有效计划开始；","")&amp;IF(OR(F120="",F120&lt;DATE(2000,1,1)),"缺少有效计划完成；","")&amp;IF(项目总控台账!G119="","缺少总体状态；","")&amp;IF(AND(ISNUMBER(E120),ISNUMBER(F120),E120&gt;=DATE(2000,1,1),F120&gt;=DATE(2000,1,1),E120&gt;F120),"开始晚于完成；","")&amp;IF(AND(项目总控台账!G119="已完成",项目总控台账!AB119&lt;1),"已完成但进度不足100%；",""))</x:f>
        <x:v>#NAME?</x:v>
      </x:c>
      <x:c r="H120" s="8" t="str">
        <x:f t="shared" si="2"/>
        <x:v>需整改</x:v>
      </x:c>
      <x:c r="I120" s="8" t="str">
        <x:f t="shared" si="3"/>
        <x:v>回到项目总控台账第119行补齐或修正</x:v>
      </x:c>
      <x:c r="J120" s="8">
        <x:v>119</x:v>
      </x:c>
    </x:row>
    <x:row r="121">
      <x:c r="A121" s="8" t="s">
        <x:v>1458</x:v>
      </x:c>
      <x:c r="B121" s="8" t="e">
        <x:f>项目总控台账!A120</x:f>
        <x:v>#NAME?</x:v>
      </x:c>
      <x:c r="C121" s="8" t="e">
        <x:f>IF(AND(项目总控台账!E120&lt;&gt;"",项目总控台账!E120&lt;&gt;"/"),项目总控台账!E120,IF(AND(项目总控台账!D120&lt;&gt;"",项目总控台账!D120&lt;&gt;"/"),项目总控台账!D120,项目总控台账!C120))</x:f>
        <x:v>#NAME?</x:v>
      </x:c>
      <x:c r="D121" s="8" t="e">
        <x:f>项目总控台账!H120</x:f>
        <x:v>#NAME?</x:v>
      </x:c>
      <x:c r="E121" s="25" t="e">
        <x:f>项目总控台账!I120</x:f>
        <x:v>#NAME?</x:v>
      </x:c>
      <x:c r="F121" s="25" t="e">
        <x:f>项目总控台账!J120</x:f>
        <x:v>#NAME?</x:v>
      </x:c>
      <x:c r="G121" s="8" t="e">
        <x:f>IF(B121="","",IF(OR(C121="",C121="/"),"缺少任务名称；","")&amp;IF(OR(D121="",D121="/"),"缺少有效主责人；","")&amp;IF(OR(E121="",E121&lt;DATE(2000,1,1)),"缺少有效计划开始；","")&amp;IF(OR(F121="",F121&lt;DATE(2000,1,1)),"缺少有效计划完成；","")&amp;IF(项目总控台账!G120="","缺少总体状态；","")&amp;IF(AND(ISNUMBER(E121),ISNUMBER(F121),E121&gt;=DATE(2000,1,1),F121&gt;=DATE(2000,1,1),E121&gt;F121),"开始晚于完成；","")&amp;IF(AND(项目总控台账!G120="已完成",项目总控台账!AB120&lt;1),"已完成但进度不足100%；",""))</x:f>
        <x:v>#NAME?</x:v>
      </x:c>
      <x:c r="H121" s="8" t="str">
        <x:f t="shared" si="2"/>
        <x:v>通过</x:v>
      </x:c>
      <x:c r="I121" s="8" t="str">
        <x:f t="shared" si="3"/>
        <x:v>无需处理</x:v>
      </x:c>
      <x:c r="J121" s="8">
        <x:v>120</x:v>
      </x:c>
    </x:row>
    <x:row r="122">
      <x:c r="A122" s="8" t="s">
        <x:v>1458</x:v>
      </x:c>
      <x:c r="B122" s="8" t="e">
        <x:f>项目总控台账!A121</x:f>
        <x:v>#NAME?</x:v>
      </x:c>
      <x:c r="C122" s="8" t="e">
        <x:f>IF(AND(项目总控台账!E121&lt;&gt;"",项目总控台账!E121&lt;&gt;"/"),项目总控台账!E121,IF(AND(项目总控台账!D121&lt;&gt;"",项目总控台账!D121&lt;&gt;"/"),项目总控台账!D121,项目总控台账!C121))</x:f>
        <x:v>#NAME?</x:v>
      </x:c>
      <x:c r="D122" s="8" t="e">
        <x:f>项目总控台账!H121</x:f>
        <x:v>#NAME?</x:v>
      </x:c>
      <x:c r="E122" s="25" t="e">
        <x:f>项目总控台账!I121</x:f>
        <x:v>#NAME?</x:v>
      </x:c>
      <x:c r="F122" s="25" t="e">
        <x:f>项目总控台账!J121</x:f>
        <x:v>#NAME?</x:v>
      </x:c>
      <x:c r="G122" s="8" t="e">
        <x:f>IF(B122="","",IF(OR(C122="",C122="/"),"缺少任务名称；","")&amp;IF(OR(D122="",D122="/"),"缺少有效主责人；","")&amp;IF(OR(E122="",E122&lt;DATE(2000,1,1)),"缺少有效计划开始；","")&amp;IF(OR(F122="",F122&lt;DATE(2000,1,1)),"缺少有效计划完成；","")&amp;IF(项目总控台账!G121="","缺少总体状态；","")&amp;IF(AND(ISNUMBER(E122),ISNUMBER(F122),E122&gt;=DATE(2000,1,1),F122&gt;=DATE(2000,1,1),E122&gt;F122),"开始晚于完成；","")&amp;IF(AND(项目总控台账!G121="已完成",项目总控台账!AB121&lt;1),"已完成但进度不足100%；",""))</x:f>
        <x:v>#NAME?</x:v>
      </x:c>
      <x:c r="H122" s="8" t="str">
        <x:f t="shared" si="2"/>
        <x:v>通过</x:v>
      </x:c>
      <x:c r="I122" s="8" t="str">
        <x:f t="shared" si="3"/>
        <x:v>无需处理</x:v>
      </x:c>
      <x:c r="J122" s="8">
        <x:v>121</x:v>
      </x:c>
    </x:row>
    <x:row r="123">
      <x:c r="A123" s="8" t="s">
        <x:v>1458</x:v>
      </x:c>
      <x:c r="B123" s="8" t="e">
        <x:f>项目总控台账!A122</x:f>
        <x:v>#NAME?</x:v>
      </x:c>
      <x:c r="C123" s="8" t="e">
        <x:f>IF(AND(项目总控台账!E122&lt;&gt;"",项目总控台账!E122&lt;&gt;"/"),项目总控台账!E122,IF(AND(项目总控台账!D122&lt;&gt;"",项目总控台账!D122&lt;&gt;"/"),项目总控台账!D122,项目总控台账!C122))</x:f>
        <x:v>#NAME?</x:v>
      </x:c>
      <x:c r="D123" s="8" t="e">
        <x:f>项目总控台账!H122</x:f>
        <x:v>#NAME?</x:v>
      </x:c>
      <x:c r="E123" s="25" t="e">
        <x:f>项目总控台账!I122</x:f>
        <x:v>#NAME?</x:v>
      </x:c>
      <x:c r="F123" s="25" t="e">
        <x:f>项目总控台账!J122</x:f>
        <x:v>#NAME?</x:v>
      </x:c>
      <x:c r="G123" s="8" t="e">
        <x:f>IF(B123="","",IF(OR(C123="",C123="/"),"缺少任务名称；","")&amp;IF(OR(D123="",D123="/"),"缺少有效主责人；","")&amp;IF(OR(E123="",E123&lt;DATE(2000,1,1)),"缺少有效计划开始；","")&amp;IF(OR(F123="",F123&lt;DATE(2000,1,1)),"缺少有效计划完成；","")&amp;IF(项目总控台账!G122="","缺少总体状态；","")&amp;IF(AND(ISNUMBER(E123),ISNUMBER(F123),E123&gt;=DATE(2000,1,1),F123&gt;=DATE(2000,1,1),E123&gt;F123),"开始晚于完成；","")&amp;IF(AND(项目总控台账!G122="已完成",项目总控台账!AB122&lt;1),"已完成但进度不足100%；",""))</x:f>
        <x:v>#NAME?</x:v>
      </x:c>
      <x:c r="H123" s="8" t="str">
        <x:f t="shared" si="2"/>
        <x:v>通过</x:v>
      </x:c>
      <x:c r="I123" s="8" t="str">
        <x:f t="shared" si="3"/>
        <x:v>无需处理</x:v>
      </x:c>
      <x:c r="J123" s="8">
        <x:v>122</x:v>
      </x:c>
    </x:row>
    <x:row r="124">
      <x:c r="A124" s="8" t="s">
        <x:v>1458</x:v>
      </x:c>
      <x:c r="B124" s="8" t="e">
        <x:f>项目总控台账!A123</x:f>
        <x:v>#NAME?</x:v>
      </x:c>
      <x:c r="C124" s="8" t="e">
        <x:f>IF(AND(项目总控台账!E123&lt;&gt;"",项目总控台账!E123&lt;&gt;"/"),项目总控台账!E123,IF(AND(项目总控台账!D123&lt;&gt;"",项目总控台账!D123&lt;&gt;"/"),项目总控台账!D123,项目总控台账!C123))</x:f>
        <x:v>#NAME?</x:v>
      </x:c>
      <x:c r="D124" s="8" t="e">
        <x:f>项目总控台账!H123</x:f>
        <x:v>#NAME?</x:v>
      </x:c>
      <x:c r="E124" s="25" t="e">
        <x:f>项目总控台账!I123</x:f>
        <x:v>#NAME?</x:v>
      </x:c>
      <x:c r="F124" s="25" t="e">
        <x:f>项目总控台账!J123</x:f>
        <x:v>#NAME?</x:v>
      </x:c>
      <x:c r="G124" s="8" t="e">
        <x:f>IF(B124="","",IF(OR(C124="",C124="/"),"缺少任务名称；","")&amp;IF(OR(D124="",D124="/"),"缺少有效主责人；","")&amp;IF(OR(E124="",E124&lt;DATE(2000,1,1)),"缺少有效计划开始；","")&amp;IF(OR(F124="",F124&lt;DATE(2000,1,1)),"缺少有效计划完成；","")&amp;IF(项目总控台账!G123="","缺少总体状态；","")&amp;IF(AND(ISNUMBER(E124),ISNUMBER(F124),E124&gt;=DATE(2000,1,1),F124&gt;=DATE(2000,1,1),E124&gt;F124),"开始晚于完成；","")&amp;IF(AND(项目总控台账!G123="已完成",项目总控台账!AB123&lt;1),"已完成但进度不足100%；",""))</x:f>
        <x:v>#NAME?</x:v>
      </x:c>
      <x:c r="H124" s="8" t="str">
        <x:f t="shared" si="2"/>
        <x:v>通过</x:v>
      </x:c>
      <x:c r="I124" s="8" t="str">
        <x:f t="shared" si="3"/>
        <x:v>无需处理</x:v>
      </x:c>
      <x:c r="J124" s="8">
        <x:v>123</x:v>
      </x:c>
    </x:row>
    <x:row r="125">
      <x:c r="A125" s="8" t="s">
        <x:v>1458</x:v>
      </x:c>
      <x:c r="B125" s="8" t="e">
        <x:f>项目总控台账!A124</x:f>
        <x:v>#NAME?</x:v>
      </x:c>
      <x:c r="C125" s="8" t="e">
        <x:f>IF(AND(项目总控台账!E124&lt;&gt;"",项目总控台账!E124&lt;&gt;"/"),项目总控台账!E124,IF(AND(项目总控台账!D124&lt;&gt;"",项目总控台账!D124&lt;&gt;"/"),项目总控台账!D124,项目总控台账!C124))</x:f>
        <x:v>#NAME?</x:v>
      </x:c>
      <x:c r="D125" s="8" t="e">
        <x:f>项目总控台账!H124</x:f>
        <x:v>#NAME?</x:v>
      </x:c>
      <x:c r="E125" s="25" t="e">
        <x:f>项目总控台账!I124</x:f>
        <x:v>#NAME?</x:v>
      </x:c>
      <x:c r="F125" s="25" t="e">
        <x:f>项目总控台账!J124</x:f>
        <x:v>#NAME?</x:v>
      </x:c>
      <x:c r="G125" s="8" t="e">
        <x:f>IF(B125="","",IF(OR(C125="",C125="/"),"缺少任务名称；","")&amp;IF(OR(D125="",D125="/"),"缺少有效主责人；","")&amp;IF(OR(E125="",E125&lt;DATE(2000,1,1)),"缺少有效计划开始；","")&amp;IF(OR(F125="",F125&lt;DATE(2000,1,1)),"缺少有效计划完成；","")&amp;IF(项目总控台账!G124="","缺少总体状态；","")&amp;IF(AND(ISNUMBER(E125),ISNUMBER(F125),E125&gt;=DATE(2000,1,1),F125&gt;=DATE(2000,1,1),E125&gt;F125),"开始晚于完成；","")&amp;IF(AND(项目总控台账!G124="已完成",项目总控台账!AB124&lt;1),"已完成但进度不足100%；",""))</x:f>
        <x:v>#NAME?</x:v>
      </x:c>
      <x:c r="H125" s="8" t="str">
        <x:f t="shared" si="2"/>
        <x:v>通过</x:v>
      </x:c>
      <x:c r="I125" s="8" t="str">
        <x:f t="shared" si="3"/>
        <x:v>无需处理</x:v>
      </x:c>
      <x:c r="J125" s="8">
        <x:v>124</x:v>
      </x:c>
    </x:row>
    <x:row r="126">
      <x:c r="A126" s="8" t="s">
        <x:v>1458</x:v>
      </x:c>
      <x:c r="B126" s="8" t="e">
        <x:f>项目总控台账!A125</x:f>
        <x:v>#NAME?</x:v>
      </x:c>
      <x:c r="C126" s="8" t="e">
        <x:f>IF(AND(项目总控台账!E125&lt;&gt;"",项目总控台账!E125&lt;&gt;"/"),项目总控台账!E125,IF(AND(项目总控台账!D125&lt;&gt;"",项目总控台账!D125&lt;&gt;"/"),项目总控台账!D125,项目总控台账!C125))</x:f>
        <x:v>#NAME?</x:v>
      </x:c>
      <x:c r="D126" s="8" t="e">
        <x:f>项目总控台账!H125</x:f>
        <x:v>#NAME?</x:v>
      </x:c>
      <x:c r="E126" s="25" t="e">
        <x:f>项目总控台账!I125</x:f>
        <x:v>#NAME?</x:v>
      </x:c>
      <x:c r="F126" s="25" t="e">
        <x:f>项目总控台账!J125</x:f>
        <x:v>#NAME?</x:v>
      </x:c>
      <x:c r="G126" s="8" t="e">
        <x:f>IF(B126="","",IF(OR(C126="",C126="/"),"缺少任务名称；","")&amp;IF(OR(D126="",D126="/"),"缺少有效主责人；","")&amp;IF(OR(E126="",E126&lt;DATE(2000,1,1)),"缺少有效计划开始；","")&amp;IF(OR(F126="",F126&lt;DATE(2000,1,1)),"缺少有效计划完成；","")&amp;IF(项目总控台账!G125="","缺少总体状态；","")&amp;IF(AND(ISNUMBER(E126),ISNUMBER(F126),E126&gt;=DATE(2000,1,1),F126&gt;=DATE(2000,1,1),E126&gt;F126),"开始晚于完成；","")&amp;IF(AND(项目总控台账!G125="已完成",项目总控台账!AB125&lt;1),"已完成但进度不足100%；",""))</x:f>
        <x:v>#NAME?</x:v>
      </x:c>
      <x:c r="H126" s="8" t="str">
        <x:f t="shared" si="2"/>
        <x:v>通过</x:v>
      </x:c>
      <x:c r="I126" s="8" t="str">
        <x:f t="shared" si="3"/>
        <x:v>无需处理</x:v>
      </x:c>
      <x:c r="J126" s="8">
        <x:v>125</x:v>
      </x:c>
    </x:row>
    <x:row r="127">
      <x:c r="A127" s="8" t="s">
        <x:v>1458</x:v>
      </x:c>
      <x:c r="B127" s="8" t="e">
        <x:f>项目总控台账!A126</x:f>
        <x:v>#NAME?</x:v>
      </x:c>
      <x:c r="C127" s="8" t="e">
        <x:f>IF(AND(项目总控台账!E126&lt;&gt;"",项目总控台账!E126&lt;&gt;"/"),项目总控台账!E126,IF(AND(项目总控台账!D126&lt;&gt;"",项目总控台账!D126&lt;&gt;"/"),项目总控台账!D126,项目总控台账!C126))</x:f>
        <x:v>#NAME?</x:v>
      </x:c>
      <x:c r="D127" s="8" t="e">
        <x:f>项目总控台账!H126</x:f>
        <x:v>#NAME?</x:v>
      </x:c>
      <x:c r="E127" s="25" t="e">
        <x:f>项目总控台账!I126</x:f>
        <x:v>#NAME?</x:v>
      </x:c>
      <x:c r="F127" s="25" t="e">
        <x:f>项目总控台账!J126</x:f>
        <x:v>#NAME?</x:v>
      </x:c>
      <x:c r="G127" s="8" t="e">
        <x:f>IF(B127="","",IF(OR(C127="",C127="/"),"缺少任务名称；","")&amp;IF(OR(D127="",D127="/"),"缺少有效主责人；","")&amp;IF(OR(E127="",E127&lt;DATE(2000,1,1)),"缺少有效计划开始；","")&amp;IF(OR(F127="",F127&lt;DATE(2000,1,1)),"缺少有效计划完成；","")&amp;IF(项目总控台账!G126="","缺少总体状态；","")&amp;IF(AND(ISNUMBER(E127),ISNUMBER(F127),E127&gt;=DATE(2000,1,1),F127&gt;=DATE(2000,1,1),E127&gt;F127),"开始晚于完成；","")&amp;IF(AND(项目总控台账!G126="已完成",项目总控台账!AB126&lt;1),"已完成但进度不足100%；",""))</x:f>
        <x:v>#NAME?</x:v>
      </x:c>
      <x:c r="H127" s="8" t="str">
        <x:f t="shared" si="2"/>
        <x:v>通过</x:v>
      </x:c>
      <x:c r="I127" s="8" t="str">
        <x:f t="shared" si="3"/>
        <x:v>无需处理</x:v>
      </x:c>
      <x:c r="J127" s="8">
        <x:v>126</x:v>
      </x:c>
    </x:row>
    <x:row r="128">
      <x:c r="A128" s="8" t="s">
        <x:v>1458</x:v>
      </x:c>
      <x:c r="B128" s="8" t="e">
        <x:f>项目总控台账!A127</x:f>
        <x:v>#NAME?</x:v>
      </x:c>
      <x:c r="C128" s="8" t="e">
        <x:f>IF(AND(项目总控台账!E127&lt;&gt;"",项目总控台账!E127&lt;&gt;"/"),项目总控台账!E127,IF(AND(项目总控台账!D127&lt;&gt;"",项目总控台账!D127&lt;&gt;"/"),项目总控台账!D127,项目总控台账!C127))</x:f>
        <x:v>#NAME?</x:v>
      </x:c>
      <x:c r="D128" s="8" t="e">
        <x:f>项目总控台账!H127</x:f>
        <x:v>#NAME?</x:v>
      </x:c>
      <x:c r="E128" s="25" t="e">
        <x:f>项目总控台账!I127</x:f>
        <x:v>#NAME?</x:v>
      </x:c>
      <x:c r="F128" s="25" t="e">
        <x:f>项目总控台账!J127</x:f>
        <x:v>#NAME?</x:v>
      </x:c>
      <x:c r="G128" s="8" t="e">
        <x:f>IF(B128="","",IF(OR(C128="",C128="/"),"缺少任务名称；","")&amp;IF(OR(D128="",D128="/"),"缺少有效主责人；","")&amp;IF(OR(E128="",E128&lt;DATE(2000,1,1)),"缺少有效计划开始；","")&amp;IF(OR(F128="",F128&lt;DATE(2000,1,1)),"缺少有效计划完成；","")&amp;IF(项目总控台账!G127="","缺少总体状态；","")&amp;IF(AND(ISNUMBER(E128),ISNUMBER(F128),E128&gt;=DATE(2000,1,1),F128&gt;=DATE(2000,1,1),E128&gt;F128),"开始晚于完成；","")&amp;IF(AND(项目总控台账!G127="已完成",项目总控台账!AB127&lt;1),"已完成但进度不足100%；",""))</x:f>
        <x:v>#NAME?</x:v>
      </x:c>
      <x:c r="H128" s="8" t="str">
        <x:f t="shared" si="2"/>
        <x:v>通过</x:v>
      </x:c>
      <x:c r="I128" s="8" t="str">
        <x:f t="shared" si="3"/>
        <x:v>无需处理</x:v>
      </x:c>
      <x:c r="J128" s="8">
        <x:v>127</x:v>
      </x:c>
    </x:row>
    <x:row r="129">
      <x:c r="A129" s="8" t="s">
        <x:v>1458</x:v>
      </x:c>
      <x:c r="B129" s="8" t="e">
        <x:f>项目总控台账!A128</x:f>
        <x:v>#NAME?</x:v>
      </x:c>
      <x:c r="C129" s="8" t="e">
        <x:f>IF(AND(项目总控台账!E128&lt;&gt;"",项目总控台账!E128&lt;&gt;"/"),项目总控台账!E128,IF(AND(项目总控台账!D128&lt;&gt;"",项目总控台账!D128&lt;&gt;"/"),项目总控台账!D128,项目总控台账!C128))</x:f>
        <x:v>#NAME?</x:v>
      </x:c>
      <x:c r="D129" s="8" t="e">
        <x:f>项目总控台账!H128</x:f>
        <x:v>#NAME?</x:v>
      </x:c>
      <x:c r="E129" s="25" t="e">
        <x:f>项目总控台账!I128</x:f>
        <x:v>#NAME?</x:v>
      </x:c>
      <x:c r="F129" s="25" t="e">
        <x:f>项目总控台账!J128</x:f>
        <x:v>#NAME?</x:v>
      </x:c>
      <x:c r="G129" s="8" t="e">
        <x:f>IF(B129="","",IF(OR(C129="",C129="/"),"缺少任务名称；","")&amp;IF(OR(D129="",D129="/"),"缺少有效主责人；","")&amp;IF(OR(E129="",E129&lt;DATE(2000,1,1)),"缺少有效计划开始；","")&amp;IF(OR(F129="",F129&lt;DATE(2000,1,1)),"缺少有效计划完成；","")&amp;IF(项目总控台账!G128="","缺少总体状态；","")&amp;IF(AND(ISNUMBER(E129),ISNUMBER(F129),E129&gt;=DATE(2000,1,1),F129&gt;=DATE(2000,1,1),E129&gt;F129),"开始晚于完成；","")&amp;IF(AND(项目总控台账!G128="已完成",项目总控台账!AB128&lt;1),"已完成但进度不足100%；",""))</x:f>
        <x:v>#NAME?</x:v>
      </x:c>
      <x:c r="H129" s="8" t="str">
        <x:f t="shared" si="2"/>
        <x:v>通过</x:v>
      </x:c>
      <x:c r="I129" s="8" t="str">
        <x:f t="shared" si="3"/>
        <x:v>无需处理</x:v>
      </x:c>
      <x:c r="J129" s="8">
        <x:v>128</x:v>
      </x:c>
    </x:row>
    <x:row r="130">
      <x:c r="A130" s="8" t="s">
        <x:v>1458</x:v>
      </x:c>
      <x:c r="B130" s="8" t="e">
        <x:f>项目总控台账!A129</x:f>
        <x:v>#NAME?</x:v>
      </x:c>
      <x:c r="C130" s="8" t="e">
        <x:f>IF(AND(项目总控台账!E129&lt;&gt;"",项目总控台账!E129&lt;&gt;"/"),项目总控台账!E129,IF(AND(项目总控台账!D129&lt;&gt;"",项目总控台账!D129&lt;&gt;"/"),项目总控台账!D129,项目总控台账!C129))</x:f>
        <x:v>#NAME?</x:v>
      </x:c>
      <x:c r="D130" s="8" t="e">
        <x:f>项目总控台账!H129</x:f>
        <x:v>#NAME?</x:v>
      </x:c>
      <x:c r="E130" s="25" t="e">
        <x:f>项目总控台账!I129</x:f>
        <x:v>#NAME?</x:v>
      </x:c>
      <x:c r="F130" s="25" t="e">
        <x:f>项目总控台账!J129</x:f>
        <x:v>#NAME?</x:v>
      </x:c>
      <x:c r="G130" s="8" t="e">
        <x:f>IF(B130="","",IF(OR(C130="",C130="/"),"缺少任务名称；","")&amp;IF(OR(D130="",D130="/"),"缺少有效主责人；","")&amp;IF(OR(E130="",E130&lt;DATE(2000,1,1)),"缺少有效计划开始；","")&amp;IF(OR(F130="",F130&lt;DATE(2000,1,1)),"缺少有效计划完成；","")&amp;IF(项目总控台账!G129="","缺少总体状态；","")&amp;IF(AND(ISNUMBER(E130),ISNUMBER(F130),E130&gt;=DATE(2000,1,1),F130&gt;=DATE(2000,1,1),E130&gt;F130),"开始晚于完成；","")&amp;IF(AND(项目总控台账!G129="已完成",项目总控台账!AB129&lt;1),"已完成但进度不足100%；",""))</x:f>
        <x:v>#NAME?</x:v>
      </x:c>
      <x:c r="H130" s="8" t="str">
        <x:f t="shared" si="2"/>
        <x:v>通过</x:v>
      </x:c>
      <x:c r="I130" s="8" t="str">
        <x:f t="shared" si="3"/>
        <x:v>无需处理</x:v>
      </x:c>
      <x:c r="J130" s="8">
        <x:v>129</x:v>
      </x:c>
    </x:row>
    <x:row r="131">
      <x:c r="A131" s="8" t="s">
        <x:v>1458</x:v>
      </x:c>
      <x:c r="B131" s="8" t="e">
        <x:f>项目总控台账!A130</x:f>
        <x:v>#NAME?</x:v>
      </x:c>
      <x:c r="C131" s="8" t="e">
        <x:f>IF(AND(项目总控台账!E130&lt;&gt;"",项目总控台账!E130&lt;&gt;"/"),项目总控台账!E130,IF(AND(项目总控台账!D130&lt;&gt;"",项目总控台账!D130&lt;&gt;"/"),项目总控台账!D130,项目总控台账!C130))</x:f>
        <x:v>#NAME?</x:v>
      </x:c>
      <x:c r="D131" s="8" t="e">
        <x:f>项目总控台账!H130</x:f>
        <x:v>#NAME?</x:v>
      </x:c>
      <x:c r="E131" s="25" t="e">
        <x:f>项目总控台账!I130</x:f>
        <x:v>#NAME?</x:v>
      </x:c>
      <x:c r="F131" s="25" t="e">
        <x:f>项目总控台账!J130</x:f>
        <x:v>#NAME?</x:v>
      </x:c>
      <x:c r="G131" s="8" t="e">
        <x:f>IF(B131="","",IF(OR(C131="",C131="/"),"缺少任务名称；","")&amp;IF(OR(D131="",D131="/"),"缺少有效主责人；","")&amp;IF(OR(E131="",E131&lt;DATE(2000,1,1)),"缺少有效计划开始；","")&amp;IF(OR(F131="",F131&lt;DATE(2000,1,1)),"缺少有效计划完成；","")&amp;IF(项目总控台账!G130="","缺少总体状态；","")&amp;IF(AND(ISNUMBER(E131),ISNUMBER(F131),E131&gt;=DATE(2000,1,1),F131&gt;=DATE(2000,1,1),E131&gt;F131),"开始晚于完成；","")&amp;IF(AND(项目总控台账!G130="已完成",项目总控台账!AB130&lt;1),"已完成但进度不足100%；",""))</x:f>
        <x:v>#NAME?</x:v>
      </x:c>
      <x:c r="H131" s="8" t="str">
        <x:f t="shared" si="2"/>
        <x:v>通过</x:v>
      </x:c>
      <x:c r="I131" s="8" t="str">
        <x:f t="shared" si="3"/>
        <x:v>无需处理</x:v>
      </x:c>
      <x:c r="J131" s="8">
        <x:v>130</x:v>
      </x:c>
    </x:row>
    <x:row r="132">
      <x:c r="A132" s="8" t="s">
        <x:v>1458</x:v>
      </x:c>
      <x:c r="B132" s="8" t="e">
        <x:f>项目总控台账!A131</x:f>
        <x:v>#NAME?</x:v>
      </x:c>
      <x:c r="C132" s="8" t="e">
        <x:f>IF(AND(项目总控台账!E131&lt;&gt;"",项目总控台账!E131&lt;&gt;"/"),项目总控台账!E131,IF(AND(项目总控台账!D131&lt;&gt;"",项目总控台账!D131&lt;&gt;"/"),项目总控台账!D131,项目总控台账!C131))</x:f>
        <x:v>#NAME?</x:v>
      </x:c>
      <x:c r="D132" s="8" t="e">
        <x:f>项目总控台账!H131</x:f>
        <x:v>#NAME?</x:v>
      </x:c>
      <x:c r="E132" s="25" t="e">
        <x:f>项目总控台账!I131</x:f>
        <x:v>#NAME?</x:v>
      </x:c>
      <x:c r="F132" s="25" t="e">
        <x:f>项目总控台账!J131</x:f>
        <x:v>#NAME?</x:v>
      </x:c>
      <x:c r="G132" s="8" t="e">
        <x:f>IF(B132="","",IF(OR(C132="",C132="/"),"缺少任务名称；","")&amp;IF(OR(D132="",D132="/"),"缺少有效主责人；","")&amp;IF(OR(E132="",E132&lt;DATE(2000,1,1)),"缺少有效计划开始；","")&amp;IF(OR(F132="",F132&lt;DATE(2000,1,1)),"缺少有效计划完成；","")&amp;IF(项目总控台账!G131="","缺少总体状态；","")&amp;IF(AND(ISNUMBER(E132),ISNUMBER(F132),E132&gt;=DATE(2000,1,1),F132&gt;=DATE(2000,1,1),E132&gt;F132),"开始晚于完成；","")&amp;IF(AND(项目总控台账!G131="已完成",项目总控台账!AB131&lt;1),"已完成但进度不足100%；",""))</x:f>
        <x:v>#NAME?</x:v>
      </x:c>
      <x:c r="H132" s="8" t="str">
        <x:f t="shared" si="2"/>
        <x:v>通过</x:v>
      </x:c>
      <x:c r="I132" s="8" t="str">
        <x:f t="shared" si="3"/>
        <x:v>无需处理</x:v>
      </x:c>
      <x:c r="J132" s="8">
        <x:v>131</x:v>
      </x:c>
    </x:row>
    <x:row r="133">
      <x:c r="A133" s="8" t="s">
        <x:v>1458</x:v>
      </x:c>
      <x:c r="B133" s="8" t="e">
        <x:f>项目总控台账!A132</x:f>
        <x:v>#NAME?</x:v>
      </x:c>
      <x:c r="C133" s="8" t="e">
        <x:f>IF(AND(项目总控台账!E132&lt;&gt;"",项目总控台账!E132&lt;&gt;"/"),项目总控台账!E132,IF(AND(项目总控台账!D132&lt;&gt;"",项目总控台账!D132&lt;&gt;"/"),项目总控台账!D132,项目总控台账!C132))</x:f>
        <x:v>#NAME?</x:v>
      </x:c>
      <x:c r="D133" s="8" t="e">
        <x:f>项目总控台账!H132</x:f>
        <x:v>#NAME?</x:v>
      </x:c>
      <x:c r="E133" s="25" t="e">
        <x:f>项目总控台账!I132</x:f>
        <x:v>#NAME?</x:v>
      </x:c>
      <x:c r="F133" s="25" t="e">
        <x:f>项目总控台账!J132</x:f>
        <x:v>#NAME?</x:v>
      </x:c>
      <x:c r="G133" s="8" t="e">
        <x:f>IF(B133="","",IF(OR(C133="",C133="/"),"缺少任务名称；","")&amp;IF(OR(D133="",D133="/"),"缺少有效主责人；","")&amp;IF(OR(E133="",E133&lt;DATE(2000,1,1)),"缺少有效计划开始；","")&amp;IF(OR(F133="",F133&lt;DATE(2000,1,1)),"缺少有效计划完成；","")&amp;IF(项目总控台账!G132="","缺少总体状态；","")&amp;IF(AND(ISNUMBER(E133),ISNUMBER(F133),E133&gt;=DATE(2000,1,1),F133&gt;=DATE(2000,1,1),E133&gt;F133),"开始晚于完成；","")&amp;IF(AND(项目总控台账!G132="已完成",项目总控台账!AB132&lt;1),"已完成但进度不足100%；",""))</x:f>
        <x:v>#NAME?</x:v>
      </x:c>
      <x:c r="H133" s="8" t="e">
        <x:f t="shared" ref="H133:H149" si="4">IF(B133="","",IF(G133="","通过","需整改"))</x:f>
        <x:v>#NAME?</x:v>
      </x:c>
      <x:c r="I133" s="8" t="e">
        <x:f t="shared" ref="I133:I149" si="5">IF(H133="需整改","回到项目总控台账第"&amp;J133&amp;"行补齐或修正","无需处理")</x:f>
        <x:v>#NAME?</x:v>
      </x:c>
      <x:c r="J133" s="8">
        <x:v>132</x:v>
      </x:c>
    </x:row>
    <x:row r="134">
      <x:c r="A134" s="8" t="s">
        <x:v>1458</x:v>
      </x:c>
      <x:c r="B134" s="8" t="e">
        <x:f>项目总控台账!A133</x:f>
        <x:v>#NAME?</x:v>
      </x:c>
      <x:c r="C134" s="8" t="e">
        <x:f>IF(AND(项目总控台账!E133&lt;&gt;"",项目总控台账!E133&lt;&gt;"/"),项目总控台账!E133,IF(AND(项目总控台账!D133&lt;&gt;"",项目总控台账!D133&lt;&gt;"/"),项目总控台账!D133,项目总控台账!C133))</x:f>
        <x:v>#NAME?</x:v>
      </x:c>
      <x:c r="D134" s="8" t="e">
        <x:f>项目总控台账!H133</x:f>
        <x:v>#NAME?</x:v>
      </x:c>
      <x:c r="E134" s="25" t="e">
        <x:f>项目总控台账!I133</x:f>
        <x:v>#NAME?</x:v>
      </x:c>
      <x:c r="F134" s="25" t="e">
        <x:f>项目总控台账!J133</x:f>
        <x:v>#NAME?</x:v>
      </x:c>
      <x:c r="G134" s="8" t="e">
        <x:f>IF(B134="","",IF(OR(C134="",C134="/"),"缺少任务名称；","")&amp;IF(OR(D134="",D134="/"),"缺少有效主责人；","")&amp;IF(OR(E134="",E134&lt;DATE(2000,1,1)),"缺少有效计划开始；","")&amp;IF(OR(F134="",F134&lt;DATE(2000,1,1)),"缺少有效计划完成；","")&amp;IF(项目总控台账!G133="","缺少总体状态；","")&amp;IF(AND(ISNUMBER(E134),ISNUMBER(F134),E134&gt;=DATE(2000,1,1),F134&gt;=DATE(2000,1,1),E134&gt;F134),"开始晚于完成；","")&amp;IF(AND(项目总控台账!G133="已完成",项目总控台账!AB133&lt;1),"已完成但进度不足100%；",""))</x:f>
        <x:v>#NAME?</x:v>
      </x:c>
      <x:c r="H134" s="8" t="str">
        <x:f t="shared" si="4"/>
        <x:v>通过</x:v>
      </x:c>
      <x:c r="I134" s="8" t="str">
        <x:f t="shared" si="5"/>
        <x:v>无需处理</x:v>
      </x:c>
      <x:c r="J134" s="8">
        <x:v>133</x:v>
      </x:c>
    </x:row>
    <x:row r="135">
      <x:c r="A135" s="8" t="s">
        <x:v>1458</x:v>
      </x:c>
      <x:c r="B135" s="8" t="e">
        <x:f>项目总控台账!A134</x:f>
        <x:v>#NAME?</x:v>
      </x:c>
      <x:c r="C135" s="8" t="e">
        <x:f>IF(AND(项目总控台账!E134&lt;&gt;"",项目总控台账!E134&lt;&gt;"/"),项目总控台账!E134,IF(AND(项目总控台账!D134&lt;&gt;"",项目总控台账!D134&lt;&gt;"/"),项目总控台账!D134,项目总控台账!C134))</x:f>
        <x:v>#NAME?</x:v>
      </x:c>
      <x:c r="D135" s="8" t="e">
        <x:f>项目总控台账!H134</x:f>
        <x:v>#NAME?</x:v>
      </x:c>
      <x:c r="E135" s="25" t="e">
        <x:f>项目总控台账!I134</x:f>
        <x:v>#NAME?</x:v>
      </x:c>
      <x:c r="F135" s="25" t="e">
        <x:f>项目总控台账!J134</x:f>
        <x:v>#NAME?</x:v>
      </x:c>
      <x:c r="G135" s="8" t="e">
        <x:f>IF(B135="","",IF(OR(C135="",C135="/"),"缺少任务名称；","")&amp;IF(OR(D135="",D135="/"),"缺少有效主责人；","")&amp;IF(OR(E135="",E135&lt;DATE(2000,1,1)),"缺少有效计划开始；","")&amp;IF(OR(F135="",F135&lt;DATE(2000,1,1)),"缺少有效计划完成；","")&amp;IF(项目总控台账!G134="","缺少总体状态；","")&amp;IF(AND(ISNUMBER(E135),ISNUMBER(F135),E135&gt;=DATE(2000,1,1),F135&gt;=DATE(2000,1,1),E135&gt;F135),"开始晚于完成；","")&amp;IF(AND(项目总控台账!G134="已完成",项目总控台账!AB134&lt;1),"已完成但进度不足100%；",""))</x:f>
        <x:v>#NAME?</x:v>
      </x:c>
      <x:c r="H135" s="8" t="str">
        <x:f t="shared" si="4"/>
        <x:v>通过</x:v>
      </x:c>
      <x:c r="I135" s="8" t="str">
        <x:f t="shared" si="5"/>
        <x:v>无需处理</x:v>
      </x:c>
      <x:c r="J135" s="8">
        <x:v>134</x:v>
      </x:c>
    </x:row>
    <x:row r="136">
      <x:c r="A136" s="8" t="s">
        <x:v>1458</x:v>
      </x:c>
      <x:c r="B136" s="8" t="e">
        <x:f>项目总控台账!A135</x:f>
        <x:v>#NAME?</x:v>
      </x:c>
      <x:c r="C136" s="8" t="e">
        <x:f>IF(AND(项目总控台账!E135&lt;&gt;"",项目总控台账!E135&lt;&gt;"/"),项目总控台账!E135,IF(AND(项目总控台账!D135&lt;&gt;"",项目总控台账!D135&lt;&gt;"/"),项目总控台账!D135,项目总控台账!C135))</x:f>
        <x:v>#NAME?</x:v>
      </x:c>
      <x:c r="D136" s="8" t="e">
        <x:f>项目总控台账!H135</x:f>
        <x:v>#NAME?</x:v>
      </x:c>
      <x:c r="E136" s="25" t="e">
        <x:f>项目总控台账!I135</x:f>
        <x:v>#NAME?</x:v>
      </x:c>
      <x:c r="F136" s="25" t="e">
        <x:f>项目总控台账!J135</x:f>
        <x:v>#NAME?</x:v>
      </x:c>
      <x:c r="G136" s="8" t="e">
        <x:f>IF(B136="","",IF(OR(C136="",C136="/"),"缺少任务名称；","")&amp;IF(OR(D136="",D136="/"),"缺少有效主责人；","")&amp;IF(OR(E136="",E136&lt;DATE(2000,1,1)),"缺少有效计划开始；","")&amp;IF(OR(F136="",F136&lt;DATE(2000,1,1)),"缺少有效计划完成；","")&amp;IF(项目总控台账!G135="","缺少总体状态；","")&amp;IF(AND(ISNUMBER(E136),ISNUMBER(F136),E136&gt;=DATE(2000,1,1),F136&gt;=DATE(2000,1,1),E136&gt;F136),"开始晚于完成；","")&amp;IF(AND(项目总控台账!G135="已完成",项目总控台账!AB135&lt;1),"已完成但进度不足100%；",""))</x:f>
        <x:v>#NAME?</x:v>
      </x:c>
      <x:c r="H136" s="8" t="str">
        <x:f t="shared" si="4"/>
        <x:v>通过</x:v>
      </x:c>
      <x:c r="I136" s="8" t="str">
        <x:f t="shared" si="5"/>
        <x:v>无需处理</x:v>
      </x:c>
      <x:c r="J136" s="8">
        <x:v>135</x:v>
      </x:c>
    </x:row>
    <x:row r="137">
      <x:c r="A137" s="8" t="s">
        <x:v>1458</x:v>
      </x:c>
      <x:c r="B137" s="8" t="e">
        <x:f>项目总控台账!A136</x:f>
        <x:v>#NAME?</x:v>
      </x:c>
      <x:c r="C137" s="8" t="e">
        <x:f>IF(AND(项目总控台账!E136&lt;&gt;"",项目总控台账!E136&lt;&gt;"/"),项目总控台账!E136,IF(AND(项目总控台账!D136&lt;&gt;"",项目总控台账!D136&lt;&gt;"/"),项目总控台账!D136,项目总控台账!C136))</x:f>
        <x:v>#NAME?</x:v>
      </x:c>
      <x:c r="D137" s="8" t="e">
        <x:f>项目总控台账!H136</x:f>
        <x:v>#NAME?</x:v>
      </x:c>
      <x:c r="E137" s="25" t="e">
        <x:f>项目总控台账!I136</x:f>
        <x:v>#NAME?</x:v>
      </x:c>
      <x:c r="F137" s="25" t="e">
        <x:f>项目总控台账!J136</x:f>
        <x:v>#NAME?</x:v>
      </x:c>
      <x:c r="G137" s="8" t="e">
        <x:f>IF(B137="","",IF(OR(C137="",C137="/"),"缺少任务名称；","")&amp;IF(OR(D137="",D137="/"),"缺少有效主责人；","")&amp;IF(OR(E137="",E137&lt;DATE(2000,1,1)),"缺少有效计划开始；","")&amp;IF(OR(F137="",F137&lt;DATE(2000,1,1)),"缺少有效计划完成；","")&amp;IF(项目总控台账!G136="","缺少总体状态；","")&amp;IF(AND(ISNUMBER(E137),ISNUMBER(F137),E137&gt;=DATE(2000,1,1),F137&gt;=DATE(2000,1,1),E137&gt;F137),"开始晚于完成；","")&amp;IF(AND(项目总控台账!G136="已完成",项目总控台账!AB136&lt;1),"已完成但进度不足100%；",""))</x:f>
        <x:v>#NAME?</x:v>
      </x:c>
      <x:c r="H137" s="8" t="str">
        <x:f t="shared" si="4"/>
        <x:v>通过</x:v>
      </x:c>
      <x:c r="I137" s="8" t="str">
        <x:f t="shared" si="5"/>
        <x:v>无需处理</x:v>
      </x:c>
      <x:c r="J137" s="8">
        <x:v>136</x:v>
      </x:c>
    </x:row>
    <x:row r="138">
      <x:c r="A138" s="8" t="s">
        <x:v>1458</x:v>
      </x:c>
      <x:c r="B138" s="8" t="e">
        <x:f>项目总控台账!A137</x:f>
        <x:v>#NAME?</x:v>
      </x:c>
      <x:c r="C138" s="8" t="e">
        <x:f>IF(AND(项目总控台账!E137&lt;&gt;"",项目总控台账!E137&lt;&gt;"/"),项目总控台账!E137,IF(AND(项目总控台账!D137&lt;&gt;"",项目总控台账!D137&lt;&gt;"/"),项目总控台账!D137,项目总控台账!C137))</x:f>
        <x:v>#NAME?</x:v>
      </x:c>
      <x:c r="D138" s="8" t="e">
        <x:f>项目总控台账!H137</x:f>
        <x:v>#NAME?</x:v>
      </x:c>
      <x:c r="E138" s="25" t="e">
        <x:f>项目总控台账!I137</x:f>
        <x:v>#NAME?</x:v>
      </x:c>
      <x:c r="F138" s="25" t="e">
        <x:f>项目总控台账!J137</x:f>
        <x:v>#NAME?</x:v>
      </x:c>
      <x:c r="G138" s="8" t="e">
        <x:f>IF(B138="","",IF(OR(C138="",C138="/"),"缺少任务名称；","")&amp;IF(OR(D138="",D138="/"),"缺少有效主责人；","")&amp;IF(OR(E138="",E138&lt;DATE(2000,1,1)),"缺少有效计划开始；","")&amp;IF(OR(F138="",F138&lt;DATE(2000,1,1)),"缺少有效计划完成；","")&amp;IF(项目总控台账!G137="","缺少总体状态；","")&amp;IF(AND(ISNUMBER(E138),ISNUMBER(F138),E138&gt;=DATE(2000,1,1),F138&gt;=DATE(2000,1,1),E138&gt;F138),"开始晚于完成；","")&amp;IF(AND(项目总控台账!G137="已完成",项目总控台账!AB137&lt;1),"已完成但进度不足100%；",""))</x:f>
        <x:v>#NAME?</x:v>
      </x:c>
      <x:c r="H138" s="8" t="str">
        <x:f t="shared" si="4"/>
        <x:v>通过</x:v>
      </x:c>
      <x:c r="I138" s="8" t="str">
        <x:f t="shared" si="5"/>
        <x:v>无需处理</x:v>
      </x:c>
      <x:c r="J138" s="8">
        <x:v>137</x:v>
      </x:c>
    </x:row>
    <x:row r="139">
      <x:c r="A139" s="8" t="s">
        <x:v>1458</x:v>
      </x:c>
      <x:c r="B139" s="8" t="e">
        <x:f>项目总控台账!A138</x:f>
        <x:v>#NAME?</x:v>
      </x:c>
      <x:c r="C139" s="8" t="e">
        <x:f>IF(AND(项目总控台账!E138&lt;&gt;"",项目总控台账!E138&lt;&gt;"/"),项目总控台账!E138,IF(AND(项目总控台账!D138&lt;&gt;"",项目总控台账!D138&lt;&gt;"/"),项目总控台账!D138,项目总控台账!C138))</x:f>
        <x:v>#NAME?</x:v>
      </x:c>
      <x:c r="D139" s="8" t="e">
        <x:f>项目总控台账!H138</x:f>
        <x:v>#NAME?</x:v>
      </x:c>
      <x:c r="E139" s="25" t="e">
        <x:f>项目总控台账!I138</x:f>
        <x:v>#NAME?</x:v>
      </x:c>
      <x:c r="F139" s="25" t="e">
        <x:f>项目总控台账!J138</x:f>
        <x:v>#NAME?</x:v>
      </x:c>
      <x:c r="G139" s="8" t="e">
        <x:f>IF(B139="","",IF(OR(C139="",C139="/"),"缺少任务名称；","")&amp;IF(OR(D139="",D139="/"),"缺少有效主责人；","")&amp;IF(OR(E139="",E139&lt;DATE(2000,1,1)),"缺少有效计划开始；","")&amp;IF(OR(F139="",F139&lt;DATE(2000,1,1)),"缺少有效计划完成；","")&amp;IF(项目总控台账!G138="","缺少总体状态；","")&amp;IF(AND(ISNUMBER(E139),ISNUMBER(F139),E139&gt;=DATE(2000,1,1),F139&gt;=DATE(2000,1,1),E139&gt;F139),"开始晚于完成；","")&amp;IF(AND(项目总控台账!G138="已完成",项目总控台账!AB138&lt;1),"已完成但进度不足100%；",""))</x:f>
        <x:v>#NAME?</x:v>
      </x:c>
      <x:c r="H139" s="8" t="str">
        <x:f t="shared" si="4"/>
        <x:v>通过</x:v>
      </x:c>
      <x:c r="I139" s="8" t="str">
        <x:f t="shared" si="5"/>
        <x:v>无需处理</x:v>
      </x:c>
      <x:c r="J139" s="8">
        <x:v>138</x:v>
      </x:c>
    </x:row>
    <x:row r="140">
      <x:c r="A140" s="8" t="s">
        <x:v>1458</x:v>
      </x:c>
      <x:c r="B140" s="8" t="e">
        <x:f>项目总控台账!A139</x:f>
        <x:v>#NAME?</x:v>
      </x:c>
      <x:c r="C140" s="8" t="e">
        <x:f>IF(AND(项目总控台账!E139&lt;&gt;"",项目总控台账!E139&lt;&gt;"/"),项目总控台账!E139,IF(AND(项目总控台账!D139&lt;&gt;"",项目总控台账!D139&lt;&gt;"/"),项目总控台账!D139,项目总控台账!C139))</x:f>
        <x:v>#NAME?</x:v>
      </x:c>
      <x:c r="D140" s="8" t="e">
        <x:f>项目总控台账!H139</x:f>
        <x:v>#NAME?</x:v>
      </x:c>
      <x:c r="E140" s="25" t="e">
        <x:f>项目总控台账!I139</x:f>
        <x:v>#NAME?</x:v>
      </x:c>
      <x:c r="F140" s="25" t="e">
        <x:f>项目总控台账!J139</x:f>
        <x:v>#NAME?</x:v>
      </x:c>
      <x:c r="G140" s="8" t="e">
        <x:f>IF(B140="","",IF(OR(C140="",C140="/"),"缺少任务名称；","")&amp;IF(OR(D140="",D140="/"),"缺少有效主责人；","")&amp;IF(OR(E140="",E140&lt;DATE(2000,1,1)),"缺少有效计划开始；","")&amp;IF(OR(F140="",F140&lt;DATE(2000,1,1)),"缺少有效计划完成；","")&amp;IF(项目总控台账!G139="","缺少总体状态；","")&amp;IF(AND(ISNUMBER(E140),ISNUMBER(F140),E140&gt;=DATE(2000,1,1),F140&gt;=DATE(2000,1,1),E140&gt;F140),"开始晚于完成；","")&amp;IF(AND(项目总控台账!G139="已完成",项目总控台账!AB139&lt;1),"已完成但进度不足100%；",""))</x:f>
        <x:v>#NAME?</x:v>
      </x:c>
      <x:c r="H140" s="8" t="str">
        <x:f t="shared" si="4"/>
        <x:v>通过</x:v>
      </x:c>
      <x:c r="I140" s="8" t="str">
        <x:f t="shared" si="5"/>
        <x:v>无需处理</x:v>
      </x:c>
      <x:c r="J140" s="8">
        <x:v>139</x:v>
      </x:c>
    </x:row>
    <x:row r="141">
      <x:c r="A141" s="8" t="s">
        <x:v>1458</x:v>
      </x:c>
      <x:c r="B141" s="8" t="e">
        <x:f>项目总控台账!A140</x:f>
        <x:v>#NAME?</x:v>
      </x:c>
      <x:c r="C141" s="8" t="e">
        <x:f>IF(AND(项目总控台账!E140&lt;&gt;"",项目总控台账!E140&lt;&gt;"/"),项目总控台账!E140,IF(AND(项目总控台账!D140&lt;&gt;"",项目总控台账!D140&lt;&gt;"/"),项目总控台账!D140,项目总控台账!C140))</x:f>
        <x:v>#NAME?</x:v>
      </x:c>
      <x:c r="D141" s="8" t="e">
        <x:f>项目总控台账!H140</x:f>
        <x:v>#NAME?</x:v>
      </x:c>
      <x:c r="E141" s="25" t="e">
        <x:f>项目总控台账!I140</x:f>
        <x:v>#NAME?</x:v>
      </x:c>
      <x:c r="F141" s="25" t="e">
        <x:f>项目总控台账!J140</x:f>
        <x:v>#NAME?</x:v>
      </x:c>
      <x:c r="G141" s="8" t="e">
        <x:f>IF(B141="","",IF(OR(C141="",C141="/"),"缺少任务名称；","")&amp;IF(OR(D141="",D141="/"),"缺少有效主责人；","")&amp;IF(OR(E141="",E141&lt;DATE(2000,1,1)),"缺少有效计划开始；","")&amp;IF(OR(F141="",F141&lt;DATE(2000,1,1)),"缺少有效计划完成；","")&amp;IF(项目总控台账!G140="","缺少总体状态；","")&amp;IF(AND(ISNUMBER(E141),ISNUMBER(F141),E141&gt;=DATE(2000,1,1),F141&gt;=DATE(2000,1,1),E141&gt;F141),"开始晚于完成；","")&amp;IF(AND(项目总控台账!G140="已完成",项目总控台账!AB140&lt;1),"已完成但进度不足100%；",""))</x:f>
        <x:v>#NAME?</x:v>
      </x:c>
      <x:c r="H141" s="8" t="str">
        <x:f t="shared" si="4"/>
        <x:v>通过</x:v>
      </x:c>
      <x:c r="I141" s="8" t="str">
        <x:f t="shared" si="5"/>
        <x:v>无需处理</x:v>
      </x:c>
      <x:c r="J141" s="8">
        <x:v>140</x:v>
      </x:c>
    </x:row>
    <x:row r="142">
      <x:c r="A142" s="8" t="s">
        <x:v>1458</x:v>
      </x:c>
      <x:c r="B142" s="8" t="e">
        <x:f>项目总控台账!A141</x:f>
        <x:v>#NAME?</x:v>
      </x:c>
      <x:c r="C142" s="8" t="e">
        <x:f>IF(AND(项目总控台账!E141&lt;&gt;"",项目总控台账!E141&lt;&gt;"/"),项目总控台账!E141,IF(AND(项目总控台账!D141&lt;&gt;"",项目总控台账!D141&lt;&gt;"/"),项目总控台账!D141,项目总控台账!C141))</x:f>
        <x:v>#NAME?</x:v>
      </x:c>
      <x:c r="D142" s="8" t="e">
        <x:f>项目总控台账!H141</x:f>
        <x:v>#NAME?</x:v>
      </x:c>
      <x:c r="E142" s="25" t="e">
        <x:f>项目总控台账!I141</x:f>
        <x:v>#NAME?</x:v>
      </x:c>
      <x:c r="F142" s="25" t="e">
        <x:f>项目总控台账!J141</x:f>
        <x:v>#NAME?</x:v>
      </x:c>
      <x:c r="G142" s="8" t="e">
        <x:f>IF(B142="","",IF(OR(C142="",C142="/"),"缺少任务名称；","")&amp;IF(OR(D142="",D142="/"),"缺少有效主责人；","")&amp;IF(OR(E142="",E142&lt;DATE(2000,1,1)),"缺少有效计划开始；","")&amp;IF(OR(F142="",F142&lt;DATE(2000,1,1)),"缺少有效计划完成；","")&amp;IF(项目总控台账!G141="","缺少总体状态；","")&amp;IF(AND(ISNUMBER(E142),ISNUMBER(F142),E142&gt;=DATE(2000,1,1),F142&gt;=DATE(2000,1,1),E142&gt;F142),"开始晚于完成；","")&amp;IF(AND(项目总控台账!G141="已完成",项目总控台账!AB141&lt;1),"已完成但进度不足100%；",""))</x:f>
        <x:v>#NAME?</x:v>
      </x:c>
      <x:c r="H142" s="8" t="str">
        <x:f t="shared" si="4"/>
        <x:v>通过</x:v>
      </x:c>
      <x:c r="I142" s="8" t="str">
        <x:f t="shared" si="5"/>
        <x:v>无需处理</x:v>
      </x:c>
      <x:c r="J142" s="8">
        <x:v>141</x:v>
      </x:c>
    </x:row>
    <x:row r="143">
      <x:c r="A143" s="8" t="s">
        <x:v>1458</x:v>
      </x:c>
      <x:c r="B143" s="8" t="e">
        <x:f>项目总控台账!A142</x:f>
        <x:v>#NAME?</x:v>
      </x:c>
      <x:c r="C143" s="8" t="e">
        <x:f>IF(AND(项目总控台账!E142&lt;&gt;"",项目总控台账!E142&lt;&gt;"/"),项目总控台账!E142,IF(AND(项目总控台账!D142&lt;&gt;"",项目总控台账!D142&lt;&gt;"/"),项目总控台账!D142,项目总控台账!C142))</x:f>
        <x:v>#NAME?</x:v>
      </x:c>
      <x:c r="D143" s="8" t="e">
        <x:f>项目总控台账!H142</x:f>
        <x:v>#NAME?</x:v>
      </x:c>
      <x:c r="E143" s="25" t="e">
        <x:f>项目总控台账!I142</x:f>
        <x:v>#NAME?</x:v>
      </x:c>
      <x:c r="F143" s="25" t="e">
        <x:f>项目总控台账!J142</x:f>
        <x:v>#NAME?</x:v>
      </x:c>
      <x:c r="G143" s="8" t="e">
        <x:f>IF(B143="","",IF(OR(C143="",C143="/"),"缺少任务名称；","")&amp;IF(OR(D143="",D143="/"),"缺少有效主责人；","")&amp;IF(OR(E143="",E143&lt;DATE(2000,1,1)),"缺少有效计划开始；","")&amp;IF(OR(F143="",F143&lt;DATE(2000,1,1)),"缺少有效计划完成；","")&amp;IF(项目总控台账!G142="","缺少总体状态；","")&amp;IF(AND(ISNUMBER(E143),ISNUMBER(F143),E143&gt;=DATE(2000,1,1),F143&gt;=DATE(2000,1,1),E143&gt;F143),"开始晚于完成；","")&amp;IF(AND(项目总控台账!G142="已完成",项目总控台账!AB142&lt;1),"已完成但进度不足100%；",""))</x:f>
        <x:v>#NAME?</x:v>
      </x:c>
      <x:c r="H143" s="8" t="str">
        <x:f t="shared" si="4"/>
        <x:v>通过</x:v>
      </x:c>
      <x:c r="I143" s="8" t="str">
        <x:f t="shared" si="5"/>
        <x:v>无需处理</x:v>
      </x:c>
      <x:c r="J143" s="8">
        <x:v>142</x:v>
      </x:c>
    </x:row>
    <x:row r="144">
      <x:c r="A144" s="8" t="s">
        <x:v>1458</x:v>
      </x:c>
      <x:c r="B144" s="8" t="e">
        <x:f>项目总控台账!A143</x:f>
        <x:v>#NAME?</x:v>
      </x:c>
      <x:c r="C144" s="8" t="e">
        <x:f>IF(AND(项目总控台账!E143&lt;&gt;"",项目总控台账!E143&lt;&gt;"/"),项目总控台账!E143,IF(AND(项目总控台账!D143&lt;&gt;"",项目总控台账!D143&lt;&gt;"/"),项目总控台账!D143,项目总控台账!C143))</x:f>
        <x:v>#NAME?</x:v>
      </x:c>
      <x:c r="D144" s="8" t="e">
        <x:f>项目总控台账!H143</x:f>
        <x:v>#NAME?</x:v>
      </x:c>
      <x:c r="E144" s="25" t="e">
        <x:f>项目总控台账!I143</x:f>
        <x:v>#NAME?</x:v>
      </x:c>
      <x:c r="F144" s="25" t="e">
        <x:f>项目总控台账!J143</x:f>
        <x:v>#NAME?</x:v>
      </x:c>
      <x:c r="G144" s="8" t="e">
        <x:f>IF(B144="","",IF(OR(C144="",C144="/"),"缺少任务名称；","")&amp;IF(OR(D144="",D144="/"),"缺少有效主责人；","")&amp;IF(OR(E144="",E144&lt;DATE(2000,1,1)),"缺少有效计划开始；","")&amp;IF(OR(F144="",F144&lt;DATE(2000,1,1)),"缺少有效计划完成；","")&amp;IF(项目总控台账!G143="","缺少总体状态；","")&amp;IF(AND(ISNUMBER(E144),ISNUMBER(F144),E144&gt;=DATE(2000,1,1),F144&gt;=DATE(2000,1,1),E144&gt;F144),"开始晚于完成；","")&amp;IF(AND(项目总控台账!G143="已完成",项目总控台账!AB143&lt;1),"已完成但进度不足100%；",""))</x:f>
        <x:v>#NAME?</x:v>
      </x:c>
      <x:c r="H144" s="8" t="str">
        <x:f t="shared" si="4"/>
        <x:v>通过</x:v>
      </x:c>
      <x:c r="I144" s="8" t="str">
        <x:f t="shared" si="5"/>
        <x:v>无需处理</x:v>
      </x:c>
      <x:c r="J144" s="8">
        <x:v>143</x:v>
      </x:c>
    </x:row>
    <x:row r="145">
      <x:c r="A145" s="8" t="s">
        <x:v>1458</x:v>
      </x:c>
      <x:c r="B145" s="8" t="e">
        <x:f>项目总控台账!A144</x:f>
        <x:v>#NAME?</x:v>
      </x:c>
      <x:c r="C145" s="8" t="e">
        <x:f>IF(AND(项目总控台账!E144&lt;&gt;"",项目总控台账!E144&lt;&gt;"/"),项目总控台账!E144,IF(AND(项目总控台账!D144&lt;&gt;"",项目总控台账!D144&lt;&gt;"/"),项目总控台账!D144,项目总控台账!C144))</x:f>
        <x:v>#NAME?</x:v>
      </x:c>
      <x:c r="D145" s="8" t="e">
        <x:f>项目总控台账!H144</x:f>
        <x:v>#NAME?</x:v>
      </x:c>
      <x:c r="E145" s="25" t="e">
        <x:f>项目总控台账!I144</x:f>
        <x:v>#NAME?</x:v>
      </x:c>
      <x:c r="F145" s="25" t="e">
        <x:f>项目总控台账!J144</x:f>
        <x:v>#NAME?</x:v>
      </x:c>
      <x:c r="G145" s="8" t="e">
        <x:f>IF(B145="","",IF(OR(C145="",C145="/"),"缺少任务名称；","")&amp;IF(OR(D145="",D145="/"),"缺少有效主责人；","")&amp;IF(OR(E145="",E145&lt;DATE(2000,1,1)),"缺少有效计划开始；","")&amp;IF(OR(F145="",F145&lt;DATE(2000,1,1)),"缺少有效计划完成；","")&amp;IF(项目总控台账!G144="","缺少总体状态；","")&amp;IF(AND(ISNUMBER(E145),ISNUMBER(F145),E145&gt;=DATE(2000,1,1),F145&gt;=DATE(2000,1,1),E145&gt;F145),"开始晚于完成；","")&amp;IF(AND(项目总控台账!G144="已完成",项目总控台账!AB144&lt;1),"已完成但进度不足100%；",""))</x:f>
        <x:v>#NAME?</x:v>
      </x:c>
      <x:c r="H145" s="8" t="str">
        <x:f t="shared" si="4"/>
        <x:v>通过</x:v>
      </x:c>
      <x:c r="I145" s="8" t="str">
        <x:f t="shared" si="5"/>
        <x:v>无需处理</x:v>
      </x:c>
      <x:c r="J145" s="8">
        <x:v>144</x:v>
      </x:c>
    </x:row>
    <x:row r="146">
      <x:c r="A146" s="8" t="s">
        <x:v>1458</x:v>
      </x:c>
      <x:c r="B146" s="8" t="e">
        <x:f>项目总控台账!A145</x:f>
        <x:v>#NAME?</x:v>
      </x:c>
      <x:c r="C146" s="8" t="e">
        <x:f>IF(AND(项目总控台账!E145&lt;&gt;"",项目总控台账!E145&lt;&gt;"/"),项目总控台账!E145,IF(AND(项目总控台账!D145&lt;&gt;"",项目总控台账!D145&lt;&gt;"/"),项目总控台账!D145,项目总控台账!C145))</x:f>
        <x:v>#NAME?</x:v>
      </x:c>
      <x:c r="D146" s="8" t="e">
        <x:f>项目总控台账!H145</x:f>
        <x:v>#NAME?</x:v>
      </x:c>
      <x:c r="E146" s="25" t="e">
        <x:f>项目总控台账!I145</x:f>
        <x:v>#NAME?</x:v>
      </x:c>
      <x:c r="F146" s="25" t="e">
        <x:f>项目总控台账!J145</x:f>
        <x:v>#NAME?</x:v>
      </x:c>
      <x:c r="G146" s="8" t="e">
        <x:f>IF(B146="","",IF(OR(C146="",C146="/"),"缺少任务名称；","")&amp;IF(OR(D146="",D146="/"),"缺少有效主责人；","")&amp;IF(OR(E146="",E146&lt;DATE(2000,1,1)),"缺少有效计划开始；","")&amp;IF(OR(F146="",F146&lt;DATE(2000,1,1)),"缺少有效计划完成；","")&amp;IF(项目总控台账!G145="","缺少总体状态；","")&amp;IF(AND(ISNUMBER(E146),ISNUMBER(F146),E146&gt;=DATE(2000,1,1),F146&gt;=DATE(2000,1,1),E146&gt;F146),"开始晚于完成；","")&amp;IF(AND(项目总控台账!G145="已完成",项目总控台账!AB145&lt;1),"已完成但进度不足100%；",""))</x:f>
        <x:v>#NAME?</x:v>
      </x:c>
      <x:c r="H146" s="8" t="str">
        <x:f t="shared" si="4"/>
        <x:v>通过</x:v>
      </x:c>
      <x:c r="I146" s="8" t="str">
        <x:f t="shared" si="5"/>
        <x:v>无需处理</x:v>
      </x:c>
      <x:c r="J146" s="8">
        <x:v>145</x:v>
      </x:c>
    </x:row>
    <x:row r="147">
      <x:c r="A147" s="8" t="s">
        <x:v>1458</x:v>
      </x:c>
      <x:c r="B147" s="8" t="e">
        <x:f>项目总控台账!A146</x:f>
        <x:v>#NAME?</x:v>
      </x:c>
      <x:c r="C147" s="8" t="e">
        <x:f>IF(AND(项目总控台账!E146&lt;&gt;"",项目总控台账!E146&lt;&gt;"/"),项目总控台账!E146,IF(AND(项目总控台账!D146&lt;&gt;"",项目总控台账!D146&lt;&gt;"/"),项目总控台账!D146,项目总控台账!C146))</x:f>
        <x:v>#NAME?</x:v>
      </x:c>
      <x:c r="D147" s="8" t="e">
        <x:f>项目总控台账!H146</x:f>
        <x:v>#NAME?</x:v>
      </x:c>
      <x:c r="E147" s="25" t="e">
        <x:f>项目总控台账!I146</x:f>
        <x:v>#NAME?</x:v>
      </x:c>
      <x:c r="F147" s="25" t="e">
        <x:f>项目总控台账!J146</x:f>
        <x:v>#NAME?</x:v>
      </x:c>
      <x:c r="G147" s="8" t="e">
        <x:f>IF(B147="","",IF(OR(C147="",C147="/"),"缺少任务名称；","")&amp;IF(OR(D147="",D147="/"),"缺少有效主责人；","")&amp;IF(OR(E147="",E147&lt;DATE(2000,1,1)),"缺少有效计划开始；","")&amp;IF(OR(F147="",F147&lt;DATE(2000,1,1)),"缺少有效计划完成；","")&amp;IF(项目总控台账!G146="","缺少总体状态；","")&amp;IF(AND(ISNUMBER(E147),ISNUMBER(F147),E147&gt;=DATE(2000,1,1),F147&gt;=DATE(2000,1,1),E147&gt;F147),"开始晚于完成；","")&amp;IF(AND(项目总控台账!G146="已完成",项目总控台账!AB146&lt;1),"已完成但进度不足100%；",""))</x:f>
        <x:v>#NAME?</x:v>
      </x:c>
      <x:c r="H147" s="8" t="str">
        <x:f t="shared" si="4"/>
        <x:v>通过</x:v>
      </x:c>
      <x:c r="I147" s="8" t="str">
        <x:f t="shared" si="5"/>
        <x:v>无需处理</x:v>
      </x:c>
      <x:c r="J147" s="8">
        <x:v>146</x:v>
      </x:c>
    </x:row>
    <x:row r="148">
      <x:c r="A148" s="8" t="s">
        <x:v>1458</x:v>
      </x:c>
      <x:c r="B148" s="8" t="e">
        <x:f>项目总控台账!A147</x:f>
        <x:v>#NAME?</x:v>
      </x:c>
      <x:c r="C148" s="8" t="e">
        <x:f>IF(AND(项目总控台账!E147&lt;&gt;"",项目总控台账!E147&lt;&gt;"/"),项目总控台账!E147,IF(AND(项目总控台账!D147&lt;&gt;"",项目总控台账!D147&lt;&gt;"/"),项目总控台账!D147,项目总控台账!C147))</x:f>
        <x:v>#NAME?</x:v>
      </x:c>
      <x:c r="D148" s="8" t="e">
        <x:f>项目总控台账!H147</x:f>
        <x:v>#NAME?</x:v>
      </x:c>
      <x:c r="E148" s="25" t="e">
        <x:f>项目总控台账!I147</x:f>
        <x:v>#NAME?</x:v>
      </x:c>
      <x:c r="F148" s="25" t="e">
        <x:f>项目总控台账!J147</x:f>
        <x:v>#NAME?</x:v>
      </x:c>
      <x:c r="G148" s="8" t="e">
        <x:f>IF(B148="","",IF(OR(C148="",C148="/"),"缺少任务名称；","")&amp;IF(OR(D148="",D148="/"),"缺少有效主责人；","")&amp;IF(OR(E148="",E148&lt;DATE(2000,1,1)),"缺少有效计划开始；","")&amp;IF(OR(F148="",F148&lt;DATE(2000,1,1)),"缺少有效计划完成；","")&amp;IF(项目总控台账!G147="","缺少总体状态；","")&amp;IF(AND(ISNUMBER(E148),ISNUMBER(F148),E148&gt;=DATE(2000,1,1),F148&gt;=DATE(2000,1,1),E148&gt;F148),"开始晚于完成；","")&amp;IF(AND(项目总控台账!G147="已完成",项目总控台账!AB147&lt;1),"已完成但进度不足100%；",""))</x:f>
        <x:v>#NAME?</x:v>
      </x:c>
      <x:c r="H148" s="8" t="str">
        <x:f t="shared" si="4"/>
        <x:v>通过</x:v>
      </x:c>
      <x:c r="I148" s="8" t="str">
        <x:f t="shared" si="5"/>
        <x:v>无需处理</x:v>
      </x:c>
      <x:c r="J148" s="8">
        <x:v>147</x:v>
      </x:c>
    </x:row>
    <x:row r="149">
      <x:c r="A149" s="8" t="s">
        <x:v>1458</x:v>
      </x:c>
      <x:c r="B149" s="8" t="e">
        <x:f>项目总控台账!A148</x:f>
        <x:v>#NAME?</x:v>
      </x:c>
      <x:c r="C149" s="8" t="e">
        <x:f>IF(AND(项目总控台账!E148&lt;&gt;"",项目总控台账!E148&lt;&gt;"/"),项目总控台账!E148,IF(AND(项目总控台账!D148&lt;&gt;"",项目总控台账!D148&lt;&gt;"/"),项目总控台账!D148,项目总控台账!C148))</x:f>
        <x:v>#NAME?</x:v>
      </x:c>
      <x:c r="D149" s="8" t="e">
        <x:f>项目总控台账!H148</x:f>
        <x:v>#NAME?</x:v>
      </x:c>
      <x:c r="E149" s="25" t="e">
        <x:f>项目总控台账!I148</x:f>
        <x:v>#NAME?</x:v>
      </x:c>
      <x:c r="F149" s="25" t="e">
        <x:f>项目总控台账!J148</x:f>
        <x:v>#NAME?</x:v>
      </x:c>
      <x:c r="G149" s="8" t="e">
        <x:f>IF(B149="","",IF(OR(C149="",C149="/"),"缺少任务名称；","")&amp;IF(OR(D149="",D149="/"),"缺少有效主责人；","")&amp;IF(OR(E149="",E149&lt;DATE(2000,1,1)),"缺少有效计划开始；","")&amp;IF(OR(F149="",F149&lt;DATE(2000,1,1)),"缺少有效计划完成；","")&amp;IF(项目总控台账!G148="","缺少总体状态；","")&amp;IF(AND(ISNUMBER(E149),ISNUMBER(F149),E149&gt;=DATE(2000,1,1),F149&gt;=DATE(2000,1,1),E149&gt;F149),"开始晚于完成；","")&amp;IF(AND(项目总控台账!G148="已完成",项目总控台账!AB148&lt;1),"已完成但进度不足100%；",""))</x:f>
        <x:v>#NAME?</x:v>
      </x:c>
      <x:c r="H149" s="8" t="str">
        <x:f t="shared" si="4"/>
        <x:v>通过</x:v>
      </x:c>
      <x:c r="I149" s="8" t="str">
        <x:f t="shared" si="5"/>
        <x:v>无需处理</x:v>
      </x:c>
      <x:c r="J149" s="8">
        <x:v>148</x:v>
      </x:c>
    </x:row>
  </x:sheetData>
  <x:mergeCells>
    <x:mergeCell ref="A1:J1"/>
    <x:mergeCell ref="A2:J2"/>
  </x:mergeCells>
  <x:conditionalFormatting sqref="H5:H149">
    <x:cfRule type="expression" dxfId="6" priority="1">
      <x:formula>$H5="需整改"</x:formula>
    </x:cfRule>
    <x:cfRule type="expression" dxfId="8" priority="2">
      <x:formula>$H5="通过"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1" style="1" customWidth="1"/>
    <x:col min="2" max="2" width="13" style="1" customWidth="1"/>
    <x:col min="3" max="3" width="24" style="1" customWidth="1"/>
    <x:col min="4" max="5" width="34" style="1" customWidth="1"/>
    <x:col min="6" max="6" width="28" style="1" customWidth="1"/>
    <x:col min="7" max="7" width="14" style="1" customWidth="1"/>
    <x:col min="8" max="8" width="13" style="1" customWidth="1"/>
    <x:col min="9" max="9" width="12" style="1" customWidth="1"/>
    <x:col min="10" max="10" width="11" style="1" customWidth="1"/>
    <x:col min="11" max="11" width="22" style="1" customWidth="1"/>
    <x:col min="12" max="12" width="28" style="1" customWidth="1"/>
    <x:col min="13" max="13" width="13" style="1" customWidth="1"/>
  </x:cols>
  <x:sheetData>
    <x:row r="1" ht="28" customHeight="1">
      <x:c r="A1" s="2" t="s">
        <x:v>1459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2" customHeight="1">
      <x:c r="A2" s="5" t="s">
        <x:v>1460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A4" s="7" t="s">
        <x:v>1461</x:v>
      </x:c>
      <x:c r="B4" s="7" t="s">
        <x:v>1318</x:v>
      </x:c>
      <x:c r="C4" s="7" t="s">
        <x:v>1462</x:v>
      </x:c>
      <x:c r="D4" s="7" t="s">
        <x:v>1463</x:v>
      </x:c>
      <x:c r="E4" s="7" t="s">
        <x:v>1464</x:v>
      </x:c>
      <x:c r="F4" s="7" t="s">
        <x:v>1465</x:v>
      </x:c>
      <x:c r="G4" s="7" t="s">
        <x:v>1466</x:v>
      </x:c>
      <x:c r="H4" s="7" t="s">
        <x:v>1467</x:v>
      </x:c>
      <x:c r="I4" s="7" t="s">
        <x:v>275</x:v>
      </x:c>
      <x:c r="J4" s="7" t="s">
        <x:v>1375</x:v>
      </x:c>
      <x:c r="K4" s="7" t="s">
        <x:v>1274</x:v>
      </x:c>
      <x:c r="L4" s="7" t="s">
        <x:v>1468</x:v>
      </x:c>
      <x:c r="M4" s="7" t="s">
        <x:v>256</x:v>
      </x:c>
    </x:row>
    <x:row r="5">
      <x:c r="A5" s="8" t="str">
        <x:f t="shared" ref="A5:A54" si="0">IF(C5="","","D-"&amp;TEXT(ROW()-4,"000"))</x:f>
      </x:c>
      <x:c r="B5" s="11"/>
      <x:c r="C5" s="10"/>
      <x:c r="D5" s="10"/>
      <x:c r="E5" s="10"/>
      <x:c r="F5" s="10"/>
      <x:c r="G5" s="10"/>
      <x:c r="H5" s="11"/>
      <x:c r="I5" s="10"/>
      <x:c r="J5" s="8" t="e">
        <x:f>IF(OR(H5="",I5="已决策"),0,MAX(0,项目驾驶舱!$B$3-H5))</x:f>
        <x:v>#NAME?</x:v>
      </x:c>
      <x:c r="K5" s="10"/>
      <x:c r="L5" s="10"/>
      <x:c r="M5" s="11"/>
    </x:row>
    <x:row r="6">
      <x:c r="A6" s="8" t="str">
        <x:f t="shared" si="0"/>
      </x:c>
      <x:c r="B6" s="11"/>
      <x:c r="C6" s="10"/>
      <x:c r="D6" s="10"/>
      <x:c r="E6" s="10"/>
      <x:c r="F6" s="10"/>
      <x:c r="G6" s="10"/>
      <x:c r="H6" s="11"/>
      <x:c r="I6" s="10"/>
      <x:c r="J6" s="8" t="e">
        <x:f>IF(OR(H6="",I6="已决策"),0,MAX(0,项目驾驶舱!$B$3-H6))</x:f>
        <x:v>#NAME?</x:v>
      </x:c>
      <x:c r="K6" s="10"/>
      <x:c r="L6" s="10"/>
      <x:c r="M6" s="11"/>
    </x:row>
    <x:row r="7">
      <x:c r="A7" s="8" t="str">
        <x:f t="shared" si="0"/>
      </x:c>
      <x:c r="B7" s="11"/>
      <x:c r="C7" s="10"/>
      <x:c r="D7" s="10"/>
      <x:c r="E7" s="10"/>
      <x:c r="F7" s="10"/>
      <x:c r="G7" s="10"/>
      <x:c r="H7" s="11"/>
      <x:c r="I7" s="10"/>
      <x:c r="J7" s="8" t="e">
        <x:f>IF(OR(H7="",I7="已决策"),0,MAX(0,项目驾驶舱!$B$3-H7))</x:f>
        <x:v>#NAME?</x:v>
      </x:c>
      <x:c r="K7" s="10"/>
      <x:c r="L7" s="10"/>
      <x:c r="M7" s="11"/>
    </x:row>
    <x:row r="8">
      <x:c r="A8" s="8" t="str">
        <x:f t="shared" si="0"/>
      </x:c>
      <x:c r="B8" s="11"/>
      <x:c r="C8" s="10"/>
      <x:c r="D8" s="10"/>
      <x:c r="E8" s="10"/>
      <x:c r="F8" s="10"/>
      <x:c r="G8" s="10"/>
      <x:c r="H8" s="11"/>
      <x:c r="I8" s="10"/>
      <x:c r="J8" s="8" t="e">
        <x:f>IF(OR(H8="",I8="已决策"),0,MAX(0,项目驾驶舱!$B$3-H8))</x:f>
        <x:v>#NAME?</x:v>
      </x:c>
      <x:c r="K8" s="10"/>
      <x:c r="L8" s="10"/>
      <x:c r="M8" s="11"/>
    </x:row>
    <x:row r="9">
      <x:c r="A9" s="8" t="str">
        <x:f t="shared" si="0"/>
      </x:c>
      <x:c r="B9" s="11"/>
      <x:c r="C9" s="10"/>
      <x:c r="D9" s="10"/>
      <x:c r="E9" s="10"/>
      <x:c r="F9" s="10"/>
      <x:c r="G9" s="10"/>
      <x:c r="H9" s="11"/>
      <x:c r="I9" s="10"/>
      <x:c r="J9" s="8" t="e">
        <x:f>IF(OR(H9="",I9="已决策"),0,MAX(0,项目驾驶舱!$B$3-H9))</x:f>
        <x:v>#NAME?</x:v>
      </x:c>
      <x:c r="K9" s="10"/>
      <x:c r="L9" s="10"/>
      <x:c r="M9" s="11"/>
    </x:row>
    <x:row r="10">
      <x:c r="A10" s="8" t="str">
        <x:f t="shared" si="0"/>
      </x:c>
      <x:c r="B10" s="11"/>
      <x:c r="C10" s="10"/>
      <x:c r="D10" s="10"/>
      <x:c r="E10" s="10"/>
      <x:c r="F10" s="10"/>
      <x:c r="G10" s="10"/>
      <x:c r="H10" s="11"/>
      <x:c r="I10" s="10"/>
      <x:c r="J10" s="8" t="e">
        <x:f>IF(OR(H10="",I10="已决策"),0,MAX(0,项目驾驶舱!$B$3-H10))</x:f>
        <x:v>#NAME?</x:v>
      </x:c>
      <x:c r="K10" s="10"/>
      <x:c r="L10" s="10"/>
      <x:c r="M10" s="11"/>
    </x:row>
    <x:row r="11">
      <x:c r="A11" s="8" t="str">
        <x:f t="shared" si="0"/>
      </x:c>
      <x:c r="B11" s="11"/>
      <x:c r="C11" s="10"/>
      <x:c r="D11" s="10"/>
      <x:c r="E11" s="10"/>
      <x:c r="F11" s="10"/>
      <x:c r="G11" s="10"/>
      <x:c r="H11" s="11"/>
      <x:c r="I11" s="10"/>
      <x:c r="J11" s="8" t="e">
        <x:f>IF(OR(H11="",I11="已决策"),0,MAX(0,项目驾驶舱!$B$3-H11))</x:f>
        <x:v>#NAME?</x:v>
      </x:c>
      <x:c r="K11" s="10"/>
      <x:c r="L11" s="10"/>
      <x:c r="M11" s="11"/>
    </x:row>
    <x:row r="12">
      <x:c r="A12" s="8" t="str">
        <x:f t="shared" si="0"/>
      </x:c>
      <x:c r="B12" s="11"/>
      <x:c r="C12" s="10"/>
      <x:c r="D12" s="10"/>
      <x:c r="E12" s="10"/>
      <x:c r="F12" s="10"/>
      <x:c r="G12" s="10"/>
      <x:c r="H12" s="11"/>
      <x:c r="I12" s="10"/>
      <x:c r="J12" s="8" t="e">
        <x:f>IF(OR(H12="",I12="已决策"),0,MAX(0,项目驾驶舱!$B$3-H12))</x:f>
        <x:v>#NAME?</x:v>
      </x:c>
      <x:c r="K12" s="10"/>
      <x:c r="L12" s="10"/>
      <x:c r="M12" s="11"/>
    </x:row>
    <x:row r="13">
      <x:c r="A13" s="8" t="str">
        <x:f t="shared" si="0"/>
      </x:c>
      <x:c r="B13" s="11"/>
      <x:c r="C13" s="10"/>
      <x:c r="D13" s="10"/>
      <x:c r="E13" s="10"/>
      <x:c r="F13" s="10"/>
      <x:c r="G13" s="10"/>
      <x:c r="H13" s="11"/>
      <x:c r="I13" s="10"/>
      <x:c r="J13" s="8" t="e">
        <x:f>IF(OR(H13="",I13="已决策"),0,MAX(0,项目驾驶舱!$B$3-H13))</x:f>
        <x:v>#NAME?</x:v>
      </x:c>
      <x:c r="K13" s="10"/>
      <x:c r="L13" s="10"/>
      <x:c r="M13" s="11"/>
    </x:row>
    <x:row r="14">
      <x:c r="A14" s="8" t="str">
        <x:f t="shared" si="0"/>
      </x:c>
      <x:c r="B14" s="11"/>
      <x:c r="C14" s="10"/>
      <x:c r="D14" s="10"/>
      <x:c r="E14" s="10"/>
      <x:c r="F14" s="10"/>
      <x:c r="G14" s="10"/>
      <x:c r="H14" s="11"/>
      <x:c r="I14" s="10"/>
      <x:c r="J14" s="8" t="e">
        <x:f>IF(OR(H14="",I14="已决策"),0,MAX(0,项目驾驶舱!$B$3-H14))</x:f>
        <x:v>#NAME?</x:v>
      </x:c>
      <x:c r="K14" s="10"/>
      <x:c r="L14" s="10"/>
      <x:c r="M14" s="11"/>
    </x:row>
    <x:row r="15">
      <x:c r="A15" s="8" t="str">
        <x:f t="shared" si="0"/>
      </x:c>
      <x:c r="B15" s="11"/>
      <x:c r="C15" s="10"/>
      <x:c r="D15" s="10"/>
      <x:c r="E15" s="10"/>
      <x:c r="F15" s="10"/>
      <x:c r="G15" s="10"/>
      <x:c r="H15" s="11"/>
      <x:c r="I15" s="10"/>
      <x:c r="J15" s="8" t="e">
        <x:f>IF(OR(H15="",I15="已决策"),0,MAX(0,项目驾驶舱!$B$3-H15))</x:f>
        <x:v>#NAME?</x:v>
      </x:c>
      <x:c r="K15" s="10"/>
      <x:c r="L15" s="10"/>
      <x:c r="M15" s="11"/>
    </x:row>
    <x:row r="16">
      <x:c r="A16" s="8" t="str">
        <x:f t="shared" si="0"/>
      </x:c>
      <x:c r="B16" s="11"/>
      <x:c r="C16" s="10"/>
      <x:c r="D16" s="10"/>
      <x:c r="E16" s="10"/>
      <x:c r="F16" s="10"/>
      <x:c r="G16" s="10"/>
      <x:c r="H16" s="11"/>
      <x:c r="I16" s="10"/>
      <x:c r="J16" s="8" t="e">
        <x:f>IF(OR(H16="",I16="已决策"),0,MAX(0,项目驾驶舱!$B$3-H16))</x:f>
        <x:v>#NAME?</x:v>
      </x:c>
      <x:c r="K16" s="10"/>
      <x:c r="L16" s="10"/>
      <x:c r="M16" s="11"/>
    </x:row>
    <x:row r="17">
      <x:c r="A17" s="8" t="str">
        <x:f t="shared" si="0"/>
      </x:c>
      <x:c r="B17" s="11"/>
      <x:c r="C17" s="10"/>
      <x:c r="D17" s="10"/>
      <x:c r="E17" s="10"/>
      <x:c r="F17" s="10"/>
      <x:c r="G17" s="10"/>
      <x:c r="H17" s="11"/>
      <x:c r="I17" s="10"/>
      <x:c r="J17" s="8" t="e">
        <x:f>IF(OR(H17="",I17="已决策"),0,MAX(0,项目驾驶舱!$B$3-H17))</x:f>
        <x:v>#NAME?</x:v>
      </x:c>
      <x:c r="K17" s="10"/>
      <x:c r="L17" s="10"/>
      <x:c r="M17" s="11"/>
    </x:row>
    <x:row r="18">
      <x:c r="A18" s="8" t="str">
        <x:f t="shared" si="0"/>
      </x:c>
      <x:c r="B18" s="11"/>
      <x:c r="C18" s="10"/>
      <x:c r="D18" s="10"/>
      <x:c r="E18" s="10"/>
      <x:c r="F18" s="10"/>
      <x:c r="G18" s="10"/>
      <x:c r="H18" s="11"/>
      <x:c r="I18" s="10"/>
      <x:c r="J18" s="8" t="e">
        <x:f>IF(OR(H18="",I18="已决策"),0,MAX(0,项目驾驶舱!$B$3-H18))</x:f>
        <x:v>#NAME?</x:v>
      </x:c>
      <x:c r="K18" s="10"/>
      <x:c r="L18" s="10"/>
      <x:c r="M18" s="11"/>
    </x:row>
    <x:row r="19">
      <x:c r="A19" s="8" t="str">
        <x:f t="shared" si="0"/>
      </x:c>
      <x:c r="B19" s="11"/>
      <x:c r="C19" s="10"/>
      <x:c r="D19" s="10"/>
      <x:c r="E19" s="10"/>
      <x:c r="F19" s="10"/>
      <x:c r="G19" s="10"/>
      <x:c r="H19" s="11"/>
      <x:c r="I19" s="10"/>
      <x:c r="J19" s="8" t="e">
        <x:f>IF(OR(H19="",I19="已决策"),0,MAX(0,项目驾驶舱!$B$3-H19))</x:f>
        <x:v>#NAME?</x:v>
      </x:c>
      <x:c r="K19" s="10"/>
      <x:c r="L19" s="10"/>
      <x:c r="M19" s="11"/>
    </x:row>
    <x:row r="20">
      <x:c r="A20" s="8" t="str">
        <x:f t="shared" si="0"/>
      </x:c>
      <x:c r="B20" s="11"/>
      <x:c r="C20" s="10"/>
      <x:c r="D20" s="10"/>
      <x:c r="E20" s="10"/>
      <x:c r="F20" s="10"/>
      <x:c r="G20" s="10"/>
      <x:c r="H20" s="11"/>
      <x:c r="I20" s="10"/>
      <x:c r="J20" s="8" t="e">
        <x:f>IF(OR(H20="",I20="已决策"),0,MAX(0,项目驾驶舱!$B$3-H20))</x:f>
        <x:v>#NAME?</x:v>
      </x:c>
      <x:c r="K20" s="10"/>
      <x:c r="L20" s="10"/>
      <x:c r="M20" s="11"/>
    </x:row>
    <x:row r="21">
      <x:c r="A21" s="8" t="str">
        <x:f t="shared" si="0"/>
      </x:c>
      <x:c r="B21" s="11"/>
      <x:c r="C21" s="10"/>
      <x:c r="D21" s="10"/>
      <x:c r="E21" s="10"/>
      <x:c r="F21" s="10"/>
      <x:c r="G21" s="10"/>
      <x:c r="H21" s="11"/>
      <x:c r="I21" s="10"/>
      <x:c r="J21" s="8" t="e">
        <x:f>IF(OR(H21="",I21="已决策"),0,MAX(0,项目驾驶舱!$B$3-H21))</x:f>
        <x:v>#NAME?</x:v>
      </x:c>
      <x:c r="K21" s="10"/>
      <x:c r="L21" s="10"/>
      <x:c r="M21" s="11"/>
    </x:row>
    <x:row r="22">
      <x:c r="A22" s="8" t="str">
        <x:f t="shared" si="0"/>
      </x:c>
      <x:c r="B22" s="11"/>
      <x:c r="C22" s="10"/>
      <x:c r="D22" s="10"/>
      <x:c r="E22" s="10"/>
      <x:c r="F22" s="10"/>
      <x:c r="G22" s="10"/>
      <x:c r="H22" s="11"/>
      <x:c r="I22" s="10"/>
      <x:c r="J22" s="8" t="e">
        <x:f>IF(OR(H22="",I22="已决策"),0,MAX(0,项目驾驶舱!$B$3-H22))</x:f>
        <x:v>#NAME?</x:v>
      </x:c>
      <x:c r="K22" s="10"/>
      <x:c r="L22" s="10"/>
      <x:c r="M22" s="11"/>
    </x:row>
    <x:row r="23">
      <x:c r="A23" s="8" t="str">
        <x:f t="shared" si="0"/>
      </x:c>
      <x:c r="B23" s="11"/>
      <x:c r="C23" s="10"/>
      <x:c r="D23" s="10"/>
      <x:c r="E23" s="10"/>
      <x:c r="F23" s="10"/>
      <x:c r="G23" s="10"/>
      <x:c r="H23" s="11"/>
      <x:c r="I23" s="10"/>
      <x:c r="J23" s="8" t="e">
        <x:f>IF(OR(H23="",I23="已决策"),0,MAX(0,项目驾驶舱!$B$3-H23))</x:f>
        <x:v>#NAME?</x:v>
      </x:c>
      <x:c r="K23" s="10"/>
      <x:c r="L23" s="10"/>
      <x:c r="M23" s="11"/>
    </x:row>
    <x:row r="24">
      <x:c r="A24" s="8" t="str">
        <x:f t="shared" si="0"/>
      </x:c>
      <x:c r="B24" s="11"/>
      <x:c r="C24" s="10"/>
      <x:c r="D24" s="10"/>
      <x:c r="E24" s="10"/>
      <x:c r="F24" s="10"/>
      <x:c r="G24" s="10"/>
      <x:c r="H24" s="11"/>
      <x:c r="I24" s="10"/>
      <x:c r="J24" s="8" t="e">
        <x:f>IF(OR(H24="",I24="已决策"),0,MAX(0,项目驾驶舱!$B$3-H24))</x:f>
        <x:v>#NAME?</x:v>
      </x:c>
      <x:c r="K24" s="10"/>
      <x:c r="L24" s="10"/>
      <x:c r="M24" s="11"/>
    </x:row>
    <x:row r="25">
      <x:c r="A25" s="8" t="str">
        <x:f t="shared" si="0"/>
      </x:c>
      <x:c r="B25" s="11"/>
      <x:c r="C25" s="10"/>
      <x:c r="D25" s="10"/>
      <x:c r="E25" s="10"/>
      <x:c r="F25" s="10"/>
      <x:c r="G25" s="10"/>
      <x:c r="H25" s="11"/>
      <x:c r="I25" s="10"/>
      <x:c r="J25" s="8" t="e">
        <x:f>IF(OR(H25="",I25="已决策"),0,MAX(0,项目驾驶舱!$B$3-H25))</x:f>
        <x:v>#NAME?</x:v>
      </x:c>
      <x:c r="K25" s="10"/>
      <x:c r="L25" s="10"/>
      <x:c r="M25" s="11"/>
    </x:row>
    <x:row r="26">
      <x:c r="A26" s="8" t="str">
        <x:f t="shared" si="0"/>
      </x:c>
      <x:c r="B26" s="11"/>
      <x:c r="C26" s="10"/>
      <x:c r="D26" s="10"/>
      <x:c r="E26" s="10"/>
      <x:c r="F26" s="10"/>
      <x:c r="G26" s="10"/>
      <x:c r="H26" s="11"/>
      <x:c r="I26" s="10"/>
      <x:c r="J26" s="8" t="e">
        <x:f>IF(OR(H26="",I26="已决策"),0,MAX(0,项目驾驶舱!$B$3-H26))</x:f>
        <x:v>#NAME?</x:v>
      </x:c>
      <x:c r="K26" s="10"/>
      <x:c r="L26" s="10"/>
      <x:c r="M26" s="11"/>
    </x:row>
    <x:row r="27">
      <x:c r="A27" s="8" t="str">
        <x:f t="shared" si="0"/>
      </x:c>
      <x:c r="B27" s="11"/>
      <x:c r="C27" s="10"/>
      <x:c r="D27" s="10"/>
      <x:c r="E27" s="10"/>
      <x:c r="F27" s="10"/>
      <x:c r="G27" s="10"/>
      <x:c r="H27" s="11"/>
      <x:c r="I27" s="10"/>
      <x:c r="J27" s="8" t="e">
        <x:f>IF(OR(H27="",I27="已决策"),0,MAX(0,项目驾驶舱!$B$3-H27))</x:f>
        <x:v>#NAME?</x:v>
      </x:c>
      <x:c r="K27" s="10"/>
      <x:c r="L27" s="10"/>
      <x:c r="M27" s="11"/>
    </x:row>
    <x:row r="28">
      <x:c r="A28" s="8" t="str">
        <x:f t="shared" si="0"/>
      </x:c>
      <x:c r="B28" s="11"/>
      <x:c r="C28" s="10"/>
      <x:c r="D28" s="10"/>
      <x:c r="E28" s="10"/>
      <x:c r="F28" s="10"/>
      <x:c r="G28" s="10"/>
      <x:c r="H28" s="11"/>
      <x:c r="I28" s="10"/>
      <x:c r="J28" s="8" t="e">
        <x:f>IF(OR(H28="",I28="已决策"),0,MAX(0,项目驾驶舱!$B$3-H28))</x:f>
        <x:v>#NAME?</x:v>
      </x:c>
      <x:c r="K28" s="10"/>
      <x:c r="L28" s="10"/>
      <x:c r="M28" s="11"/>
    </x:row>
    <x:row r="29">
      <x:c r="A29" s="8" t="str">
        <x:f t="shared" si="0"/>
      </x:c>
      <x:c r="B29" s="11"/>
      <x:c r="C29" s="10"/>
      <x:c r="D29" s="10"/>
      <x:c r="E29" s="10"/>
      <x:c r="F29" s="10"/>
      <x:c r="G29" s="10"/>
      <x:c r="H29" s="11"/>
      <x:c r="I29" s="10"/>
      <x:c r="J29" s="8" t="e">
        <x:f>IF(OR(H29="",I29="已决策"),0,MAX(0,项目驾驶舱!$B$3-H29))</x:f>
        <x:v>#NAME?</x:v>
      </x:c>
      <x:c r="K29" s="10"/>
      <x:c r="L29" s="10"/>
      <x:c r="M29" s="11"/>
    </x:row>
    <x:row r="30">
      <x:c r="A30" s="8" t="str">
        <x:f t="shared" si="0"/>
      </x:c>
      <x:c r="B30" s="11"/>
      <x:c r="C30" s="10"/>
      <x:c r="D30" s="10"/>
      <x:c r="E30" s="10"/>
      <x:c r="F30" s="10"/>
      <x:c r="G30" s="10"/>
      <x:c r="H30" s="11"/>
      <x:c r="I30" s="10"/>
      <x:c r="J30" s="8" t="e">
        <x:f>IF(OR(H30="",I30="已决策"),0,MAX(0,项目驾驶舱!$B$3-H30))</x:f>
        <x:v>#NAME?</x:v>
      </x:c>
      <x:c r="K30" s="10"/>
      <x:c r="L30" s="10"/>
      <x:c r="M30" s="11"/>
    </x:row>
    <x:row r="31">
      <x:c r="A31" s="8" t="str">
        <x:f t="shared" si="0"/>
      </x:c>
      <x:c r="B31" s="11"/>
      <x:c r="C31" s="10"/>
      <x:c r="D31" s="10"/>
      <x:c r="E31" s="10"/>
      <x:c r="F31" s="10"/>
      <x:c r="G31" s="10"/>
      <x:c r="H31" s="11"/>
      <x:c r="I31" s="10"/>
      <x:c r="J31" s="8" t="e">
        <x:f>IF(OR(H31="",I31="已决策"),0,MAX(0,项目驾驶舱!$B$3-H31))</x:f>
        <x:v>#NAME?</x:v>
      </x:c>
      <x:c r="K31" s="10"/>
      <x:c r="L31" s="10"/>
      <x:c r="M31" s="11"/>
    </x:row>
    <x:row r="32">
      <x:c r="A32" s="8" t="str">
        <x:f t="shared" si="0"/>
      </x:c>
      <x:c r="B32" s="11"/>
      <x:c r="C32" s="10"/>
      <x:c r="D32" s="10"/>
      <x:c r="E32" s="10"/>
      <x:c r="F32" s="10"/>
      <x:c r="G32" s="10"/>
      <x:c r="H32" s="11"/>
      <x:c r="I32" s="10"/>
      <x:c r="J32" s="8" t="e">
        <x:f>IF(OR(H32="",I32="已决策"),0,MAX(0,项目驾驶舱!$B$3-H32))</x:f>
        <x:v>#NAME?</x:v>
      </x:c>
      <x:c r="K32" s="10"/>
      <x:c r="L32" s="10"/>
      <x:c r="M32" s="11"/>
    </x:row>
    <x:row r="33">
      <x:c r="A33" s="8" t="str">
        <x:f t="shared" si="0"/>
      </x:c>
      <x:c r="B33" s="11"/>
      <x:c r="C33" s="10"/>
      <x:c r="D33" s="10"/>
      <x:c r="E33" s="10"/>
      <x:c r="F33" s="10"/>
      <x:c r="G33" s="10"/>
      <x:c r="H33" s="11"/>
      <x:c r="I33" s="10"/>
      <x:c r="J33" s="8" t="e">
        <x:f>IF(OR(H33="",I33="已决策"),0,MAX(0,项目驾驶舱!$B$3-H33))</x:f>
        <x:v>#NAME?</x:v>
      </x:c>
      <x:c r="K33" s="10"/>
      <x:c r="L33" s="10"/>
      <x:c r="M33" s="11"/>
    </x:row>
    <x:row r="34">
      <x:c r="A34" s="8" t="str">
        <x:f t="shared" si="0"/>
      </x:c>
      <x:c r="B34" s="11"/>
      <x:c r="C34" s="10"/>
      <x:c r="D34" s="10"/>
      <x:c r="E34" s="10"/>
      <x:c r="F34" s="10"/>
      <x:c r="G34" s="10"/>
      <x:c r="H34" s="11"/>
      <x:c r="I34" s="10"/>
      <x:c r="J34" s="8" t="e">
        <x:f>IF(OR(H34="",I34="已决策"),0,MAX(0,项目驾驶舱!$B$3-H34))</x:f>
        <x:v>#NAME?</x:v>
      </x:c>
      <x:c r="K34" s="10"/>
      <x:c r="L34" s="10"/>
      <x:c r="M34" s="11"/>
    </x:row>
    <x:row r="35">
      <x:c r="A35" s="8" t="str">
        <x:f t="shared" si="0"/>
      </x:c>
      <x:c r="B35" s="11"/>
      <x:c r="C35" s="10"/>
      <x:c r="D35" s="10"/>
      <x:c r="E35" s="10"/>
      <x:c r="F35" s="10"/>
      <x:c r="G35" s="10"/>
      <x:c r="H35" s="11"/>
      <x:c r="I35" s="10"/>
      <x:c r="J35" s="8" t="e">
        <x:f>IF(OR(H35="",I35="已决策"),0,MAX(0,项目驾驶舱!$B$3-H35))</x:f>
        <x:v>#NAME?</x:v>
      </x:c>
      <x:c r="K35" s="10"/>
      <x:c r="L35" s="10"/>
      <x:c r="M35" s="11"/>
    </x:row>
    <x:row r="36">
      <x:c r="A36" s="8" t="str">
        <x:f t="shared" si="0"/>
      </x:c>
      <x:c r="B36" s="11"/>
      <x:c r="C36" s="10"/>
      <x:c r="D36" s="10"/>
      <x:c r="E36" s="10"/>
      <x:c r="F36" s="10"/>
      <x:c r="G36" s="10"/>
      <x:c r="H36" s="11"/>
      <x:c r="I36" s="10"/>
      <x:c r="J36" s="8" t="e">
        <x:f>IF(OR(H36="",I36="已决策"),0,MAX(0,项目驾驶舱!$B$3-H36))</x:f>
        <x:v>#NAME?</x:v>
      </x:c>
      <x:c r="K36" s="10"/>
      <x:c r="L36" s="10"/>
      <x:c r="M36" s="11"/>
    </x:row>
    <x:row r="37">
      <x:c r="A37" s="8" t="str">
        <x:f t="shared" si="0"/>
      </x:c>
      <x:c r="B37" s="11"/>
      <x:c r="C37" s="10"/>
      <x:c r="D37" s="10"/>
      <x:c r="E37" s="10"/>
      <x:c r="F37" s="10"/>
      <x:c r="G37" s="10"/>
      <x:c r="H37" s="11"/>
      <x:c r="I37" s="10"/>
      <x:c r="J37" s="8" t="e">
        <x:f>IF(OR(H37="",I37="已决策"),0,MAX(0,项目驾驶舱!$B$3-H37))</x:f>
        <x:v>#NAME?</x:v>
      </x:c>
      <x:c r="K37" s="10"/>
      <x:c r="L37" s="10"/>
      <x:c r="M37" s="11"/>
    </x:row>
    <x:row r="38">
      <x:c r="A38" s="8" t="str">
        <x:f t="shared" si="0"/>
      </x:c>
      <x:c r="B38" s="11"/>
      <x:c r="C38" s="10"/>
      <x:c r="D38" s="10"/>
      <x:c r="E38" s="10"/>
      <x:c r="F38" s="10"/>
      <x:c r="G38" s="10"/>
      <x:c r="H38" s="11"/>
      <x:c r="I38" s="10"/>
      <x:c r="J38" s="8" t="e">
        <x:f>IF(OR(H38="",I38="已决策"),0,MAX(0,项目驾驶舱!$B$3-H38))</x:f>
        <x:v>#NAME?</x:v>
      </x:c>
      <x:c r="K38" s="10"/>
      <x:c r="L38" s="10"/>
      <x:c r="M38" s="11"/>
    </x:row>
    <x:row r="39">
      <x:c r="A39" s="8" t="str">
        <x:f t="shared" si="0"/>
      </x:c>
      <x:c r="B39" s="11"/>
      <x:c r="C39" s="10"/>
      <x:c r="D39" s="10"/>
      <x:c r="E39" s="10"/>
      <x:c r="F39" s="10"/>
      <x:c r="G39" s="10"/>
      <x:c r="H39" s="11"/>
      <x:c r="I39" s="10"/>
      <x:c r="J39" s="8" t="e">
        <x:f>IF(OR(H39="",I39="已决策"),0,MAX(0,项目驾驶舱!$B$3-H39))</x:f>
        <x:v>#NAME?</x:v>
      </x:c>
      <x:c r="K39" s="10"/>
      <x:c r="L39" s="10"/>
      <x:c r="M39" s="11"/>
    </x:row>
    <x:row r="40">
      <x:c r="A40" s="8" t="str">
        <x:f t="shared" si="0"/>
      </x:c>
      <x:c r="B40" s="11"/>
      <x:c r="C40" s="10"/>
      <x:c r="D40" s="10"/>
      <x:c r="E40" s="10"/>
      <x:c r="F40" s="10"/>
      <x:c r="G40" s="10"/>
      <x:c r="H40" s="11"/>
      <x:c r="I40" s="10"/>
      <x:c r="J40" s="8" t="e">
        <x:f>IF(OR(H40="",I40="已决策"),0,MAX(0,项目驾驶舱!$B$3-H40))</x:f>
        <x:v>#NAME?</x:v>
      </x:c>
      <x:c r="K40" s="10"/>
      <x:c r="L40" s="10"/>
      <x:c r="M40" s="11"/>
    </x:row>
    <x:row r="41">
      <x:c r="A41" s="8" t="str">
        <x:f t="shared" si="0"/>
      </x:c>
      <x:c r="B41" s="11"/>
      <x:c r="C41" s="10"/>
      <x:c r="D41" s="10"/>
      <x:c r="E41" s="10"/>
      <x:c r="F41" s="10"/>
      <x:c r="G41" s="10"/>
      <x:c r="H41" s="11"/>
      <x:c r="I41" s="10"/>
      <x:c r="J41" s="8" t="e">
        <x:f>IF(OR(H41="",I41="已决策"),0,MAX(0,项目驾驶舱!$B$3-H41))</x:f>
        <x:v>#NAME?</x:v>
      </x:c>
      <x:c r="K41" s="10"/>
      <x:c r="L41" s="10"/>
      <x:c r="M41" s="11"/>
    </x:row>
    <x:row r="42">
      <x:c r="A42" s="8" t="str">
        <x:f t="shared" si="0"/>
      </x:c>
      <x:c r="B42" s="11"/>
      <x:c r="C42" s="10"/>
      <x:c r="D42" s="10"/>
      <x:c r="E42" s="10"/>
      <x:c r="F42" s="10"/>
      <x:c r="G42" s="10"/>
      <x:c r="H42" s="11"/>
      <x:c r="I42" s="10"/>
      <x:c r="J42" s="8" t="e">
        <x:f>IF(OR(H42="",I42="已决策"),0,MAX(0,项目驾驶舱!$B$3-H42))</x:f>
        <x:v>#NAME?</x:v>
      </x:c>
      <x:c r="K42" s="10"/>
      <x:c r="L42" s="10"/>
      <x:c r="M42" s="11"/>
    </x:row>
    <x:row r="43">
      <x:c r="A43" s="8" t="str">
        <x:f t="shared" si="0"/>
      </x:c>
      <x:c r="B43" s="11"/>
      <x:c r="C43" s="10"/>
      <x:c r="D43" s="10"/>
      <x:c r="E43" s="10"/>
      <x:c r="F43" s="10"/>
      <x:c r="G43" s="10"/>
      <x:c r="H43" s="11"/>
      <x:c r="I43" s="10"/>
      <x:c r="J43" s="8" t="e">
        <x:f>IF(OR(H43="",I43="已决策"),0,MAX(0,项目驾驶舱!$B$3-H43))</x:f>
        <x:v>#NAME?</x:v>
      </x:c>
      <x:c r="K43" s="10"/>
      <x:c r="L43" s="10"/>
      <x:c r="M43" s="11"/>
    </x:row>
    <x:row r="44">
      <x:c r="A44" s="8" t="str">
        <x:f t="shared" si="0"/>
      </x:c>
      <x:c r="B44" s="11"/>
      <x:c r="C44" s="10"/>
      <x:c r="D44" s="10"/>
      <x:c r="E44" s="10"/>
      <x:c r="F44" s="10"/>
      <x:c r="G44" s="10"/>
      <x:c r="H44" s="11"/>
      <x:c r="I44" s="10"/>
      <x:c r="J44" s="8" t="e">
        <x:f>IF(OR(H44="",I44="已决策"),0,MAX(0,项目驾驶舱!$B$3-H44))</x:f>
        <x:v>#NAME?</x:v>
      </x:c>
      <x:c r="K44" s="10"/>
      <x:c r="L44" s="10"/>
      <x:c r="M44" s="11"/>
    </x:row>
    <x:row r="45">
      <x:c r="A45" s="8" t="str">
        <x:f t="shared" si="0"/>
      </x:c>
      <x:c r="B45" s="11"/>
      <x:c r="C45" s="10"/>
      <x:c r="D45" s="10"/>
      <x:c r="E45" s="10"/>
      <x:c r="F45" s="10"/>
      <x:c r="G45" s="10"/>
      <x:c r="H45" s="11"/>
      <x:c r="I45" s="10"/>
      <x:c r="J45" s="8" t="e">
        <x:f>IF(OR(H45="",I45="已决策"),0,MAX(0,项目驾驶舱!$B$3-H45))</x:f>
        <x:v>#NAME?</x:v>
      </x:c>
      <x:c r="K45" s="10"/>
      <x:c r="L45" s="10"/>
      <x:c r="M45" s="11"/>
    </x:row>
    <x:row r="46">
      <x:c r="A46" s="8" t="str">
        <x:f t="shared" si="0"/>
      </x:c>
      <x:c r="B46" s="11"/>
      <x:c r="C46" s="10"/>
      <x:c r="D46" s="10"/>
      <x:c r="E46" s="10"/>
      <x:c r="F46" s="10"/>
      <x:c r="G46" s="10"/>
      <x:c r="H46" s="11"/>
      <x:c r="I46" s="10"/>
      <x:c r="J46" s="8" t="e">
        <x:f>IF(OR(H46="",I46="已决策"),0,MAX(0,项目驾驶舱!$B$3-H46))</x:f>
        <x:v>#NAME?</x:v>
      </x:c>
      <x:c r="K46" s="10"/>
      <x:c r="L46" s="10"/>
      <x:c r="M46" s="11"/>
    </x:row>
    <x:row r="47">
      <x:c r="A47" s="8" t="str">
        <x:f t="shared" si="0"/>
      </x:c>
      <x:c r="B47" s="11"/>
      <x:c r="C47" s="10"/>
      <x:c r="D47" s="10"/>
      <x:c r="E47" s="10"/>
      <x:c r="F47" s="10"/>
      <x:c r="G47" s="10"/>
      <x:c r="H47" s="11"/>
      <x:c r="I47" s="10"/>
      <x:c r="J47" s="8" t="e">
        <x:f>IF(OR(H47="",I47="已决策"),0,MAX(0,项目驾驶舱!$B$3-H47))</x:f>
        <x:v>#NAME?</x:v>
      </x:c>
      <x:c r="K47" s="10"/>
      <x:c r="L47" s="10"/>
      <x:c r="M47" s="11"/>
    </x:row>
    <x:row r="48">
      <x:c r="A48" s="8" t="str">
        <x:f t="shared" si="0"/>
      </x:c>
      <x:c r="B48" s="11"/>
      <x:c r="C48" s="10"/>
      <x:c r="D48" s="10"/>
      <x:c r="E48" s="10"/>
      <x:c r="F48" s="10"/>
      <x:c r="G48" s="10"/>
      <x:c r="H48" s="11"/>
      <x:c r="I48" s="10"/>
      <x:c r="J48" s="8" t="e">
        <x:f>IF(OR(H48="",I48="已决策"),0,MAX(0,项目驾驶舱!$B$3-H48))</x:f>
        <x:v>#NAME?</x:v>
      </x:c>
      <x:c r="K48" s="10"/>
      <x:c r="L48" s="10"/>
      <x:c r="M48" s="11"/>
    </x:row>
    <x:row r="49">
      <x:c r="A49" s="8" t="str">
        <x:f t="shared" si="0"/>
      </x:c>
      <x:c r="B49" s="11"/>
      <x:c r="C49" s="10"/>
      <x:c r="D49" s="10"/>
      <x:c r="E49" s="10"/>
      <x:c r="F49" s="10"/>
      <x:c r="G49" s="10"/>
      <x:c r="H49" s="11"/>
      <x:c r="I49" s="10"/>
      <x:c r="J49" s="8" t="e">
        <x:f>IF(OR(H49="",I49="已决策"),0,MAX(0,项目驾驶舱!$B$3-H49))</x:f>
        <x:v>#NAME?</x:v>
      </x:c>
      <x:c r="K49" s="10"/>
      <x:c r="L49" s="10"/>
      <x:c r="M49" s="11"/>
    </x:row>
    <x:row r="50">
      <x:c r="A50" s="8" t="str">
        <x:f t="shared" si="0"/>
      </x:c>
      <x:c r="B50" s="11"/>
      <x:c r="C50" s="10"/>
      <x:c r="D50" s="10"/>
      <x:c r="E50" s="10"/>
      <x:c r="F50" s="10"/>
      <x:c r="G50" s="10"/>
      <x:c r="H50" s="11"/>
      <x:c r="I50" s="10"/>
      <x:c r="J50" s="8" t="e">
        <x:f>IF(OR(H50="",I50="已决策"),0,MAX(0,项目驾驶舱!$B$3-H50))</x:f>
        <x:v>#NAME?</x:v>
      </x:c>
      <x:c r="K50" s="10"/>
      <x:c r="L50" s="10"/>
      <x:c r="M50" s="11"/>
    </x:row>
    <x:row r="51">
      <x:c r="A51" s="8" t="str">
        <x:f t="shared" si="0"/>
      </x:c>
      <x:c r="B51" s="11"/>
      <x:c r="C51" s="10"/>
      <x:c r="D51" s="10"/>
      <x:c r="E51" s="10"/>
      <x:c r="F51" s="10"/>
      <x:c r="G51" s="10"/>
      <x:c r="H51" s="11"/>
      <x:c r="I51" s="10"/>
      <x:c r="J51" s="8" t="e">
        <x:f>IF(OR(H51="",I51="已决策"),0,MAX(0,项目驾驶舱!$B$3-H51))</x:f>
        <x:v>#NAME?</x:v>
      </x:c>
      <x:c r="K51" s="10"/>
      <x:c r="L51" s="10"/>
      <x:c r="M51" s="11"/>
    </x:row>
    <x:row r="52">
      <x:c r="A52" s="8" t="str">
        <x:f t="shared" si="0"/>
      </x:c>
      <x:c r="B52" s="11"/>
      <x:c r="C52" s="10"/>
      <x:c r="D52" s="10"/>
      <x:c r="E52" s="10"/>
      <x:c r="F52" s="10"/>
      <x:c r="G52" s="10"/>
      <x:c r="H52" s="11"/>
      <x:c r="I52" s="10"/>
      <x:c r="J52" s="8" t="e">
        <x:f>IF(OR(H52="",I52="已决策"),0,MAX(0,项目驾驶舱!$B$3-H52))</x:f>
        <x:v>#NAME?</x:v>
      </x:c>
      <x:c r="K52" s="10"/>
      <x:c r="L52" s="10"/>
      <x:c r="M52" s="11"/>
    </x:row>
    <x:row r="53">
      <x:c r="A53" s="8" t="str">
        <x:f t="shared" si="0"/>
      </x:c>
      <x:c r="B53" s="11"/>
      <x:c r="C53" s="10"/>
      <x:c r="D53" s="10"/>
      <x:c r="E53" s="10"/>
      <x:c r="F53" s="10"/>
      <x:c r="G53" s="10"/>
      <x:c r="H53" s="11"/>
      <x:c r="I53" s="10"/>
      <x:c r="J53" s="8" t="e">
        <x:f>IF(OR(H53="",I53="已决策"),0,MAX(0,项目驾驶舱!$B$3-H53))</x:f>
        <x:v>#NAME?</x:v>
      </x:c>
      <x:c r="K53" s="10"/>
      <x:c r="L53" s="10"/>
      <x:c r="M53" s="11"/>
    </x:row>
    <x:row r="54">
      <x:c r="A54" s="8" t="str">
        <x:f t="shared" si="0"/>
      </x:c>
      <x:c r="B54" s="11"/>
      <x:c r="C54" s="10"/>
      <x:c r="D54" s="10"/>
      <x:c r="E54" s="10"/>
      <x:c r="F54" s="10"/>
      <x:c r="G54" s="10"/>
      <x:c r="H54" s="11"/>
      <x:c r="I54" s="10"/>
      <x:c r="J54" s="8" t="e">
        <x:f>IF(OR(H54="",I54="已决策"),0,MAX(0,项目驾驶舱!$B$3-H54))</x:f>
        <x:v>#NAME?</x:v>
      </x:c>
      <x:c r="K54" s="10"/>
      <x:c r="L54" s="10"/>
      <x:c r="M54" s="11"/>
    </x:row>
  </x:sheetData>
  <x:mergeCells>
    <x:mergeCell ref="A1:M1"/>
    <x:mergeCell ref="A2:M2"/>
  </x:mergeCells>
  <x:conditionalFormatting sqref="J5:J54">
    <x:cfRule type="expression" dxfId="6" priority="1">
      <x:formula>$J5&gt;0</x:formula>
    </x:cfRule>
  </x:conditionalFormatting>
  <x:dataValidations count="1">
    <x:dataValidation type="list" allowBlank="1" sqref="I5:I54">
      <x:formula1>"待提出,待决策,已决策,已关闭"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1" style="1" customWidth="1"/>
    <x:col min="3" max="3" width="28" style="1" customWidth="1"/>
    <x:col min="4" max="5" width="13" style="1" customWidth="1"/>
    <x:col min="6" max="6" width="16" style="1" customWidth="1"/>
    <x:col min="7" max="7" width="13" style="1" customWidth="1"/>
    <x:col min="8" max="8" width="12" style="1" customWidth="1"/>
    <x:col min="9" max="9" width="13" style="1" customWidth="1"/>
    <x:col min="10" max="10" width="30" style="1" customWidth="1"/>
    <x:col min="11" max="11" width="34" style="1" customWidth="1"/>
    <x:col min="12" max="12" width="13" style="1" customWidth="1"/>
    <x:col min="13" max="13" width="24" style="1" customWidth="1"/>
  </x:cols>
  <x:sheetData>
    <x:row r="1" ht="28" customHeight="1">
      <x:c r="A1" s="2" t="s">
        <x:v>1469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2" customHeight="1">
      <x:c r="A2" s="5" t="s">
        <x:v>1470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A4" s="7" t="s">
        <x:v>1471</x:v>
      </x:c>
      <x:c r="B4" s="7" t="s">
        <x:v>39</x:v>
      </x:c>
      <x:c r="C4" s="7" t="s">
        <x:v>355</x:v>
      </x:c>
      <x:c r="D4" s="7" t="s">
        <x:v>22</x:v>
      </x:c>
      <x:c r="E4" s="7" t="s">
        <x:v>44</x:v>
      </x:c>
      <x:c r="F4" s="7" t="s">
        <x:v>45</x:v>
      </x:c>
      <x:c r="G4" s="7" t="s">
        <x:v>47</x:v>
      </x:c>
      <x:c r="H4" s="7" t="s">
        <x:v>1472</x:v>
      </x:c>
      <x:c r="I4" s="7" t="s">
        <x:v>65</x:v>
      </x:c>
      <x:c r="J4" s="7" t="s">
        <x:v>66</x:v>
      </x:c>
      <x:c r="K4" s="7" t="s">
        <x:v>1426</x:v>
      </x:c>
      <x:c r="L4" s="7" t="s">
        <x:v>1473</x:v>
      </x:c>
      <x:c r="M4" s="7" t="s">
        <x:v>157</x:v>
      </x:c>
    </x:row>
    <x:row r="5">
      <x:c r="A5" s="8" t="e">
        <x:f>IF(B5="","",IF(AND(E5&lt;&gt;"已完成",ISNUMBER(G5),G5&lt;=项目驾驶舱!$B$3+14),"是","否"))</x:f>
        <x:v>#NAME?</x:v>
      </x:c>
      <x:c r="B5" s="8" t="e">
        <x:f>项目总控台账!A4</x:f>
        <x:v>#NAME?</x:v>
      </x:c>
      <x:c r="C5" s="8" t="e">
        <x:f>IF(AND(项目总控台账!E4&lt;&gt;"",项目总控台账!E4&lt;&gt;"/"),项目总控台账!E4,IF(AND(项目总控台账!D4&lt;&gt;"",项目总控台账!D4&lt;&gt;"/"),项目总控台账!D4,项目总控台账!C4))</x:f>
        <x:v>#NAME?</x:v>
      </x:c>
      <x:c r="D5" s="8" t="e">
        <x:f>项目总控台账!F4</x:f>
        <x:v>#NAME?</x:v>
      </x:c>
      <x:c r="E5" s="8" t="e">
        <x:f>项目总控台账!G4</x:f>
        <x:v>#NAME?</x:v>
      </x:c>
      <x:c r="F5" s="8" t="e">
        <x:f>项目总控台账!H4</x:f>
        <x:v>#NAME?</x:v>
      </x:c>
      <x:c r="G5" s="25" t="e">
        <x:f>项目总控台账!J4</x:f>
        <x:v>#NAME?</x:v>
      </x:c>
      <x:c r="H5" s="8" t="e">
        <x:f>IF(G5="","",G5-项目驾驶舱!$B$3)</x:f>
        <x:v>#NAME?</x:v>
      </x:c>
      <x:c r="I5" s="8" t="e">
        <x:f>项目总控台账!AC4</x:f>
        <x:v>#NAME?</x:v>
      </x:c>
      <x:c r="J5" s="8" t="e">
        <x:f>项目总控台账!AD4</x:f>
        <x:v>#NAME?</x:v>
      </x:c>
      <x:c r="K5" s="8" t="e">
        <x:f t="shared" ref="K5:K68" si="0">IF(A5&lt;&gt;"是","",IF(OR(E5="暂停",E5="挂起"),"确认暂停原因、恢复条件和责任人",IF(H5&lt;0,"立即确认延期原因、影响及补救计划",IF(H5&lt;=7,"本周确认交付承诺和完成证据","提前检查依赖与风险"))))</x:f>
        <x:v>#NAME?</x:v>
      </x:c>
      <x:c r="L5" s="11"/>
      <x:c r="M5" s="10"/>
    </x:row>
    <x:row r="6">
      <x:c r="A6" s="8" t="e">
        <x:f>IF(B6="","",IF(AND(E6&lt;&gt;"已完成",ISNUMBER(G6),G6&lt;=项目驾驶舱!$B$3+14),"是","否"))</x:f>
        <x:v>#NAME?</x:v>
      </x:c>
      <x:c r="B6" s="8" t="e">
        <x:f>项目总控台账!A5</x:f>
        <x:v>#NAME?</x:v>
      </x:c>
      <x:c r="C6" s="8" t="e">
        <x:f>IF(AND(项目总控台账!E5&lt;&gt;"",项目总控台账!E5&lt;&gt;"/"),项目总控台账!E5,IF(AND(项目总控台账!D5&lt;&gt;"",项目总控台账!D5&lt;&gt;"/"),项目总控台账!D5,项目总控台账!C5))</x:f>
        <x:v>#NAME?</x:v>
      </x:c>
      <x:c r="D6" s="8" t="e">
        <x:f>项目总控台账!F5</x:f>
        <x:v>#NAME?</x:v>
      </x:c>
      <x:c r="E6" s="8" t="e">
        <x:f>项目总控台账!G5</x:f>
        <x:v>#NAME?</x:v>
      </x:c>
      <x:c r="F6" s="8" t="e">
        <x:f>项目总控台账!H5</x:f>
        <x:v>#NAME?</x:v>
      </x:c>
      <x:c r="G6" s="25" t="e">
        <x:f>项目总控台账!J5</x:f>
        <x:v>#NAME?</x:v>
      </x:c>
      <x:c r="H6" s="8" t="e">
        <x:f>IF(G6="","",G6-项目驾驶舱!$B$3)</x:f>
        <x:v>#NAME?</x:v>
      </x:c>
      <x:c r="I6" s="8" t="e">
        <x:f>项目总控台账!AC5</x:f>
        <x:v>#NAME?</x:v>
      </x:c>
      <x:c r="J6" s="8" t="e">
        <x:f>项目总控台账!AD5</x:f>
        <x:v>#NAME?</x:v>
      </x:c>
      <x:c r="K6" s="8" t="str">
        <x:f t="shared" si="0"/>
      </x:c>
      <x:c r="L6" s="11"/>
      <x:c r="M6" s="10"/>
    </x:row>
    <x:row r="7">
      <x:c r="A7" s="8" t="e">
        <x:f>IF(B7="","",IF(AND(E7&lt;&gt;"已完成",ISNUMBER(G7),G7&lt;=项目驾驶舱!$B$3+14),"是","否"))</x:f>
        <x:v>#NAME?</x:v>
      </x:c>
      <x:c r="B7" s="8" t="e">
        <x:f>项目总控台账!A6</x:f>
        <x:v>#NAME?</x:v>
      </x:c>
      <x:c r="C7" s="8" t="e">
        <x:f>IF(AND(项目总控台账!E6&lt;&gt;"",项目总控台账!E6&lt;&gt;"/"),项目总控台账!E6,IF(AND(项目总控台账!D6&lt;&gt;"",项目总控台账!D6&lt;&gt;"/"),项目总控台账!D6,项目总控台账!C6))</x:f>
        <x:v>#NAME?</x:v>
      </x:c>
      <x:c r="D7" s="8" t="e">
        <x:f>项目总控台账!F6</x:f>
        <x:v>#NAME?</x:v>
      </x:c>
      <x:c r="E7" s="8" t="e">
        <x:f>项目总控台账!G6</x:f>
        <x:v>#NAME?</x:v>
      </x:c>
      <x:c r="F7" s="8" t="e">
        <x:f>项目总控台账!H6</x:f>
        <x:v>#NAME?</x:v>
      </x:c>
      <x:c r="G7" s="25" t="e">
        <x:f>项目总控台账!J6</x:f>
        <x:v>#NAME?</x:v>
      </x:c>
      <x:c r="H7" s="8" t="e">
        <x:f>IF(G7="","",G7-项目驾驶舱!$B$3)</x:f>
        <x:v>#NAME?</x:v>
      </x:c>
      <x:c r="I7" s="8" t="e">
        <x:f>项目总控台账!AC6</x:f>
        <x:v>#NAME?</x:v>
      </x:c>
      <x:c r="J7" s="8" t="e">
        <x:f>项目总控台账!AD6</x:f>
        <x:v>#NAME?</x:v>
      </x:c>
      <x:c r="K7" s="8" t="str">
        <x:f t="shared" si="0"/>
      </x:c>
      <x:c r="L7" s="11"/>
      <x:c r="M7" s="10"/>
    </x:row>
    <x:row r="8">
      <x:c r="A8" s="8" t="e">
        <x:f>IF(B8="","",IF(AND(E8&lt;&gt;"已完成",ISNUMBER(G8),G8&lt;=项目驾驶舱!$B$3+14),"是","否"))</x:f>
        <x:v>#NAME?</x:v>
      </x:c>
      <x:c r="B8" s="8" t="e">
        <x:f>项目总控台账!A7</x:f>
        <x:v>#NAME?</x:v>
      </x:c>
      <x:c r="C8" s="8" t="e">
        <x:f>IF(AND(项目总控台账!E7&lt;&gt;"",项目总控台账!E7&lt;&gt;"/"),项目总控台账!E7,IF(AND(项目总控台账!D7&lt;&gt;"",项目总控台账!D7&lt;&gt;"/"),项目总控台账!D7,项目总控台账!C7))</x:f>
        <x:v>#NAME?</x:v>
      </x:c>
      <x:c r="D8" s="8" t="e">
        <x:f>项目总控台账!F7</x:f>
        <x:v>#NAME?</x:v>
      </x:c>
      <x:c r="E8" s="8" t="e">
        <x:f>项目总控台账!G7</x:f>
        <x:v>#NAME?</x:v>
      </x:c>
      <x:c r="F8" s="8" t="e">
        <x:f>项目总控台账!H7</x:f>
        <x:v>#NAME?</x:v>
      </x:c>
      <x:c r="G8" s="25" t="e">
        <x:f>项目总控台账!J7</x:f>
        <x:v>#NAME?</x:v>
      </x:c>
      <x:c r="H8" s="8" t="e">
        <x:f>IF(G8="","",G8-项目驾驶舱!$B$3)</x:f>
        <x:v>#NAME?</x:v>
      </x:c>
      <x:c r="I8" s="8" t="e">
        <x:f>项目总控台账!AC7</x:f>
        <x:v>#NAME?</x:v>
      </x:c>
      <x:c r="J8" s="8" t="e">
        <x:f>项目总控台账!AD7</x:f>
        <x:v>#NAME?</x:v>
      </x:c>
      <x:c r="K8" s="8" t="str">
        <x:f t="shared" si="0"/>
      </x:c>
      <x:c r="L8" s="11"/>
      <x:c r="M8" s="10"/>
    </x:row>
    <x:row r="9">
      <x:c r="A9" s="8" t="e">
        <x:f>IF(B9="","",IF(AND(E9&lt;&gt;"已完成",ISNUMBER(G9),G9&lt;=项目驾驶舱!$B$3+14),"是","否"))</x:f>
        <x:v>#NAME?</x:v>
      </x:c>
      <x:c r="B9" s="8" t="e">
        <x:f>项目总控台账!A8</x:f>
        <x:v>#NAME?</x:v>
      </x:c>
      <x:c r="C9" s="8" t="e">
        <x:f>IF(AND(项目总控台账!E8&lt;&gt;"",项目总控台账!E8&lt;&gt;"/"),项目总控台账!E8,IF(AND(项目总控台账!D8&lt;&gt;"",项目总控台账!D8&lt;&gt;"/"),项目总控台账!D8,项目总控台账!C8))</x:f>
        <x:v>#NAME?</x:v>
      </x:c>
      <x:c r="D9" s="8" t="e">
        <x:f>项目总控台账!F8</x:f>
        <x:v>#NAME?</x:v>
      </x:c>
      <x:c r="E9" s="8" t="e">
        <x:f>项目总控台账!G8</x:f>
        <x:v>#NAME?</x:v>
      </x:c>
      <x:c r="F9" s="8" t="e">
        <x:f>项目总控台账!H8</x:f>
        <x:v>#NAME?</x:v>
      </x:c>
      <x:c r="G9" s="25" t="e">
        <x:f>项目总控台账!J8</x:f>
        <x:v>#NAME?</x:v>
      </x:c>
      <x:c r="H9" s="8" t="e">
        <x:f>IF(G9="","",G9-项目驾驶舱!$B$3)</x:f>
        <x:v>#NAME?</x:v>
      </x:c>
      <x:c r="I9" s="8" t="e">
        <x:f>项目总控台账!AC8</x:f>
        <x:v>#NAME?</x:v>
      </x:c>
      <x:c r="J9" s="8" t="e">
        <x:f>项目总控台账!AD8</x:f>
        <x:v>#NAME?</x:v>
      </x:c>
      <x:c r="K9" s="8" t="str">
        <x:f t="shared" si="0"/>
      </x:c>
      <x:c r="L9" s="11"/>
      <x:c r="M9" s="10"/>
    </x:row>
    <x:row r="10">
      <x:c r="A10" s="8" t="e">
        <x:f>IF(B10="","",IF(AND(E10&lt;&gt;"已完成",ISNUMBER(G10),G10&lt;=项目驾驶舱!$B$3+14),"是","否"))</x:f>
        <x:v>#NAME?</x:v>
      </x:c>
      <x:c r="B10" s="8" t="e">
        <x:f>项目总控台账!A9</x:f>
        <x:v>#NAME?</x:v>
      </x:c>
      <x:c r="C10" s="8" t="e">
        <x:f>IF(AND(项目总控台账!E9&lt;&gt;"",项目总控台账!E9&lt;&gt;"/"),项目总控台账!E9,IF(AND(项目总控台账!D9&lt;&gt;"",项目总控台账!D9&lt;&gt;"/"),项目总控台账!D9,项目总控台账!C9))</x:f>
        <x:v>#NAME?</x:v>
      </x:c>
      <x:c r="D10" s="8" t="e">
        <x:f>项目总控台账!F9</x:f>
        <x:v>#NAME?</x:v>
      </x:c>
      <x:c r="E10" s="8" t="e">
        <x:f>项目总控台账!G9</x:f>
        <x:v>#NAME?</x:v>
      </x:c>
      <x:c r="F10" s="8" t="e">
        <x:f>项目总控台账!H9</x:f>
        <x:v>#NAME?</x:v>
      </x:c>
      <x:c r="G10" s="25" t="e">
        <x:f>项目总控台账!J9</x:f>
        <x:v>#NAME?</x:v>
      </x:c>
      <x:c r="H10" s="8" t="e">
        <x:f>IF(G10="","",G10-项目驾驶舱!$B$3)</x:f>
        <x:v>#NAME?</x:v>
      </x:c>
      <x:c r="I10" s="8" t="e">
        <x:f>项目总控台账!AC9</x:f>
        <x:v>#NAME?</x:v>
      </x:c>
      <x:c r="J10" s="8" t="e">
        <x:f>项目总控台账!AD9</x:f>
        <x:v>#NAME?</x:v>
      </x:c>
      <x:c r="K10" s="8" t="str">
        <x:f t="shared" si="0"/>
      </x:c>
      <x:c r="L10" s="11"/>
      <x:c r="M10" s="10"/>
    </x:row>
    <x:row r="11">
      <x:c r="A11" s="8" t="e">
        <x:f>IF(B11="","",IF(AND(E11&lt;&gt;"已完成",ISNUMBER(G11),G11&lt;=项目驾驶舱!$B$3+14),"是","否"))</x:f>
        <x:v>#NAME?</x:v>
      </x:c>
      <x:c r="B11" s="8" t="e">
        <x:f>项目总控台账!A10</x:f>
        <x:v>#NAME?</x:v>
      </x:c>
      <x:c r="C11" s="8" t="e">
        <x:f>IF(AND(项目总控台账!E10&lt;&gt;"",项目总控台账!E10&lt;&gt;"/"),项目总控台账!E10,IF(AND(项目总控台账!D10&lt;&gt;"",项目总控台账!D10&lt;&gt;"/"),项目总控台账!D10,项目总控台账!C10))</x:f>
        <x:v>#NAME?</x:v>
      </x:c>
      <x:c r="D11" s="8" t="e">
        <x:f>项目总控台账!F10</x:f>
        <x:v>#NAME?</x:v>
      </x:c>
      <x:c r="E11" s="8" t="e">
        <x:f>项目总控台账!G10</x:f>
        <x:v>#NAME?</x:v>
      </x:c>
      <x:c r="F11" s="8" t="e">
        <x:f>项目总控台账!H10</x:f>
        <x:v>#NAME?</x:v>
      </x:c>
      <x:c r="G11" s="25" t="e">
        <x:f>项目总控台账!J10</x:f>
        <x:v>#NAME?</x:v>
      </x:c>
      <x:c r="H11" s="8" t="e">
        <x:f>IF(G11="","",G11-项目驾驶舱!$B$3)</x:f>
        <x:v>#NAME?</x:v>
      </x:c>
      <x:c r="I11" s="8" t="e">
        <x:f>项目总控台账!AC10</x:f>
        <x:v>#NAME?</x:v>
      </x:c>
      <x:c r="J11" s="8" t="e">
        <x:f>项目总控台账!AD10</x:f>
        <x:v>#NAME?</x:v>
      </x:c>
      <x:c r="K11" s="8" t="str">
        <x:f t="shared" si="0"/>
      </x:c>
      <x:c r="L11" s="11"/>
      <x:c r="M11" s="10"/>
    </x:row>
    <x:row r="12">
      <x:c r="A12" s="8" t="e">
        <x:f>IF(B12="","",IF(AND(E12&lt;&gt;"已完成",ISNUMBER(G12),G12&lt;=项目驾驶舱!$B$3+14),"是","否"))</x:f>
        <x:v>#NAME?</x:v>
      </x:c>
      <x:c r="B12" s="8" t="e">
        <x:f>项目总控台账!A11</x:f>
        <x:v>#NAME?</x:v>
      </x:c>
      <x:c r="C12" s="8" t="e">
        <x:f>IF(AND(项目总控台账!E11&lt;&gt;"",项目总控台账!E11&lt;&gt;"/"),项目总控台账!E11,IF(AND(项目总控台账!D11&lt;&gt;"",项目总控台账!D11&lt;&gt;"/"),项目总控台账!D11,项目总控台账!C11))</x:f>
        <x:v>#NAME?</x:v>
      </x:c>
      <x:c r="D12" s="8" t="e">
        <x:f>项目总控台账!F11</x:f>
        <x:v>#NAME?</x:v>
      </x:c>
      <x:c r="E12" s="8" t="e">
        <x:f>项目总控台账!G11</x:f>
        <x:v>#NAME?</x:v>
      </x:c>
      <x:c r="F12" s="8" t="e">
        <x:f>项目总控台账!H11</x:f>
        <x:v>#NAME?</x:v>
      </x:c>
      <x:c r="G12" s="25" t="e">
        <x:f>项目总控台账!J11</x:f>
        <x:v>#NAME?</x:v>
      </x:c>
      <x:c r="H12" s="8" t="e">
        <x:f>IF(G12="","",G12-项目驾驶舱!$B$3)</x:f>
        <x:v>#NAME?</x:v>
      </x:c>
      <x:c r="I12" s="8" t="e">
        <x:f>项目总控台账!AC11</x:f>
        <x:v>#NAME?</x:v>
      </x:c>
      <x:c r="J12" s="8" t="e">
        <x:f>项目总控台账!AD11</x:f>
        <x:v>#NAME?</x:v>
      </x:c>
      <x:c r="K12" s="8" t="str">
        <x:f t="shared" si="0"/>
      </x:c>
      <x:c r="L12" s="11"/>
      <x:c r="M12" s="10"/>
    </x:row>
    <x:row r="13">
      <x:c r="A13" s="8" t="e">
        <x:f>IF(B13="","",IF(AND(E13&lt;&gt;"已完成",ISNUMBER(G13),G13&lt;=项目驾驶舱!$B$3+14),"是","否"))</x:f>
        <x:v>#NAME?</x:v>
      </x:c>
      <x:c r="B13" s="8" t="e">
        <x:f>项目总控台账!A12</x:f>
        <x:v>#NAME?</x:v>
      </x:c>
      <x:c r="C13" s="8" t="e">
        <x:f>IF(AND(项目总控台账!E12&lt;&gt;"",项目总控台账!E12&lt;&gt;"/"),项目总控台账!E12,IF(AND(项目总控台账!D12&lt;&gt;"",项目总控台账!D12&lt;&gt;"/"),项目总控台账!D12,项目总控台账!C12))</x:f>
        <x:v>#NAME?</x:v>
      </x:c>
      <x:c r="D13" s="8" t="e">
        <x:f>项目总控台账!F12</x:f>
        <x:v>#NAME?</x:v>
      </x:c>
      <x:c r="E13" s="8" t="e">
        <x:f>项目总控台账!G12</x:f>
        <x:v>#NAME?</x:v>
      </x:c>
      <x:c r="F13" s="8" t="e">
        <x:f>项目总控台账!H12</x:f>
        <x:v>#NAME?</x:v>
      </x:c>
      <x:c r="G13" s="25" t="e">
        <x:f>项目总控台账!J12</x:f>
        <x:v>#NAME?</x:v>
      </x:c>
      <x:c r="H13" s="8" t="e">
        <x:f>IF(G13="","",G13-项目驾驶舱!$B$3)</x:f>
        <x:v>#NAME?</x:v>
      </x:c>
      <x:c r="I13" s="8" t="e">
        <x:f>项目总控台账!AC12</x:f>
        <x:v>#NAME?</x:v>
      </x:c>
      <x:c r="J13" s="8" t="e">
        <x:f>项目总控台账!AD12</x:f>
        <x:v>#NAME?</x:v>
      </x:c>
      <x:c r="K13" s="8" t="str">
        <x:f t="shared" si="0"/>
      </x:c>
      <x:c r="L13" s="11"/>
      <x:c r="M13" s="10"/>
    </x:row>
    <x:row r="14">
      <x:c r="A14" s="8" t="e">
        <x:f>IF(B14="","",IF(AND(E14&lt;&gt;"已完成",ISNUMBER(G14),G14&lt;=项目驾驶舱!$B$3+14),"是","否"))</x:f>
        <x:v>#NAME?</x:v>
      </x:c>
      <x:c r="B14" s="8" t="e">
        <x:f>项目总控台账!A13</x:f>
        <x:v>#NAME?</x:v>
      </x:c>
      <x:c r="C14" s="8" t="e">
        <x:f>IF(AND(项目总控台账!E13&lt;&gt;"",项目总控台账!E13&lt;&gt;"/"),项目总控台账!E13,IF(AND(项目总控台账!D13&lt;&gt;"",项目总控台账!D13&lt;&gt;"/"),项目总控台账!D13,项目总控台账!C13))</x:f>
        <x:v>#NAME?</x:v>
      </x:c>
      <x:c r="D14" s="8" t="e">
        <x:f>项目总控台账!F13</x:f>
        <x:v>#NAME?</x:v>
      </x:c>
      <x:c r="E14" s="8" t="e">
        <x:f>项目总控台账!G13</x:f>
        <x:v>#NAME?</x:v>
      </x:c>
      <x:c r="F14" s="8" t="e">
        <x:f>项目总控台账!H13</x:f>
        <x:v>#NAME?</x:v>
      </x:c>
      <x:c r="G14" s="25" t="e">
        <x:f>项目总控台账!J13</x:f>
        <x:v>#NAME?</x:v>
      </x:c>
      <x:c r="H14" s="8" t="e">
        <x:f>IF(G14="","",G14-项目驾驶舱!$B$3)</x:f>
        <x:v>#NAME?</x:v>
      </x:c>
      <x:c r="I14" s="8" t="e">
        <x:f>项目总控台账!AC13</x:f>
        <x:v>#NAME?</x:v>
      </x:c>
      <x:c r="J14" s="8" t="e">
        <x:f>项目总控台账!AD13</x:f>
        <x:v>#NAME?</x:v>
      </x:c>
      <x:c r="K14" s="8" t="str">
        <x:f t="shared" si="0"/>
      </x:c>
      <x:c r="L14" s="11"/>
      <x:c r="M14" s="10"/>
    </x:row>
    <x:row r="15">
      <x:c r="A15" s="8" t="e">
        <x:f>IF(B15="","",IF(AND(E15&lt;&gt;"已完成",ISNUMBER(G15),G15&lt;=项目驾驶舱!$B$3+14),"是","否"))</x:f>
        <x:v>#NAME?</x:v>
      </x:c>
      <x:c r="B15" s="8" t="e">
        <x:f>项目总控台账!A14</x:f>
        <x:v>#NAME?</x:v>
      </x:c>
      <x:c r="C15" s="8" t="e">
        <x:f>IF(AND(项目总控台账!E14&lt;&gt;"",项目总控台账!E14&lt;&gt;"/"),项目总控台账!E14,IF(AND(项目总控台账!D14&lt;&gt;"",项目总控台账!D14&lt;&gt;"/"),项目总控台账!D14,项目总控台账!C14))</x:f>
        <x:v>#NAME?</x:v>
      </x:c>
      <x:c r="D15" s="8" t="e">
        <x:f>项目总控台账!F14</x:f>
        <x:v>#NAME?</x:v>
      </x:c>
      <x:c r="E15" s="8" t="e">
        <x:f>项目总控台账!G14</x:f>
        <x:v>#NAME?</x:v>
      </x:c>
      <x:c r="F15" s="8" t="e">
        <x:f>项目总控台账!H14</x:f>
        <x:v>#NAME?</x:v>
      </x:c>
      <x:c r="G15" s="25" t="e">
        <x:f>项目总控台账!J14</x:f>
        <x:v>#NAME?</x:v>
      </x:c>
      <x:c r="H15" s="8" t="e">
        <x:f>IF(G15="","",G15-项目驾驶舱!$B$3)</x:f>
        <x:v>#NAME?</x:v>
      </x:c>
      <x:c r="I15" s="8" t="e">
        <x:f>项目总控台账!AC14</x:f>
        <x:v>#NAME?</x:v>
      </x:c>
      <x:c r="J15" s="8" t="e">
        <x:f>项目总控台账!AD14</x:f>
        <x:v>#NAME?</x:v>
      </x:c>
      <x:c r="K15" s="8" t="str">
        <x:f t="shared" si="0"/>
      </x:c>
      <x:c r="L15" s="11"/>
      <x:c r="M15" s="10"/>
    </x:row>
    <x:row r="16">
      <x:c r="A16" s="8" t="e">
        <x:f>IF(B16="","",IF(AND(E16&lt;&gt;"已完成",ISNUMBER(G16),G16&lt;=项目驾驶舱!$B$3+14),"是","否"))</x:f>
        <x:v>#NAME?</x:v>
      </x:c>
      <x:c r="B16" s="8" t="e">
        <x:f>项目总控台账!A15</x:f>
        <x:v>#NAME?</x:v>
      </x:c>
      <x:c r="C16" s="8" t="e">
        <x:f>IF(AND(项目总控台账!E15&lt;&gt;"",项目总控台账!E15&lt;&gt;"/"),项目总控台账!E15,IF(AND(项目总控台账!D15&lt;&gt;"",项目总控台账!D15&lt;&gt;"/"),项目总控台账!D15,项目总控台账!C15))</x:f>
        <x:v>#NAME?</x:v>
      </x:c>
      <x:c r="D16" s="8" t="e">
        <x:f>项目总控台账!F15</x:f>
        <x:v>#NAME?</x:v>
      </x:c>
      <x:c r="E16" s="8" t="e">
        <x:f>项目总控台账!G15</x:f>
        <x:v>#NAME?</x:v>
      </x:c>
      <x:c r="F16" s="8" t="e">
        <x:f>项目总控台账!H15</x:f>
        <x:v>#NAME?</x:v>
      </x:c>
      <x:c r="G16" s="25" t="e">
        <x:f>项目总控台账!J15</x:f>
        <x:v>#NAME?</x:v>
      </x:c>
      <x:c r="H16" s="8" t="e">
        <x:f>IF(G16="","",G16-项目驾驶舱!$B$3)</x:f>
        <x:v>#NAME?</x:v>
      </x:c>
      <x:c r="I16" s="8" t="e">
        <x:f>项目总控台账!AC15</x:f>
        <x:v>#NAME?</x:v>
      </x:c>
      <x:c r="J16" s="8" t="e">
        <x:f>项目总控台账!AD15</x:f>
        <x:v>#NAME?</x:v>
      </x:c>
      <x:c r="K16" s="8" t="str">
        <x:f t="shared" si="0"/>
      </x:c>
      <x:c r="L16" s="11"/>
      <x:c r="M16" s="10"/>
    </x:row>
    <x:row r="17">
      <x:c r="A17" s="8" t="e">
        <x:f>IF(B17="","",IF(AND(E17&lt;&gt;"已完成",ISNUMBER(G17),G17&lt;=项目驾驶舱!$B$3+14),"是","否"))</x:f>
        <x:v>#NAME?</x:v>
      </x:c>
      <x:c r="B17" s="8" t="e">
        <x:f>项目总控台账!A16</x:f>
        <x:v>#NAME?</x:v>
      </x:c>
      <x:c r="C17" s="8" t="e">
        <x:f>IF(AND(项目总控台账!E16&lt;&gt;"",项目总控台账!E16&lt;&gt;"/"),项目总控台账!E16,IF(AND(项目总控台账!D16&lt;&gt;"",项目总控台账!D16&lt;&gt;"/"),项目总控台账!D16,项目总控台账!C16))</x:f>
        <x:v>#NAME?</x:v>
      </x:c>
      <x:c r="D17" s="8" t="e">
        <x:f>项目总控台账!F16</x:f>
        <x:v>#NAME?</x:v>
      </x:c>
      <x:c r="E17" s="8" t="e">
        <x:f>项目总控台账!G16</x:f>
        <x:v>#NAME?</x:v>
      </x:c>
      <x:c r="F17" s="8" t="e">
        <x:f>项目总控台账!H16</x:f>
        <x:v>#NAME?</x:v>
      </x:c>
      <x:c r="G17" s="25" t="e">
        <x:f>项目总控台账!J16</x:f>
        <x:v>#NAME?</x:v>
      </x:c>
      <x:c r="H17" s="8" t="e">
        <x:f>IF(G17="","",G17-项目驾驶舱!$B$3)</x:f>
        <x:v>#NAME?</x:v>
      </x:c>
      <x:c r="I17" s="8" t="e">
        <x:f>项目总控台账!AC16</x:f>
        <x:v>#NAME?</x:v>
      </x:c>
      <x:c r="J17" s="8" t="e">
        <x:f>项目总控台账!AD16</x:f>
        <x:v>#NAME?</x:v>
      </x:c>
      <x:c r="K17" s="8" t="str">
        <x:f t="shared" si="0"/>
      </x:c>
      <x:c r="L17" s="11"/>
      <x:c r="M17" s="10"/>
    </x:row>
    <x:row r="18">
      <x:c r="A18" s="8" t="e">
        <x:f>IF(B18="","",IF(AND(E18&lt;&gt;"已完成",ISNUMBER(G18),G18&lt;=项目驾驶舱!$B$3+14),"是","否"))</x:f>
        <x:v>#NAME?</x:v>
      </x:c>
      <x:c r="B18" s="8" t="e">
        <x:f>项目总控台账!A17</x:f>
        <x:v>#NAME?</x:v>
      </x:c>
      <x:c r="C18" s="8" t="e">
        <x:f>IF(AND(项目总控台账!E17&lt;&gt;"",项目总控台账!E17&lt;&gt;"/"),项目总控台账!E17,IF(AND(项目总控台账!D17&lt;&gt;"",项目总控台账!D17&lt;&gt;"/"),项目总控台账!D17,项目总控台账!C17))</x:f>
        <x:v>#NAME?</x:v>
      </x:c>
      <x:c r="D18" s="8" t="e">
        <x:f>项目总控台账!F17</x:f>
        <x:v>#NAME?</x:v>
      </x:c>
      <x:c r="E18" s="8" t="e">
        <x:f>项目总控台账!G17</x:f>
        <x:v>#NAME?</x:v>
      </x:c>
      <x:c r="F18" s="8" t="e">
        <x:f>项目总控台账!H17</x:f>
        <x:v>#NAME?</x:v>
      </x:c>
      <x:c r="G18" s="25" t="e">
        <x:f>项目总控台账!J17</x:f>
        <x:v>#NAME?</x:v>
      </x:c>
      <x:c r="H18" s="8" t="e">
        <x:f>IF(G18="","",G18-项目驾驶舱!$B$3)</x:f>
        <x:v>#NAME?</x:v>
      </x:c>
      <x:c r="I18" s="8" t="e">
        <x:f>项目总控台账!AC17</x:f>
        <x:v>#NAME?</x:v>
      </x:c>
      <x:c r="J18" s="8" t="e">
        <x:f>项目总控台账!AD17</x:f>
        <x:v>#NAME?</x:v>
      </x:c>
      <x:c r="K18" s="8" t="str">
        <x:f t="shared" si="0"/>
      </x:c>
      <x:c r="L18" s="11"/>
      <x:c r="M18" s="10"/>
    </x:row>
    <x:row r="19">
      <x:c r="A19" s="8" t="e">
        <x:f>IF(B19="","",IF(AND(E19&lt;&gt;"已完成",ISNUMBER(G19),G19&lt;=项目驾驶舱!$B$3+14),"是","否"))</x:f>
        <x:v>#NAME?</x:v>
      </x:c>
      <x:c r="B19" s="8" t="e">
        <x:f>项目总控台账!A18</x:f>
        <x:v>#NAME?</x:v>
      </x:c>
      <x:c r="C19" s="8" t="e">
        <x:f>IF(AND(项目总控台账!E18&lt;&gt;"",项目总控台账!E18&lt;&gt;"/"),项目总控台账!E18,IF(AND(项目总控台账!D18&lt;&gt;"",项目总控台账!D18&lt;&gt;"/"),项目总控台账!D18,项目总控台账!C18))</x:f>
        <x:v>#NAME?</x:v>
      </x:c>
      <x:c r="D19" s="8" t="e">
        <x:f>项目总控台账!F18</x:f>
        <x:v>#NAME?</x:v>
      </x:c>
      <x:c r="E19" s="8" t="e">
        <x:f>项目总控台账!G18</x:f>
        <x:v>#NAME?</x:v>
      </x:c>
      <x:c r="F19" s="8" t="e">
        <x:f>项目总控台账!H18</x:f>
        <x:v>#NAME?</x:v>
      </x:c>
      <x:c r="G19" s="25" t="e">
        <x:f>项目总控台账!J18</x:f>
        <x:v>#NAME?</x:v>
      </x:c>
      <x:c r="H19" s="8" t="e">
        <x:f>IF(G19="","",G19-项目驾驶舱!$B$3)</x:f>
        <x:v>#NAME?</x:v>
      </x:c>
      <x:c r="I19" s="8" t="e">
        <x:f>项目总控台账!AC18</x:f>
        <x:v>#NAME?</x:v>
      </x:c>
      <x:c r="J19" s="8" t="e">
        <x:f>项目总控台账!AD18</x:f>
        <x:v>#NAME?</x:v>
      </x:c>
      <x:c r="K19" s="8" t="str">
        <x:f t="shared" si="0"/>
      </x:c>
      <x:c r="L19" s="11"/>
      <x:c r="M19" s="10"/>
    </x:row>
    <x:row r="20">
      <x:c r="A20" s="8" t="e">
        <x:f>IF(B20="","",IF(AND(E20&lt;&gt;"已完成",ISNUMBER(G20),G20&lt;=项目驾驶舱!$B$3+14),"是","否"))</x:f>
        <x:v>#NAME?</x:v>
      </x:c>
      <x:c r="B20" s="8" t="e">
        <x:f>项目总控台账!A19</x:f>
        <x:v>#NAME?</x:v>
      </x:c>
      <x:c r="C20" s="8" t="e">
        <x:f>IF(AND(项目总控台账!E19&lt;&gt;"",项目总控台账!E19&lt;&gt;"/"),项目总控台账!E19,IF(AND(项目总控台账!D19&lt;&gt;"",项目总控台账!D19&lt;&gt;"/"),项目总控台账!D19,项目总控台账!C19))</x:f>
        <x:v>#NAME?</x:v>
      </x:c>
      <x:c r="D20" s="8" t="e">
        <x:f>项目总控台账!F19</x:f>
        <x:v>#NAME?</x:v>
      </x:c>
      <x:c r="E20" s="8" t="e">
        <x:f>项目总控台账!G19</x:f>
        <x:v>#NAME?</x:v>
      </x:c>
      <x:c r="F20" s="8" t="e">
        <x:f>项目总控台账!H19</x:f>
        <x:v>#NAME?</x:v>
      </x:c>
      <x:c r="G20" s="25" t="e">
        <x:f>项目总控台账!J19</x:f>
        <x:v>#NAME?</x:v>
      </x:c>
      <x:c r="H20" s="8" t="e">
        <x:f>IF(G20="","",G20-项目驾驶舱!$B$3)</x:f>
        <x:v>#NAME?</x:v>
      </x:c>
      <x:c r="I20" s="8" t="e">
        <x:f>项目总控台账!AC19</x:f>
        <x:v>#NAME?</x:v>
      </x:c>
      <x:c r="J20" s="8" t="e">
        <x:f>项目总控台账!AD19</x:f>
        <x:v>#NAME?</x:v>
      </x:c>
      <x:c r="K20" s="8" t="str">
        <x:f t="shared" si="0"/>
      </x:c>
      <x:c r="L20" s="11"/>
      <x:c r="M20" s="10"/>
    </x:row>
    <x:row r="21">
      <x:c r="A21" s="8" t="e">
        <x:f>IF(B21="","",IF(AND(E21&lt;&gt;"已完成",ISNUMBER(G21),G21&lt;=项目驾驶舱!$B$3+14),"是","否"))</x:f>
        <x:v>#NAME?</x:v>
      </x:c>
      <x:c r="B21" s="8" t="e">
        <x:f>项目总控台账!A20</x:f>
        <x:v>#NAME?</x:v>
      </x:c>
      <x:c r="C21" s="8" t="e">
        <x:f>IF(AND(项目总控台账!E20&lt;&gt;"",项目总控台账!E20&lt;&gt;"/"),项目总控台账!E20,IF(AND(项目总控台账!D20&lt;&gt;"",项目总控台账!D20&lt;&gt;"/"),项目总控台账!D20,项目总控台账!C20))</x:f>
        <x:v>#NAME?</x:v>
      </x:c>
      <x:c r="D21" s="8" t="e">
        <x:f>项目总控台账!F20</x:f>
        <x:v>#NAME?</x:v>
      </x:c>
      <x:c r="E21" s="8" t="e">
        <x:f>项目总控台账!G20</x:f>
        <x:v>#NAME?</x:v>
      </x:c>
      <x:c r="F21" s="8" t="e">
        <x:f>项目总控台账!H20</x:f>
        <x:v>#NAME?</x:v>
      </x:c>
      <x:c r="G21" s="25" t="e">
        <x:f>项目总控台账!J20</x:f>
        <x:v>#NAME?</x:v>
      </x:c>
      <x:c r="H21" s="8" t="e">
        <x:f>IF(G21="","",G21-项目驾驶舱!$B$3)</x:f>
        <x:v>#NAME?</x:v>
      </x:c>
      <x:c r="I21" s="8" t="e">
        <x:f>项目总控台账!AC20</x:f>
        <x:v>#NAME?</x:v>
      </x:c>
      <x:c r="J21" s="8" t="e">
        <x:f>项目总控台账!AD20</x:f>
        <x:v>#NAME?</x:v>
      </x:c>
      <x:c r="K21" s="8" t="str">
        <x:f t="shared" si="0"/>
      </x:c>
      <x:c r="L21" s="11"/>
      <x:c r="M21" s="10"/>
    </x:row>
    <x:row r="22">
      <x:c r="A22" s="8" t="e">
        <x:f>IF(B22="","",IF(AND(E22&lt;&gt;"已完成",ISNUMBER(G22),G22&lt;=项目驾驶舱!$B$3+14),"是","否"))</x:f>
        <x:v>#NAME?</x:v>
      </x:c>
      <x:c r="B22" s="8" t="e">
        <x:f>项目总控台账!A21</x:f>
        <x:v>#NAME?</x:v>
      </x:c>
      <x:c r="C22" s="8" t="e">
        <x:f>IF(AND(项目总控台账!E21&lt;&gt;"",项目总控台账!E21&lt;&gt;"/"),项目总控台账!E21,IF(AND(项目总控台账!D21&lt;&gt;"",项目总控台账!D21&lt;&gt;"/"),项目总控台账!D21,项目总控台账!C21))</x:f>
        <x:v>#NAME?</x:v>
      </x:c>
      <x:c r="D22" s="8" t="e">
        <x:f>项目总控台账!F21</x:f>
        <x:v>#NAME?</x:v>
      </x:c>
      <x:c r="E22" s="8" t="e">
        <x:f>项目总控台账!G21</x:f>
        <x:v>#NAME?</x:v>
      </x:c>
      <x:c r="F22" s="8" t="e">
        <x:f>项目总控台账!H21</x:f>
        <x:v>#NAME?</x:v>
      </x:c>
      <x:c r="G22" s="25" t="e">
        <x:f>项目总控台账!J21</x:f>
        <x:v>#NAME?</x:v>
      </x:c>
      <x:c r="H22" s="8" t="e">
        <x:f>IF(G22="","",G22-项目驾驶舱!$B$3)</x:f>
        <x:v>#NAME?</x:v>
      </x:c>
      <x:c r="I22" s="8" t="e">
        <x:f>项目总控台账!AC21</x:f>
        <x:v>#NAME?</x:v>
      </x:c>
      <x:c r="J22" s="8" t="e">
        <x:f>项目总控台账!AD21</x:f>
        <x:v>#NAME?</x:v>
      </x:c>
      <x:c r="K22" s="8" t="str">
        <x:f t="shared" si="0"/>
      </x:c>
      <x:c r="L22" s="11"/>
      <x:c r="M22" s="10"/>
    </x:row>
    <x:row r="23">
      <x:c r="A23" s="8" t="e">
        <x:f>IF(B23="","",IF(AND(E23&lt;&gt;"已完成",ISNUMBER(G23),G23&lt;=项目驾驶舱!$B$3+14),"是","否"))</x:f>
        <x:v>#NAME?</x:v>
      </x:c>
      <x:c r="B23" s="8" t="e">
        <x:f>项目总控台账!A22</x:f>
        <x:v>#NAME?</x:v>
      </x:c>
      <x:c r="C23" s="8" t="e">
        <x:f>IF(AND(项目总控台账!E22&lt;&gt;"",项目总控台账!E22&lt;&gt;"/"),项目总控台账!E22,IF(AND(项目总控台账!D22&lt;&gt;"",项目总控台账!D22&lt;&gt;"/"),项目总控台账!D22,项目总控台账!C22))</x:f>
        <x:v>#NAME?</x:v>
      </x:c>
      <x:c r="D23" s="8" t="e">
        <x:f>项目总控台账!F22</x:f>
        <x:v>#NAME?</x:v>
      </x:c>
      <x:c r="E23" s="8" t="e">
        <x:f>项目总控台账!G22</x:f>
        <x:v>#NAME?</x:v>
      </x:c>
      <x:c r="F23" s="8" t="e">
        <x:f>项目总控台账!H22</x:f>
        <x:v>#NAME?</x:v>
      </x:c>
      <x:c r="G23" s="25" t="e">
        <x:f>项目总控台账!J22</x:f>
        <x:v>#NAME?</x:v>
      </x:c>
      <x:c r="H23" s="8" t="e">
        <x:f>IF(G23="","",G23-项目驾驶舱!$B$3)</x:f>
        <x:v>#NAME?</x:v>
      </x:c>
      <x:c r="I23" s="8" t="e">
        <x:f>项目总控台账!AC22</x:f>
        <x:v>#NAME?</x:v>
      </x:c>
      <x:c r="J23" s="8" t="e">
        <x:f>项目总控台账!AD22</x:f>
        <x:v>#NAME?</x:v>
      </x:c>
      <x:c r="K23" s="8" t="str">
        <x:f t="shared" si="0"/>
      </x:c>
      <x:c r="L23" s="11"/>
      <x:c r="M23" s="10"/>
    </x:row>
    <x:row r="24">
      <x:c r="A24" s="8" t="e">
        <x:f>IF(B24="","",IF(AND(E24&lt;&gt;"已完成",ISNUMBER(G24),G24&lt;=项目驾驶舱!$B$3+14),"是","否"))</x:f>
        <x:v>#NAME?</x:v>
      </x:c>
      <x:c r="B24" s="8" t="e">
        <x:f>项目总控台账!A23</x:f>
        <x:v>#NAME?</x:v>
      </x:c>
      <x:c r="C24" s="8" t="e">
        <x:f>IF(AND(项目总控台账!E23&lt;&gt;"",项目总控台账!E23&lt;&gt;"/"),项目总控台账!E23,IF(AND(项目总控台账!D23&lt;&gt;"",项目总控台账!D23&lt;&gt;"/"),项目总控台账!D23,项目总控台账!C23))</x:f>
        <x:v>#NAME?</x:v>
      </x:c>
      <x:c r="D24" s="8" t="e">
        <x:f>项目总控台账!F23</x:f>
        <x:v>#NAME?</x:v>
      </x:c>
      <x:c r="E24" s="8" t="e">
        <x:f>项目总控台账!G23</x:f>
        <x:v>#NAME?</x:v>
      </x:c>
      <x:c r="F24" s="8" t="e">
        <x:f>项目总控台账!H23</x:f>
        <x:v>#NAME?</x:v>
      </x:c>
      <x:c r="G24" s="25" t="e">
        <x:f>项目总控台账!J23</x:f>
        <x:v>#NAME?</x:v>
      </x:c>
      <x:c r="H24" s="8" t="e">
        <x:f>IF(G24="","",G24-项目驾驶舱!$B$3)</x:f>
        <x:v>#NAME?</x:v>
      </x:c>
      <x:c r="I24" s="8" t="e">
        <x:f>项目总控台账!AC23</x:f>
        <x:v>#NAME?</x:v>
      </x:c>
      <x:c r="J24" s="8" t="e">
        <x:f>项目总控台账!AD23</x:f>
        <x:v>#NAME?</x:v>
      </x:c>
      <x:c r="K24" s="8" t="str">
        <x:f t="shared" si="0"/>
      </x:c>
      <x:c r="L24" s="11"/>
      <x:c r="M24" s="10"/>
    </x:row>
    <x:row r="25">
      <x:c r="A25" s="8" t="e">
        <x:f>IF(B25="","",IF(AND(E25&lt;&gt;"已完成",ISNUMBER(G25),G25&lt;=项目驾驶舱!$B$3+14),"是","否"))</x:f>
        <x:v>#NAME?</x:v>
      </x:c>
      <x:c r="B25" s="8" t="e">
        <x:f>项目总控台账!A24</x:f>
        <x:v>#NAME?</x:v>
      </x:c>
      <x:c r="C25" s="8" t="e">
        <x:f>IF(AND(项目总控台账!E24&lt;&gt;"",项目总控台账!E24&lt;&gt;"/"),项目总控台账!E24,IF(AND(项目总控台账!D24&lt;&gt;"",项目总控台账!D24&lt;&gt;"/"),项目总控台账!D24,项目总控台账!C24))</x:f>
        <x:v>#NAME?</x:v>
      </x:c>
      <x:c r="D25" s="8" t="e">
        <x:f>项目总控台账!F24</x:f>
        <x:v>#NAME?</x:v>
      </x:c>
      <x:c r="E25" s="8" t="e">
        <x:f>项目总控台账!G24</x:f>
        <x:v>#NAME?</x:v>
      </x:c>
      <x:c r="F25" s="8" t="e">
        <x:f>项目总控台账!H24</x:f>
        <x:v>#NAME?</x:v>
      </x:c>
      <x:c r="G25" s="25" t="e">
        <x:f>项目总控台账!J24</x:f>
        <x:v>#NAME?</x:v>
      </x:c>
      <x:c r="H25" s="8" t="e">
        <x:f>IF(G25="","",G25-项目驾驶舱!$B$3)</x:f>
        <x:v>#NAME?</x:v>
      </x:c>
      <x:c r="I25" s="8" t="e">
        <x:f>项目总控台账!AC24</x:f>
        <x:v>#NAME?</x:v>
      </x:c>
      <x:c r="J25" s="8" t="e">
        <x:f>项目总控台账!AD24</x:f>
        <x:v>#NAME?</x:v>
      </x:c>
      <x:c r="K25" s="8" t="str">
        <x:f t="shared" si="0"/>
      </x:c>
      <x:c r="L25" s="11"/>
      <x:c r="M25" s="10"/>
    </x:row>
    <x:row r="26">
      <x:c r="A26" s="8" t="e">
        <x:f>IF(B26="","",IF(AND(E26&lt;&gt;"已完成",ISNUMBER(G26),G26&lt;=项目驾驶舱!$B$3+14),"是","否"))</x:f>
        <x:v>#NAME?</x:v>
      </x:c>
      <x:c r="B26" s="8" t="e">
        <x:f>项目总控台账!A25</x:f>
        <x:v>#NAME?</x:v>
      </x:c>
      <x:c r="C26" s="8" t="e">
        <x:f>IF(AND(项目总控台账!E25&lt;&gt;"",项目总控台账!E25&lt;&gt;"/"),项目总控台账!E25,IF(AND(项目总控台账!D25&lt;&gt;"",项目总控台账!D25&lt;&gt;"/"),项目总控台账!D25,项目总控台账!C25))</x:f>
        <x:v>#NAME?</x:v>
      </x:c>
      <x:c r="D26" s="8" t="e">
        <x:f>项目总控台账!F25</x:f>
        <x:v>#NAME?</x:v>
      </x:c>
      <x:c r="E26" s="8" t="e">
        <x:f>项目总控台账!G25</x:f>
        <x:v>#NAME?</x:v>
      </x:c>
      <x:c r="F26" s="8" t="e">
        <x:f>项目总控台账!H25</x:f>
        <x:v>#NAME?</x:v>
      </x:c>
      <x:c r="G26" s="25" t="e">
        <x:f>项目总控台账!J25</x:f>
        <x:v>#NAME?</x:v>
      </x:c>
      <x:c r="H26" s="8" t="e">
        <x:f>IF(G26="","",G26-项目驾驶舱!$B$3)</x:f>
        <x:v>#NAME?</x:v>
      </x:c>
      <x:c r="I26" s="8" t="e">
        <x:f>项目总控台账!AC25</x:f>
        <x:v>#NAME?</x:v>
      </x:c>
      <x:c r="J26" s="8" t="e">
        <x:f>项目总控台账!AD25</x:f>
        <x:v>#NAME?</x:v>
      </x:c>
      <x:c r="K26" s="8" t="str">
        <x:f t="shared" si="0"/>
      </x:c>
      <x:c r="L26" s="11"/>
      <x:c r="M26" s="10"/>
    </x:row>
    <x:row r="27">
      <x:c r="A27" s="8" t="e">
        <x:f>IF(B27="","",IF(AND(E27&lt;&gt;"已完成",ISNUMBER(G27),G27&lt;=项目驾驶舱!$B$3+14),"是","否"))</x:f>
        <x:v>#NAME?</x:v>
      </x:c>
      <x:c r="B27" s="8" t="e">
        <x:f>项目总控台账!A26</x:f>
        <x:v>#NAME?</x:v>
      </x:c>
      <x:c r="C27" s="8" t="e">
        <x:f>IF(AND(项目总控台账!E26&lt;&gt;"",项目总控台账!E26&lt;&gt;"/"),项目总控台账!E26,IF(AND(项目总控台账!D26&lt;&gt;"",项目总控台账!D26&lt;&gt;"/"),项目总控台账!D26,项目总控台账!C26))</x:f>
        <x:v>#NAME?</x:v>
      </x:c>
      <x:c r="D27" s="8" t="e">
        <x:f>项目总控台账!F26</x:f>
        <x:v>#NAME?</x:v>
      </x:c>
      <x:c r="E27" s="8" t="e">
        <x:f>项目总控台账!G26</x:f>
        <x:v>#NAME?</x:v>
      </x:c>
      <x:c r="F27" s="8" t="e">
        <x:f>项目总控台账!H26</x:f>
        <x:v>#NAME?</x:v>
      </x:c>
      <x:c r="G27" s="25" t="e">
        <x:f>项目总控台账!J26</x:f>
        <x:v>#NAME?</x:v>
      </x:c>
      <x:c r="H27" s="8" t="e">
        <x:f>IF(G27="","",G27-项目驾驶舱!$B$3)</x:f>
        <x:v>#NAME?</x:v>
      </x:c>
      <x:c r="I27" s="8" t="e">
        <x:f>项目总控台账!AC26</x:f>
        <x:v>#NAME?</x:v>
      </x:c>
      <x:c r="J27" s="8" t="e">
        <x:f>项目总控台账!AD26</x:f>
        <x:v>#NAME?</x:v>
      </x:c>
      <x:c r="K27" s="8" t="str">
        <x:f t="shared" si="0"/>
      </x:c>
      <x:c r="L27" s="11"/>
      <x:c r="M27" s="10"/>
    </x:row>
    <x:row r="28">
      <x:c r="A28" s="8" t="e">
        <x:f>IF(B28="","",IF(AND(E28&lt;&gt;"已完成",ISNUMBER(G28),G28&lt;=项目驾驶舱!$B$3+14),"是","否"))</x:f>
        <x:v>#NAME?</x:v>
      </x:c>
      <x:c r="B28" s="8" t="e">
        <x:f>项目总控台账!A27</x:f>
        <x:v>#NAME?</x:v>
      </x:c>
      <x:c r="C28" s="8" t="e">
        <x:f>IF(AND(项目总控台账!E27&lt;&gt;"",项目总控台账!E27&lt;&gt;"/"),项目总控台账!E27,IF(AND(项目总控台账!D27&lt;&gt;"",项目总控台账!D27&lt;&gt;"/"),项目总控台账!D27,项目总控台账!C27))</x:f>
        <x:v>#NAME?</x:v>
      </x:c>
      <x:c r="D28" s="8" t="e">
        <x:f>项目总控台账!F27</x:f>
        <x:v>#NAME?</x:v>
      </x:c>
      <x:c r="E28" s="8" t="e">
        <x:f>项目总控台账!G27</x:f>
        <x:v>#NAME?</x:v>
      </x:c>
      <x:c r="F28" s="8" t="e">
        <x:f>项目总控台账!H27</x:f>
        <x:v>#NAME?</x:v>
      </x:c>
      <x:c r="G28" s="25" t="e">
        <x:f>项目总控台账!J27</x:f>
        <x:v>#NAME?</x:v>
      </x:c>
      <x:c r="H28" s="8" t="e">
        <x:f>IF(G28="","",G28-项目驾驶舱!$B$3)</x:f>
        <x:v>#NAME?</x:v>
      </x:c>
      <x:c r="I28" s="8" t="e">
        <x:f>项目总控台账!AC27</x:f>
        <x:v>#NAME?</x:v>
      </x:c>
      <x:c r="J28" s="8" t="e">
        <x:f>项目总控台账!AD27</x:f>
        <x:v>#NAME?</x:v>
      </x:c>
      <x:c r="K28" s="8" t="str">
        <x:f t="shared" si="0"/>
      </x:c>
      <x:c r="L28" s="11"/>
      <x:c r="M28" s="10"/>
    </x:row>
    <x:row r="29">
      <x:c r="A29" s="8" t="e">
        <x:f>IF(B29="","",IF(AND(E29&lt;&gt;"已完成",ISNUMBER(G29),G29&lt;=项目驾驶舱!$B$3+14),"是","否"))</x:f>
        <x:v>#NAME?</x:v>
      </x:c>
      <x:c r="B29" s="8" t="e">
        <x:f>项目总控台账!A28</x:f>
        <x:v>#NAME?</x:v>
      </x:c>
      <x:c r="C29" s="8" t="e">
        <x:f>IF(AND(项目总控台账!E28&lt;&gt;"",项目总控台账!E28&lt;&gt;"/"),项目总控台账!E28,IF(AND(项目总控台账!D28&lt;&gt;"",项目总控台账!D28&lt;&gt;"/"),项目总控台账!D28,项目总控台账!C28))</x:f>
        <x:v>#NAME?</x:v>
      </x:c>
      <x:c r="D29" s="8" t="e">
        <x:f>项目总控台账!F28</x:f>
        <x:v>#NAME?</x:v>
      </x:c>
      <x:c r="E29" s="8" t="e">
        <x:f>项目总控台账!G28</x:f>
        <x:v>#NAME?</x:v>
      </x:c>
      <x:c r="F29" s="8" t="e">
        <x:f>项目总控台账!H28</x:f>
        <x:v>#NAME?</x:v>
      </x:c>
      <x:c r="G29" s="25" t="e">
        <x:f>项目总控台账!J28</x:f>
        <x:v>#NAME?</x:v>
      </x:c>
      <x:c r="H29" s="8" t="e">
        <x:f>IF(G29="","",G29-项目驾驶舱!$B$3)</x:f>
        <x:v>#NAME?</x:v>
      </x:c>
      <x:c r="I29" s="8" t="e">
        <x:f>项目总控台账!AC28</x:f>
        <x:v>#NAME?</x:v>
      </x:c>
      <x:c r="J29" s="8" t="e">
        <x:f>项目总控台账!AD28</x:f>
        <x:v>#NAME?</x:v>
      </x:c>
      <x:c r="K29" s="8" t="str">
        <x:f t="shared" si="0"/>
        <x:v>立即确认延期原因、影响及补救计划</x:v>
      </x:c>
      <x:c r="L29" s="11"/>
      <x:c r="M29" s="10"/>
    </x:row>
    <x:row r="30">
      <x:c r="A30" s="8" t="e">
        <x:f>IF(B30="","",IF(AND(E30&lt;&gt;"已完成",ISNUMBER(G30),G30&lt;=项目驾驶舱!$B$3+14),"是","否"))</x:f>
        <x:v>#NAME?</x:v>
      </x:c>
      <x:c r="B30" s="8" t="e">
        <x:f>项目总控台账!A29</x:f>
        <x:v>#NAME?</x:v>
      </x:c>
      <x:c r="C30" s="8" t="e">
        <x:f>IF(AND(项目总控台账!E29&lt;&gt;"",项目总控台账!E29&lt;&gt;"/"),项目总控台账!E29,IF(AND(项目总控台账!D29&lt;&gt;"",项目总控台账!D29&lt;&gt;"/"),项目总控台账!D29,项目总控台账!C29))</x:f>
        <x:v>#NAME?</x:v>
      </x:c>
      <x:c r="D30" s="8" t="e">
        <x:f>项目总控台账!F29</x:f>
        <x:v>#NAME?</x:v>
      </x:c>
      <x:c r="E30" s="8" t="e">
        <x:f>项目总控台账!G29</x:f>
        <x:v>#NAME?</x:v>
      </x:c>
      <x:c r="F30" s="8" t="e">
        <x:f>项目总控台账!H29</x:f>
        <x:v>#NAME?</x:v>
      </x:c>
      <x:c r="G30" s="25" t="e">
        <x:f>项目总控台账!J29</x:f>
        <x:v>#NAME?</x:v>
      </x:c>
      <x:c r="H30" s="8" t="e">
        <x:f>IF(G30="","",G30-项目驾驶舱!$B$3)</x:f>
        <x:v>#NAME?</x:v>
      </x:c>
      <x:c r="I30" s="8" t="e">
        <x:f>项目总控台账!AC29</x:f>
        <x:v>#NAME?</x:v>
      </x:c>
      <x:c r="J30" s="8" t="e">
        <x:f>项目总控台账!AD29</x:f>
        <x:v>#NAME?</x:v>
      </x:c>
      <x:c r="K30" s="8" t="str">
        <x:f t="shared" si="0"/>
        <x:v>立即确认延期原因、影响及补救计划</x:v>
      </x:c>
      <x:c r="L30" s="11"/>
      <x:c r="M30" s="10"/>
    </x:row>
    <x:row r="31">
      <x:c r="A31" s="8" t="e">
        <x:f>IF(B31="","",IF(AND(E31&lt;&gt;"已完成",ISNUMBER(G31),G31&lt;=项目驾驶舱!$B$3+14),"是","否"))</x:f>
        <x:v>#NAME?</x:v>
      </x:c>
      <x:c r="B31" s="8" t="e">
        <x:f>项目总控台账!A30</x:f>
        <x:v>#NAME?</x:v>
      </x:c>
      <x:c r="C31" s="8" t="e">
        <x:f>IF(AND(项目总控台账!E30&lt;&gt;"",项目总控台账!E30&lt;&gt;"/"),项目总控台账!E30,IF(AND(项目总控台账!D30&lt;&gt;"",项目总控台账!D30&lt;&gt;"/"),项目总控台账!D30,项目总控台账!C30))</x:f>
        <x:v>#NAME?</x:v>
      </x:c>
      <x:c r="D31" s="8" t="e">
        <x:f>项目总控台账!F30</x:f>
        <x:v>#NAME?</x:v>
      </x:c>
      <x:c r="E31" s="8" t="e">
        <x:f>项目总控台账!G30</x:f>
        <x:v>#NAME?</x:v>
      </x:c>
      <x:c r="F31" s="8" t="e">
        <x:f>项目总控台账!H30</x:f>
        <x:v>#NAME?</x:v>
      </x:c>
      <x:c r="G31" s="25" t="e">
        <x:f>项目总控台账!J30</x:f>
        <x:v>#NAME?</x:v>
      </x:c>
      <x:c r="H31" s="8" t="e">
        <x:f>IF(G31="","",G31-项目驾驶舱!$B$3)</x:f>
        <x:v>#NAME?</x:v>
      </x:c>
      <x:c r="I31" s="8" t="e">
        <x:f>项目总控台账!AC30</x:f>
        <x:v>#NAME?</x:v>
      </x:c>
      <x:c r="J31" s="8" t="e">
        <x:f>项目总控台账!AD30</x:f>
        <x:v>#NAME?</x:v>
      </x:c>
      <x:c r="K31" s="8" t="str">
        <x:f t="shared" si="0"/>
        <x:v>立即确认延期原因、影响及补救计划</x:v>
      </x:c>
      <x:c r="L31" s="11"/>
      <x:c r="M31" s="10"/>
    </x:row>
    <x:row r="32">
      <x:c r="A32" s="8" t="e">
        <x:f>IF(B32="","",IF(AND(E32&lt;&gt;"已完成",ISNUMBER(G32),G32&lt;=项目驾驶舱!$B$3+14),"是","否"))</x:f>
        <x:v>#NAME?</x:v>
      </x:c>
      <x:c r="B32" s="8" t="e">
        <x:f>项目总控台账!A31</x:f>
        <x:v>#NAME?</x:v>
      </x:c>
      <x:c r="C32" s="8" t="e">
        <x:f>IF(AND(项目总控台账!E31&lt;&gt;"",项目总控台账!E31&lt;&gt;"/"),项目总控台账!E31,IF(AND(项目总控台账!D31&lt;&gt;"",项目总控台账!D31&lt;&gt;"/"),项目总控台账!D31,项目总控台账!C31))</x:f>
        <x:v>#NAME?</x:v>
      </x:c>
      <x:c r="D32" s="8" t="e">
        <x:f>项目总控台账!F31</x:f>
        <x:v>#NAME?</x:v>
      </x:c>
      <x:c r="E32" s="8" t="e">
        <x:f>项目总控台账!G31</x:f>
        <x:v>#NAME?</x:v>
      </x:c>
      <x:c r="F32" s="8" t="e">
        <x:f>项目总控台账!H31</x:f>
        <x:v>#NAME?</x:v>
      </x:c>
      <x:c r="G32" s="25" t="e">
        <x:f>项目总控台账!J31</x:f>
        <x:v>#NAME?</x:v>
      </x:c>
      <x:c r="H32" s="8" t="e">
        <x:f>IF(G32="","",G32-项目驾驶舱!$B$3)</x:f>
        <x:v>#NAME?</x:v>
      </x:c>
      <x:c r="I32" s="8" t="e">
        <x:f>项目总控台账!AC31</x:f>
        <x:v>#NAME?</x:v>
      </x:c>
      <x:c r="J32" s="8" t="e">
        <x:f>项目总控台账!AD31</x:f>
        <x:v>#NAME?</x:v>
      </x:c>
      <x:c r="K32" s="8" t="str">
        <x:f t="shared" si="0"/>
        <x:v>立即确认延期原因、影响及补救计划</x:v>
      </x:c>
      <x:c r="L32" s="11"/>
      <x:c r="M32" s="10"/>
    </x:row>
    <x:row r="33">
      <x:c r="A33" s="8" t="e">
        <x:f>IF(B33="","",IF(AND(E33&lt;&gt;"已完成",ISNUMBER(G33),G33&lt;=项目驾驶舱!$B$3+14),"是","否"))</x:f>
        <x:v>#NAME?</x:v>
      </x:c>
      <x:c r="B33" s="8" t="e">
        <x:f>项目总控台账!A32</x:f>
        <x:v>#NAME?</x:v>
      </x:c>
      <x:c r="C33" s="8" t="e">
        <x:f>IF(AND(项目总控台账!E32&lt;&gt;"",项目总控台账!E32&lt;&gt;"/"),项目总控台账!E32,IF(AND(项目总控台账!D32&lt;&gt;"",项目总控台账!D32&lt;&gt;"/"),项目总控台账!D32,项目总控台账!C32))</x:f>
        <x:v>#NAME?</x:v>
      </x:c>
      <x:c r="D33" s="8" t="e">
        <x:f>项目总控台账!F32</x:f>
        <x:v>#NAME?</x:v>
      </x:c>
      <x:c r="E33" s="8" t="e">
        <x:f>项目总控台账!G32</x:f>
        <x:v>#NAME?</x:v>
      </x:c>
      <x:c r="F33" s="8" t="e">
        <x:f>项目总控台账!H32</x:f>
        <x:v>#NAME?</x:v>
      </x:c>
      <x:c r="G33" s="25" t="e">
        <x:f>项目总控台账!J32</x:f>
        <x:v>#NAME?</x:v>
      </x:c>
      <x:c r="H33" s="8" t="e">
        <x:f>IF(G33="","",G33-项目驾驶舱!$B$3)</x:f>
        <x:v>#NAME?</x:v>
      </x:c>
      <x:c r="I33" s="8" t="e">
        <x:f>项目总控台账!AC32</x:f>
        <x:v>#NAME?</x:v>
      </x:c>
      <x:c r="J33" s="8" t="e">
        <x:f>项目总控台账!AD32</x:f>
        <x:v>#NAME?</x:v>
      </x:c>
      <x:c r="K33" s="8" t="str">
        <x:f t="shared" si="0"/>
        <x:v>立即确认延期原因、影响及补救计划</x:v>
      </x:c>
      <x:c r="L33" s="11"/>
      <x:c r="M33" s="10"/>
    </x:row>
    <x:row r="34">
      <x:c r="A34" s="8" t="e">
        <x:f>IF(B34="","",IF(AND(E34&lt;&gt;"已完成",ISNUMBER(G34),G34&lt;=项目驾驶舱!$B$3+14),"是","否"))</x:f>
        <x:v>#NAME?</x:v>
      </x:c>
      <x:c r="B34" s="8" t="e">
        <x:f>项目总控台账!A33</x:f>
        <x:v>#NAME?</x:v>
      </x:c>
      <x:c r="C34" s="8" t="e">
        <x:f>IF(AND(项目总控台账!E33&lt;&gt;"",项目总控台账!E33&lt;&gt;"/"),项目总控台账!E33,IF(AND(项目总控台账!D33&lt;&gt;"",项目总控台账!D33&lt;&gt;"/"),项目总控台账!D33,项目总控台账!C33))</x:f>
        <x:v>#NAME?</x:v>
      </x:c>
      <x:c r="D34" s="8" t="e">
        <x:f>项目总控台账!F33</x:f>
        <x:v>#NAME?</x:v>
      </x:c>
      <x:c r="E34" s="8" t="e">
        <x:f>项目总控台账!G33</x:f>
        <x:v>#NAME?</x:v>
      </x:c>
      <x:c r="F34" s="8" t="e">
        <x:f>项目总控台账!H33</x:f>
        <x:v>#NAME?</x:v>
      </x:c>
      <x:c r="G34" s="25" t="e">
        <x:f>项目总控台账!J33</x:f>
        <x:v>#NAME?</x:v>
      </x:c>
      <x:c r="H34" s="8" t="e">
        <x:f>IF(G34="","",G34-项目驾驶舱!$B$3)</x:f>
        <x:v>#NAME?</x:v>
      </x:c>
      <x:c r="I34" s="8" t="e">
        <x:f>项目总控台账!AC33</x:f>
        <x:v>#NAME?</x:v>
      </x:c>
      <x:c r="J34" s="8" t="e">
        <x:f>项目总控台账!AD33</x:f>
        <x:v>#NAME?</x:v>
      </x:c>
      <x:c r="K34" s="8" t="str">
        <x:f t="shared" si="0"/>
        <x:v>立即确认延期原因、影响及补救计划</x:v>
      </x:c>
      <x:c r="L34" s="11"/>
      <x:c r="M34" s="10"/>
    </x:row>
    <x:row r="35">
      <x:c r="A35" s="8" t="e">
        <x:f>IF(B35="","",IF(AND(E35&lt;&gt;"已完成",ISNUMBER(G35),G35&lt;=项目驾驶舱!$B$3+14),"是","否"))</x:f>
        <x:v>#NAME?</x:v>
      </x:c>
      <x:c r="B35" s="8" t="e">
        <x:f>项目总控台账!A34</x:f>
        <x:v>#NAME?</x:v>
      </x:c>
      <x:c r="C35" s="8" t="e">
        <x:f>IF(AND(项目总控台账!E34&lt;&gt;"",项目总控台账!E34&lt;&gt;"/"),项目总控台账!E34,IF(AND(项目总控台账!D34&lt;&gt;"",项目总控台账!D34&lt;&gt;"/"),项目总控台账!D34,项目总控台账!C34))</x:f>
        <x:v>#NAME?</x:v>
      </x:c>
      <x:c r="D35" s="8" t="e">
        <x:f>项目总控台账!F34</x:f>
        <x:v>#NAME?</x:v>
      </x:c>
      <x:c r="E35" s="8" t="e">
        <x:f>项目总控台账!G34</x:f>
        <x:v>#NAME?</x:v>
      </x:c>
      <x:c r="F35" s="8" t="e">
        <x:f>项目总控台账!H34</x:f>
        <x:v>#NAME?</x:v>
      </x:c>
      <x:c r="G35" s="25" t="e">
        <x:f>项目总控台账!J34</x:f>
        <x:v>#NAME?</x:v>
      </x:c>
      <x:c r="H35" s="8" t="e">
        <x:f>IF(G35="","",G35-项目驾驶舱!$B$3)</x:f>
        <x:v>#NAME?</x:v>
      </x:c>
      <x:c r="I35" s="8" t="e">
        <x:f>项目总控台账!AC34</x:f>
        <x:v>#NAME?</x:v>
      </x:c>
      <x:c r="J35" s="8" t="e">
        <x:f>项目总控台账!AD34</x:f>
        <x:v>#NAME?</x:v>
      </x:c>
      <x:c r="K35" s="8" t="str">
        <x:f t="shared" si="0"/>
      </x:c>
      <x:c r="L35" s="11"/>
      <x:c r="M35" s="10"/>
    </x:row>
    <x:row r="36">
      <x:c r="A36" s="8" t="e">
        <x:f>IF(B36="","",IF(AND(E36&lt;&gt;"已完成",ISNUMBER(G36),G36&lt;=项目驾驶舱!$B$3+14),"是","否"))</x:f>
        <x:v>#NAME?</x:v>
      </x:c>
      <x:c r="B36" s="8" t="e">
        <x:f>项目总控台账!A35</x:f>
        <x:v>#NAME?</x:v>
      </x:c>
      <x:c r="C36" s="8" t="e">
        <x:f>IF(AND(项目总控台账!E35&lt;&gt;"",项目总控台账!E35&lt;&gt;"/"),项目总控台账!E35,IF(AND(项目总控台账!D35&lt;&gt;"",项目总控台账!D35&lt;&gt;"/"),项目总控台账!D35,项目总控台账!C35))</x:f>
        <x:v>#NAME?</x:v>
      </x:c>
      <x:c r="D36" s="8" t="e">
        <x:f>项目总控台账!F35</x:f>
        <x:v>#NAME?</x:v>
      </x:c>
      <x:c r="E36" s="8" t="e">
        <x:f>项目总控台账!G35</x:f>
        <x:v>#NAME?</x:v>
      </x:c>
      <x:c r="F36" s="8" t="e">
        <x:f>项目总控台账!H35</x:f>
        <x:v>#NAME?</x:v>
      </x:c>
      <x:c r="G36" s="25" t="e">
        <x:f>项目总控台账!J35</x:f>
        <x:v>#NAME?</x:v>
      </x:c>
      <x:c r="H36" s="8" t="e">
        <x:f>IF(G36="","",G36-项目驾驶舱!$B$3)</x:f>
        <x:v>#NAME?</x:v>
      </x:c>
      <x:c r="I36" s="8" t="e">
        <x:f>项目总控台账!AC35</x:f>
        <x:v>#NAME?</x:v>
      </x:c>
      <x:c r="J36" s="8" t="e">
        <x:f>项目总控台账!AD35</x:f>
        <x:v>#NAME?</x:v>
      </x:c>
      <x:c r="K36" s="8" t="str">
        <x:f t="shared" si="0"/>
      </x:c>
      <x:c r="L36" s="11"/>
      <x:c r="M36" s="10"/>
    </x:row>
    <x:row r="37">
      <x:c r="A37" s="8" t="e">
        <x:f>IF(B37="","",IF(AND(E37&lt;&gt;"已完成",ISNUMBER(G37),G37&lt;=项目驾驶舱!$B$3+14),"是","否"))</x:f>
        <x:v>#NAME?</x:v>
      </x:c>
      <x:c r="B37" s="8" t="e">
        <x:f>项目总控台账!A36</x:f>
        <x:v>#NAME?</x:v>
      </x:c>
      <x:c r="C37" s="8" t="e">
        <x:f>IF(AND(项目总控台账!E36&lt;&gt;"",项目总控台账!E36&lt;&gt;"/"),项目总控台账!E36,IF(AND(项目总控台账!D36&lt;&gt;"",项目总控台账!D36&lt;&gt;"/"),项目总控台账!D36,项目总控台账!C36))</x:f>
        <x:v>#NAME?</x:v>
      </x:c>
      <x:c r="D37" s="8" t="e">
        <x:f>项目总控台账!F36</x:f>
        <x:v>#NAME?</x:v>
      </x:c>
      <x:c r="E37" s="8" t="e">
        <x:f>项目总控台账!G36</x:f>
        <x:v>#NAME?</x:v>
      </x:c>
      <x:c r="F37" s="8" t="e">
        <x:f>项目总控台账!H36</x:f>
        <x:v>#NAME?</x:v>
      </x:c>
      <x:c r="G37" s="25" t="e">
        <x:f>项目总控台账!J36</x:f>
        <x:v>#NAME?</x:v>
      </x:c>
      <x:c r="H37" s="8" t="e">
        <x:f>IF(G37="","",G37-项目驾驶舱!$B$3)</x:f>
        <x:v>#NAME?</x:v>
      </x:c>
      <x:c r="I37" s="8" t="e">
        <x:f>项目总控台账!AC36</x:f>
        <x:v>#NAME?</x:v>
      </x:c>
      <x:c r="J37" s="8" t="e">
        <x:f>项目总控台账!AD36</x:f>
        <x:v>#NAME?</x:v>
      </x:c>
      <x:c r="K37" s="8" t="str">
        <x:f t="shared" si="0"/>
      </x:c>
      <x:c r="L37" s="11"/>
      <x:c r="M37" s="10"/>
    </x:row>
    <x:row r="38">
      <x:c r="A38" s="8" t="e">
        <x:f>IF(B38="","",IF(AND(E38&lt;&gt;"已完成",ISNUMBER(G38),G38&lt;=项目驾驶舱!$B$3+14),"是","否"))</x:f>
        <x:v>#NAME?</x:v>
      </x:c>
      <x:c r="B38" s="8" t="e">
        <x:f>项目总控台账!A37</x:f>
        <x:v>#NAME?</x:v>
      </x:c>
      <x:c r="C38" s="8" t="e">
        <x:f>IF(AND(项目总控台账!E37&lt;&gt;"",项目总控台账!E37&lt;&gt;"/"),项目总控台账!E37,IF(AND(项目总控台账!D37&lt;&gt;"",项目总控台账!D37&lt;&gt;"/"),项目总控台账!D37,项目总控台账!C37))</x:f>
        <x:v>#NAME?</x:v>
      </x:c>
      <x:c r="D38" s="8" t="e">
        <x:f>项目总控台账!F37</x:f>
        <x:v>#NAME?</x:v>
      </x:c>
      <x:c r="E38" s="8" t="e">
        <x:f>项目总控台账!G37</x:f>
        <x:v>#NAME?</x:v>
      </x:c>
      <x:c r="F38" s="8" t="e">
        <x:f>项目总控台账!H37</x:f>
        <x:v>#NAME?</x:v>
      </x:c>
      <x:c r="G38" s="25" t="e">
        <x:f>项目总控台账!J37</x:f>
        <x:v>#NAME?</x:v>
      </x:c>
      <x:c r="H38" s="8" t="e">
        <x:f>IF(G38="","",G38-项目驾驶舱!$B$3)</x:f>
        <x:v>#NAME?</x:v>
      </x:c>
      <x:c r="I38" s="8" t="e">
        <x:f>项目总控台账!AC37</x:f>
        <x:v>#NAME?</x:v>
      </x:c>
      <x:c r="J38" s="8" t="e">
        <x:f>项目总控台账!AD37</x:f>
        <x:v>#NAME?</x:v>
      </x:c>
      <x:c r="K38" s="8" t="str">
        <x:f t="shared" si="0"/>
      </x:c>
      <x:c r="L38" s="11"/>
      <x:c r="M38" s="10"/>
    </x:row>
    <x:row r="39">
      <x:c r="A39" s="8" t="e">
        <x:f>IF(B39="","",IF(AND(E39&lt;&gt;"已完成",ISNUMBER(G39),G39&lt;=项目驾驶舱!$B$3+14),"是","否"))</x:f>
        <x:v>#NAME?</x:v>
      </x:c>
      <x:c r="B39" s="8" t="e">
        <x:f>项目总控台账!A38</x:f>
        <x:v>#NAME?</x:v>
      </x:c>
      <x:c r="C39" s="8" t="e">
        <x:f>IF(AND(项目总控台账!E38&lt;&gt;"",项目总控台账!E38&lt;&gt;"/"),项目总控台账!E38,IF(AND(项目总控台账!D38&lt;&gt;"",项目总控台账!D38&lt;&gt;"/"),项目总控台账!D38,项目总控台账!C38))</x:f>
        <x:v>#NAME?</x:v>
      </x:c>
      <x:c r="D39" s="8" t="e">
        <x:f>项目总控台账!F38</x:f>
        <x:v>#NAME?</x:v>
      </x:c>
      <x:c r="E39" s="8" t="e">
        <x:f>项目总控台账!G38</x:f>
        <x:v>#NAME?</x:v>
      </x:c>
      <x:c r="F39" s="8" t="e">
        <x:f>项目总控台账!H38</x:f>
        <x:v>#NAME?</x:v>
      </x:c>
      <x:c r="G39" s="25" t="e">
        <x:f>项目总控台账!J38</x:f>
        <x:v>#NAME?</x:v>
      </x:c>
      <x:c r="H39" s="8" t="e">
        <x:f>IF(G39="","",G39-项目驾驶舱!$B$3)</x:f>
        <x:v>#NAME?</x:v>
      </x:c>
      <x:c r="I39" s="8" t="e">
        <x:f>项目总控台账!AC38</x:f>
        <x:v>#NAME?</x:v>
      </x:c>
      <x:c r="J39" s="8" t="e">
        <x:f>项目总控台账!AD38</x:f>
        <x:v>#NAME?</x:v>
      </x:c>
      <x:c r="K39" s="8" t="str">
        <x:f t="shared" si="0"/>
      </x:c>
      <x:c r="L39" s="11"/>
      <x:c r="M39" s="10"/>
    </x:row>
    <x:row r="40">
      <x:c r="A40" s="8" t="e">
        <x:f>IF(B40="","",IF(AND(E40&lt;&gt;"已完成",ISNUMBER(G40),G40&lt;=项目驾驶舱!$B$3+14),"是","否"))</x:f>
        <x:v>#NAME?</x:v>
      </x:c>
      <x:c r="B40" s="8" t="e">
        <x:f>项目总控台账!A39</x:f>
        <x:v>#NAME?</x:v>
      </x:c>
      <x:c r="C40" s="8" t="e">
        <x:f>IF(AND(项目总控台账!E39&lt;&gt;"",项目总控台账!E39&lt;&gt;"/"),项目总控台账!E39,IF(AND(项目总控台账!D39&lt;&gt;"",项目总控台账!D39&lt;&gt;"/"),项目总控台账!D39,项目总控台账!C39))</x:f>
        <x:v>#NAME?</x:v>
      </x:c>
      <x:c r="D40" s="8" t="e">
        <x:f>项目总控台账!F39</x:f>
        <x:v>#NAME?</x:v>
      </x:c>
      <x:c r="E40" s="8" t="e">
        <x:f>项目总控台账!G39</x:f>
        <x:v>#NAME?</x:v>
      </x:c>
      <x:c r="F40" s="8" t="e">
        <x:f>项目总控台账!H39</x:f>
        <x:v>#NAME?</x:v>
      </x:c>
      <x:c r="G40" s="25" t="e">
        <x:f>项目总控台账!J39</x:f>
        <x:v>#NAME?</x:v>
      </x:c>
      <x:c r="H40" s="8" t="e">
        <x:f>IF(G40="","",G40-项目驾驶舱!$B$3)</x:f>
        <x:v>#NAME?</x:v>
      </x:c>
      <x:c r="I40" s="8" t="e">
        <x:f>项目总控台账!AC39</x:f>
        <x:v>#NAME?</x:v>
      </x:c>
      <x:c r="J40" s="8" t="e">
        <x:f>项目总控台账!AD39</x:f>
        <x:v>#NAME?</x:v>
      </x:c>
      <x:c r="K40" s="8" t="str">
        <x:f t="shared" si="0"/>
      </x:c>
      <x:c r="L40" s="11"/>
      <x:c r="M40" s="10"/>
    </x:row>
    <x:row r="41">
      <x:c r="A41" s="8" t="e">
        <x:f>IF(B41="","",IF(AND(E41&lt;&gt;"已完成",ISNUMBER(G41),G41&lt;=项目驾驶舱!$B$3+14),"是","否"))</x:f>
        <x:v>#NAME?</x:v>
      </x:c>
      <x:c r="B41" s="8" t="e">
        <x:f>项目总控台账!A40</x:f>
        <x:v>#NAME?</x:v>
      </x:c>
      <x:c r="C41" s="8" t="e">
        <x:f>IF(AND(项目总控台账!E40&lt;&gt;"",项目总控台账!E40&lt;&gt;"/"),项目总控台账!E40,IF(AND(项目总控台账!D40&lt;&gt;"",项目总控台账!D40&lt;&gt;"/"),项目总控台账!D40,项目总控台账!C40))</x:f>
        <x:v>#NAME?</x:v>
      </x:c>
      <x:c r="D41" s="8" t="e">
        <x:f>项目总控台账!F40</x:f>
        <x:v>#NAME?</x:v>
      </x:c>
      <x:c r="E41" s="8" t="e">
        <x:f>项目总控台账!G40</x:f>
        <x:v>#NAME?</x:v>
      </x:c>
      <x:c r="F41" s="8" t="e">
        <x:f>项目总控台账!H40</x:f>
        <x:v>#NAME?</x:v>
      </x:c>
      <x:c r="G41" s="25" t="e">
        <x:f>项目总控台账!J40</x:f>
        <x:v>#NAME?</x:v>
      </x:c>
      <x:c r="H41" s="8" t="e">
        <x:f>IF(G41="","",G41-项目驾驶舱!$B$3)</x:f>
        <x:v>#NAME?</x:v>
      </x:c>
      <x:c r="I41" s="8" t="e">
        <x:f>项目总控台账!AC40</x:f>
        <x:v>#NAME?</x:v>
      </x:c>
      <x:c r="J41" s="8" t="e">
        <x:f>项目总控台账!AD40</x:f>
        <x:v>#NAME?</x:v>
      </x:c>
      <x:c r="K41" s="8" t="str">
        <x:f t="shared" si="0"/>
      </x:c>
      <x:c r="L41" s="11"/>
      <x:c r="M41" s="10"/>
    </x:row>
    <x:row r="42">
      <x:c r="A42" s="8" t="e">
        <x:f>IF(B42="","",IF(AND(E42&lt;&gt;"已完成",ISNUMBER(G42),G42&lt;=项目驾驶舱!$B$3+14),"是","否"))</x:f>
        <x:v>#NAME?</x:v>
      </x:c>
      <x:c r="B42" s="8" t="e">
        <x:f>项目总控台账!A41</x:f>
        <x:v>#NAME?</x:v>
      </x:c>
      <x:c r="C42" s="8" t="e">
        <x:f>IF(AND(项目总控台账!E41&lt;&gt;"",项目总控台账!E41&lt;&gt;"/"),项目总控台账!E41,IF(AND(项目总控台账!D41&lt;&gt;"",项目总控台账!D41&lt;&gt;"/"),项目总控台账!D41,项目总控台账!C41))</x:f>
        <x:v>#NAME?</x:v>
      </x:c>
      <x:c r="D42" s="8" t="e">
        <x:f>项目总控台账!F41</x:f>
        <x:v>#NAME?</x:v>
      </x:c>
      <x:c r="E42" s="8" t="e">
        <x:f>项目总控台账!G41</x:f>
        <x:v>#NAME?</x:v>
      </x:c>
      <x:c r="F42" s="8" t="e">
        <x:f>项目总控台账!H41</x:f>
        <x:v>#NAME?</x:v>
      </x:c>
      <x:c r="G42" s="25" t="e">
        <x:f>项目总控台账!J41</x:f>
        <x:v>#NAME?</x:v>
      </x:c>
      <x:c r="H42" s="8" t="e">
        <x:f>IF(G42="","",G42-项目驾驶舱!$B$3)</x:f>
        <x:v>#NAME?</x:v>
      </x:c>
      <x:c r="I42" s="8" t="e">
        <x:f>项目总控台账!AC41</x:f>
        <x:v>#NAME?</x:v>
      </x:c>
      <x:c r="J42" s="8" t="e">
        <x:f>项目总控台账!AD41</x:f>
        <x:v>#NAME?</x:v>
      </x:c>
      <x:c r="K42" s="8" t="str">
        <x:f t="shared" si="0"/>
      </x:c>
      <x:c r="L42" s="11"/>
      <x:c r="M42" s="10"/>
    </x:row>
    <x:row r="43">
      <x:c r="A43" s="8" t="e">
        <x:f>IF(B43="","",IF(AND(E43&lt;&gt;"已完成",ISNUMBER(G43),G43&lt;=项目驾驶舱!$B$3+14),"是","否"))</x:f>
        <x:v>#NAME?</x:v>
      </x:c>
      <x:c r="B43" s="8" t="e">
        <x:f>项目总控台账!A42</x:f>
        <x:v>#NAME?</x:v>
      </x:c>
      <x:c r="C43" s="8" t="e">
        <x:f>IF(AND(项目总控台账!E42&lt;&gt;"",项目总控台账!E42&lt;&gt;"/"),项目总控台账!E42,IF(AND(项目总控台账!D42&lt;&gt;"",项目总控台账!D42&lt;&gt;"/"),项目总控台账!D42,项目总控台账!C42))</x:f>
        <x:v>#NAME?</x:v>
      </x:c>
      <x:c r="D43" s="8" t="e">
        <x:f>项目总控台账!F42</x:f>
        <x:v>#NAME?</x:v>
      </x:c>
      <x:c r="E43" s="8" t="e">
        <x:f>项目总控台账!G42</x:f>
        <x:v>#NAME?</x:v>
      </x:c>
      <x:c r="F43" s="8" t="e">
        <x:f>项目总控台账!H42</x:f>
        <x:v>#NAME?</x:v>
      </x:c>
      <x:c r="G43" s="25" t="e">
        <x:f>项目总控台账!J42</x:f>
        <x:v>#NAME?</x:v>
      </x:c>
      <x:c r="H43" s="8" t="e">
        <x:f>IF(G43="","",G43-项目驾驶舱!$B$3)</x:f>
        <x:v>#NAME?</x:v>
      </x:c>
      <x:c r="I43" s="8" t="e">
        <x:f>项目总控台账!AC42</x:f>
        <x:v>#NAME?</x:v>
      </x:c>
      <x:c r="J43" s="8" t="e">
        <x:f>项目总控台账!AD42</x:f>
        <x:v>#NAME?</x:v>
      </x:c>
      <x:c r="K43" s="8" t="str">
        <x:f t="shared" si="0"/>
      </x:c>
      <x:c r="L43" s="11"/>
      <x:c r="M43" s="10"/>
    </x:row>
    <x:row r="44">
      <x:c r="A44" s="8" t="e">
        <x:f>IF(B44="","",IF(AND(E44&lt;&gt;"已完成",ISNUMBER(G44),G44&lt;=项目驾驶舱!$B$3+14),"是","否"))</x:f>
        <x:v>#NAME?</x:v>
      </x:c>
      <x:c r="B44" s="8" t="e">
        <x:f>项目总控台账!A43</x:f>
        <x:v>#NAME?</x:v>
      </x:c>
      <x:c r="C44" s="8" t="e">
        <x:f>IF(AND(项目总控台账!E43&lt;&gt;"",项目总控台账!E43&lt;&gt;"/"),项目总控台账!E43,IF(AND(项目总控台账!D43&lt;&gt;"",项目总控台账!D43&lt;&gt;"/"),项目总控台账!D43,项目总控台账!C43))</x:f>
        <x:v>#NAME?</x:v>
      </x:c>
      <x:c r="D44" s="8" t="e">
        <x:f>项目总控台账!F43</x:f>
        <x:v>#NAME?</x:v>
      </x:c>
      <x:c r="E44" s="8" t="e">
        <x:f>项目总控台账!G43</x:f>
        <x:v>#NAME?</x:v>
      </x:c>
      <x:c r="F44" s="8" t="e">
        <x:f>项目总控台账!H43</x:f>
        <x:v>#NAME?</x:v>
      </x:c>
      <x:c r="G44" s="25" t="e">
        <x:f>项目总控台账!J43</x:f>
        <x:v>#NAME?</x:v>
      </x:c>
      <x:c r="H44" s="8" t="e">
        <x:f>IF(G44="","",G44-项目驾驶舱!$B$3)</x:f>
        <x:v>#NAME?</x:v>
      </x:c>
      <x:c r="I44" s="8" t="e">
        <x:f>项目总控台账!AC43</x:f>
        <x:v>#NAME?</x:v>
      </x:c>
      <x:c r="J44" s="8" t="e">
        <x:f>项目总控台账!AD43</x:f>
        <x:v>#NAME?</x:v>
      </x:c>
      <x:c r="K44" s="8" t="str">
        <x:f t="shared" si="0"/>
      </x:c>
      <x:c r="L44" s="11"/>
      <x:c r="M44" s="10"/>
    </x:row>
    <x:row r="45">
      <x:c r="A45" s="8" t="e">
        <x:f>IF(B45="","",IF(AND(E45&lt;&gt;"已完成",ISNUMBER(G45),G45&lt;=项目驾驶舱!$B$3+14),"是","否"))</x:f>
        <x:v>#NAME?</x:v>
      </x:c>
      <x:c r="B45" s="8" t="e">
        <x:f>项目总控台账!A44</x:f>
        <x:v>#NAME?</x:v>
      </x:c>
      <x:c r="C45" s="8" t="e">
        <x:f>IF(AND(项目总控台账!E44&lt;&gt;"",项目总控台账!E44&lt;&gt;"/"),项目总控台账!E44,IF(AND(项目总控台账!D44&lt;&gt;"",项目总控台账!D44&lt;&gt;"/"),项目总控台账!D44,项目总控台账!C44))</x:f>
        <x:v>#NAME?</x:v>
      </x:c>
      <x:c r="D45" s="8" t="e">
        <x:f>项目总控台账!F44</x:f>
        <x:v>#NAME?</x:v>
      </x:c>
      <x:c r="E45" s="8" t="e">
        <x:f>项目总控台账!G44</x:f>
        <x:v>#NAME?</x:v>
      </x:c>
      <x:c r="F45" s="8" t="e">
        <x:f>项目总控台账!H44</x:f>
        <x:v>#NAME?</x:v>
      </x:c>
      <x:c r="G45" s="25" t="e">
        <x:f>项目总控台账!J44</x:f>
        <x:v>#NAME?</x:v>
      </x:c>
      <x:c r="H45" s="8" t="e">
        <x:f>IF(G45="","",G45-项目驾驶舱!$B$3)</x:f>
        <x:v>#NAME?</x:v>
      </x:c>
      <x:c r="I45" s="8" t="e">
        <x:f>项目总控台账!AC44</x:f>
        <x:v>#NAME?</x:v>
      </x:c>
      <x:c r="J45" s="8" t="e">
        <x:f>项目总控台账!AD44</x:f>
        <x:v>#NAME?</x:v>
      </x:c>
      <x:c r="K45" s="8" t="str">
        <x:f t="shared" si="0"/>
      </x:c>
      <x:c r="L45" s="11"/>
      <x:c r="M45" s="10"/>
    </x:row>
    <x:row r="46">
      <x:c r="A46" s="8" t="e">
        <x:f>IF(B46="","",IF(AND(E46&lt;&gt;"已完成",ISNUMBER(G46),G46&lt;=项目驾驶舱!$B$3+14),"是","否"))</x:f>
        <x:v>#NAME?</x:v>
      </x:c>
      <x:c r="B46" s="8" t="e">
        <x:f>项目总控台账!A45</x:f>
        <x:v>#NAME?</x:v>
      </x:c>
      <x:c r="C46" s="8" t="e">
        <x:f>IF(AND(项目总控台账!E45&lt;&gt;"",项目总控台账!E45&lt;&gt;"/"),项目总控台账!E45,IF(AND(项目总控台账!D45&lt;&gt;"",项目总控台账!D45&lt;&gt;"/"),项目总控台账!D45,项目总控台账!C45))</x:f>
        <x:v>#NAME?</x:v>
      </x:c>
      <x:c r="D46" s="8" t="e">
        <x:f>项目总控台账!F45</x:f>
        <x:v>#NAME?</x:v>
      </x:c>
      <x:c r="E46" s="8" t="e">
        <x:f>项目总控台账!G45</x:f>
        <x:v>#NAME?</x:v>
      </x:c>
      <x:c r="F46" s="8" t="e">
        <x:f>项目总控台账!H45</x:f>
        <x:v>#NAME?</x:v>
      </x:c>
      <x:c r="G46" s="25" t="e">
        <x:f>项目总控台账!J45</x:f>
        <x:v>#NAME?</x:v>
      </x:c>
      <x:c r="H46" s="8" t="e">
        <x:f>IF(G46="","",G46-项目驾驶舱!$B$3)</x:f>
        <x:v>#NAME?</x:v>
      </x:c>
      <x:c r="I46" s="8" t="e">
        <x:f>项目总控台账!AC45</x:f>
        <x:v>#NAME?</x:v>
      </x:c>
      <x:c r="J46" s="8" t="e">
        <x:f>项目总控台账!AD45</x:f>
        <x:v>#NAME?</x:v>
      </x:c>
      <x:c r="K46" s="8" t="str">
        <x:f t="shared" si="0"/>
      </x:c>
      <x:c r="L46" s="11"/>
      <x:c r="M46" s="10"/>
    </x:row>
    <x:row r="47">
      <x:c r="A47" s="8" t="e">
        <x:f>IF(B47="","",IF(AND(E47&lt;&gt;"已完成",ISNUMBER(G47),G47&lt;=项目驾驶舱!$B$3+14),"是","否"))</x:f>
        <x:v>#NAME?</x:v>
      </x:c>
      <x:c r="B47" s="8" t="e">
        <x:f>项目总控台账!A46</x:f>
        <x:v>#NAME?</x:v>
      </x:c>
      <x:c r="C47" s="8" t="e">
        <x:f>IF(AND(项目总控台账!E46&lt;&gt;"",项目总控台账!E46&lt;&gt;"/"),项目总控台账!E46,IF(AND(项目总控台账!D46&lt;&gt;"",项目总控台账!D46&lt;&gt;"/"),项目总控台账!D46,项目总控台账!C46))</x:f>
        <x:v>#NAME?</x:v>
      </x:c>
      <x:c r="D47" s="8" t="e">
        <x:f>项目总控台账!F46</x:f>
        <x:v>#NAME?</x:v>
      </x:c>
      <x:c r="E47" s="8" t="e">
        <x:f>项目总控台账!G46</x:f>
        <x:v>#NAME?</x:v>
      </x:c>
      <x:c r="F47" s="8" t="e">
        <x:f>项目总控台账!H46</x:f>
        <x:v>#NAME?</x:v>
      </x:c>
      <x:c r="G47" s="25" t="e">
        <x:f>项目总控台账!J46</x:f>
        <x:v>#NAME?</x:v>
      </x:c>
      <x:c r="H47" s="8" t="e">
        <x:f>IF(G47="","",G47-项目驾驶舱!$B$3)</x:f>
        <x:v>#NAME?</x:v>
      </x:c>
      <x:c r="I47" s="8" t="e">
        <x:f>项目总控台账!AC46</x:f>
        <x:v>#NAME?</x:v>
      </x:c>
      <x:c r="J47" s="8" t="e">
        <x:f>项目总控台账!AD46</x:f>
        <x:v>#NAME?</x:v>
      </x:c>
      <x:c r="K47" s="8" t="str">
        <x:f t="shared" si="0"/>
      </x:c>
      <x:c r="L47" s="11"/>
      <x:c r="M47" s="10"/>
    </x:row>
    <x:row r="48">
      <x:c r="A48" s="8" t="e">
        <x:f>IF(B48="","",IF(AND(E48&lt;&gt;"已完成",ISNUMBER(G48),G48&lt;=项目驾驶舱!$B$3+14),"是","否"))</x:f>
        <x:v>#NAME?</x:v>
      </x:c>
      <x:c r="B48" s="8" t="e">
        <x:f>项目总控台账!A47</x:f>
        <x:v>#NAME?</x:v>
      </x:c>
      <x:c r="C48" s="8" t="e">
        <x:f>IF(AND(项目总控台账!E47&lt;&gt;"",项目总控台账!E47&lt;&gt;"/"),项目总控台账!E47,IF(AND(项目总控台账!D47&lt;&gt;"",项目总控台账!D47&lt;&gt;"/"),项目总控台账!D47,项目总控台账!C47))</x:f>
        <x:v>#NAME?</x:v>
      </x:c>
      <x:c r="D48" s="8" t="e">
        <x:f>项目总控台账!F47</x:f>
        <x:v>#NAME?</x:v>
      </x:c>
      <x:c r="E48" s="8" t="e">
        <x:f>项目总控台账!G47</x:f>
        <x:v>#NAME?</x:v>
      </x:c>
      <x:c r="F48" s="8" t="e">
        <x:f>项目总控台账!H47</x:f>
        <x:v>#NAME?</x:v>
      </x:c>
      <x:c r="G48" s="25" t="e">
        <x:f>项目总控台账!J47</x:f>
        <x:v>#NAME?</x:v>
      </x:c>
      <x:c r="H48" s="8" t="e">
        <x:f>IF(G48="","",G48-项目驾驶舱!$B$3)</x:f>
        <x:v>#NAME?</x:v>
      </x:c>
      <x:c r="I48" s="8" t="e">
        <x:f>项目总控台账!AC47</x:f>
        <x:v>#NAME?</x:v>
      </x:c>
      <x:c r="J48" s="8" t="e">
        <x:f>项目总控台账!AD47</x:f>
        <x:v>#NAME?</x:v>
      </x:c>
      <x:c r="K48" s="8" t="str">
        <x:f t="shared" si="0"/>
      </x:c>
      <x:c r="L48" s="11"/>
      <x:c r="M48" s="10"/>
    </x:row>
    <x:row r="49">
      <x:c r="A49" s="8" t="e">
        <x:f>IF(B49="","",IF(AND(E49&lt;&gt;"已完成",ISNUMBER(G49),G49&lt;=项目驾驶舱!$B$3+14),"是","否"))</x:f>
        <x:v>#NAME?</x:v>
      </x:c>
      <x:c r="B49" s="8" t="e">
        <x:f>项目总控台账!A48</x:f>
        <x:v>#NAME?</x:v>
      </x:c>
      <x:c r="C49" s="8" t="e">
        <x:f>IF(AND(项目总控台账!E48&lt;&gt;"",项目总控台账!E48&lt;&gt;"/"),项目总控台账!E48,IF(AND(项目总控台账!D48&lt;&gt;"",项目总控台账!D48&lt;&gt;"/"),项目总控台账!D48,项目总控台账!C48))</x:f>
        <x:v>#NAME?</x:v>
      </x:c>
      <x:c r="D49" s="8" t="e">
        <x:f>项目总控台账!F48</x:f>
        <x:v>#NAME?</x:v>
      </x:c>
      <x:c r="E49" s="8" t="e">
        <x:f>项目总控台账!G48</x:f>
        <x:v>#NAME?</x:v>
      </x:c>
      <x:c r="F49" s="8" t="e">
        <x:f>项目总控台账!H48</x:f>
        <x:v>#NAME?</x:v>
      </x:c>
      <x:c r="G49" s="25" t="e">
        <x:f>项目总控台账!J48</x:f>
        <x:v>#NAME?</x:v>
      </x:c>
      <x:c r="H49" s="8" t="e">
        <x:f>IF(G49="","",G49-项目驾驶舱!$B$3)</x:f>
        <x:v>#NAME?</x:v>
      </x:c>
      <x:c r="I49" s="8" t="e">
        <x:f>项目总控台账!AC48</x:f>
        <x:v>#NAME?</x:v>
      </x:c>
      <x:c r="J49" s="8" t="e">
        <x:f>项目总控台账!AD48</x:f>
        <x:v>#NAME?</x:v>
      </x:c>
      <x:c r="K49" s="8" t="str">
        <x:f t="shared" si="0"/>
      </x:c>
      <x:c r="L49" s="11"/>
      <x:c r="M49" s="10"/>
    </x:row>
    <x:row r="50">
      <x:c r="A50" s="8" t="e">
        <x:f>IF(B50="","",IF(AND(E50&lt;&gt;"已完成",ISNUMBER(G50),G50&lt;=项目驾驶舱!$B$3+14),"是","否"))</x:f>
        <x:v>#NAME?</x:v>
      </x:c>
      <x:c r="B50" s="8" t="e">
        <x:f>项目总控台账!A49</x:f>
        <x:v>#NAME?</x:v>
      </x:c>
      <x:c r="C50" s="8" t="e">
        <x:f>IF(AND(项目总控台账!E49&lt;&gt;"",项目总控台账!E49&lt;&gt;"/"),项目总控台账!E49,IF(AND(项目总控台账!D49&lt;&gt;"",项目总控台账!D49&lt;&gt;"/"),项目总控台账!D49,项目总控台账!C49))</x:f>
        <x:v>#NAME?</x:v>
      </x:c>
      <x:c r="D50" s="8" t="e">
        <x:f>项目总控台账!F49</x:f>
        <x:v>#NAME?</x:v>
      </x:c>
      <x:c r="E50" s="8" t="e">
        <x:f>项目总控台账!G49</x:f>
        <x:v>#NAME?</x:v>
      </x:c>
      <x:c r="F50" s="8" t="e">
        <x:f>项目总控台账!H49</x:f>
        <x:v>#NAME?</x:v>
      </x:c>
      <x:c r="G50" s="25" t="e">
        <x:f>项目总控台账!J49</x:f>
        <x:v>#NAME?</x:v>
      </x:c>
      <x:c r="H50" s="8" t="e">
        <x:f>IF(G50="","",G50-项目驾驶舱!$B$3)</x:f>
        <x:v>#NAME?</x:v>
      </x:c>
      <x:c r="I50" s="8" t="e">
        <x:f>项目总控台账!AC49</x:f>
        <x:v>#NAME?</x:v>
      </x:c>
      <x:c r="J50" s="8" t="e">
        <x:f>项目总控台账!AD49</x:f>
        <x:v>#NAME?</x:v>
      </x:c>
      <x:c r="K50" s="8" t="str">
        <x:f t="shared" si="0"/>
      </x:c>
      <x:c r="L50" s="11"/>
      <x:c r="M50" s="10"/>
    </x:row>
    <x:row r="51">
      <x:c r="A51" s="8" t="e">
        <x:f>IF(B51="","",IF(AND(E51&lt;&gt;"已完成",ISNUMBER(G51),G51&lt;=项目驾驶舱!$B$3+14),"是","否"))</x:f>
        <x:v>#NAME?</x:v>
      </x:c>
      <x:c r="B51" s="8" t="e">
        <x:f>项目总控台账!A50</x:f>
        <x:v>#NAME?</x:v>
      </x:c>
      <x:c r="C51" s="8" t="e">
        <x:f>IF(AND(项目总控台账!E50&lt;&gt;"",项目总控台账!E50&lt;&gt;"/"),项目总控台账!E50,IF(AND(项目总控台账!D50&lt;&gt;"",项目总控台账!D50&lt;&gt;"/"),项目总控台账!D50,项目总控台账!C50))</x:f>
        <x:v>#NAME?</x:v>
      </x:c>
      <x:c r="D51" s="8" t="e">
        <x:f>项目总控台账!F50</x:f>
        <x:v>#NAME?</x:v>
      </x:c>
      <x:c r="E51" s="8" t="e">
        <x:f>项目总控台账!G50</x:f>
        <x:v>#NAME?</x:v>
      </x:c>
      <x:c r="F51" s="8" t="e">
        <x:f>项目总控台账!H50</x:f>
        <x:v>#NAME?</x:v>
      </x:c>
      <x:c r="G51" s="25" t="e">
        <x:f>项目总控台账!J50</x:f>
        <x:v>#NAME?</x:v>
      </x:c>
      <x:c r="H51" s="8" t="e">
        <x:f>IF(G51="","",G51-项目驾驶舱!$B$3)</x:f>
        <x:v>#NAME?</x:v>
      </x:c>
      <x:c r="I51" s="8" t="e">
        <x:f>项目总控台账!AC50</x:f>
        <x:v>#NAME?</x:v>
      </x:c>
      <x:c r="J51" s="8" t="e">
        <x:f>项目总控台账!AD50</x:f>
        <x:v>#NAME?</x:v>
      </x:c>
      <x:c r="K51" s="8" t="str">
        <x:f t="shared" si="0"/>
      </x:c>
      <x:c r="L51" s="11"/>
      <x:c r="M51" s="10"/>
    </x:row>
    <x:row r="52">
      <x:c r="A52" s="8" t="e">
        <x:f>IF(B52="","",IF(AND(E52&lt;&gt;"已完成",ISNUMBER(G52),G52&lt;=项目驾驶舱!$B$3+14),"是","否"))</x:f>
        <x:v>#NAME?</x:v>
      </x:c>
      <x:c r="B52" s="8" t="e">
        <x:f>项目总控台账!A51</x:f>
        <x:v>#NAME?</x:v>
      </x:c>
      <x:c r="C52" s="8" t="e">
        <x:f>IF(AND(项目总控台账!E51&lt;&gt;"",项目总控台账!E51&lt;&gt;"/"),项目总控台账!E51,IF(AND(项目总控台账!D51&lt;&gt;"",项目总控台账!D51&lt;&gt;"/"),项目总控台账!D51,项目总控台账!C51))</x:f>
        <x:v>#NAME?</x:v>
      </x:c>
      <x:c r="D52" s="8" t="e">
        <x:f>项目总控台账!F51</x:f>
        <x:v>#NAME?</x:v>
      </x:c>
      <x:c r="E52" s="8" t="e">
        <x:f>项目总控台账!G51</x:f>
        <x:v>#NAME?</x:v>
      </x:c>
      <x:c r="F52" s="8" t="e">
        <x:f>项目总控台账!H51</x:f>
        <x:v>#NAME?</x:v>
      </x:c>
      <x:c r="G52" s="25" t="e">
        <x:f>项目总控台账!J51</x:f>
        <x:v>#NAME?</x:v>
      </x:c>
      <x:c r="H52" s="8" t="e">
        <x:f>IF(G52="","",G52-项目驾驶舱!$B$3)</x:f>
        <x:v>#NAME?</x:v>
      </x:c>
      <x:c r="I52" s="8" t="e">
        <x:f>项目总控台账!AC51</x:f>
        <x:v>#NAME?</x:v>
      </x:c>
      <x:c r="J52" s="8" t="e">
        <x:f>项目总控台账!AD51</x:f>
        <x:v>#NAME?</x:v>
      </x:c>
      <x:c r="K52" s="8" t="str">
        <x:f t="shared" si="0"/>
        <x:v>立即确认延期原因、影响及补救计划</x:v>
      </x:c>
      <x:c r="L52" s="11"/>
      <x:c r="M52" s="10"/>
    </x:row>
    <x:row r="53">
      <x:c r="A53" s="8" t="e">
        <x:f>IF(B53="","",IF(AND(E53&lt;&gt;"已完成",ISNUMBER(G53),G53&lt;=项目驾驶舱!$B$3+14),"是","否"))</x:f>
        <x:v>#NAME?</x:v>
      </x:c>
      <x:c r="B53" s="8" t="e">
        <x:f>项目总控台账!A52</x:f>
        <x:v>#NAME?</x:v>
      </x:c>
      <x:c r="C53" s="8" t="e">
        <x:f>IF(AND(项目总控台账!E52&lt;&gt;"",项目总控台账!E52&lt;&gt;"/"),项目总控台账!E52,IF(AND(项目总控台账!D52&lt;&gt;"",项目总控台账!D52&lt;&gt;"/"),项目总控台账!D52,项目总控台账!C52))</x:f>
        <x:v>#NAME?</x:v>
      </x:c>
      <x:c r="D53" s="8" t="e">
        <x:f>项目总控台账!F52</x:f>
        <x:v>#NAME?</x:v>
      </x:c>
      <x:c r="E53" s="8" t="e">
        <x:f>项目总控台账!G52</x:f>
        <x:v>#NAME?</x:v>
      </x:c>
      <x:c r="F53" s="8" t="e">
        <x:f>项目总控台账!H52</x:f>
        <x:v>#NAME?</x:v>
      </x:c>
      <x:c r="G53" s="25" t="e">
        <x:f>项目总控台账!J52</x:f>
        <x:v>#NAME?</x:v>
      </x:c>
      <x:c r="H53" s="8" t="e">
        <x:f>IF(G53="","",G53-项目驾驶舱!$B$3)</x:f>
        <x:v>#NAME?</x:v>
      </x:c>
      <x:c r="I53" s="8" t="e">
        <x:f>项目总控台账!AC52</x:f>
        <x:v>#NAME?</x:v>
      </x:c>
      <x:c r="J53" s="8" t="e">
        <x:f>项目总控台账!AD52</x:f>
        <x:v>#NAME?</x:v>
      </x:c>
      <x:c r="K53" s="8" t="str">
        <x:f t="shared" si="0"/>
      </x:c>
      <x:c r="L53" s="11"/>
      <x:c r="M53" s="10"/>
    </x:row>
    <x:row r="54">
      <x:c r="A54" s="8" t="e">
        <x:f>IF(B54="","",IF(AND(E54&lt;&gt;"已完成",ISNUMBER(G54),G54&lt;=项目驾驶舱!$B$3+14),"是","否"))</x:f>
        <x:v>#NAME?</x:v>
      </x:c>
      <x:c r="B54" s="8" t="e">
        <x:f>项目总控台账!A53</x:f>
        <x:v>#NAME?</x:v>
      </x:c>
      <x:c r="C54" s="8" t="e">
        <x:f>IF(AND(项目总控台账!E53&lt;&gt;"",项目总控台账!E53&lt;&gt;"/"),项目总控台账!E53,IF(AND(项目总控台账!D53&lt;&gt;"",项目总控台账!D53&lt;&gt;"/"),项目总控台账!D53,项目总控台账!C53))</x:f>
        <x:v>#NAME?</x:v>
      </x:c>
      <x:c r="D54" s="8" t="e">
        <x:f>项目总控台账!F53</x:f>
        <x:v>#NAME?</x:v>
      </x:c>
      <x:c r="E54" s="8" t="e">
        <x:f>项目总控台账!G53</x:f>
        <x:v>#NAME?</x:v>
      </x:c>
      <x:c r="F54" s="8" t="e">
        <x:f>项目总控台账!H53</x:f>
        <x:v>#NAME?</x:v>
      </x:c>
      <x:c r="G54" s="25" t="e">
        <x:f>项目总控台账!J53</x:f>
        <x:v>#NAME?</x:v>
      </x:c>
      <x:c r="H54" s="8" t="e">
        <x:f>IF(G54="","",G54-项目驾驶舱!$B$3)</x:f>
        <x:v>#NAME?</x:v>
      </x:c>
      <x:c r="I54" s="8" t="e">
        <x:f>项目总控台账!AC53</x:f>
        <x:v>#NAME?</x:v>
      </x:c>
      <x:c r="J54" s="8" t="e">
        <x:f>项目总控台账!AD53</x:f>
        <x:v>#NAME?</x:v>
      </x:c>
      <x:c r="K54" s="8" t="str">
        <x:f t="shared" si="0"/>
        <x:v>立即确认延期原因、影响及补救计划</x:v>
      </x:c>
      <x:c r="L54" s="11"/>
      <x:c r="M54" s="10"/>
    </x:row>
    <x:row r="55">
      <x:c r="A55" s="8" t="e">
        <x:f>IF(B55="","",IF(AND(E55&lt;&gt;"已完成",ISNUMBER(G55),G55&lt;=项目驾驶舱!$B$3+14),"是","否"))</x:f>
        <x:v>#NAME?</x:v>
      </x:c>
      <x:c r="B55" s="8" t="e">
        <x:f>项目总控台账!A54</x:f>
        <x:v>#NAME?</x:v>
      </x:c>
      <x:c r="C55" s="8" t="e">
        <x:f>IF(AND(项目总控台账!E54&lt;&gt;"",项目总控台账!E54&lt;&gt;"/"),项目总控台账!E54,IF(AND(项目总控台账!D54&lt;&gt;"",项目总控台账!D54&lt;&gt;"/"),项目总控台账!D54,项目总控台账!C54))</x:f>
        <x:v>#NAME?</x:v>
      </x:c>
      <x:c r="D55" s="8" t="e">
        <x:f>项目总控台账!F54</x:f>
        <x:v>#NAME?</x:v>
      </x:c>
      <x:c r="E55" s="8" t="e">
        <x:f>项目总控台账!G54</x:f>
        <x:v>#NAME?</x:v>
      </x:c>
      <x:c r="F55" s="8" t="e">
        <x:f>项目总控台账!H54</x:f>
        <x:v>#NAME?</x:v>
      </x:c>
      <x:c r="G55" s="25" t="e">
        <x:f>项目总控台账!J54</x:f>
        <x:v>#NAME?</x:v>
      </x:c>
      <x:c r="H55" s="8" t="e">
        <x:f>IF(G55="","",G55-项目驾驶舱!$B$3)</x:f>
        <x:v>#NAME?</x:v>
      </x:c>
      <x:c r="I55" s="8" t="e">
        <x:f>项目总控台账!AC54</x:f>
        <x:v>#NAME?</x:v>
      </x:c>
      <x:c r="J55" s="8" t="e">
        <x:f>项目总控台账!AD54</x:f>
        <x:v>#NAME?</x:v>
      </x:c>
      <x:c r="K55" s="8" t="str">
        <x:f t="shared" si="0"/>
        <x:v>立即确认延期原因、影响及补救计划</x:v>
      </x:c>
      <x:c r="L55" s="11"/>
      <x:c r="M55" s="10"/>
    </x:row>
    <x:row r="56">
      <x:c r="A56" s="8" t="e">
        <x:f>IF(B56="","",IF(AND(E56&lt;&gt;"已完成",ISNUMBER(G56),G56&lt;=项目驾驶舱!$B$3+14),"是","否"))</x:f>
        <x:v>#NAME?</x:v>
      </x:c>
      <x:c r="B56" s="8" t="e">
        <x:f>项目总控台账!A55</x:f>
        <x:v>#NAME?</x:v>
      </x:c>
      <x:c r="C56" s="8" t="e">
        <x:f>IF(AND(项目总控台账!E55&lt;&gt;"",项目总控台账!E55&lt;&gt;"/"),项目总控台账!E55,IF(AND(项目总控台账!D55&lt;&gt;"",项目总控台账!D55&lt;&gt;"/"),项目总控台账!D55,项目总控台账!C55))</x:f>
        <x:v>#NAME?</x:v>
      </x:c>
      <x:c r="D56" s="8" t="e">
        <x:f>项目总控台账!F55</x:f>
        <x:v>#NAME?</x:v>
      </x:c>
      <x:c r="E56" s="8" t="e">
        <x:f>项目总控台账!G55</x:f>
        <x:v>#NAME?</x:v>
      </x:c>
      <x:c r="F56" s="8" t="e">
        <x:f>项目总控台账!H55</x:f>
        <x:v>#NAME?</x:v>
      </x:c>
      <x:c r="G56" s="25" t="e">
        <x:f>项目总控台账!J55</x:f>
        <x:v>#NAME?</x:v>
      </x:c>
      <x:c r="H56" s="8" t="e">
        <x:f>IF(G56="","",G56-项目驾驶舱!$B$3)</x:f>
        <x:v>#NAME?</x:v>
      </x:c>
      <x:c r="I56" s="8" t="e">
        <x:f>项目总控台账!AC55</x:f>
        <x:v>#NAME?</x:v>
      </x:c>
      <x:c r="J56" s="8" t="e">
        <x:f>项目总控台账!AD55</x:f>
        <x:v>#NAME?</x:v>
      </x:c>
      <x:c r="K56" s="8" t="str">
        <x:f t="shared" si="0"/>
        <x:v>立即确认延期原因、影响及补救计划</x:v>
      </x:c>
      <x:c r="L56" s="11"/>
      <x:c r="M56" s="10"/>
    </x:row>
    <x:row r="57">
      <x:c r="A57" s="8" t="e">
        <x:f>IF(B57="","",IF(AND(E57&lt;&gt;"已完成",ISNUMBER(G57),G57&lt;=项目驾驶舱!$B$3+14),"是","否"))</x:f>
        <x:v>#NAME?</x:v>
      </x:c>
      <x:c r="B57" s="8" t="e">
        <x:f>项目总控台账!A56</x:f>
        <x:v>#NAME?</x:v>
      </x:c>
      <x:c r="C57" s="8" t="e">
        <x:f>IF(AND(项目总控台账!E56&lt;&gt;"",项目总控台账!E56&lt;&gt;"/"),项目总控台账!E56,IF(AND(项目总控台账!D56&lt;&gt;"",项目总控台账!D56&lt;&gt;"/"),项目总控台账!D56,项目总控台账!C56))</x:f>
        <x:v>#NAME?</x:v>
      </x:c>
      <x:c r="D57" s="8" t="e">
        <x:f>项目总控台账!F56</x:f>
        <x:v>#NAME?</x:v>
      </x:c>
      <x:c r="E57" s="8" t="e">
        <x:f>项目总控台账!G56</x:f>
        <x:v>#NAME?</x:v>
      </x:c>
      <x:c r="F57" s="8" t="e">
        <x:f>项目总控台账!H56</x:f>
        <x:v>#NAME?</x:v>
      </x:c>
      <x:c r="G57" s="25" t="e">
        <x:f>项目总控台账!J56</x:f>
        <x:v>#NAME?</x:v>
      </x:c>
      <x:c r="H57" s="8" t="e">
        <x:f>IF(G57="","",G57-项目驾驶舱!$B$3)</x:f>
        <x:v>#NAME?</x:v>
      </x:c>
      <x:c r="I57" s="8" t="e">
        <x:f>项目总控台账!AC56</x:f>
        <x:v>#NAME?</x:v>
      </x:c>
      <x:c r="J57" s="8" t="e">
        <x:f>项目总控台账!AD56</x:f>
        <x:v>#NAME?</x:v>
      </x:c>
      <x:c r="K57" s="8" t="str">
        <x:f t="shared" si="0"/>
        <x:v>立即确认延期原因、影响及补救计划</x:v>
      </x:c>
      <x:c r="L57" s="11"/>
      <x:c r="M57" s="10"/>
    </x:row>
    <x:row r="58">
      <x:c r="A58" s="8" t="e">
        <x:f>IF(B58="","",IF(AND(E58&lt;&gt;"已完成",ISNUMBER(G58),G58&lt;=项目驾驶舱!$B$3+14),"是","否"))</x:f>
        <x:v>#NAME?</x:v>
      </x:c>
      <x:c r="B58" s="8" t="e">
        <x:f>项目总控台账!A57</x:f>
        <x:v>#NAME?</x:v>
      </x:c>
      <x:c r="C58" s="8" t="e">
        <x:f>IF(AND(项目总控台账!E57&lt;&gt;"",项目总控台账!E57&lt;&gt;"/"),项目总控台账!E57,IF(AND(项目总控台账!D57&lt;&gt;"",项目总控台账!D57&lt;&gt;"/"),项目总控台账!D57,项目总控台账!C57))</x:f>
        <x:v>#NAME?</x:v>
      </x:c>
      <x:c r="D58" s="8" t="e">
        <x:f>项目总控台账!F57</x:f>
        <x:v>#NAME?</x:v>
      </x:c>
      <x:c r="E58" s="8" t="e">
        <x:f>项目总控台账!G57</x:f>
        <x:v>#NAME?</x:v>
      </x:c>
      <x:c r="F58" s="8" t="e">
        <x:f>项目总控台账!H57</x:f>
        <x:v>#NAME?</x:v>
      </x:c>
      <x:c r="G58" s="25" t="e">
        <x:f>项目总控台账!J57</x:f>
        <x:v>#NAME?</x:v>
      </x:c>
      <x:c r="H58" s="8" t="e">
        <x:f>IF(G58="","",G58-项目驾驶舱!$B$3)</x:f>
        <x:v>#NAME?</x:v>
      </x:c>
      <x:c r="I58" s="8" t="e">
        <x:f>项目总控台账!AC57</x:f>
        <x:v>#NAME?</x:v>
      </x:c>
      <x:c r="J58" s="8" t="e">
        <x:f>项目总控台账!AD57</x:f>
        <x:v>#NAME?</x:v>
      </x:c>
      <x:c r="K58" s="8" t="str">
        <x:f t="shared" si="0"/>
        <x:v>立即确认延期原因、影响及补救计划</x:v>
      </x:c>
      <x:c r="L58" s="11"/>
      <x:c r="M58" s="10"/>
    </x:row>
    <x:row r="59">
      <x:c r="A59" s="8" t="e">
        <x:f>IF(B59="","",IF(AND(E59&lt;&gt;"已完成",ISNUMBER(G59),G59&lt;=项目驾驶舱!$B$3+14),"是","否"))</x:f>
        <x:v>#NAME?</x:v>
      </x:c>
      <x:c r="B59" s="8" t="e">
        <x:f>项目总控台账!A58</x:f>
        <x:v>#NAME?</x:v>
      </x:c>
      <x:c r="C59" s="8" t="e">
        <x:f>IF(AND(项目总控台账!E58&lt;&gt;"",项目总控台账!E58&lt;&gt;"/"),项目总控台账!E58,IF(AND(项目总控台账!D58&lt;&gt;"",项目总控台账!D58&lt;&gt;"/"),项目总控台账!D58,项目总控台账!C58))</x:f>
        <x:v>#NAME?</x:v>
      </x:c>
      <x:c r="D59" s="8" t="e">
        <x:f>项目总控台账!F58</x:f>
        <x:v>#NAME?</x:v>
      </x:c>
      <x:c r="E59" s="8" t="e">
        <x:f>项目总控台账!G58</x:f>
        <x:v>#NAME?</x:v>
      </x:c>
      <x:c r="F59" s="8" t="e">
        <x:f>项目总控台账!H58</x:f>
        <x:v>#NAME?</x:v>
      </x:c>
      <x:c r="G59" s="25" t="e">
        <x:f>项目总控台账!J58</x:f>
        <x:v>#NAME?</x:v>
      </x:c>
      <x:c r="H59" s="8" t="e">
        <x:f>IF(G59="","",G59-项目驾驶舱!$B$3)</x:f>
        <x:v>#NAME?</x:v>
      </x:c>
      <x:c r="I59" s="8" t="e">
        <x:f>项目总控台账!AC58</x:f>
        <x:v>#NAME?</x:v>
      </x:c>
      <x:c r="J59" s="8" t="e">
        <x:f>项目总控台账!AD58</x:f>
        <x:v>#NAME?</x:v>
      </x:c>
      <x:c r="K59" s="8" t="str">
        <x:f t="shared" si="0"/>
        <x:v>立即确认延期原因、影响及补救计划</x:v>
      </x:c>
      <x:c r="L59" s="11"/>
      <x:c r="M59" s="10"/>
    </x:row>
    <x:row r="60">
      <x:c r="A60" s="8" t="e">
        <x:f>IF(B60="","",IF(AND(E60&lt;&gt;"已完成",ISNUMBER(G60),G60&lt;=项目驾驶舱!$B$3+14),"是","否"))</x:f>
        <x:v>#NAME?</x:v>
      </x:c>
      <x:c r="B60" s="8" t="e">
        <x:f>项目总控台账!A59</x:f>
        <x:v>#NAME?</x:v>
      </x:c>
      <x:c r="C60" s="8" t="e">
        <x:f>IF(AND(项目总控台账!E59&lt;&gt;"",项目总控台账!E59&lt;&gt;"/"),项目总控台账!E59,IF(AND(项目总控台账!D59&lt;&gt;"",项目总控台账!D59&lt;&gt;"/"),项目总控台账!D59,项目总控台账!C59))</x:f>
        <x:v>#NAME?</x:v>
      </x:c>
      <x:c r="D60" s="8" t="e">
        <x:f>项目总控台账!F59</x:f>
        <x:v>#NAME?</x:v>
      </x:c>
      <x:c r="E60" s="8" t="e">
        <x:f>项目总控台账!G59</x:f>
        <x:v>#NAME?</x:v>
      </x:c>
      <x:c r="F60" s="8" t="e">
        <x:f>项目总控台账!H59</x:f>
        <x:v>#NAME?</x:v>
      </x:c>
      <x:c r="G60" s="25" t="e">
        <x:f>项目总控台账!J59</x:f>
        <x:v>#NAME?</x:v>
      </x:c>
      <x:c r="H60" s="8" t="e">
        <x:f>IF(G60="","",G60-项目驾驶舱!$B$3)</x:f>
        <x:v>#NAME?</x:v>
      </x:c>
      <x:c r="I60" s="8" t="e">
        <x:f>项目总控台账!AC59</x:f>
        <x:v>#NAME?</x:v>
      </x:c>
      <x:c r="J60" s="8" t="e">
        <x:f>项目总控台账!AD59</x:f>
        <x:v>#NAME?</x:v>
      </x:c>
      <x:c r="K60" s="8" t="str">
        <x:f t="shared" si="0"/>
      </x:c>
      <x:c r="L60" s="11"/>
      <x:c r="M60" s="10"/>
    </x:row>
    <x:row r="61">
      <x:c r="A61" s="8" t="e">
        <x:f>IF(B61="","",IF(AND(E61&lt;&gt;"已完成",ISNUMBER(G61),G61&lt;=项目驾驶舱!$B$3+14),"是","否"))</x:f>
        <x:v>#NAME?</x:v>
      </x:c>
      <x:c r="B61" s="8" t="e">
        <x:f>项目总控台账!A60</x:f>
        <x:v>#NAME?</x:v>
      </x:c>
      <x:c r="C61" s="8" t="e">
        <x:f>IF(AND(项目总控台账!E60&lt;&gt;"",项目总控台账!E60&lt;&gt;"/"),项目总控台账!E60,IF(AND(项目总控台账!D60&lt;&gt;"",项目总控台账!D60&lt;&gt;"/"),项目总控台账!D60,项目总控台账!C60))</x:f>
        <x:v>#NAME?</x:v>
      </x:c>
      <x:c r="D61" s="8" t="e">
        <x:f>项目总控台账!F60</x:f>
        <x:v>#NAME?</x:v>
      </x:c>
      <x:c r="E61" s="8" t="e">
        <x:f>项目总控台账!G60</x:f>
        <x:v>#NAME?</x:v>
      </x:c>
      <x:c r="F61" s="8" t="e">
        <x:f>项目总控台账!H60</x:f>
        <x:v>#NAME?</x:v>
      </x:c>
      <x:c r="G61" s="25" t="e">
        <x:f>项目总控台账!J60</x:f>
        <x:v>#NAME?</x:v>
      </x:c>
      <x:c r="H61" s="8" t="e">
        <x:f>IF(G61="","",G61-项目驾驶舱!$B$3)</x:f>
        <x:v>#NAME?</x:v>
      </x:c>
      <x:c r="I61" s="8" t="e">
        <x:f>项目总控台账!AC60</x:f>
        <x:v>#NAME?</x:v>
      </x:c>
      <x:c r="J61" s="8" t="e">
        <x:f>项目总控台账!AD60</x:f>
        <x:v>#NAME?</x:v>
      </x:c>
      <x:c r="K61" s="8" t="str">
        <x:f t="shared" si="0"/>
        <x:v>立即确认延期原因、影响及补救计划</x:v>
      </x:c>
      <x:c r="L61" s="11"/>
      <x:c r="M61" s="10"/>
    </x:row>
    <x:row r="62">
      <x:c r="A62" s="8" t="e">
        <x:f>IF(B62="","",IF(AND(E62&lt;&gt;"已完成",ISNUMBER(G62),G62&lt;=项目驾驶舱!$B$3+14),"是","否"))</x:f>
        <x:v>#NAME?</x:v>
      </x:c>
      <x:c r="B62" s="8" t="e">
        <x:f>项目总控台账!A61</x:f>
        <x:v>#NAME?</x:v>
      </x:c>
      <x:c r="C62" s="8" t="e">
        <x:f>IF(AND(项目总控台账!E61&lt;&gt;"",项目总控台账!E61&lt;&gt;"/"),项目总控台账!E61,IF(AND(项目总控台账!D61&lt;&gt;"",项目总控台账!D61&lt;&gt;"/"),项目总控台账!D61,项目总控台账!C61))</x:f>
        <x:v>#NAME?</x:v>
      </x:c>
      <x:c r="D62" s="8" t="e">
        <x:f>项目总控台账!F61</x:f>
        <x:v>#NAME?</x:v>
      </x:c>
      <x:c r="E62" s="8" t="e">
        <x:f>项目总控台账!G61</x:f>
        <x:v>#NAME?</x:v>
      </x:c>
      <x:c r="F62" s="8" t="e">
        <x:f>项目总控台账!H61</x:f>
        <x:v>#NAME?</x:v>
      </x:c>
      <x:c r="G62" s="25" t="e">
        <x:f>项目总控台账!J61</x:f>
        <x:v>#NAME?</x:v>
      </x:c>
      <x:c r="H62" s="8" t="e">
        <x:f>IF(G62="","",G62-项目驾驶舱!$B$3)</x:f>
        <x:v>#NAME?</x:v>
      </x:c>
      <x:c r="I62" s="8" t="e">
        <x:f>项目总控台账!AC61</x:f>
        <x:v>#NAME?</x:v>
      </x:c>
      <x:c r="J62" s="8" t="e">
        <x:f>项目总控台账!AD61</x:f>
        <x:v>#NAME?</x:v>
      </x:c>
      <x:c r="K62" s="8" t="str">
        <x:f t="shared" si="0"/>
      </x:c>
      <x:c r="L62" s="11"/>
      <x:c r="M62" s="10"/>
    </x:row>
    <x:row r="63">
      <x:c r="A63" s="8" t="e">
        <x:f>IF(B63="","",IF(AND(E63&lt;&gt;"已完成",ISNUMBER(G63),G63&lt;=项目驾驶舱!$B$3+14),"是","否"))</x:f>
        <x:v>#NAME?</x:v>
      </x:c>
      <x:c r="B63" s="8" t="e">
        <x:f>项目总控台账!A62</x:f>
        <x:v>#NAME?</x:v>
      </x:c>
      <x:c r="C63" s="8" t="e">
        <x:f>IF(AND(项目总控台账!E62&lt;&gt;"",项目总控台账!E62&lt;&gt;"/"),项目总控台账!E62,IF(AND(项目总控台账!D62&lt;&gt;"",项目总控台账!D62&lt;&gt;"/"),项目总控台账!D62,项目总控台账!C62))</x:f>
        <x:v>#NAME?</x:v>
      </x:c>
      <x:c r="D63" s="8" t="e">
        <x:f>项目总控台账!F62</x:f>
        <x:v>#NAME?</x:v>
      </x:c>
      <x:c r="E63" s="8" t="e">
        <x:f>项目总控台账!G62</x:f>
        <x:v>#NAME?</x:v>
      </x:c>
      <x:c r="F63" s="8" t="e">
        <x:f>项目总控台账!H62</x:f>
        <x:v>#NAME?</x:v>
      </x:c>
      <x:c r="G63" s="25" t="e">
        <x:f>项目总控台账!J62</x:f>
        <x:v>#NAME?</x:v>
      </x:c>
      <x:c r="H63" s="8" t="e">
        <x:f>IF(G63="","",G63-项目驾驶舱!$B$3)</x:f>
        <x:v>#NAME?</x:v>
      </x:c>
      <x:c r="I63" s="8" t="e">
        <x:f>项目总控台账!AC62</x:f>
        <x:v>#NAME?</x:v>
      </x:c>
      <x:c r="J63" s="8" t="e">
        <x:f>项目总控台账!AD62</x:f>
        <x:v>#NAME?</x:v>
      </x:c>
      <x:c r="K63" s="8" t="str">
        <x:f t="shared" si="0"/>
      </x:c>
      <x:c r="L63" s="11"/>
      <x:c r="M63" s="10"/>
    </x:row>
    <x:row r="64">
      <x:c r="A64" s="8" t="e">
        <x:f>IF(B64="","",IF(AND(E64&lt;&gt;"已完成",ISNUMBER(G64),G64&lt;=项目驾驶舱!$B$3+14),"是","否"))</x:f>
        <x:v>#NAME?</x:v>
      </x:c>
      <x:c r="B64" s="8" t="e">
        <x:f>项目总控台账!A63</x:f>
        <x:v>#NAME?</x:v>
      </x:c>
      <x:c r="C64" s="8" t="e">
        <x:f>IF(AND(项目总控台账!E63&lt;&gt;"",项目总控台账!E63&lt;&gt;"/"),项目总控台账!E63,IF(AND(项目总控台账!D63&lt;&gt;"",项目总控台账!D63&lt;&gt;"/"),项目总控台账!D63,项目总控台账!C63))</x:f>
        <x:v>#NAME?</x:v>
      </x:c>
      <x:c r="D64" s="8" t="e">
        <x:f>项目总控台账!F63</x:f>
        <x:v>#NAME?</x:v>
      </x:c>
      <x:c r="E64" s="8" t="e">
        <x:f>项目总控台账!G63</x:f>
        <x:v>#NAME?</x:v>
      </x:c>
      <x:c r="F64" s="8" t="e">
        <x:f>项目总控台账!H63</x:f>
        <x:v>#NAME?</x:v>
      </x:c>
      <x:c r="G64" s="25" t="e">
        <x:f>项目总控台账!J63</x:f>
        <x:v>#NAME?</x:v>
      </x:c>
      <x:c r="H64" s="8" t="e">
        <x:f>IF(G64="","",G64-项目驾驶舱!$B$3)</x:f>
        <x:v>#NAME?</x:v>
      </x:c>
      <x:c r="I64" s="8" t="e">
        <x:f>项目总控台账!AC63</x:f>
        <x:v>#NAME?</x:v>
      </x:c>
      <x:c r="J64" s="8" t="e">
        <x:f>项目总控台账!AD63</x:f>
        <x:v>#NAME?</x:v>
      </x:c>
      <x:c r="K64" s="8" t="str">
        <x:f t="shared" si="0"/>
      </x:c>
      <x:c r="L64" s="11"/>
      <x:c r="M64" s="10"/>
    </x:row>
    <x:row r="65">
      <x:c r="A65" s="8" t="e">
        <x:f>IF(B65="","",IF(AND(E65&lt;&gt;"已完成",ISNUMBER(G65),G65&lt;=项目驾驶舱!$B$3+14),"是","否"))</x:f>
        <x:v>#NAME?</x:v>
      </x:c>
      <x:c r="B65" s="8" t="e">
        <x:f>项目总控台账!A64</x:f>
        <x:v>#NAME?</x:v>
      </x:c>
      <x:c r="C65" s="8" t="e">
        <x:f>IF(AND(项目总控台账!E64&lt;&gt;"",项目总控台账!E64&lt;&gt;"/"),项目总控台账!E64,IF(AND(项目总控台账!D64&lt;&gt;"",项目总控台账!D64&lt;&gt;"/"),项目总控台账!D64,项目总控台账!C64))</x:f>
        <x:v>#NAME?</x:v>
      </x:c>
      <x:c r="D65" s="8" t="e">
        <x:f>项目总控台账!F64</x:f>
        <x:v>#NAME?</x:v>
      </x:c>
      <x:c r="E65" s="8" t="e">
        <x:f>项目总控台账!G64</x:f>
        <x:v>#NAME?</x:v>
      </x:c>
      <x:c r="F65" s="8" t="e">
        <x:f>项目总控台账!H64</x:f>
        <x:v>#NAME?</x:v>
      </x:c>
      <x:c r="G65" s="25" t="e">
        <x:f>项目总控台账!J64</x:f>
        <x:v>#NAME?</x:v>
      </x:c>
      <x:c r="H65" s="8" t="e">
        <x:f>IF(G65="","",G65-项目驾驶舱!$B$3)</x:f>
        <x:v>#NAME?</x:v>
      </x:c>
      <x:c r="I65" s="8" t="e">
        <x:f>项目总控台账!AC64</x:f>
        <x:v>#NAME?</x:v>
      </x:c>
      <x:c r="J65" s="8" t="e">
        <x:f>项目总控台账!AD64</x:f>
        <x:v>#NAME?</x:v>
      </x:c>
      <x:c r="K65" s="8" t="str">
        <x:f t="shared" si="0"/>
      </x:c>
      <x:c r="L65" s="11"/>
      <x:c r="M65" s="10"/>
    </x:row>
    <x:row r="66">
      <x:c r="A66" s="8" t="e">
        <x:f>IF(B66="","",IF(AND(E66&lt;&gt;"已完成",ISNUMBER(G66),G66&lt;=项目驾驶舱!$B$3+14),"是","否"))</x:f>
        <x:v>#NAME?</x:v>
      </x:c>
      <x:c r="B66" s="8" t="e">
        <x:f>项目总控台账!A65</x:f>
        <x:v>#NAME?</x:v>
      </x:c>
      <x:c r="C66" s="8" t="e">
        <x:f>IF(AND(项目总控台账!E65&lt;&gt;"",项目总控台账!E65&lt;&gt;"/"),项目总控台账!E65,IF(AND(项目总控台账!D65&lt;&gt;"",项目总控台账!D65&lt;&gt;"/"),项目总控台账!D65,项目总控台账!C65))</x:f>
        <x:v>#NAME?</x:v>
      </x:c>
      <x:c r="D66" s="8" t="e">
        <x:f>项目总控台账!F65</x:f>
        <x:v>#NAME?</x:v>
      </x:c>
      <x:c r="E66" s="8" t="e">
        <x:f>项目总控台账!G65</x:f>
        <x:v>#NAME?</x:v>
      </x:c>
      <x:c r="F66" s="8" t="e">
        <x:f>项目总控台账!H65</x:f>
        <x:v>#NAME?</x:v>
      </x:c>
      <x:c r="G66" s="25" t="e">
        <x:f>项目总控台账!J65</x:f>
        <x:v>#NAME?</x:v>
      </x:c>
      <x:c r="H66" s="8" t="e">
        <x:f>IF(G66="","",G66-项目驾驶舱!$B$3)</x:f>
        <x:v>#NAME?</x:v>
      </x:c>
      <x:c r="I66" s="8" t="e">
        <x:f>项目总控台账!AC65</x:f>
        <x:v>#NAME?</x:v>
      </x:c>
      <x:c r="J66" s="8" t="e">
        <x:f>项目总控台账!AD65</x:f>
        <x:v>#NAME?</x:v>
      </x:c>
      <x:c r="K66" s="8" t="str">
        <x:f t="shared" si="0"/>
      </x:c>
      <x:c r="L66" s="11"/>
      <x:c r="M66" s="10"/>
    </x:row>
    <x:row r="67">
      <x:c r="A67" s="8" t="e">
        <x:f>IF(B67="","",IF(AND(E67&lt;&gt;"已完成",ISNUMBER(G67),G67&lt;=项目驾驶舱!$B$3+14),"是","否"))</x:f>
        <x:v>#NAME?</x:v>
      </x:c>
      <x:c r="B67" s="8" t="e">
        <x:f>项目总控台账!A66</x:f>
        <x:v>#NAME?</x:v>
      </x:c>
      <x:c r="C67" s="8" t="e">
        <x:f>IF(AND(项目总控台账!E66&lt;&gt;"",项目总控台账!E66&lt;&gt;"/"),项目总控台账!E66,IF(AND(项目总控台账!D66&lt;&gt;"",项目总控台账!D66&lt;&gt;"/"),项目总控台账!D66,项目总控台账!C66))</x:f>
        <x:v>#NAME?</x:v>
      </x:c>
      <x:c r="D67" s="8" t="e">
        <x:f>项目总控台账!F66</x:f>
        <x:v>#NAME?</x:v>
      </x:c>
      <x:c r="E67" s="8" t="e">
        <x:f>项目总控台账!G66</x:f>
        <x:v>#NAME?</x:v>
      </x:c>
      <x:c r="F67" s="8" t="e">
        <x:f>项目总控台账!H66</x:f>
        <x:v>#NAME?</x:v>
      </x:c>
      <x:c r="G67" s="25" t="e">
        <x:f>项目总控台账!J66</x:f>
        <x:v>#NAME?</x:v>
      </x:c>
      <x:c r="H67" s="8" t="e">
        <x:f>IF(G67="","",G67-项目驾驶舱!$B$3)</x:f>
        <x:v>#NAME?</x:v>
      </x:c>
      <x:c r="I67" s="8" t="e">
        <x:f>项目总控台账!AC66</x:f>
        <x:v>#NAME?</x:v>
      </x:c>
      <x:c r="J67" s="8" t="e">
        <x:f>项目总控台账!AD66</x:f>
        <x:v>#NAME?</x:v>
      </x:c>
      <x:c r="K67" s="8" t="str">
        <x:f t="shared" si="0"/>
      </x:c>
      <x:c r="L67" s="11"/>
      <x:c r="M67" s="10"/>
    </x:row>
    <x:row r="68">
      <x:c r="A68" s="8" t="e">
        <x:f>IF(B68="","",IF(AND(E68&lt;&gt;"已完成",ISNUMBER(G68),G68&lt;=项目驾驶舱!$B$3+14),"是","否"))</x:f>
        <x:v>#NAME?</x:v>
      </x:c>
      <x:c r="B68" s="8" t="e">
        <x:f>项目总控台账!A67</x:f>
        <x:v>#NAME?</x:v>
      </x:c>
      <x:c r="C68" s="8" t="e">
        <x:f>IF(AND(项目总控台账!E67&lt;&gt;"",项目总控台账!E67&lt;&gt;"/"),项目总控台账!E67,IF(AND(项目总控台账!D67&lt;&gt;"",项目总控台账!D67&lt;&gt;"/"),项目总控台账!D67,项目总控台账!C67))</x:f>
        <x:v>#NAME?</x:v>
      </x:c>
      <x:c r="D68" s="8" t="e">
        <x:f>项目总控台账!F67</x:f>
        <x:v>#NAME?</x:v>
      </x:c>
      <x:c r="E68" s="8" t="e">
        <x:f>项目总控台账!G67</x:f>
        <x:v>#NAME?</x:v>
      </x:c>
      <x:c r="F68" s="8" t="e">
        <x:f>项目总控台账!H67</x:f>
        <x:v>#NAME?</x:v>
      </x:c>
      <x:c r="G68" s="25" t="e">
        <x:f>项目总控台账!J67</x:f>
        <x:v>#NAME?</x:v>
      </x:c>
      <x:c r="H68" s="8" t="e">
        <x:f>IF(G68="","",G68-项目驾驶舱!$B$3)</x:f>
        <x:v>#NAME?</x:v>
      </x:c>
      <x:c r="I68" s="8" t="e">
        <x:f>项目总控台账!AC67</x:f>
        <x:v>#NAME?</x:v>
      </x:c>
      <x:c r="J68" s="8" t="e">
        <x:f>项目总控台账!AD67</x:f>
        <x:v>#NAME?</x:v>
      </x:c>
      <x:c r="K68" s="8" t="str">
        <x:f t="shared" si="0"/>
      </x:c>
      <x:c r="L68" s="11"/>
      <x:c r="M68" s="10"/>
    </x:row>
    <x:row r="69">
      <x:c r="A69" s="8" t="e">
        <x:f>IF(B69="","",IF(AND(E69&lt;&gt;"已完成",ISNUMBER(G69),G69&lt;=项目驾驶舱!$B$3+14),"是","否"))</x:f>
        <x:v>#NAME?</x:v>
      </x:c>
      <x:c r="B69" s="8" t="e">
        <x:f>项目总控台账!A68</x:f>
        <x:v>#NAME?</x:v>
      </x:c>
      <x:c r="C69" s="8" t="e">
        <x:f>IF(AND(项目总控台账!E68&lt;&gt;"",项目总控台账!E68&lt;&gt;"/"),项目总控台账!E68,IF(AND(项目总控台账!D68&lt;&gt;"",项目总控台账!D68&lt;&gt;"/"),项目总控台账!D68,项目总控台账!C68))</x:f>
        <x:v>#NAME?</x:v>
      </x:c>
      <x:c r="D69" s="8" t="e">
        <x:f>项目总控台账!F68</x:f>
        <x:v>#NAME?</x:v>
      </x:c>
      <x:c r="E69" s="8" t="e">
        <x:f>项目总控台账!G68</x:f>
        <x:v>#NAME?</x:v>
      </x:c>
      <x:c r="F69" s="8" t="e">
        <x:f>项目总控台账!H68</x:f>
        <x:v>#NAME?</x:v>
      </x:c>
      <x:c r="G69" s="25" t="e">
        <x:f>项目总控台账!J68</x:f>
        <x:v>#NAME?</x:v>
      </x:c>
      <x:c r="H69" s="8" t="e">
        <x:f>IF(G69="","",G69-项目驾驶舱!$B$3)</x:f>
        <x:v>#NAME?</x:v>
      </x:c>
      <x:c r="I69" s="8" t="e">
        <x:f>项目总控台账!AC68</x:f>
        <x:v>#NAME?</x:v>
      </x:c>
      <x:c r="J69" s="8" t="e">
        <x:f>项目总控台账!AD68</x:f>
        <x:v>#NAME?</x:v>
      </x:c>
      <x:c r="K69" s="8" t="e">
        <x:f t="shared" ref="K69:K132" si="1">IF(A69&lt;&gt;"是","",IF(OR(E69="暂停",E69="挂起"),"确认暂停原因、恢复条件和责任人",IF(H69&lt;0,"立即确认延期原因、影响及补救计划",IF(H69&lt;=7,"本周确认交付承诺和完成证据","提前检查依赖与风险"))))</x:f>
        <x:v>#NAME?</x:v>
      </x:c>
      <x:c r="L69" s="11"/>
      <x:c r="M69" s="10"/>
    </x:row>
    <x:row r="70">
      <x:c r="A70" s="8" t="e">
        <x:f>IF(B70="","",IF(AND(E70&lt;&gt;"已完成",ISNUMBER(G70),G70&lt;=项目驾驶舱!$B$3+14),"是","否"))</x:f>
        <x:v>#NAME?</x:v>
      </x:c>
      <x:c r="B70" s="8" t="e">
        <x:f>项目总控台账!A69</x:f>
        <x:v>#NAME?</x:v>
      </x:c>
      <x:c r="C70" s="8" t="e">
        <x:f>IF(AND(项目总控台账!E69&lt;&gt;"",项目总控台账!E69&lt;&gt;"/"),项目总控台账!E69,IF(AND(项目总控台账!D69&lt;&gt;"",项目总控台账!D69&lt;&gt;"/"),项目总控台账!D69,项目总控台账!C69))</x:f>
        <x:v>#NAME?</x:v>
      </x:c>
      <x:c r="D70" s="8" t="e">
        <x:f>项目总控台账!F69</x:f>
        <x:v>#NAME?</x:v>
      </x:c>
      <x:c r="E70" s="8" t="e">
        <x:f>项目总控台账!G69</x:f>
        <x:v>#NAME?</x:v>
      </x:c>
      <x:c r="F70" s="8" t="e">
        <x:f>项目总控台账!H69</x:f>
        <x:v>#NAME?</x:v>
      </x:c>
      <x:c r="G70" s="25" t="e">
        <x:f>项目总控台账!J69</x:f>
        <x:v>#NAME?</x:v>
      </x:c>
      <x:c r="H70" s="8" t="e">
        <x:f>IF(G70="","",G70-项目驾驶舱!$B$3)</x:f>
        <x:v>#NAME?</x:v>
      </x:c>
      <x:c r="I70" s="8" t="e">
        <x:f>项目总控台账!AC69</x:f>
        <x:v>#NAME?</x:v>
      </x:c>
      <x:c r="J70" s="8" t="e">
        <x:f>项目总控台账!AD69</x:f>
        <x:v>#NAME?</x:v>
      </x:c>
      <x:c r="K70" s="8" t="str">
        <x:f t="shared" si="1"/>
      </x:c>
      <x:c r="L70" s="11"/>
      <x:c r="M70" s="10"/>
    </x:row>
    <x:row r="71">
      <x:c r="A71" s="8" t="e">
        <x:f>IF(B71="","",IF(AND(E71&lt;&gt;"已完成",ISNUMBER(G71),G71&lt;=项目驾驶舱!$B$3+14),"是","否"))</x:f>
        <x:v>#NAME?</x:v>
      </x:c>
      <x:c r="B71" s="8" t="e">
        <x:f>项目总控台账!A70</x:f>
        <x:v>#NAME?</x:v>
      </x:c>
      <x:c r="C71" s="8" t="e">
        <x:f>IF(AND(项目总控台账!E70&lt;&gt;"",项目总控台账!E70&lt;&gt;"/"),项目总控台账!E70,IF(AND(项目总控台账!D70&lt;&gt;"",项目总控台账!D70&lt;&gt;"/"),项目总控台账!D70,项目总控台账!C70))</x:f>
        <x:v>#NAME?</x:v>
      </x:c>
      <x:c r="D71" s="8" t="e">
        <x:f>项目总控台账!F70</x:f>
        <x:v>#NAME?</x:v>
      </x:c>
      <x:c r="E71" s="8" t="e">
        <x:f>项目总控台账!G70</x:f>
        <x:v>#NAME?</x:v>
      </x:c>
      <x:c r="F71" s="8" t="e">
        <x:f>项目总控台账!H70</x:f>
        <x:v>#NAME?</x:v>
      </x:c>
      <x:c r="G71" s="25" t="e">
        <x:f>项目总控台账!J70</x:f>
        <x:v>#NAME?</x:v>
      </x:c>
      <x:c r="H71" s="8" t="e">
        <x:f>IF(G71="","",G71-项目驾驶舱!$B$3)</x:f>
        <x:v>#NAME?</x:v>
      </x:c>
      <x:c r="I71" s="8" t="e">
        <x:f>项目总控台账!AC70</x:f>
        <x:v>#NAME?</x:v>
      </x:c>
      <x:c r="J71" s="8" t="e">
        <x:f>项目总控台账!AD70</x:f>
        <x:v>#NAME?</x:v>
      </x:c>
      <x:c r="K71" s="8" t="str">
        <x:f t="shared" si="1"/>
      </x:c>
      <x:c r="L71" s="11"/>
      <x:c r="M71" s="10"/>
    </x:row>
    <x:row r="72">
      <x:c r="A72" s="8" t="e">
        <x:f>IF(B72="","",IF(AND(E72&lt;&gt;"已完成",ISNUMBER(G72),G72&lt;=项目驾驶舱!$B$3+14),"是","否"))</x:f>
        <x:v>#NAME?</x:v>
      </x:c>
      <x:c r="B72" s="8" t="e">
        <x:f>项目总控台账!A71</x:f>
        <x:v>#NAME?</x:v>
      </x:c>
      <x:c r="C72" s="8" t="e">
        <x:f>IF(AND(项目总控台账!E71&lt;&gt;"",项目总控台账!E71&lt;&gt;"/"),项目总控台账!E71,IF(AND(项目总控台账!D71&lt;&gt;"",项目总控台账!D71&lt;&gt;"/"),项目总控台账!D71,项目总控台账!C71))</x:f>
        <x:v>#NAME?</x:v>
      </x:c>
      <x:c r="D72" s="8" t="e">
        <x:f>项目总控台账!F71</x:f>
        <x:v>#NAME?</x:v>
      </x:c>
      <x:c r="E72" s="8" t="e">
        <x:f>项目总控台账!G71</x:f>
        <x:v>#NAME?</x:v>
      </x:c>
      <x:c r="F72" s="8" t="e">
        <x:f>项目总控台账!H71</x:f>
        <x:v>#NAME?</x:v>
      </x:c>
      <x:c r="G72" s="25" t="e">
        <x:f>项目总控台账!J71</x:f>
        <x:v>#NAME?</x:v>
      </x:c>
      <x:c r="H72" s="8" t="e">
        <x:f>IF(G72="","",G72-项目驾驶舱!$B$3)</x:f>
        <x:v>#NAME?</x:v>
      </x:c>
      <x:c r="I72" s="8" t="e">
        <x:f>项目总控台账!AC71</x:f>
        <x:v>#NAME?</x:v>
      </x:c>
      <x:c r="J72" s="8" t="e">
        <x:f>项目总控台账!AD71</x:f>
        <x:v>#NAME?</x:v>
      </x:c>
      <x:c r="K72" s="8" t="str">
        <x:f t="shared" si="1"/>
      </x:c>
      <x:c r="L72" s="11"/>
      <x:c r="M72" s="10"/>
    </x:row>
    <x:row r="73">
      <x:c r="A73" s="8" t="e">
        <x:f>IF(B73="","",IF(AND(E73&lt;&gt;"已完成",ISNUMBER(G73),G73&lt;=项目驾驶舱!$B$3+14),"是","否"))</x:f>
        <x:v>#NAME?</x:v>
      </x:c>
      <x:c r="B73" s="8" t="e">
        <x:f>项目总控台账!A72</x:f>
        <x:v>#NAME?</x:v>
      </x:c>
      <x:c r="C73" s="8" t="e">
        <x:f>IF(AND(项目总控台账!E72&lt;&gt;"",项目总控台账!E72&lt;&gt;"/"),项目总控台账!E72,IF(AND(项目总控台账!D72&lt;&gt;"",项目总控台账!D72&lt;&gt;"/"),项目总控台账!D72,项目总控台账!C72))</x:f>
        <x:v>#NAME?</x:v>
      </x:c>
      <x:c r="D73" s="8" t="e">
        <x:f>项目总控台账!F72</x:f>
        <x:v>#NAME?</x:v>
      </x:c>
      <x:c r="E73" s="8" t="e">
        <x:f>项目总控台账!G72</x:f>
        <x:v>#NAME?</x:v>
      </x:c>
      <x:c r="F73" s="8" t="e">
        <x:f>项目总控台账!H72</x:f>
        <x:v>#NAME?</x:v>
      </x:c>
      <x:c r="G73" s="25" t="e">
        <x:f>项目总控台账!J72</x:f>
        <x:v>#NAME?</x:v>
      </x:c>
      <x:c r="H73" s="8" t="e">
        <x:f>IF(G73="","",G73-项目驾驶舱!$B$3)</x:f>
        <x:v>#NAME?</x:v>
      </x:c>
      <x:c r="I73" s="8" t="e">
        <x:f>项目总控台账!AC72</x:f>
        <x:v>#NAME?</x:v>
      </x:c>
      <x:c r="J73" s="8" t="e">
        <x:f>项目总控台账!AD72</x:f>
        <x:v>#NAME?</x:v>
      </x:c>
      <x:c r="K73" s="8" t="str">
        <x:f t="shared" si="1"/>
      </x:c>
      <x:c r="L73" s="11"/>
      <x:c r="M73" s="10"/>
    </x:row>
    <x:row r="74">
      <x:c r="A74" s="8" t="e">
        <x:f>IF(B74="","",IF(AND(E74&lt;&gt;"已完成",ISNUMBER(G74),G74&lt;=项目驾驶舱!$B$3+14),"是","否"))</x:f>
        <x:v>#NAME?</x:v>
      </x:c>
      <x:c r="B74" s="8" t="e">
        <x:f>项目总控台账!A73</x:f>
        <x:v>#NAME?</x:v>
      </x:c>
      <x:c r="C74" s="8" t="e">
        <x:f>IF(AND(项目总控台账!E73&lt;&gt;"",项目总控台账!E73&lt;&gt;"/"),项目总控台账!E73,IF(AND(项目总控台账!D73&lt;&gt;"",项目总控台账!D73&lt;&gt;"/"),项目总控台账!D73,项目总控台账!C73))</x:f>
        <x:v>#NAME?</x:v>
      </x:c>
      <x:c r="D74" s="8" t="e">
        <x:f>项目总控台账!F73</x:f>
        <x:v>#NAME?</x:v>
      </x:c>
      <x:c r="E74" s="8" t="e">
        <x:f>项目总控台账!G73</x:f>
        <x:v>#NAME?</x:v>
      </x:c>
      <x:c r="F74" s="8" t="e">
        <x:f>项目总控台账!H73</x:f>
        <x:v>#NAME?</x:v>
      </x:c>
      <x:c r="G74" s="25" t="e">
        <x:f>项目总控台账!J73</x:f>
        <x:v>#NAME?</x:v>
      </x:c>
      <x:c r="H74" s="8" t="e">
        <x:f>IF(G74="","",G74-项目驾驶舱!$B$3)</x:f>
        <x:v>#NAME?</x:v>
      </x:c>
      <x:c r="I74" s="8" t="e">
        <x:f>项目总控台账!AC73</x:f>
        <x:v>#NAME?</x:v>
      </x:c>
      <x:c r="J74" s="8" t="e">
        <x:f>项目总控台账!AD73</x:f>
        <x:v>#NAME?</x:v>
      </x:c>
      <x:c r="K74" s="8" t="str">
        <x:f t="shared" si="1"/>
      </x:c>
      <x:c r="L74" s="11"/>
      <x:c r="M74" s="10"/>
    </x:row>
    <x:row r="75">
      <x:c r="A75" s="8" t="e">
        <x:f>IF(B75="","",IF(AND(E75&lt;&gt;"已完成",ISNUMBER(G75),G75&lt;=项目驾驶舱!$B$3+14),"是","否"))</x:f>
        <x:v>#NAME?</x:v>
      </x:c>
      <x:c r="B75" s="8" t="e">
        <x:f>项目总控台账!A74</x:f>
        <x:v>#NAME?</x:v>
      </x:c>
      <x:c r="C75" s="8" t="e">
        <x:f>IF(AND(项目总控台账!E74&lt;&gt;"",项目总控台账!E74&lt;&gt;"/"),项目总控台账!E74,IF(AND(项目总控台账!D74&lt;&gt;"",项目总控台账!D74&lt;&gt;"/"),项目总控台账!D74,项目总控台账!C74))</x:f>
        <x:v>#NAME?</x:v>
      </x:c>
      <x:c r="D75" s="8" t="e">
        <x:f>项目总控台账!F74</x:f>
        <x:v>#NAME?</x:v>
      </x:c>
      <x:c r="E75" s="8" t="e">
        <x:f>项目总控台账!G74</x:f>
        <x:v>#NAME?</x:v>
      </x:c>
      <x:c r="F75" s="8" t="e">
        <x:f>项目总控台账!H74</x:f>
        <x:v>#NAME?</x:v>
      </x:c>
      <x:c r="G75" s="25" t="e">
        <x:f>项目总控台账!J74</x:f>
        <x:v>#NAME?</x:v>
      </x:c>
      <x:c r="H75" s="8" t="e">
        <x:f>IF(G75="","",G75-项目驾驶舱!$B$3)</x:f>
        <x:v>#NAME?</x:v>
      </x:c>
      <x:c r="I75" s="8" t="e">
        <x:f>项目总控台账!AC74</x:f>
        <x:v>#NAME?</x:v>
      </x:c>
      <x:c r="J75" s="8" t="e">
        <x:f>项目总控台账!AD74</x:f>
        <x:v>#NAME?</x:v>
      </x:c>
      <x:c r="K75" s="8" t="str">
        <x:f t="shared" si="1"/>
      </x:c>
      <x:c r="L75" s="11"/>
      <x:c r="M75" s="10"/>
    </x:row>
    <x:row r="76">
      <x:c r="A76" s="8" t="e">
        <x:f>IF(B76="","",IF(AND(E76&lt;&gt;"已完成",ISNUMBER(G76),G76&lt;=项目驾驶舱!$B$3+14),"是","否"))</x:f>
        <x:v>#NAME?</x:v>
      </x:c>
      <x:c r="B76" s="8" t="e">
        <x:f>项目总控台账!A75</x:f>
        <x:v>#NAME?</x:v>
      </x:c>
      <x:c r="C76" s="8" t="e">
        <x:f>IF(AND(项目总控台账!E75&lt;&gt;"",项目总控台账!E75&lt;&gt;"/"),项目总控台账!E75,IF(AND(项目总控台账!D75&lt;&gt;"",项目总控台账!D75&lt;&gt;"/"),项目总控台账!D75,项目总控台账!C75))</x:f>
        <x:v>#NAME?</x:v>
      </x:c>
      <x:c r="D76" s="8" t="e">
        <x:f>项目总控台账!F75</x:f>
        <x:v>#NAME?</x:v>
      </x:c>
      <x:c r="E76" s="8" t="e">
        <x:f>项目总控台账!G75</x:f>
        <x:v>#NAME?</x:v>
      </x:c>
      <x:c r="F76" s="8" t="e">
        <x:f>项目总控台账!H75</x:f>
        <x:v>#NAME?</x:v>
      </x:c>
      <x:c r="G76" s="25" t="e">
        <x:f>项目总控台账!J75</x:f>
        <x:v>#NAME?</x:v>
      </x:c>
      <x:c r="H76" s="8" t="e">
        <x:f>IF(G76="","",G76-项目驾驶舱!$B$3)</x:f>
        <x:v>#NAME?</x:v>
      </x:c>
      <x:c r="I76" s="8" t="e">
        <x:f>项目总控台账!AC75</x:f>
        <x:v>#NAME?</x:v>
      </x:c>
      <x:c r="J76" s="8" t="e">
        <x:f>项目总控台账!AD75</x:f>
        <x:v>#NAME?</x:v>
      </x:c>
      <x:c r="K76" s="8" t="str">
        <x:f t="shared" si="1"/>
      </x:c>
      <x:c r="L76" s="11"/>
      <x:c r="M76" s="10"/>
    </x:row>
    <x:row r="77">
      <x:c r="A77" s="8" t="e">
        <x:f>IF(B77="","",IF(AND(E77&lt;&gt;"已完成",ISNUMBER(G77),G77&lt;=项目驾驶舱!$B$3+14),"是","否"))</x:f>
        <x:v>#NAME?</x:v>
      </x:c>
      <x:c r="B77" s="8" t="e">
        <x:f>项目总控台账!A76</x:f>
        <x:v>#NAME?</x:v>
      </x:c>
      <x:c r="C77" s="8" t="e">
        <x:f>IF(AND(项目总控台账!E76&lt;&gt;"",项目总控台账!E76&lt;&gt;"/"),项目总控台账!E76,IF(AND(项目总控台账!D76&lt;&gt;"",项目总控台账!D76&lt;&gt;"/"),项目总控台账!D76,项目总控台账!C76))</x:f>
        <x:v>#NAME?</x:v>
      </x:c>
      <x:c r="D77" s="8" t="e">
        <x:f>项目总控台账!F76</x:f>
        <x:v>#NAME?</x:v>
      </x:c>
      <x:c r="E77" s="8" t="e">
        <x:f>项目总控台账!G76</x:f>
        <x:v>#NAME?</x:v>
      </x:c>
      <x:c r="F77" s="8" t="e">
        <x:f>项目总控台账!H76</x:f>
        <x:v>#NAME?</x:v>
      </x:c>
      <x:c r="G77" s="25" t="e">
        <x:f>项目总控台账!J76</x:f>
        <x:v>#NAME?</x:v>
      </x:c>
      <x:c r="H77" s="8" t="e">
        <x:f>IF(G77="","",G77-项目驾驶舱!$B$3)</x:f>
        <x:v>#NAME?</x:v>
      </x:c>
      <x:c r="I77" s="8" t="e">
        <x:f>项目总控台账!AC76</x:f>
        <x:v>#NAME?</x:v>
      </x:c>
      <x:c r="J77" s="8" t="e">
        <x:f>项目总控台账!AD76</x:f>
        <x:v>#NAME?</x:v>
      </x:c>
      <x:c r="K77" s="8" t="str">
        <x:f t="shared" si="1"/>
      </x:c>
      <x:c r="L77" s="11"/>
      <x:c r="M77" s="10"/>
    </x:row>
    <x:row r="78">
      <x:c r="A78" s="8" t="e">
        <x:f>IF(B78="","",IF(AND(E78&lt;&gt;"已完成",ISNUMBER(G78),G78&lt;=项目驾驶舱!$B$3+14),"是","否"))</x:f>
        <x:v>#NAME?</x:v>
      </x:c>
      <x:c r="B78" s="8" t="e">
        <x:f>项目总控台账!A77</x:f>
        <x:v>#NAME?</x:v>
      </x:c>
      <x:c r="C78" s="8" t="e">
        <x:f>IF(AND(项目总控台账!E77&lt;&gt;"",项目总控台账!E77&lt;&gt;"/"),项目总控台账!E77,IF(AND(项目总控台账!D77&lt;&gt;"",项目总控台账!D77&lt;&gt;"/"),项目总控台账!D77,项目总控台账!C77))</x:f>
        <x:v>#NAME?</x:v>
      </x:c>
      <x:c r="D78" s="8" t="e">
        <x:f>项目总控台账!F77</x:f>
        <x:v>#NAME?</x:v>
      </x:c>
      <x:c r="E78" s="8" t="e">
        <x:f>项目总控台账!G77</x:f>
        <x:v>#NAME?</x:v>
      </x:c>
      <x:c r="F78" s="8" t="e">
        <x:f>项目总控台账!H77</x:f>
        <x:v>#NAME?</x:v>
      </x:c>
      <x:c r="G78" s="25" t="e">
        <x:f>项目总控台账!J77</x:f>
        <x:v>#NAME?</x:v>
      </x:c>
      <x:c r="H78" s="8" t="e">
        <x:f>IF(G78="","",G78-项目驾驶舱!$B$3)</x:f>
        <x:v>#NAME?</x:v>
      </x:c>
      <x:c r="I78" s="8" t="e">
        <x:f>项目总控台账!AC77</x:f>
        <x:v>#NAME?</x:v>
      </x:c>
      <x:c r="J78" s="8" t="e">
        <x:f>项目总控台账!AD77</x:f>
        <x:v>#NAME?</x:v>
      </x:c>
      <x:c r="K78" s="8" t="str">
        <x:f t="shared" si="1"/>
      </x:c>
      <x:c r="L78" s="11"/>
      <x:c r="M78" s="10"/>
    </x:row>
    <x:row r="79">
      <x:c r="A79" s="8" t="e">
        <x:f>IF(B79="","",IF(AND(E79&lt;&gt;"已完成",ISNUMBER(G79),G79&lt;=项目驾驶舱!$B$3+14),"是","否"))</x:f>
        <x:v>#NAME?</x:v>
      </x:c>
      <x:c r="B79" s="8" t="e">
        <x:f>项目总控台账!A78</x:f>
        <x:v>#NAME?</x:v>
      </x:c>
      <x:c r="C79" s="8" t="e">
        <x:f>IF(AND(项目总控台账!E78&lt;&gt;"",项目总控台账!E78&lt;&gt;"/"),项目总控台账!E78,IF(AND(项目总控台账!D78&lt;&gt;"",项目总控台账!D78&lt;&gt;"/"),项目总控台账!D78,项目总控台账!C78))</x:f>
        <x:v>#NAME?</x:v>
      </x:c>
      <x:c r="D79" s="8" t="e">
        <x:f>项目总控台账!F78</x:f>
        <x:v>#NAME?</x:v>
      </x:c>
      <x:c r="E79" s="8" t="e">
        <x:f>项目总控台账!G78</x:f>
        <x:v>#NAME?</x:v>
      </x:c>
      <x:c r="F79" s="8" t="e">
        <x:f>项目总控台账!H78</x:f>
        <x:v>#NAME?</x:v>
      </x:c>
      <x:c r="G79" s="25" t="e">
        <x:f>项目总控台账!J78</x:f>
        <x:v>#NAME?</x:v>
      </x:c>
      <x:c r="H79" s="8" t="e">
        <x:f>IF(G79="","",G79-项目驾驶舱!$B$3)</x:f>
        <x:v>#NAME?</x:v>
      </x:c>
      <x:c r="I79" s="8" t="e">
        <x:f>项目总控台账!AC78</x:f>
        <x:v>#NAME?</x:v>
      </x:c>
      <x:c r="J79" s="8" t="e">
        <x:f>项目总控台账!AD78</x:f>
        <x:v>#NAME?</x:v>
      </x:c>
      <x:c r="K79" s="8" t="str">
        <x:f t="shared" si="1"/>
      </x:c>
      <x:c r="L79" s="11"/>
      <x:c r="M79" s="10"/>
    </x:row>
    <x:row r="80">
      <x:c r="A80" s="8" t="e">
        <x:f>IF(B80="","",IF(AND(E80&lt;&gt;"已完成",ISNUMBER(G80),G80&lt;=项目驾驶舱!$B$3+14),"是","否"))</x:f>
        <x:v>#NAME?</x:v>
      </x:c>
      <x:c r="B80" s="8" t="e">
        <x:f>项目总控台账!A79</x:f>
        <x:v>#NAME?</x:v>
      </x:c>
      <x:c r="C80" s="8" t="e">
        <x:f>IF(AND(项目总控台账!E79&lt;&gt;"",项目总控台账!E79&lt;&gt;"/"),项目总控台账!E79,IF(AND(项目总控台账!D79&lt;&gt;"",项目总控台账!D79&lt;&gt;"/"),项目总控台账!D79,项目总控台账!C79))</x:f>
        <x:v>#NAME?</x:v>
      </x:c>
      <x:c r="D80" s="8" t="e">
        <x:f>项目总控台账!F79</x:f>
        <x:v>#NAME?</x:v>
      </x:c>
      <x:c r="E80" s="8" t="e">
        <x:f>项目总控台账!G79</x:f>
        <x:v>#NAME?</x:v>
      </x:c>
      <x:c r="F80" s="8" t="e">
        <x:f>项目总控台账!H79</x:f>
        <x:v>#NAME?</x:v>
      </x:c>
      <x:c r="G80" s="25" t="e">
        <x:f>项目总控台账!J79</x:f>
        <x:v>#NAME?</x:v>
      </x:c>
      <x:c r="H80" s="8" t="e">
        <x:f>IF(G80="","",G80-项目驾驶舱!$B$3)</x:f>
        <x:v>#NAME?</x:v>
      </x:c>
      <x:c r="I80" s="8" t="e">
        <x:f>项目总控台账!AC79</x:f>
        <x:v>#NAME?</x:v>
      </x:c>
      <x:c r="J80" s="8" t="e">
        <x:f>项目总控台账!AD79</x:f>
        <x:v>#NAME?</x:v>
      </x:c>
      <x:c r="K80" s="8" t="str">
        <x:f t="shared" si="1"/>
      </x:c>
      <x:c r="L80" s="11"/>
      <x:c r="M80" s="10"/>
    </x:row>
    <x:row r="81">
      <x:c r="A81" s="8" t="e">
        <x:f>IF(B81="","",IF(AND(E81&lt;&gt;"已完成",ISNUMBER(G81),G81&lt;=项目驾驶舱!$B$3+14),"是","否"))</x:f>
        <x:v>#NAME?</x:v>
      </x:c>
      <x:c r="B81" s="8" t="e">
        <x:f>项目总控台账!A80</x:f>
        <x:v>#NAME?</x:v>
      </x:c>
      <x:c r="C81" s="8" t="e">
        <x:f>IF(AND(项目总控台账!E80&lt;&gt;"",项目总控台账!E80&lt;&gt;"/"),项目总控台账!E80,IF(AND(项目总控台账!D80&lt;&gt;"",项目总控台账!D80&lt;&gt;"/"),项目总控台账!D80,项目总控台账!C80))</x:f>
        <x:v>#NAME?</x:v>
      </x:c>
      <x:c r="D81" s="8" t="e">
        <x:f>项目总控台账!F80</x:f>
        <x:v>#NAME?</x:v>
      </x:c>
      <x:c r="E81" s="8" t="e">
        <x:f>项目总控台账!G80</x:f>
        <x:v>#NAME?</x:v>
      </x:c>
      <x:c r="F81" s="8" t="e">
        <x:f>项目总控台账!H80</x:f>
        <x:v>#NAME?</x:v>
      </x:c>
      <x:c r="G81" s="25" t="e">
        <x:f>项目总控台账!J80</x:f>
        <x:v>#NAME?</x:v>
      </x:c>
      <x:c r="H81" s="8" t="e">
        <x:f>IF(G81="","",G81-项目驾驶舱!$B$3)</x:f>
        <x:v>#NAME?</x:v>
      </x:c>
      <x:c r="I81" s="8" t="e">
        <x:f>项目总控台账!AC80</x:f>
        <x:v>#NAME?</x:v>
      </x:c>
      <x:c r="J81" s="8" t="e">
        <x:f>项目总控台账!AD80</x:f>
        <x:v>#NAME?</x:v>
      </x:c>
      <x:c r="K81" s="8" t="str">
        <x:f t="shared" si="1"/>
      </x:c>
      <x:c r="L81" s="11"/>
      <x:c r="M81" s="10"/>
    </x:row>
    <x:row r="82">
      <x:c r="A82" s="8" t="e">
        <x:f>IF(B82="","",IF(AND(E82&lt;&gt;"已完成",ISNUMBER(G82),G82&lt;=项目驾驶舱!$B$3+14),"是","否"))</x:f>
        <x:v>#NAME?</x:v>
      </x:c>
      <x:c r="B82" s="8" t="e">
        <x:f>项目总控台账!A81</x:f>
        <x:v>#NAME?</x:v>
      </x:c>
      <x:c r="C82" s="8" t="e">
        <x:f>IF(AND(项目总控台账!E81&lt;&gt;"",项目总控台账!E81&lt;&gt;"/"),项目总控台账!E81,IF(AND(项目总控台账!D81&lt;&gt;"",项目总控台账!D81&lt;&gt;"/"),项目总控台账!D81,项目总控台账!C81))</x:f>
        <x:v>#NAME?</x:v>
      </x:c>
      <x:c r="D82" s="8" t="e">
        <x:f>项目总控台账!F81</x:f>
        <x:v>#NAME?</x:v>
      </x:c>
      <x:c r="E82" s="8" t="e">
        <x:f>项目总控台账!G81</x:f>
        <x:v>#NAME?</x:v>
      </x:c>
      <x:c r="F82" s="8" t="e">
        <x:f>项目总控台账!H81</x:f>
        <x:v>#NAME?</x:v>
      </x:c>
      <x:c r="G82" s="25" t="e">
        <x:f>项目总控台账!J81</x:f>
        <x:v>#NAME?</x:v>
      </x:c>
      <x:c r="H82" s="8" t="e">
        <x:f>IF(G82="","",G82-项目驾驶舱!$B$3)</x:f>
        <x:v>#NAME?</x:v>
      </x:c>
      <x:c r="I82" s="8" t="e">
        <x:f>项目总控台账!AC81</x:f>
        <x:v>#NAME?</x:v>
      </x:c>
      <x:c r="J82" s="8" t="e">
        <x:f>项目总控台账!AD81</x:f>
        <x:v>#NAME?</x:v>
      </x:c>
      <x:c r="K82" s="8" t="str">
        <x:f t="shared" si="1"/>
      </x:c>
      <x:c r="L82" s="11"/>
      <x:c r="M82" s="10"/>
    </x:row>
    <x:row r="83">
      <x:c r="A83" s="8" t="e">
        <x:f>IF(B83="","",IF(AND(E83&lt;&gt;"已完成",ISNUMBER(G83),G83&lt;=项目驾驶舱!$B$3+14),"是","否"))</x:f>
        <x:v>#NAME?</x:v>
      </x:c>
      <x:c r="B83" s="8" t="e">
        <x:f>项目总控台账!A82</x:f>
        <x:v>#NAME?</x:v>
      </x:c>
      <x:c r="C83" s="8" t="e">
        <x:f>IF(AND(项目总控台账!E82&lt;&gt;"",项目总控台账!E82&lt;&gt;"/"),项目总控台账!E82,IF(AND(项目总控台账!D82&lt;&gt;"",项目总控台账!D82&lt;&gt;"/"),项目总控台账!D82,项目总控台账!C82))</x:f>
        <x:v>#NAME?</x:v>
      </x:c>
      <x:c r="D83" s="8" t="e">
        <x:f>项目总控台账!F82</x:f>
        <x:v>#NAME?</x:v>
      </x:c>
      <x:c r="E83" s="8" t="e">
        <x:f>项目总控台账!G82</x:f>
        <x:v>#NAME?</x:v>
      </x:c>
      <x:c r="F83" s="8" t="e">
        <x:f>项目总控台账!H82</x:f>
        <x:v>#NAME?</x:v>
      </x:c>
      <x:c r="G83" s="25" t="e">
        <x:f>项目总控台账!J82</x:f>
        <x:v>#NAME?</x:v>
      </x:c>
      <x:c r="H83" s="8" t="e">
        <x:f>IF(G83="","",G83-项目驾驶舱!$B$3)</x:f>
        <x:v>#NAME?</x:v>
      </x:c>
      <x:c r="I83" s="8" t="e">
        <x:f>项目总控台账!AC82</x:f>
        <x:v>#NAME?</x:v>
      </x:c>
      <x:c r="J83" s="8" t="e">
        <x:f>项目总控台账!AD82</x:f>
        <x:v>#NAME?</x:v>
      </x:c>
      <x:c r="K83" s="8" t="str">
        <x:f t="shared" si="1"/>
      </x:c>
      <x:c r="L83" s="11"/>
      <x:c r="M83" s="10"/>
    </x:row>
    <x:row r="84">
      <x:c r="A84" s="8" t="e">
        <x:f>IF(B84="","",IF(AND(E84&lt;&gt;"已完成",ISNUMBER(G84),G84&lt;=项目驾驶舱!$B$3+14),"是","否"))</x:f>
        <x:v>#NAME?</x:v>
      </x:c>
      <x:c r="B84" s="8" t="e">
        <x:f>项目总控台账!A83</x:f>
        <x:v>#NAME?</x:v>
      </x:c>
      <x:c r="C84" s="8" t="e">
        <x:f>IF(AND(项目总控台账!E83&lt;&gt;"",项目总控台账!E83&lt;&gt;"/"),项目总控台账!E83,IF(AND(项目总控台账!D83&lt;&gt;"",项目总控台账!D83&lt;&gt;"/"),项目总控台账!D83,项目总控台账!C83))</x:f>
        <x:v>#NAME?</x:v>
      </x:c>
      <x:c r="D84" s="8" t="e">
        <x:f>项目总控台账!F83</x:f>
        <x:v>#NAME?</x:v>
      </x:c>
      <x:c r="E84" s="8" t="e">
        <x:f>项目总控台账!G83</x:f>
        <x:v>#NAME?</x:v>
      </x:c>
      <x:c r="F84" s="8" t="e">
        <x:f>项目总控台账!H83</x:f>
        <x:v>#NAME?</x:v>
      </x:c>
      <x:c r="G84" s="25" t="e">
        <x:f>项目总控台账!J83</x:f>
        <x:v>#NAME?</x:v>
      </x:c>
      <x:c r="H84" s="8" t="e">
        <x:f>IF(G84="","",G84-项目驾驶舱!$B$3)</x:f>
        <x:v>#NAME?</x:v>
      </x:c>
      <x:c r="I84" s="8" t="e">
        <x:f>项目总控台账!AC83</x:f>
        <x:v>#NAME?</x:v>
      </x:c>
      <x:c r="J84" s="8" t="e">
        <x:f>项目总控台账!AD83</x:f>
        <x:v>#NAME?</x:v>
      </x:c>
      <x:c r="K84" s="8" t="str">
        <x:f t="shared" si="1"/>
        <x:v>立即确认延期原因、影响及补救计划</x:v>
      </x:c>
      <x:c r="L84" s="11"/>
      <x:c r="M84" s="10"/>
    </x:row>
    <x:row r="85">
      <x:c r="A85" s="8" t="e">
        <x:f>IF(B85="","",IF(AND(E85&lt;&gt;"已完成",ISNUMBER(G85),G85&lt;=项目驾驶舱!$B$3+14),"是","否"))</x:f>
        <x:v>#NAME?</x:v>
      </x:c>
      <x:c r="B85" s="8" t="e">
        <x:f>项目总控台账!A84</x:f>
        <x:v>#NAME?</x:v>
      </x:c>
      <x:c r="C85" s="8" t="e">
        <x:f>IF(AND(项目总控台账!E84&lt;&gt;"",项目总控台账!E84&lt;&gt;"/"),项目总控台账!E84,IF(AND(项目总控台账!D84&lt;&gt;"",项目总控台账!D84&lt;&gt;"/"),项目总控台账!D84,项目总控台账!C84))</x:f>
        <x:v>#NAME?</x:v>
      </x:c>
      <x:c r="D85" s="8" t="e">
        <x:f>项目总控台账!F84</x:f>
        <x:v>#NAME?</x:v>
      </x:c>
      <x:c r="E85" s="8" t="e">
        <x:f>项目总控台账!G84</x:f>
        <x:v>#NAME?</x:v>
      </x:c>
      <x:c r="F85" s="8" t="e">
        <x:f>项目总控台账!H84</x:f>
        <x:v>#NAME?</x:v>
      </x:c>
      <x:c r="G85" s="25" t="e">
        <x:f>项目总控台账!J84</x:f>
        <x:v>#NAME?</x:v>
      </x:c>
      <x:c r="H85" s="8" t="e">
        <x:f>IF(G85="","",G85-项目驾驶舱!$B$3)</x:f>
        <x:v>#NAME?</x:v>
      </x:c>
      <x:c r="I85" s="8" t="e">
        <x:f>项目总控台账!AC84</x:f>
        <x:v>#NAME?</x:v>
      </x:c>
      <x:c r="J85" s="8" t="e">
        <x:f>项目总控台账!AD84</x:f>
        <x:v>#NAME?</x:v>
      </x:c>
      <x:c r="K85" s="8" t="str">
        <x:f t="shared" si="1"/>
      </x:c>
      <x:c r="L85" s="11"/>
      <x:c r="M85" s="10"/>
    </x:row>
    <x:row r="86">
      <x:c r="A86" s="8" t="e">
        <x:f>IF(B86="","",IF(AND(E86&lt;&gt;"已完成",ISNUMBER(G86),G86&lt;=项目驾驶舱!$B$3+14),"是","否"))</x:f>
        <x:v>#NAME?</x:v>
      </x:c>
      <x:c r="B86" s="8" t="e">
        <x:f>项目总控台账!A85</x:f>
        <x:v>#NAME?</x:v>
      </x:c>
      <x:c r="C86" s="8" t="e">
        <x:f>IF(AND(项目总控台账!E85&lt;&gt;"",项目总控台账!E85&lt;&gt;"/"),项目总控台账!E85,IF(AND(项目总控台账!D85&lt;&gt;"",项目总控台账!D85&lt;&gt;"/"),项目总控台账!D85,项目总控台账!C85))</x:f>
        <x:v>#NAME?</x:v>
      </x:c>
      <x:c r="D86" s="8" t="e">
        <x:f>项目总控台账!F85</x:f>
        <x:v>#NAME?</x:v>
      </x:c>
      <x:c r="E86" s="8" t="e">
        <x:f>项目总控台账!G85</x:f>
        <x:v>#NAME?</x:v>
      </x:c>
      <x:c r="F86" s="8" t="e">
        <x:f>项目总控台账!H85</x:f>
        <x:v>#NAME?</x:v>
      </x:c>
      <x:c r="G86" s="25" t="e">
        <x:f>项目总控台账!J85</x:f>
        <x:v>#NAME?</x:v>
      </x:c>
      <x:c r="H86" s="8" t="e">
        <x:f>IF(G86="","",G86-项目驾驶舱!$B$3)</x:f>
        <x:v>#NAME?</x:v>
      </x:c>
      <x:c r="I86" s="8" t="e">
        <x:f>项目总控台账!AC85</x:f>
        <x:v>#NAME?</x:v>
      </x:c>
      <x:c r="J86" s="8" t="e">
        <x:f>项目总控台账!AD85</x:f>
        <x:v>#NAME?</x:v>
      </x:c>
      <x:c r="K86" s="8" t="str">
        <x:f t="shared" si="1"/>
        <x:v>立即确认延期原因、影响及补救计划</x:v>
      </x:c>
      <x:c r="L86" s="11"/>
      <x:c r="M86" s="10"/>
    </x:row>
    <x:row r="87">
      <x:c r="A87" s="8" t="e">
        <x:f>IF(B87="","",IF(AND(E87&lt;&gt;"已完成",ISNUMBER(G87),G87&lt;=项目驾驶舱!$B$3+14),"是","否"))</x:f>
        <x:v>#NAME?</x:v>
      </x:c>
      <x:c r="B87" s="8" t="e">
        <x:f>项目总控台账!A86</x:f>
        <x:v>#NAME?</x:v>
      </x:c>
      <x:c r="C87" s="8" t="e">
        <x:f>IF(AND(项目总控台账!E86&lt;&gt;"",项目总控台账!E86&lt;&gt;"/"),项目总控台账!E86,IF(AND(项目总控台账!D86&lt;&gt;"",项目总控台账!D86&lt;&gt;"/"),项目总控台账!D86,项目总控台账!C86))</x:f>
        <x:v>#NAME?</x:v>
      </x:c>
      <x:c r="D87" s="8" t="e">
        <x:f>项目总控台账!F86</x:f>
        <x:v>#NAME?</x:v>
      </x:c>
      <x:c r="E87" s="8" t="e">
        <x:f>项目总控台账!G86</x:f>
        <x:v>#NAME?</x:v>
      </x:c>
      <x:c r="F87" s="8" t="e">
        <x:f>项目总控台账!H86</x:f>
        <x:v>#NAME?</x:v>
      </x:c>
      <x:c r="G87" s="25" t="e">
        <x:f>项目总控台账!J86</x:f>
        <x:v>#NAME?</x:v>
      </x:c>
      <x:c r="H87" s="8" t="e">
        <x:f>IF(G87="","",G87-项目驾驶舱!$B$3)</x:f>
        <x:v>#NAME?</x:v>
      </x:c>
      <x:c r="I87" s="8" t="e">
        <x:f>项目总控台账!AC86</x:f>
        <x:v>#NAME?</x:v>
      </x:c>
      <x:c r="J87" s="8" t="e">
        <x:f>项目总控台账!AD86</x:f>
        <x:v>#NAME?</x:v>
      </x:c>
      <x:c r="K87" s="8" t="str">
        <x:f t="shared" si="1"/>
        <x:v>立即确认延期原因、影响及补救计划</x:v>
      </x:c>
      <x:c r="L87" s="11"/>
      <x:c r="M87" s="10"/>
    </x:row>
    <x:row r="88">
      <x:c r="A88" s="8" t="e">
        <x:f>IF(B88="","",IF(AND(E88&lt;&gt;"已完成",ISNUMBER(G88),G88&lt;=项目驾驶舱!$B$3+14),"是","否"))</x:f>
        <x:v>#NAME?</x:v>
      </x:c>
      <x:c r="B88" s="8" t="e">
        <x:f>项目总控台账!A87</x:f>
        <x:v>#NAME?</x:v>
      </x:c>
      <x:c r="C88" s="8" t="e">
        <x:f>IF(AND(项目总控台账!E87&lt;&gt;"",项目总控台账!E87&lt;&gt;"/"),项目总控台账!E87,IF(AND(项目总控台账!D87&lt;&gt;"",项目总控台账!D87&lt;&gt;"/"),项目总控台账!D87,项目总控台账!C87))</x:f>
        <x:v>#NAME?</x:v>
      </x:c>
      <x:c r="D88" s="8" t="e">
        <x:f>项目总控台账!F87</x:f>
        <x:v>#NAME?</x:v>
      </x:c>
      <x:c r="E88" s="8" t="e">
        <x:f>项目总控台账!G87</x:f>
        <x:v>#NAME?</x:v>
      </x:c>
      <x:c r="F88" s="8" t="e">
        <x:f>项目总控台账!H87</x:f>
        <x:v>#NAME?</x:v>
      </x:c>
      <x:c r="G88" s="25" t="e">
        <x:f>项目总控台账!J87</x:f>
        <x:v>#NAME?</x:v>
      </x:c>
      <x:c r="H88" s="8" t="e">
        <x:f>IF(G88="","",G88-项目驾驶舱!$B$3)</x:f>
        <x:v>#NAME?</x:v>
      </x:c>
      <x:c r="I88" s="8" t="e">
        <x:f>项目总控台账!AC87</x:f>
        <x:v>#NAME?</x:v>
      </x:c>
      <x:c r="J88" s="8" t="e">
        <x:f>项目总控台账!AD87</x:f>
        <x:v>#NAME?</x:v>
      </x:c>
      <x:c r="K88" s="8" t="str">
        <x:f t="shared" si="1"/>
        <x:v>立即确认延期原因、影响及补救计划</x:v>
      </x:c>
      <x:c r="L88" s="11"/>
      <x:c r="M88" s="10"/>
    </x:row>
    <x:row r="89">
      <x:c r="A89" s="8" t="e">
        <x:f>IF(B89="","",IF(AND(E89&lt;&gt;"已完成",ISNUMBER(G89),G89&lt;=项目驾驶舱!$B$3+14),"是","否"))</x:f>
        <x:v>#NAME?</x:v>
      </x:c>
      <x:c r="B89" s="8" t="e">
        <x:f>项目总控台账!A88</x:f>
        <x:v>#NAME?</x:v>
      </x:c>
      <x:c r="C89" s="8" t="e">
        <x:f>IF(AND(项目总控台账!E88&lt;&gt;"",项目总控台账!E88&lt;&gt;"/"),项目总控台账!E88,IF(AND(项目总控台账!D88&lt;&gt;"",项目总控台账!D88&lt;&gt;"/"),项目总控台账!D88,项目总控台账!C88))</x:f>
        <x:v>#NAME?</x:v>
      </x:c>
      <x:c r="D89" s="8" t="e">
        <x:f>项目总控台账!F88</x:f>
        <x:v>#NAME?</x:v>
      </x:c>
      <x:c r="E89" s="8" t="e">
        <x:f>项目总控台账!G88</x:f>
        <x:v>#NAME?</x:v>
      </x:c>
      <x:c r="F89" s="8" t="e">
        <x:f>项目总控台账!H88</x:f>
        <x:v>#NAME?</x:v>
      </x:c>
      <x:c r="G89" s="25" t="e">
        <x:f>项目总控台账!J88</x:f>
        <x:v>#NAME?</x:v>
      </x:c>
      <x:c r="H89" s="8" t="e">
        <x:f>IF(G89="","",G89-项目驾驶舱!$B$3)</x:f>
        <x:v>#NAME?</x:v>
      </x:c>
      <x:c r="I89" s="8" t="e">
        <x:f>项目总控台账!AC88</x:f>
        <x:v>#NAME?</x:v>
      </x:c>
      <x:c r="J89" s="8" t="e">
        <x:f>项目总控台账!AD88</x:f>
        <x:v>#NAME?</x:v>
      </x:c>
      <x:c r="K89" s="8" t="str">
        <x:f t="shared" si="1"/>
        <x:v>立即确认延期原因、影响及补救计划</x:v>
      </x:c>
      <x:c r="L89" s="11"/>
      <x:c r="M89" s="10"/>
    </x:row>
    <x:row r="90">
      <x:c r="A90" s="8" t="e">
        <x:f>IF(B90="","",IF(AND(E90&lt;&gt;"已完成",ISNUMBER(G90),G90&lt;=项目驾驶舱!$B$3+14),"是","否"))</x:f>
        <x:v>#NAME?</x:v>
      </x:c>
      <x:c r="B90" s="8" t="e">
        <x:f>项目总控台账!A89</x:f>
        <x:v>#NAME?</x:v>
      </x:c>
      <x:c r="C90" s="8" t="e">
        <x:f>IF(AND(项目总控台账!E89&lt;&gt;"",项目总控台账!E89&lt;&gt;"/"),项目总控台账!E89,IF(AND(项目总控台账!D89&lt;&gt;"",项目总控台账!D89&lt;&gt;"/"),项目总控台账!D89,项目总控台账!C89))</x:f>
        <x:v>#NAME?</x:v>
      </x:c>
      <x:c r="D90" s="8" t="e">
        <x:f>项目总控台账!F89</x:f>
        <x:v>#NAME?</x:v>
      </x:c>
      <x:c r="E90" s="8" t="e">
        <x:f>项目总控台账!G89</x:f>
        <x:v>#NAME?</x:v>
      </x:c>
      <x:c r="F90" s="8" t="e">
        <x:f>项目总控台账!H89</x:f>
        <x:v>#NAME?</x:v>
      </x:c>
      <x:c r="G90" s="25" t="e">
        <x:f>项目总控台账!J89</x:f>
        <x:v>#NAME?</x:v>
      </x:c>
      <x:c r="H90" s="8" t="e">
        <x:f>IF(G90="","",G90-项目驾驶舱!$B$3)</x:f>
        <x:v>#NAME?</x:v>
      </x:c>
      <x:c r="I90" s="8" t="e">
        <x:f>项目总控台账!AC89</x:f>
        <x:v>#NAME?</x:v>
      </x:c>
      <x:c r="J90" s="8" t="e">
        <x:f>项目总控台账!AD89</x:f>
        <x:v>#NAME?</x:v>
      </x:c>
      <x:c r="K90" s="8" t="str">
        <x:f t="shared" si="1"/>
        <x:v>立即确认延期原因、影响及补救计划</x:v>
      </x:c>
      <x:c r="L90" s="11"/>
      <x:c r="M90" s="10"/>
    </x:row>
    <x:row r="91">
      <x:c r="A91" s="8" t="e">
        <x:f>IF(B91="","",IF(AND(E91&lt;&gt;"已完成",ISNUMBER(G91),G91&lt;=项目驾驶舱!$B$3+14),"是","否"))</x:f>
        <x:v>#NAME?</x:v>
      </x:c>
      <x:c r="B91" s="8" t="e">
        <x:f>项目总控台账!A90</x:f>
        <x:v>#NAME?</x:v>
      </x:c>
      <x:c r="C91" s="8" t="e">
        <x:f>IF(AND(项目总控台账!E90&lt;&gt;"",项目总控台账!E90&lt;&gt;"/"),项目总控台账!E90,IF(AND(项目总控台账!D90&lt;&gt;"",项目总控台账!D90&lt;&gt;"/"),项目总控台账!D90,项目总控台账!C90))</x:f>
        <x:v>#NAME?</x:v>
      </x:c>
      <x:c r="D91" s="8" t="e">
        <x:f>项目总控台账!F90</x:f>
        <x:v>#NAME?</x:v>
      </x:c>
      <x:c r="E91" s="8" t="e">
        <x:f>项目总控台账!G90</x:f>
        <x:v>#NAME?</x:v>
      </x:c>
      <x:c r="F91" s="8" t="e">
        <x:f>项目总控台账!H90</x:f>
        <x:v>#NAME?</x:v>
      </x:c>
      <x:c r="G91" s="25" t="e">
        <x:f>项目总控台账!J90</x:f>
        <x:v>#NAME?</x:v>
      </x:c>
      <x:c r="H91" s="8" t="e">
        <x:f>IF(G91="","",G91-项目驾驶舱!$B$3)</x:f>
        <x:v>#NAME?</x:v>
      </x:c>
      <x:c r="I91" s="8" t="e">
        <x:f>项目总控台账!AC90</x:f>
        <x:v>#NAME?</x:v>
      </x:c>
      <x:c r="J91" s="8" t="e">
        <x:f>项目总控台账!AD90</x:f>
        <x:v>#NAME?</x:v>
      </x:c>
      <x:c r="K91" s="8" t="str">
        <x:f t="shared" si="1"/>
        <x:v>立即确认延期原因、影响及补救计划</x:v>
      </x:c>
      <x:c r="L91" s="11"/>
      <x:c r="M91" s="10"/>
    </x:row>
    <x:row r="92">
      <x:c r="A92" s="8" t="e">
        <x:f>IF(B92="","",IF(AND(E92&lt;&gt;"已完成",ISNUMBER(G92),G92&lt;=项目驾驶舱!$B$3+14),"是","否"))</x:f>
        <x:v>#NAME?</x:v>
      </x:c>
      <x:c r="B92" s="8" t="e">
        <x:f>项目总控台账!A91</x:f>
        <x:v>#NAME?</x:v>
      </x:c>
      <x:c r="C92" s="8" t="e">
        <x:f>IF(AND(项目总控台账!E91&lt;&gt;"",项目总控台账!E91&lt;&gt;"/"),项目总控台账!E91,IF(AND(项目总控台账!D91&lt;&gt;"",项目总控台账!D91&lt;&gt;"/"),项目总控台账!D91,项目总控台账!C91))</x:f>
        <x:v>#NAME?</x:v>
      </x:c>
      <x:c r="D92" s="8" t="e">
        <x:f>项目总控台账!F91</x:f>
        <x:v>#NAME?</x:v>
      </x:c>
      <x:c r="E92" s="8" t="e">
        <x:f>项目总控台账!G91</x:f>
        <x:v>#NAME?</x:v>
      </x:c>
      <x:c r="F92" s="8" t="e">
        <x:f>项目总控台账!H91</x:f>
        <x:v>#NAME?</x:v>
      </x:c>
      <x:c r="G92" s="25" t="e">
        <x:f>项目总控台账!J91</x:f>
        <x:v>#NAME?</x:v>
      </x:c>
      <x:c r="H92" s="8" t="e">
        <x:f>IF(G92="","",G92-项目驾驶舱!$B$3)</x:f>
        <x:v>#NAME?</x:v>
      </x:c>
      <x:c r="I92" s="8" t="e">
        <x:f>项目总控台账!AC91</x:f>
        <x:v>#NAME?</x:v>
      </x:c>
      <x:c r="J92" s="8" t="e">
        <x:f>项目总控台账!AD91</x:f>
        <x:v>#NAME?</x:v>
      </x:c>
      <x:c r="K92" s="8" t="str">
        <x:f t="shared" si="1"/>
      </x:c>
      <x:c r="L92" s="11"/>
      <x:c r="M92" s="10"/>
    </x:row>
    <x:row r="93">
      <x:c r="A93" s="8" t="e">
        <x:f>IF(B93="","",IF(AND(E93&lt;&gt;"已完成",ISNUMBER(G93),G93&lt;=项目驾驶舱!$B$3+14),"是","否"))</x:f>
        <x:v>#NAME?</x:v>
      </x:c>
      <x:c r="B93" s="8" t="e">
        <x:f>项目总控台账!A92</x:f>
        <x:v>#NAME?</x:v>
      </x:c>
      <x:c r="C93" s="8" t="e">
        <x:f>IF(AND(项目总控台账!E92&lt;&gt;"",项目总控台账!E92&lt;&gt;"/"),项目总控台账!E92,IF(AND(项目总控台账!D92&lt;&gt;"",项目总控台账!D92&lt;&gt;"/"),项目总控台账!D92,项目总控台账!C92))</x:f>
        <x:v>#NAME?</x:v>
      </x:c>
      <x:c r="D93" s="8" t="e">
        <x:f>项目总控台账!F92</x:f>
        <x:v>#NAME?</x:v>
      </x:c>
      <x:c r="E93" s="8" t="e">
        <x:f>项目总控台账!G92</x:f>
        <x:v>#NAME?</x:v>
      </x:c>
      <x:c r="F93" s="8" t="e">
        <x:f>项目总控台账!H92</x:f>
        <x:v>#NAME?</x:v>
      </x:c>
      <x:c r="G93" s="25" t="e">
        <x:f>项目总控台账!J92</x:f>
        <x:v>#NAME?</x:v>
      </x:c>
      <x:c r="H93" s="8" t="e">
        <x:f>IF(G93="","",G93-项目驾驶舱!$B$3)</x:f>
        <x:v>#NAME?</x:v>
      </x:c>
      <x:c r="I93" s="8" t="e">
        <x:f>项目总控台账!AC92</x:f>
        <x:v>#NAME?</x:v>
      </x:c>
      <x:c r="J93" s="8" t="e">
        <x:f>项目总控台账!AD92</x:f>
        <x:v>#NAME?</x:v>
      </x:c>
      <x:c r="K93" s="8" t="str">
        <x:f t="shared" si="1"/>
      </x:c>
      <x:c r="L93" s="11"/>
      <x:c r="M93" s="10"/>
    </x:row>
    <x:row r="94">
      <x:c r="A94" s="8" t="e">
        <x:f>IF(B94="","",IF(AND(E94&lt;&gt;"已完成",ISNUMBER(G94),G94&lt;=项目驾驶舱!$B$3+14),"是","否"))</x:f>
        <x:v>#NAME?</x:v>
      </x:c>
      <x:c r="B94" s="8" t="e">
        <x:f>项目总控台账!A93</x:f>
        <x:v>#NAME?</x:v>
      </x:c>
      <x:c r="C94" s="8" t="e">
        <x:f>IF(AND(项目总控台账!E93&lt;&gt;"",项目总控台账!E93&lt;&gt;"/"),项目总控台账!E93,IF(AND(项目总控台账!D93&lt;&gt;"",项目总控台账!D93&lt;&gt;"/"),项目总控台账!D93,项目总控台账!C93))</x:f>
        <x:v>#NAME?</x:v>
      </x:c>
      <x:c r="D94" s="8" t="e">
        <x:f>项目总控台账!F93</x:f>
        <x:v>#NAME?</x:v>
      </x:c>
      <x:c r="E94" s="8" t="e">
        <x:f>项目总控台账!G93</x:f>
        <x:v>#NAME?</x:v>
      </x:c>
      <x:c r="F94" s="8" t="e">
        <x:f>项目总控台账!H93</x:f>
        <x:v>#NAME?</x:v>
      </x:c>
      <x:c r="G94" s="25" t="e">
        <x:f>项目总控台账!J93</x:f>
        <x:v>#NAME?</x:v>
      </x:c>
      <x:c r="H94" s="8" t="e">
        <x:f>IF(G94="","",G94-项目驾驶舱!$B$3)</x:f>
        <x:v>#NAME?</x:v>
      </x:c>
      <x:c r="I94" s="8" t="e">
        <x:f>项目总控台账!AC93</x:f>
        <x:v>#NAME?</x:v>
      </x:c>
      <x:c r="J94" s="8" t="e">
        <x:f>项目总控台账!AD93</x:f>
        <x:v>#NAME?</x:v>
      </x:c>
      <x:c r="K94" s="8" t="str">
        <x:f t="shared" si="1"/>
      </x:c>
      <x:c r="L94" s="11"/>
      <x:c r="M94" s="10"/>
    </x:row>
    <x:row r="95">
      <x:c r="A95" s="8" t="e">
        <x:f>IF(B95="","",IF(AND(E95&lt;&gt;"已完成",ISNUMBER(G95),G95&lt;=项目驾驶舱!$B$3+14),"是","否"))</x:f>
        <x:v>#NAME?</x:v>
      </x:c>
      <x:c r="B95" s="8" t="e">
        <x:f>项目总控台账!A94</x:f>
        <x:v>#NAME?</x:v>
      </x:c>
      <x:c r="C95" s="8" t="e">
        <x:f>IF(AND(项目总控台账!E94&lt;&gt;"",项目总控台账!E94&lt;&gt;"/"),项目总控台账!E94,IF(AND(项目总控台账!D94&lt;&gt;"",项目总控台账!D94&lt;&gt;"/"),项目总控台账!D94,项目总控台账!C94))</x:f>
        <x:v>#NAME?</x:v>
      </x:c>
      <x:c r="D95" s="8" t="e">
        <x:f>项目总控台账!F94</x:f>
        <x:v>#NAME?</x:v>
      </x:c>
      <x:c r="E95" s="8" t="e">
        <x:f>项目总控台账!G94</x:f>
        <x:v>#NAME?</x:v>
      </x:c>
      <x:c r="F95" s="8" t="e">
        <x:f>项目总控台账!H94</x:f>
        <x:v>#NAME?</x:v>
      </x:c>
      <x:c r="G95" s="25" t="e">
        <x:f>项目总控台账!J94</x:f>
        <x:v>#NAME?</x:v>
      </x:c>
      <x:c r="H95" s="8" t="e">
        <x:f>IF(G95="","",G95-项目驾驶舱!$B$3)</x:f>
        <x:v>#NAME?</x:v>
      </x:c>
      <x:c r="I95" s="8" t="e">
        <x:f>项目总控台账!AC94</x:f>
        <x:v>#NAME?</x:v>
      </x:c>
      <x:c r="J95" s="8" t="e">
        <x:f>项目总控台账!AD94</x:f>
        <x:v>#NAME?</x:v>
      </x:c>
      <x:c r="K95" s="8" t="str">
        <x:f t="shared" si="1"/>
      </x:c>
      <x:c r="L95" s="11"/>
      <x:c r="M95" s="10"/>
    </x:row>
    <x:row r="96">
      <x:c r="A96" s="8" t="e">
        <x:f>IF(B96="","",IF(AND(E96&lt;&gt;"已完成",ISNUMBER(G96),G96&lt;=项目驾驶舱!$B$3+14),"是","否"))</x:f>
        <x:v>#NAME?</x:v>
      </x:c>
      <x:c r="B96" s="8" t="e">
        <x:f>项目总控台账!A95</x:f>
        <x:v>#NAME?</x:v>
      </x:c>
      <x:c r="C96" s="8" t="e">
        <x:f>IF(AND(项目总控台账!E95&lt;&gt;"",项目总控台账!E95&lt;&gt;"/"),项目总控台账!E95,IF(AND(项目总控台账!D95&lt;&gt;"",项目总控台账!D95&lt;&gt;"/"),项目总控台账!D95,项目总控台账!C95))</x:f>
        <x:v>#NAME?</x:v>
      </x:c>
      <x:c r="D96" s="8" t="e">
        <x:f>项目总控台账!F95</x:f>
        <x:v>#NAME?</x:v>
      </x:c>
      <x:c r="E96" s="8" t="e">
        <x:f>项目总控台账!G95</x:f>
        <x:v>#NAME?</x:v>
      </x:c>
      <x:c r="F96" s="8" t="e">
        <x:f>项目总控台账!H95</x:f>
        <x:v>#NAME?</x:v>
      </x:c>
      <x:c r="G96" s="25" t="e">
        <x:f>项目总控台账!J95</x:f>
        <x:v>#NAME?</x:v>
      </x:c>
      <x:c r="H96" s="8" t="e">
        <x:f>IF(G96="","",G96-项目驾驶舱!$B$3)</x:f>
        <x:v>#NAME?</x:v>
      </x:c>
      <x:c r="I96" s="8" t="e">
        <x:f>项目总控台账!AC95</x:f>
        <x:v>#NAME?</x:v>
      </x:c>
      <x:c r="J96" s="8" t="e">
        <x:f>项目总控台账!AD95</x:f>
        <x:v>#NAME?</x:v>
      </x:c>
      <x:c r="K96" s="8" t="str">
        <x:f t="shared" si="1"/>
      </x:c>
      <x:c r="L96" s="11"/>
      <x:c r="M96" s="10"/>
    </x:row>
    <x:row r="97">
      <x:c r="A97" s="8" t="e">
        <x:f>IF(B97="","",IF(AND(E97&lt;&gt;"已完成",ISNUMBER(G97),G97&lt;=项目驾驶舱!$B$3+14),"是","否"))</x:f>
        <x:v>#NAME?</x:v>
      </x:c>
      <x:c r="B97" s="8" t="e">
        <x:f>项目总控台账!A96</x:f>
        <x:v>#NAME?</x:v>
      </x:c>
      <x:c r="C97" s="8" t="e">
        <x:f>IF(AND(项目总控台账!E96&lt;&gt;"",项目总控台账!E96&lt;&gt;"/"),项目总控台账!E96,IF(AND(项目总控台账!D96&lt;&gt;"",项目总控台账!D96&lt;&gt;"/"),项目总控台账!D96,项目总控台账!C96))</x:f>
        <x:v>#NAME?</x:v>
      </x:c>
      <x:c r="D97" s="8" t="e">
        <x:f>项目总控台账!F96</x:f>
        <x:v>#NAME?</x:v>
      </x:c>
      <x:c r="E97" s="8" t="e">
        <x:f>项目总控台账!G96</x:f>
        <x:v>#NAME?</x:v>
      </x:c>
      <x:c r="F97" s="8" t="e">
        <x:f>项目总控台账!H96</x:f>
        <x:v>#NAME?</x:v>
      </x:c>
      <x:c r="G97" s="25" t="e">
        <x:f>项目总控台账!J96</x:f>
        <x:v>#NAME?</x:v>
      </x:c>
      <x:c r="H97" s="8" t="e">
        <x:f>IF(G97="","",G97-项目驾驶舱!$B$3)</x:f>
        <x:v>#NAME?</x:v>
      </x:c>
      <x:c r="I97" s="8" t="e">
        <x:f>项目总控台账!AC96</x:f>
        <x:v>#NAME?</x:v>
      </x:c>
      <x:c r="J97" s="8" t="e">
        <x:f>项目总控台账!AD96</x:f>
        <x:v>#NAME?</x:v>
      </x:c>
      <x:c r="K97" s="8" t="str">
        <x:f t="shared" si="1"/>
      </x:c>
      <x:c r="L97" s="11"/>
      <x:c r="M97" s="10"/>
    </x:row>
    <x:row r="98">
      <x:c r="A98" s="8" t="e">
        <x:f>IF(B98="","",IF(AND(E98&lt;&gt;"已完成",ISNUMBER(G98),G98&lt;=项目驾驶舱!$B$3+14),"是","否"))</x:f>
        <x:v>#NAME?</x:v>
      </x:c>
      <x:c r="B98" s="8" t="e">
        <x:f>项目总控台账!A97</x:f>
        <x:v>#NAME?</x:v>
      </x:c>
      <x:c r="C98" s="8" t="e">
        <x:f>IF(AND(项目总控台账!E97&lt;&gt;"",项目总控台账!E97&lt;&gt;"/"),项目总控台账!E97,IF(AND(项目总控台账!D97&lt;&gt;"",项目总控台账!D97&lt;&gt;"/"),项目总控台账!D97,项目总控台账!C97))</x:f>
        <x:v>#NAME?</x:v>
      </x:c>
      <x:c r="D98" s="8" t="e">
        <x:f>项目总控台账!F97</x:f>
        <x:v>#NAME?</x:v>
      </x:c>
      <x:c r="E98" s="8" t="e">
        <x:f>项目总控台账!G97</x:f>
        <x:v>#NAME?</x:v>
      </x:c>
      <x:c r="F98" s="8" t="e">
        <x:f>项目总控台账!H97</x:f>
        <x:v>#NAME?</x:v>
      </x:c>
      <x:c r="G98" s="25" t="e">
        <x:f>项目总控台账!J97</x:f>
        <x:v>#NAME?</x:v>
      </x:c>
      <x:c r="H98" s="8" t="e">
        <x:f>IF(G98="","",G98-项目驾驶舱!$B$3)</x:f>
        <x:v>#NAME?</x:v>
      </x:c>
      <x:c r="I98" s="8" t="e">
        <x:f>项目总控台账!AC97</x:f>
        <x:v>#NAME?</x:v>
      </x:c>
      <x:c r="J98" s="8" t="e">
        <x:f>项目总控台账!AD97</x:f>
        <x:v>#NAME?</x:v>
      </x:c>
      <x:c r="K98" s="8" t="str">
        <x:f t="shared" si="1"/>
      </x:c>
      <x:c r="L98" s="11"/>
      <x:c r="M98" s="10"/>
    </x:row>
    <x:row r="99">
      <x:c r="A99" s="8" t="e">
        <x:f>IF(B99="","",IF(AND(E99&lt;&gt;"已完成",ISNUMBER(G99),G99&lt;=项目驾驶舱!$B$3+14),"是","否"))</x:f>
        <x:v>#NAME?</x:v>
      </x:c>
      <x:c r="B99" s="8" t="e">
        <x:f>项目总控台账!A98</x:f>
        <x:v>#NAME?</x:v>
      </x:c>
      <x:c r="C99" s="8" t="e">
        <x:f>IF(AND(项目总控台账!E98&lt;&gt;"",项目总控台账!E98&lt;&gt;"/"),项目总控台账!E98,IF(AND(项目总控台账!D98&lt;&gt;"",项目总控台账!D98&lt;&gt;"/"),项目总控台账!D98,项目总控台账!C98))</x:f>
        <x:v>#NAME?</x:v>
      </x:c>
      <x:c r="D99" s="8" t="e">
        <x:f>项目总控台账!F98</x:f>
        <x:v>#NAME?</x:v>
      </x:c>
      <x:c r="E99" s="8" t="e">
        <x:f>项目总控台账!G98</x:f>
        <x:v>#NAME?</x:v>
      </x:c>
      <x:c r="F99" s="8" t="e">
        <x:f>项目总控台账!H98</x:f>
        <x:v>#NAME?</x:v>
      </x:c>
      <x:c r="G99" s="25" t="e">
        <x:f>项目总控台账!J98</x:f>
        <x:v>#NAME?</x:v>
      </x:c>
      <x:c r="H99" s="8" t="e">
        <x:f>IF(G99="","",G99-项目驾驶舱!$B$3)</x:f>
        <x:v>#NAME?</x:v>
      </x:c>
      <x:c r="I99" s="8" t="e">
        <x:f>项目总控台账!AC98</x:f>
        <x:v>#NAME?</x:v>
      </x:c>
      <x:c r="J99" s="8" t="e">
        <x:f>项目总控台账!AD98</x:f>
        <x:v>#NAME?</x:v>
      </x:c>
      <x:c r="K99" s="8" t="str">
        <x:f t="shared" si="1"/>
        <x:v>立即确认延期原因、影响及补救计划</x:v>
      </x:c>
      <x:c r="L99" s="11"/>
      <x:c r="M99" s="10"/>
    </x:row>
    <x:row r="100">
      <x:c r="A100" s="8" t="e">
        <x:f>IF(B100="","",IF(AND(E100&lt;&gt;"已完成",ISNUMBER(G100),G100&lt;=项目驾驶舱!$B$3+14),"是","否"))</x:f>
        <x:v>#NAME?</x:v>
      </x:c>
      <x:c r="B100" s="8" t="e">
        <x:f>项目总控台账!A99</x:f>
        <x:v>#NAME?</x:v>
      </x:c>
      <x:c r="C100" s="8" t="e">
        <x:f>IF(AND(项目总控台账!E99&lt;&gt;"",项目总控台账!E99&lt;&gt;"/"),项目总控台账!E99,IF(AND(项目总控台账!D99&lt;&gt;"",项目总控台账!D99&lt;&gt;"/"),项目总控台账!D99,项目总控台账!C99))</x:f>
        <x:v>#NAME?</x:v>
      </x:c>
      <x:c r="D100" s="8" t="e">
        <x:f>项目总控台账!F99</x:f>
        <x:v>#NAME?</x:v>
      </x:c>
      <x:c r="E100" s="8" t="e">
        <x:f>项目总控台账!G99</x:f>
        <x:v>#NAME?</x:v>
      </x:c>
      <x:c r="F100" s="8" t="e">
        <x:f>项目总控台账!H99</x:f>
        <x:v>#NAME?</x:v>
      </x:c>
      <x:c r="G100" s="25" t="e">
        <x:f>项目总控台账!J99</x:f>
        <x:v>#NAME?</x:v>
      </x:c>
      <x:c r="H100" s="8" t="e">
        <x:f>IF(G100="","",G100-项目驾驶舱!$B$3)</x:f>
        <x:v>#NAME?</x:v>
      </x:c>
      <x:c r="I100" s="8" t="e">
        <x:f>项目总控台账!AC99</x:f>
        <x:v>#NAME?</x:v>
      </x:c>
      <x:c r="J100" s="8" t="e">
        <x:f>项目总控台账!AD99</x:f>
        <x:v>#NAME?</x:v>
      </x:c>
      <x:c r="K100" s="8" t="str">
        <x:f t="shared" si="1"/>
      </x:c>
      <x:c r="L100" s="11"/>
      <x:c r="M100" s="10"/>
    </x:row>
    <x:row r="101">
      <x:c r="A101" s="8" t="e">
        <x:f>IF(B101="","",IF(AND(E101&lt;&gt;"已完成",ISNUMBER(G101),G101&lt;=项目驾驶舱!$B$3+14),"是","否"))</x:f>
        <x:v>#NAME?</x:v>
      </x:c>
      <x:c r="B101" s="8" t="e">
        <x:f>项目总控台账!A100</x:f>
        <x:v>#NAME?</x:v>
      </x:c>
      <x:c r="C101" s="8" t="e">
        <x:f>IF(AND(项目总控台账!E100&lt;&gt;"",项目总控台账!E100&lt;&gt;"/"),项目总控台账!E100,IF(AND(项目总控台账!D100&lt;&gt;"",项目总控台账!D100&lt;&gt;"/"),项目总控台账!D100,项目总控台账!C100))</x:f>
        <x:v>#NAME?</x:v>
      </x:c>
      <x:c r="D101" s="8" t="e">
        <x:f>项目总控台账!F100</x:f>
        <x:v>#NAME?</x:v>
      </x:c>
      <x:c r="E101" s="8" t="e">
        <x:f>项目总控台账!G100</x:f>
        <x:v>#NAME?</x:v>
      </x:c>
      <x:c r="F101" s="8" t="e">
        <x:f>项目总控台账!H100</x:f>
        <x:v>#NAME?</x:v>
      </x:c>
      <x:c r="G101" s="25" t="e">
        <x:f>项目总控台账!J100</x:f>
        <x:v>#NAME?</x:v>
      </x:c>
      <x:c r="H101" s="8" t="e">
        <x:f>IF(G101="","",G101-项目驾驶舱!$B$3)</x:f>
        <x:v>#NAME?</x:v>
      </x:c>
      <x:c r="I101" s="8" t="e">
        <x:f>项目总控台账!AC100</x:f>
        <x:v>#NAME?</x:v>
      </x:c>
      <x:c r="J101" s="8" t="e">
        <x:f>项目总控台账!AD100</x:f>
        <x:v>#NAME?</x:v>
      </x:c>
      <x:c r="K101" s="8" t="str">
        <x:f t="shared" si="1"/>
      </x:c>
      <x:c r="L101" s="11"/>
      <x:c r="M101" s="10"/>
    </x:row>
    <x:row r="102">
      <x:c r="A102" s="8" t="e">
        <x:f>IF(B102="","",IF(AND(E102&lt;&gt;"已完成",ISNUMBER(G102),G102&lt;=项目驾驶舱!$B$3+14),"是","否"))</x:f>
        <x:v>#NAME?</x:v>
      </x:c>
      <x:c r="B102" s="8" t="e">
        <x:f>项目总控台账!A101</x:f>
        <x:v>#NAME?</x:v>
      </x:c>
      <x:c r="C102" s="8" t="e">
        <x:f>IF(AND(项目总控台账!E101&lt;&gt;"",项目总控台账!E101&lt;&gt;"/"),项目总控台账!E101,IF(AND(项目总控台账!D101&lt;&gt;"",项目总控台账!D101&lt;&gt;"/"),项目总控台账!D101,项目总控台账!C101))</x:f>
        <x:v>#NAME?</x:v>
      </x:c>
      <x:c r="D102" s="8" t="e">
        <x:f>项目总控台账!F101</x:f>
        <x:v>#NAME?</x:v>
      </x:c>
      <x:c r="E102" s="8" t="e">
        <x:f>项目总控台账!G101</x:f>
        <x:v>#NAME?</x:v>
      </x:c>
      <x:c r="F102" s="8" t="e">
        <x:f>项目总控台账!H101</x:f>
        <x:v>#NAME?</x:v>
      </x:c>
      <x:c r="G102" s="25" t="e">
        <x:f>项目总控台账!J101</x:f>
        <x:v>#NAME?</x:v>
      </x:c>
      <x:c r="H102" s="8" t="e">
        <x:f>IF(G102="","",G102-项目驾驶舱!$B$3)</x:f>
        <x:v>#NAME?</x:v>
      </x:c>
      <x:c r="I102" s="8" t="e">
        <x:f>项目总控台账!AC101</x:f>
        <x:v>#NAME?</x:v>
      </x:c>
      <x:c r="J102" s="8" t="e">
        <x:f>项目总控台账!AD101</x:f>
        <x:v>#NAME?</x:v>
      </x:c>
      <x:c r="K102" s="8" t="str">
        <x:f t="shared" si="1"/>
      </x:c>
      <x:c r="L102" s="11"/>
      <x:c r="M102" s="10"/>
    </x:row>
    <x:row r="103">
      <x:c r="A103" s="8" t="e">
        <x:f>IF(B103="","",IF(AND(E103&lt;&gt;"已完成",ISNUMBER(G103),G103&lt;=项目驾驶舱!$B$3+14),"是","否"))</x:f>
        <x:v>#NAME?</x:v>
      </x:c>
      <x:c r="B103" s="8" t="e">
        <x:f>项目总控台账!A102</x:f>
        <x:v>#NAME?</x:v>
      </x:c>
      <x:c r="C103" s="8" t="e">
        <x:f>IF(AND(项目总控台账!E102&lt;&gt;"",项目总控台账!E102&lt;&gt;"/"),项目总控台账!E102,IF(AND(项目总控台账!D102&lt;&gt;"",项目总控台账!D102&lt;&gt;"/"),项目总控台账!D102,项目总控台账!C102))</x:f>
        <x:v>#NAME?</x:v>
      </x:c>
      <x:c r="D103" s="8" t="e">
        <x:f>项目总控台账!F102</x:f>
        <x:v>#NAME?</x:v>
      </x:c>
      <x:c r="E103" s="8" t="e">
        <x:f>项目总控台账!G102</x:f>
        <x:v>#NAME?</x:v>
      </x:c>
      <x:c r="F103" s="8" t="e">
        <x:f>项目总控台账!H102</x:f>
        <x:v>#NAME?</x:v>
      </x:c>
      <x:c r="G103" s="25" t="e">
        <x:f>项目总控台账!J102</x:f>
        <x:v>#NAME?</x:v>
      </x:c>
      <x:c r="H103" s="8" t="e">
        <x:f>IF(G103="","",G103-项目驾驶舱!$B$3)</x:f>
        <x:v>#NAME?</x:v>
      </x:c>
      <x:c r="I103" s="8" t="e">
        <x:f>项目总控台账!AC102</x:f>
        <x:v>#NAME?</x:v>
      </x:c>
      <x:c r="J103" s="8" t="e">
        <x:f>项目总控台账!AD102</x:f>
        <x:v>#NAME?</x:v>
      </x:c>
      <x:c r="K103" s="8" t="str">
        <x:f t="shared" si="1"/>
      </x:c>
      <x:c r="L103" s="11"/>
      <x:c r="M103" s="10"/>
    </x:row>
    <x:row r="104">
      <x:c r="A104" s="8" t="e">
        <x:f>IF(B104="","",IF(AND(E104&lt;&gt;"已完成",ISNUMBER(G104),G104&lt;=项目驾驶舱!$B$3+14),"是","否"))</x:f>
        <x:v>#NAME?</x:v>
      </x:c>
      <x:c r="B104" s="8" t="e">
        <x:f>项目总控台账!A103</x:f>
        <x:v>#NAME?</x:v>
      </x:c>
      <x:c r="C104" s="8" t="e">
        <x:f>IF(AND(项目总控台账!E103&lt;&gt;"",项目总控台账!E103&lt;&gt;"/"),项目总控台账!E103,IF(AND(项目总控台账!D103&lt;&gt;"",项目总控台账!D103&lt;&gt;"/"),项目总控台账!D103,项目总控台账!C103))</x:f>
        <x:v>#NAME?</x:v>
      </x:c>
      <x:c r="D104" s="8" t="e">
        <x:f>项目总控台账!F103</x:f>
        <x:v>#NAME?</x:v>
      </x:c>
      <x:c r="E104" s="8" t="e">
        <x:f>项目总控台账!G103</x:f>
        <x:v>#NAME?</x:v>
      </x:c>
      <x:c r="F104" s="8" t="e">
        <x:f>项目总控台账!H103</x:f>
        <x:v>#NAME?</x:v>
      </x:c>
      <x:c r="G104" s="25" t="e">
        <x:f>项目总控台账!J103</x:f>
        <x:v>#NAME?</x:v>
      </x:c>
      <x:c r="H104" s="8" t="e">
        <x:f>IF(G104="","",G104-项目驾驶舱!$B$3)</x:f>
        <x:v>#NAME?</x:v>
      </x:c>
      <x:c r="I104" s="8" t="e">
        <x:f>项目总控台账!AC103</x:f>
        <x:v>#NAME?</x:v>
      </x:c>
      <x:c r="J104" s="8" t="e">
        <x:f>项目总控台账!AD103</x:f>
        <x:v>#NAME?</x:v>
      </x:c>
      <x:c r="K104" s="8" t="str">
        <x:f t="shared" si="1"/>
      </x:c>
      <x:c r="L104" s="11"/>
      <x:c r="M104" s="10"/>
    </x:row>
    <x:row r="105">
      <x:c r="A105" s="8" t="e">
        <x:f>IF(B105="","",IF(AND(E105&lt;&gt;"已完成",ISNUMBER(G105),G105&lt;=项目驾驶舱!$B$3+14),"是","否"))</x:f>
        <x:v>#NAME?</x:v>
      </x:c>
      <x:c r="B105" s="8" t="e">
        <x:f>项目总控台账!A104</x:f>
        <x:v>#NAME?</x:v>
      </x:c>
      <x:c r="C105" s="8" t="e">
        <x:f>IF(AND(项目总控台账!E104&lt;&gt;"",项目总控台账!E104&lt;&gt;"/"),项目总控台账!E104,IF(AND(项目总控台账!D104&lt;&gt;"",项目总控台账!D104&lt;&gt;"/"),项目总控台账!D104,项目总控台账!C104))</x:f>
        <x:v>#NAME?</x:v>
      </x:c>
      <x:c r="D105" s="8" t="e">
        <x:f>项目总控台账!F104</x:f>
        <x:v>#NAME?</x:v>
      </x:c>
      <x:c r="E105" s="8" t="e">
        <x:f>项目总控台账!G104</x:f>
        <x:v>#NAME?</x:v>
      </x:c>
      <x:c r="F105" s="8" t="e">
        <x:f>项目总控台账!H104</x:f>
        <x:v>#NAME?</x:v>
      </x:c>
      <x:c r="G105" s="25" t="e">
        <x:f>项目总控台账!J104</x:f>
        <x:v>#NAME?</x:v>
      </x:c>
      <x:c r="H105" s="8" t="e">
        <x:f>IF(G105="","",G105-项目驾驶舱!$B$3)</x:f>
        <x:v>#NAME?</x:v>
      </x:c>
      <x:c r="I105" s="8" t="e">
        <x:f>项目总控台账!AC104</x:f>
        <x:v>#NAME?</x:v>
      </x:c>
      <x:c r="J105" s="8" t="e">
        <x:f>项目总控台账!AD104</x:f>
        <x:v>#NAME?</x:v>
      </x:c>
      <x:c r="K105" s="8" t="str">
        <x:f t="shared" si="1"/>
      </x:c>
      <x:c r="L105" s="11"/>
      <x:c r="M105" s="10"/>
    </x:row>
    <x:row r="106">
      <x:c r="A106" s="8" t="e">
        <x:f>IF(B106="","",IF(AND(E106&lt;&gt;"已完成",ISNUMBER(G106),G106&lt;=项目驾驶舱!$B$3+14),"是","否"))</x:f>
        <x:v>#NAME?</x:v>
      </x:c>
      <x:c r="B106" s="8" t="e">
        <x:f>项目总控台账!A105</x:f>
        <x:v>#NAME?</x:v>
      </x:c>
      <x:c r="C106" s="8" t="e">
        <x:f>IF(AND(项目总控台账!E105&lt;&gt;"",项目总控台账!E105&lt;&gt;"/"),项目总控台账!E105,IF(AND(项目总控台账!D105&lt;&gt;"",项目总控台账!D105&lt;&gt;"/"),项目总控台账!D105,项目总控台账!C105))</x:f>
        <x:v>#NAME?</x:v>
      </x:c>
      <x:c r="D106" s="8" t="e">
        <x:f>项目总控台账!F105</x:f>
        <x:v>#NAME?</x:v>
      </x:c>
      <x:c r="E106" s="8" t="e">
        <x:f>项目总控台账!G105</x:f>
        <x:v>#NAME?</x:v>
      </x:c>
      <x:c r="F106" s="8" t="e">
        <x:f>项目总控台账!H105</x:f>
        <x:v>#NAME?</x:v>
      </x:c>
      <x:c r="G106" s="25" t="e">
        <x:f>项目总控台账!J105</x:f>
        <x:v>#NAME?</x:v>
      </x:c>
      <x:c r="H106" s="8" t="e">
        <x:f>IF(G106="","",G106-项目驾驶舱!$B$3)</x:f>
        <x:v>#NAME?</x:v>
      </x:c>
      <x:c r="I106" s="8" t="e">
        <x:f>项目总控台账!AC105</x:f>
        <x:v>#NAME?</x:v>
      </x:c>
      <x:c r="J106" s="8" t="e">
        <x:f>项目总控台账!AD105</x:f>
        <x:v>#NAME?</x:v>
      </x:c>
      <x:c r="K106" s="8" t="str">
        <x:f t="shared" si="1"/>
      </x:c>
      <x:c r="L106" s="11"/>
      <x:c r="M106" s="10"/>
    </x:row>
    <x:row r="107">
      <x:c r="A107" s="8" t="e">
        <x:f>IF(B107="","",IF(AND(E107&lt;&gt;"已完成",ISNUMBER(G107),G107&lt;=项目驾驶舱!$B$3+14),"是","否"))</x:f>
        <x:v>#NAME?</x:v>
      </x:c>
      <x:c r="B107" s="8" t="e">
        <x:f>项目总控台账!A106</x:f>
        <x:v>#NAME?</x:v>
      </x:c>
      <x:c r="C107" s="8" t="e">
        <x:f>IF(AND(项目总控台账!E106&lt;&gt;"",项目总控台账!E106&lt;&gt;"/"),项目总控台账!E106,IF(AND(项目总控台账!D106&lt;&gt;"",项目总控台账!D106&lt;&gt;"/"),项目总控台账!D106,项目总控台账!C106))</x:f>
        <x:v>#NAME?</x:v>
      </x:c>
      <x:c r="D107" s="8" t="e">
        <x:f>项目总控台账!F106</x:f>
        <x:v>#NAME?</x:v>
      </x:c>
      <x:c r="E107" s="8" t="e">
        <x:f>项目总控台账!G106</x:f>
        <x:v>#NAME?</x:v>
      </x:c>
      <x:c r="F107" s="8" t="e">
        <x:f>项目总控台账!H106</x:f>
        <x:v>#NAME?</x:v>
      </x:c>
      <x:c r="G107" s="25" t="e">
        <x:f>项目总控台账!J106</x:f>
        <x:v>#NAME?</x:v>
      </x:c>
      <x:c r="H107" s="8" t="e">
        <x:f>IF(G107="","",G107-项目驾驶舱!$B$3)</x:f>
        <x:v>#NAME?</x:v>
      </x:c>
      <x:c r="I107" s="8" t="e">
        <x:f>项目总控台账!AC106</x:f>
        <x:v>#NAME?</x:v>
      </x:c>
      <x:c r="J107" s="8" t="e">
        <x:f>项目总控台账!AD106</x:f>
        <x:v>#NAME?</x:v>
      </x:c>
      <x:c r="K107" s="8" t="str">
        <x:f t="shared" si="1"/>
      </x:c>
      <x:c r="L107" s="11"/>
      <x:c r="M107" s="10"/>
    </x:row>
    <x:row r="108">
      <x:c r="A108" s="8" t="e">
        <x:f>IF(B108="","",IF(AND(E108&lt;&gt;"已完成",ISNUMBER(G108),G108&lt;=项目驾驶舱!$B$3+14),"是","否"))</x:f>
        <x:v>#NAME?</x:v>
      </x:c>
      <x:c r="B108" s="8" t="e">
        <x:f>项目总控台账!A107</x:f>
        <x:v>#NAME?</x:v>
      </x:c>
      <x:c r="C108" s="8" t="e">
        <x:f>IF(AND(项目总控台账!E107&lt;&gt;"",项目总控台账!E107&lt;&gt;"/"),项目总控台账!E107,IF(AND(项目总控台账!D107&lt;&gt;"",项目总控台账!D107&lt;&gt;"/"),项目总控台账!D107,项目总控台账!C107))</x:f>
        <x:v>#NAME?</x:v>
      </x:c>
      <x:c r="D108" s="8" t="e">
        <x:f>项目总控台账!F107</x:f>
        <x:v>#NAME?</x:v>
      </x:c>
      <x:c r="E108" s="8" t="e">
        <x:f>项目总控台账!G107</x:f>
        <x:v>#NAME?</x:v>
      </x:c>
      <x:c r="F108" s="8" t="e">
        <x:f>项目总控台账!H107</x:f>
        <x:v>#NAME?</x:v>
      </x:c>
      <x:c r="G108" s="25" t="e">
        <x:f>项目总控台账!J107</x:f>
        <x:v>#NAME?</x:v>
      </x:c>
      <x:c r="H108" s="8" t="e">
        <x:f>IF(G108="","",G108-项目驾驶舱!$B$3)</x:f>
        <x:v>#NAME?</x:v>
      </x:c>
      <x:c r="I108" s="8" t="e">
        <x:f>项目总控台账!AC107</x:f>
        <x:v>#NAME?</x:v>
      </x:c>
      <x:c r="J108" s="8" t="e">
        <x:f>项目总控台账!AD107</x:f>
        <x:v>#NAME?</x:v>
      </x:c>
      <x:c r="K108" s="8" t="str">
        <x:f t="shared" si="1"/>
      </x:c>
      <x:c r="L108" s="11"/>
      <x:c r="M108" s="10"/>
    </x:row>
    <x:row r="109">
      <x:c r="A109" s="8" t="e">
        <x:f>IF(B109="","",IF(AND(E109&lt;&gt;"已完成",ISNUMBER(G109),G109&lt;=项目驾驶舱!$B$3+14),"是","否"))</x:f>
        <x:v>#NAME?</x:v>
      </x:c>
      <x:c r="B109" s="8" t="e">
        <x:f>项目总控台账!A108</x:f>
        <x:v>#NAME?</x:v>
      </x:c>
      <x:c r="C109" s="8" t="e">
        <x:f>IF(AND(项目总控台账!E108&lt;&gt;"",项目总控台账!E108&lt;&gt;"/"),项目总控台账!E108,IF(AND(项目总控台账!D108&lt;&gt;"",项目总控台账!D108&lt;&gt;"/"),项目总控台账!D108,项目总控台账!C108))</x:f>
        <x:v>#NAME?</x:v>
      </x:c>
      <x:c r="D109" s="8" t="e">
        <x:f>项目总控台账!F108</x:f>
        <x:v>#NAME?</x:v>
      </x:c>
      <x:c r="E109" s="8" t="e">
        <x:f>项目总控台账!G108</x:f>
        <x:v>#NAME?</x:v>
      </x:c>
      <x:c r="F109" s="8" t="e">
        <x:f>项目总控台账!H108</x:f>
        <x:v>#NAME?</x:v>
      </x:c>
      <x:c r="G109" s="25" t="e">
        <x:f>项目总控台账!J108</x:f>
        <x:v>#NAME?</x:v>
      </x:c>
      <x:c r="H109" s="8" t="e">
        <x:f>IF(G109="","",G109-项目驾驶舱!$B$3)</x:f>
        <x:v>#NAME?</x:v>
      </x:c>
      <x:c r="I109" s="8" t="e">
        <x:f>项目总控台账!AC108</x:f>
        <x:v>#NAME?</x:v>
      </x:c>
      <x:c r="J109" s="8" t="e">
        <x:f>项目总控台账!AD108</x:f>
        <x:v>#NAME?</x:v>
      </x:c>
      <x:c r="K109" s="8" t="str">
        <x:f t="shared" si="1"/>
      </x:c>
      <x:c r="L109" s="11"/>
      <x:c r="M109" s="10"/>
    </x:row>
    <x:row r="110">
      <x:c r="A110" s="8" t="e">
        <x:f>IF(B110="","",IF(AND(E110&lt;&gt;"已完成",ISNUMBER(G110),G110&lt;=项目驾驶舱!$B$3+14),"是","否"))</x:f>
        <x:v>#NAME?</x:v>
      </x:c>
      <x:c r="B110" s="8" t="e">
        <x:f>项目总控台账!A109</x:f>
        <x:v>#NAME?</x:v>
      </x:c>
      <x:c r="C110" s="8" t="e">
        <x:f>IF(AND(项目总控台账!E109&lt;&gt;"",项目总控台账!E109&lt;&gt;"/"),项目总控台账!E109,IF(AND(项目总控台账!D109&lt;&gt;"",项目总控台账!D109&lt;&gt;"/"),项目总控台账!D109,项目总控台账!C109))</x:f>
        <x:v>#NAME?</x:v>
      </x:c>
      <x:c r="D110" s="8" t="e">
        <x:f>项目总控台账!F109</x:f>
        <x:v>#NAME?</x:v>
      </x:c>
      <x:c r="E110" s="8" t="e">
        <x:f>项目总控台账!G109</x:f>
        <x:v>#NAME?</x:v>
      </x:c>
      <x:c r="F110" s="8" t="e">
        <x:f>项目总控台账!H109</x:f>
        <x:v>#NAME?</x:v>
      </x:c>
      <x:c r="G110" s="25" t="e">
        <x:f>项目总控台账!J109</x:f>
        <x:v>#NAME?</x:v>
      </x:c>
      <x:c r="H110" s="8" t="e">
        <x:f>IF(G110="","",G110-项目驾驶舱!$B$3)</x:f>
        <x:v>#NAME?</x:v>
      </x:c>
      <x:c r="I110" s="8" t="e">
        <x:f>项目总控台账!AC109</x:f>
        <x:v>#NAME?</x:v>
      </x:c>
      <x:c r="J110" s="8" t="e">
        <x:f>项目总控台账!AD109</x:f>
        <x:v>#NAME?</x:v>
      </x:c>
      <x:c r="K110" s="8" t="str">
        <x:f t="shared" si="1"/>
      </x:c>
      <x:c r="L110" s="11"/>
      <x:c r="M110" s="10"/>
    </x:row>
    <x:row r="111">
      <x:c r="A111" s="8" t="e">
        <x:f>IF(B111="","",IF(AND(E111&lt;&gt;"已完成",ISNUMBER(G111),G111&lt;=项目驾驶舱!$B$3+14),"是","否"))</x:f>
        <x:v>#NAME?</x:v>
      </x:c>
      <x:c r="B111" s="8" t="e">
        <x:f>项目总控台账!A110</x:f>
        <x:v>#NAME?</x:v>
      </x:c>
      <x:c r="C111" s="8" t="e">
        <x:f>IF(AND(项目总控台账!E110&lt;&gt;"",项目总控台账!E110&lt;&gt;"/"),项目总控台账!E110,IF(AND(项目总控台账!D110&lt;&gt;"",项目总控台账!D110&lt;&gt;"/"),项目总控台账!D110,项目总控台账!C110))</x:f>
        <x:v>#NAME?</x:v>
      </x:c>
      <x:c r="D111" s="8" t="e">
        <x:f>项目总控台账!F110</x:f>
        <x:v>#NAME?</x:v>
      </x:c>
      <x:c r="E111" s="8" t="e">
        <x:f>项目总控台账!G110</x:f>
        <x:v>#NAME?</x:v>
      </x:c>
      <x:c r="F111" s="8" t="e">
        <x:f>项目总控台账!H110</x:f>
        <x:v>#NAME?</x:v>
      </x:c>
      <x:c r="G111" s="25" t="e">
        <x:f>项目总控台账!J110</x:f>
        <x:v>#NAME?</x:v>
      </x:c>
      <x:c r="H111" s="8" t="e">
        <x:f>IF(G111="","",G111-项目驾驶舱!$B$3)</x:f>
        <x:v>#NAME?</x:v>
      </x:c>
      <x:c r="I111" s="8" t="e">
        <x:f>项目总控台账!AC110</x:f>
        <x:v>#NAME?</x:v>
      </x:c>
      <x:c r="J111" s="8" t="e">
        <x:f>项目总控台账!AD110</x:f>
        <x:v>#NAME?</x:v>
      </x:c>
      <x:c r="K111" s="8" t="str">
        <x:f t="shared" si="1"/>
      </x:c>
      <x:c r="L111" s="11"/>
      <x:c r="M111" s="10"/>
    </x:row>
    <x:row r="112">
      <x:c r="A112" s="8" t="e">
        <x:f>IF(B112="","",IF(AND(E112&lt;&gt;"已完成",ISNUMBER(G112),G112&lt;=项目驾驶舱!$B$3+14),"是","否"))</x:f>
        <x:v>#NAME?</x:v>
      </x:c>
      <x:c r="B112" s="8" t="e">
        <x:f>项目总控台账!A111</x:f>
        <x:v>#NAME?</x:v>
      </x:c>
      <x:c r="C112" s="8" t="e">
        <x:f>IF(AND(项目总控台账!E111&lt;&gt;"",项目总控台账!E111&lt;&gt;"/"),项目总控台账!E111,IF(AND(项目总控台账!D111&lt;&gt;"",项目总控台账!D111&lt;&gt;"/"),项目总控台账!D111,项目总控台账!C111))</x:f>
        <x:v>#NAME?</x:v>
      </x:c>
      <x:c r="D112" s="8" t="e">
        <x:f>项目总控台账!F111</x:f>
        <x:v>#NAME?</x:v>
      </x:c>
      <x:c r="E112" s="8" t="e">
        <x:f>项目总控台账!G111</x:f>
        <x:v>#NAME?</x:v>
      </x:c>
      <x:c r="F112" s="8" t="e">
        <x:f>项目总控台账!H111</x:f>
        <x:v>#NAME?</x:v>
      </x:c>
      <x:c r="G112" s="25" t="e">
        <x:f>项目总控台账!J111</x:f>
        <x:v>#NAME?</x:v>
      </x:c>
      <x:c r="H112" s="8" t="e">
        <x:f>IF(G112="","",G112-项目驾驶舱!$B$3)</x:f>
        <x:v>#NAME?</x:v>
      </x:c>
      <x:c r="I112" s="8" t="e">
        <x:f>项目总控台账!AC111</x:f>
        <x:v>#NAME?</x:v>
      </x:c>
      <x:c r="J112" s="8" t="e">
        <x:f>项目总控台账!AD111</x:f>
        <x:v>#NAME?</x:v>
      </x:c>
      <x:c r="K112" s="8" t="str">
        <x:f t="shared" si="1"/>
      </x:c>
      <x:c r="L112" s="11"/>
      <x:c r="M112" s="10"/>
    </x:row>
    <x:row r="113">
      <x:c r="A113" s="8" t="e">
        <x:f>IF(B113="","",IF(AND(E113&lt;&gt;"已完成",ISNUMBER(G113),G113&lt;=项目驾驶舱!$B$3+14),"是","否"))</x:f>
        <x:v>#NAME?</x:v>
      </x:c>
      <x:c r="B113" s="8" t="e">
        <x:f>项目总控台账!A112</x:f>
        <x:v>#NAME?</x:v>
      </x:c>
      <x:c r="C113" s="8" t="e">
        <x:f>IF(AND(项目总控台账!E112&lt;&gt;"",项目总控台账!E112&lt;&gt;"/"),项目总控台账!E112,IF(AND(项目总控台账!D112&lt;&gt;"",项目总控台账!D112&lt;&gt;"/"),项目总控台账!D112,项目总控台账!C112))</x:f>
        <x:v>#NAME?</x:v>
      </x:c>
      <x:c r="D113" s="8" t="e">
        <x:f>项目总控台账!F112</x:f>
        <x:v>#NAME?</x:v>
      </x:c>
      <x:c r="E113" s="8" t="e">
        <x:f>项目总控台账!G112</x:f>
        <x:v>#NAME?</x:v>
      </x:c>
      <x:c r="F113" s="8" t="e">
        <x:f>项目总控台账!H112</x:f>
        <x:v>#NAME?</x:v>
      </x:c>
      <x:c r="G113" s="25" t="e">
        <x:f>项目总控台账!J112</x:f>
        <x:v>#NAME?</x:v>
      </x:c>
      <x:c r="H113" s="8" t="e">
        <x:f>IF(G113="","",G113-项目驾驶舱!$B$3)</x:f>
        <x:v>#NAME?</x:v>
      </x:c>
      <x:c r="I113" s="8" t="e">
        <x:f>项目总控台账!AC112</x:f>
        <x:v>#NAME?</x:v>
      </x:c>
      <x:c r="J113" s="8" t="e">
        <x:f>项目总控台账!AD112</x:f>
        <x:v>#NAME?</x:v>
      </x:c>
      <x:c r="K113" s="8" t="str">
        <x:f t="shared" si="1"/>
      </x:c>
      <x:c r="L113" s="11"/>
      <x:c r="M113" s="10"/>
    </x:row>
    <x:row r="114">
      <x:c r="A114" s="8" t="e">
        <x:f>IF(B114="","",IF(AND(E114&lt;&gt;"已完成",ISNUMBER(G114),G114&lt;=项目驾驶舱!$B$3+14),"是","否"))</x:f>
        <x:v>#NAME?</x:v>
      </x:c>
      <x:c r="B114" s="8" t="e">
        <x:f>项目总控台账!A113</x:f>
        <x:v>#NAME?</x:v>
      </x:c>
      <x:c r="C114" s="8" t="e">
        <x:f>IF(AND(项目总控台账!E113&lt;&gt;"",项目总控台账!E113&lt;&gt;"/"),项目总控台账!E113,IF(AND(项目总控台账!D113&lt;&gt;"",项目总控台账!D113&lt;&gt;"/"),项目总控台账!D113,项目总控台账!C113))</x:f>
        <x:v>#NAME?</x:v>
      </x:c>
      <x:c r="D114" s="8" t="e">
        <x:f>项目总控台账!F113</x:f>
        <x:v>#NAME?</x:v>
      </x:c>
      <x:c r="E114" s="8" t="e">
        <x:f>项目总控台账!G113</x:f>
        <x:v>#NAME?</x:v>
      </x:c>
      <x:c r="F114" s="8" t="e">
        <x:f>项目总控台账!H113</x:f>
        <x:v>#NAME?</x:v>
      </x:c>
      <x:c r="G114" s="25" t="e">
        <x:f>项目总控台账!J113</x:f>
        <x:v>#NAME?</x:v>
      </x:c>
      <x:c r="H114" s="8" t="e">
        <x:f>IF(G114="","",G114-项目驾驶舱!$B$3)</x:f>
        <x:v>#NAME?</x:v>
      </x:c>
      <x:c r="I114" s="8" t="e">
        <x:f>项目总控台账!AC113</x:f>
        <x:v>#NAME?</x:v>
      </x:c>
      <x:c r="J114" s="8" t="e">
        <x:f>项目总控台账!AD113</x:f>
        <x:v>#NAME?</x:v>
      </x:c>
      <x:c r="K114" s="8" t="str">
        <x:f t="shared" si="1"/>
      </x:c>
      <x:c r="L114" s="11"/>
      <x:c r="M114" s="10"/>
    </x:row>
    <x:row r="115">
      <x:c r="A115" s="8" t="e">
        <x:f>IF(B115="","",IF(AND(E115&lt;&gt;"已完成",ISNUMBER(G115),G115&lt;=项目驾驶舱!$B$3+14),"是","否"))</x:f>
        <x:v>#NAME?</x:v>
      </x:c>
      <x:c r="B115" s="8" t="e">
        <x:f>项目总控台账!A114</x:f>
        <x:v>#NAME?</x:v>
      </x:c>
      <x:c r="C115" s="8" t="e">
        <x:f>IF(AND(项目总控台账!E114&lt;&gt;"",项目总控台账!E114&lt;&gt;"/"),项目总控台账!E114,IF(AND(项目总控台账!D114&lt;&gt;"",项目总控台账!D114&lt;&gt;"/"),项目总控台账!D114,项目总控台账!C114))</x:f>
        <x:v>#NAME?</x:v>
      </x:c>
      <x:c r="D115" s="8" t="e">
        <x:f>项目总控台账!F114</x:f>
        <x:v>#NAME?</x:v>
      </x:c>
      <x:c r="E115" s="8" t="e">
        <x:f>项目总控台账!G114</x:f>
        <x:v>#NAME?</x:v>
      </x:c>
      <x:c r="F115" s="8" t="e">
        <x:f>项目总控台账!H114</x:f>
        <x:v>#NAME?</x:v>
      </x:c>
      <x:c r="G115" s="25" t="e">
        <x:f>项目总控台账!J114</x:f>
        <x:v>#NAME?</x:v>
      </x:c>
      <x:c r="H115" s="8" t="e">
        <x:f>IF(G115="","",G115-项目驾驶舱!$B$3)</x:f>
        <x:v>#NAME?</x:v>
      </x:c>
      <x:c r="I115" s="8" t="e">
        <x:f>项目总控台账!AC114</x:f>
        <x:v>#NAME?</x:v>
      </x:c>
      <x:c r="J115" s="8" t="e">
        <x:f>项目总控台账!AD114</x:f>
        <x:v>#NAME?</x:v>
      </x:c>
      <x:c r="K115" s="8" t="str">
        <x:f t="shared" si="1"/>
      </x:c>
      <x:c r="L115" s="11"/>
      <x:c r="M115" s="10"/>
    </x:row>
    <x:row r="116">
      <x:c r="A116" s="8" t="e">
        <x:f>IF(B116="","",IF(AND(E116&lt;&gt;"已完成",ISNUMBER(G116),G116&lt;=项目驾驶舱!$B$3+14),"是","否"))</x:f>
        <x:v>#NAME?</x:v>
      </x:c>
      <x:c r="B116" s="8" t="e">
        <x:f>项目总控台账!A115</x:f>
        <x:v>#NAME?</x:v>
      </x:c>
      <x:c r="C116" s="8" t="e">
        <x:f>IF(AND(项目总控台账!E115&lt;&gt;"",项目总控台账!E115&lt;&gt;"/"),项目总控台账!E115,IF(AND(项目总控台账!D115&lt;&gt;"",项目总控台账!D115&lt;&gt;"/"),项目总控台账!D115,项目总控台账!C115))</x:f>
        <x:v>#NAME?</x:v>
      </x:c>
      <x:c r="D116" s="8" t="e">
        <x:f>项目总控台账!F115</x:f>
        <x:v>#NAME?</x:v>
      </x:c>
      <x:c r="E116" s="8" t="e">
        <x:f>项目总控台账!G115</x:f>
        <x:v>#NAME?</x:v>
      </x:c>
      <x:c r="F116" s="8" t="e">
        <x:f>项目总控台账!H115</x:f>
        <x:v>#NAME?</x:v>
      </x:c>
      <x:c r="G116" s="25" t="e">
        <x:f>项目总控台账!J115</x:f>
        <x:v>#NAME?</x:v>
      </x:c>
      <x:c r="H116" s="8" t="e">
        <x:f>IF(G116="","",G116-项目驾驶舱!$B$3)</x:f>
        <x:v>#NAME?</x:v>
      </x:c>
      <x:c r="I116" s="8" t="e">
        <x:f>项目总控台账!AC115</x:f>
        <x:v>#NAME?</x:v>
      </x:c>
      <x:c r="J116" s="8" t="e">
        <x:f>项目总控台账!AD115</x:f>
        <x:v>#NAME?</x:v>
      </x:c>
      <x:c r="K116" s="8" t="str">
        <x:f t="shared" si="1"/>
      </x:c>
      <x:c r="L116" s="11"/>
      <x:c r="M116" s="10"/>
    </x:row>
    <x:row r="117">
      <x:c r="A117" s="8" t="e">
        <x:f>IF(B117="","",IF(AND(E117&lt;&gt;"已完成",ISNUMBER(G117),G117&lt;=项目驾驶舱!$B$3+14),"是","否"))</x:f>
        <x:v>#NAME?</x:v>
      </x:c>
      <x:c r="B117" s="8" t="e">
        <x:f>项目总控台账!A116</x:f>
        <x:v>#NAME?</x:v>
      </x:c>
      <x:c r="C117" s="8" t="e">
        <x:f>IF(AND(项目总控台账!E116&lt;&gt;"",项目总控台账!E116&lt;&gt;"/"),项目总控台账!E116,IF(AND(项目总控台账!D116&lt;&gt;"",项目总控台账!D116&lt;&gt;"/"),项目总控台账!D116,项目总控台账!C116))</x:f>
        <x:v>#NAME?</x:v>
      </x:c>
      <x:c r="D117" s="8" t="e">
        <x:f>项目总控台账!F116</x:f>
        <x:v>#NAME?</x:v>
      </x:c>
      <x:c r="E117" s="8" t="e">
        <x:f>项目总控台账!G116</x:f>
        <x:v>#NAME?</x:v>
      </x:c>
      <x:c r="F117" s="8" t="e">
        <x:f>项目总控台账!H116</x:f>
        <x:v>#NAME?</x:v>
      </x:c>
      <x:c r="G117" s="25" t="e">
        <x:f>项目总控台账!J116</x:f>
        <x:v>#NAME?</x:v>
      </x:c>
      <x:c r="H117" s="8" t="e">
        <x:f>IF(G117="","",G117-项目驾驶舱!$B$3)</x:f>
        <x:v>#NAME?</x:v>
      </x:c>
      <x:c r="I117" s="8" t="e">
        <x:f>项目总控台账!AC116</x:f>
        <x:v>#NAME?</x:v>
      </x:c>
      <x:c r="J117" s="8" t="e">
        <x:f>项目总控台账!AD116</x:f>
        <x:v>#NAME?</x:v>
      </x:c>
      <x:c r="K117" s="8" t="str">
        <x:f t="shared" si="1"/>
      </x:c>
      <x:c r="L117" s="11"/>
      <x:c r="M117" s="10"/>
    </x:row>
    <x:row r="118">
      <x:c r="A118" s="8" t="e">
        <x:f>IF(B118="","",IF(AND(E118&lt;&gt;"已完成",ISNUMBER(G118),G118&lt;=项目驾驶舱!$B$3+14),"是","否"))</x:f>
        <x:v>#NAME?</x:v>
      </x:c>
      <x:c r="B118" s="8" t="e">
        <x:f>项目总控台账!A117</x:f>
        <x:v>#NAME?</x:v>
      </x:c>
      <x:c r="C118" s="8" t="e">
        <x:f>IF(AND(项目总控台账!E117&lt;&gt;"",项目总控台账!E117&lt;&gt;"/"),项目总控台账!E117,IF(AND(项目总控台账!D117&lt;&gt;"",项目总控台账!D117&lt;&gt;"/"),项目总控台账!D117,项目总控台账!C117))</x:f>
        <x:v>#NAME?</x:v>
      </x:c>
      <x:c r="D118" s="8" t="e">
        <x:f>项目总控台账!F117</x:f>
        <x:v>#NAME?</x:v>
      </x:c>
      <x:c r="E118" s="8" t="e">
        <x:f>项目总控台账!G117</x:f>
        <x:v>#NAME?</x:v>
      </x:c>
      <x:c r="F118" s="8" t="e">
        <x:f>项目总控台账!H117</x:f>
        <x:v>#NAME?</x:v>
      </x:c>
      <x:c r="G118" s="25" t="e">
        <x:f>项目总控台账!J117</x:f>
        <x:v>#NAME?</x:v>
      </x:c>
      <x:c r="H118" s="8" t="e">
        <x:f>IF(G118="","",G118-项目驾驶舱!$B$3)</x:f>
        <x:v>#NAME?</x:v>
      </x:c>
      <x:c r="I118" s="8" t="e">
        <x:f>项目总控台账!AC117</x:f>
        <x:v>#NAME?</x:v>
      </x:c>
      <x:c r="J118" s="8" t="e">
        <x:f>项目总控台账!AD117</x:f>
        <x:v>#NAME?</x:v>
      </x:c>
      <x:c r="K118" s="8" t="str">
        <x:f t="shared" si="1"/>
      </x:c>
      <x:c r="L118" s="11"/>
      <x:c r="M118" s="10"/>
    </x:row>
    <x:row r="119">
      <x:c r="A119" s="8" t="e">
        <x:f>IF(B119="","",IF(AND(E119&lt;&gt;"已完成",ISNUMBER(G119),G119&lt;=项目驾驶舱!$B$3+14),"是","否"))</x:f>
        <x:v>#NAME?</x:v>
      </x:c>
      <x:c r="B119" s="8" t="e">
        <x:f>项目总控台账!A118</x:f>
        <x:v>#NAME?</x:v>
      </x:c>
      <x:c r="C119" s="8" t="e">
        <x:f>IF(AND(项目总控台账!E118&lt;&gt;"",项目总控台账!E118&lt;&gt;"/"),项目总控台账!E118,IF(AND(项目总控台账!D118&lt;&gt;"",项目总控台账!D118&lt;&gt;"/"),项目总控台账!D118,项目总控台账!C118))</x:f>
        <x:v>#NAME?</x:v>
      </x:c>
      <x:c r="D119" s="8" t="e">
        <x:f>项目总控台账!F118</x:f>
        <x:v>#NAME?</x:v>
      </x:c>
      <x:c r="E119" s="8" t="e">
        <x:f>项目总控台账!G118</x:f>
        <x:v>#NAME?</x:v>
      </x:c>
      <x:c r="F119" s="8" t="e">
        <x:f>项目总控台账!H118</x:f>
        <x:v>#NAME?</x:v>
      </x:c>
      <x:c r="G119" s="25" t="e">
        <x:f>项目总控台账!J118</x:f>
        <x:v>#NAME?</x:v>
      </x:c>
      <x:c r="H119" s="8" t="e">
        <x:f>IF(G119="","",G119-项目驾驶舱!$B$3)</x:f>
        <x:v>#NAME?</x:v>
      </x:c>
      <x:c r="I119" s="8" t="e">
        <x:f>项目总控台账!AC118</x:f>
        <x:v>#NAME?</x:v>
      </x:c>
      <x:c r="J119" s="8" t="e">
        <x:f>项目总控台账!AD118</x:f>
        <x:v>#NAME?</x:v>
      </x:c>
      <x:c r="K119" s="8" t="str">
        <x:f t="shared" si="1"/>
      </x:c>
      <x:c r="L119" s="11"/>
      <x:c r="M119" s="10"/>
    </x:row>
    <x:row r="120">
      <x:c r="A120" s="8" t="e">
        <x:f>IF(B120="","",IF(AND(E120&lt;&gt;"已完成",ISNUMBER(G120),G120&lt;=项目驾驶舱!$B$3+14),"是","否"))</x:f>
        <x:v>#NAME?</x:v>
      </x:c>
      <x:c r="B120" s="8" t="e">
        <x:f>项目总控台账!A119</x:f>
        <x:v>#NAME?</x:v>
      </x:c>
      <x:c r="C120" s="8" t="e">
        <x:f>IF(AND(项目总控台账!E119&lt;&gt;"",项目总控台账!E119&lt;&gt;"/"),项目总控台账!E119,IF(AND(项目总控台账!D119&lt;&gt;"",项目总控台账!D119&lt;&gt;"/"),项目总控台账!D119,项目总控台账!C119))</x:f>
        <x:v>#NAME?</x:v>
      </x:c>
      <x:c r="D120" s="8" t="e">
        <x:f>项目总控台账!F119</x:f>
        <x:v>#NAME?</x:v>
      </x:c>
      <x:c r="E120" s="8" t="e">
        <x:f>项目总控台账!G119</x:f>
        <x:v>#NAME?</x:v>
      </x:c>
      <x:c r="F120" s="8" t="e">
        <x:f>项目总控台账!H119</x:f>
        <x:v>#NAME?</x:v>
      </x:c>
      <x:c r="G120" s="25" t="e">
        <x:f>项目总控台账!J119</x:f>
        <x:v>#NAME?</x:v>
      </x:c>
      <x:c r="H120" s="8" t="e">
        <x:f>IF(G120="","",G120-项目驾驶舱!$B$3)</x:f>
        <x:v>#NAME?</x:v>
      </x:c>
      <x:c r="I120" s="8" t="e">
        <x:f>项目总控台账!AC119</x:f>
        <x:v>#NAME?</x:v>
      </x:c>
      <x:c r="J120" s="8" t="e">
        <x:f>项目总控台账!AD119</x:f>
        <x:v>#NAME?</x:v>
      </x:c>
      <x:c r="K120" s="8" t="str">
        <x:f t="shared" si="1"/>
      </x:c>
      <x:c r="L120" s="11"/>
      <x:c r="M120" s="10"/>
    </x:row>
    <x:row r="121">
      <x:c r="A121" s="8" t="e">
        <x:f>IF(B121="","",IF(AND(E121&lt;&gt;"已完成",ISNUMBER(G121),G121&lt;=项目驾驶舱!$B$3+14),"是","否"))</x:f>
        <x:v>#NAME?</x:v>
      </x:c>
      <x:c r="B121" s="8" t="e">
        <x:f>项目总控台账!A120</x:f>
        <x:v>#NAME?</x:v>
      </x:c>
      <x:c r="C121" s="8" t="e">
        <x:f>IF(AND(项目总控台账!E120&lt;&gt;"",项目总控台账!E120&lt;&gt;"/"),项目总控台账!E120,IF(AND(项目总控台账!D120&lt;&gt;"",项目总控台账!D120&lt;&gt;"/"),项目总控台账!D120,项目总控台账!C120))</x:f>
        <x:v>#NAME?</x:v>
      </x:c>
      <x:c r="D121" s="8" t="e">
        <x:f>项目总控台账!F120</x:f>
        <x:v>#NAME?</x:v>
      </x:c>
      <x:c r="E121" s="8" t="e">
        <x:f>项目总控台账!G120</x:f>
        <x:v>#NAME?</x:v>
      </x:c>
      <x:c r="F121" s="8" t="e">
        <x:f>项目总控台账!H120</x:f>
        <x:v>#NAME?</x:v>
      </x:c>
      <x:c r="G121" s="25" t="e">
        <x:f>项目总控台账!J120</x:f>
        <x:v>#NAME?</x:v>
      </x:c>
      <x:c r="H121" s="8" t="e">
        <x:f>IF(G121="","",G121-项目驾驶舱!$B$3)</x:f>
        <x:v>#NAME?</x:v>
      </x:c>
      <x:c r="I121" s="8" t="e">
        <x:f>项目总控台账!AC120</x:f>
        <x:v>#NAME?</x:v>
      </x:c>
      <x:c r="J121" s="8" t="e">
        <x:f>项目总控台账!AD120</x:f>
        <x:v>#NAME?</x:v>
      </x:c>
      <x:c r="K121" s="8" t="str">
        <x:f t="shared" si="1"/>
      </x:c>
      <x:c r="L121" s="11"/>
      <x:c r="M121" s="10"/>
    </x:row>
    <x:row r="122">
      <x:c r="A122" s="8" t="e">
        <x:f>IF(B122="","",IF(AND(E122&lt;&gt;"已完成",ISNUMBER(G122),G122&lt;=项目驾驶舱!$B$3+14),"是","否"))</x:f>
        <x:v>#NAME?</x:v>
      </x:c>
      <x:c r="B122" s="8" t="e">
        <x:f>项目总控台账!A121</x:f>
        <x:v>#NAME?</x:v>
      </x:c>
      <x:c r="C122" s="8" t="e">
        <x:f>IF(AND(项目总控台账!E121&lt;&gt;"",项目总控台账!E121&lt;&gt;"/"),项目总控台账!E121,IF(AND(项目总控台账!D121&lt;&gt;"",项目总控台账!D121&lt;&gt;"/"),项目总控台账!D121,项目总控台账!C121))</x:f>
        <x:v>#NAME?</x:v>
      </x:c>
      <x:c r="D122" s="8" t="e">
        <x:f>项目总控台账!F121</x:f>
        <x:v>#NAME?</x:v>
      </x:c>
      <x:c r="E122" s="8" t="e">
        <x:f>项目总控台账!G121</x:f>
        <x:v>#NAME?</x:v>
      </x:c>
      <x:c r="F122" s="8" t="e">
        <x:f>项目总控台账!H121</x:f>
        <x:v>#NAME?</x:v>
      </x:c>
      <x:c r="G122" s="25" t="e">
        <x:f>项目总控台账!J121</x:f>
        <x:v>#NAME?</x:v>
      </x:c>
      <x:c r="H122" s="8" t="e">
        <x:f>IF(G122="","",G122-项目驾驶舱!$B$3)</x:f>
        <x:v>#NAME?</x:v>
      </x:c>
      <x:c r="I122" s="8" t="e">
        <x:f>项目总控台账!AC121</x:f>
        <x:v>#NAME?</x:v>
      </x:c>
      <x:c r="J122" s="8" t="e">
        <x:f>项目总控台账!AD121</x:f>
        <x:v>#NAME?</x:v>
      </x:c>
      <x:c r="K122" s="8" t="str">
        <x:f t="shared" si="1"/>
      </x:c>
      <x:c r="L122" s="11"/>
      <x:c r="M122" s="10"/>
    </x:row>
    <x:row r="123">
      <x:c r="A123" s="8" t="e">
        <x:f>IF(B123="","",IF(AND(E123&lt;&gt;"已完成",ISNUMBER(G123),G123&lt;=项目驾驶舱!$B$3+14),"是","否"))</x:f>
        <x:v>#NAME?</x:v>
      </x:c>
      <x:c r="B123" s="8" t="e">
        <x:f>项目总控台账!A122</x:f>
        <x:v>#NAME?</x:v>
      </x:c>
      <x:c r="C123" s="8" t="e">
        <x:f>IF(AND(项目总控台账!E122&lt;&gt;"",项目总控台账!E122&lt;&gt;"/"),项目总控台账!E122,IF(AND(项目总控台账!D122&lt;&gt;"",项目总控台账!D122&lt;&gt;"/"),项目总控台账!D122,项目总控台账!C122))</x:f>
        <x:v>#NAME?</x:v>
      </x:c>
      <x:c r="D123" s="8" t="e">
        <x:f>项目总控台账!F122</x:f>
        <x:v>#NAME?</x:v>
      </x:c>
      <x:c r="E123" s="8" t="e">
        <x:f>项目总控台账!G122</x:f>
        <x:v>#NAME?</x:v>
      </x:c>
      <x:c r="F123" s="8" t="e">
        <x:f>项目总控台账!H122</x:f>
        <x:v>#NAME?</x:v>
      </x:c>
      <x:c r="G123" s="25" t="e">
        <x:f>项目总控台账!J122</x:f>
        <x:v>#NAME?</x:v>
      </x:c>
      <x:c r="H123" s="8" t="e">
        <x:f>IF(G123="","",G123-项目驾驶舱!$B$3)</x:f>
        <x:v>#NAME?</x:v>
      </x:c>
      <x:c r="I123" s="8" t="e">
        <x:f>项目总控台账!AC122</x:f>
        <x:v>#NAME?</x:v>
      </x:c>
      <x:c r="J123" s="8" t="e">
        <x:f>项目总控台账!AD122</x:f>
        <x:v>#NAME?</x:v>
      </x:c>
      <x:c r="K123" s="8" t="str">
        <x:f t="shared" si="1"/>
      </x:c>
      <x:c r="L123" s="11"/>
      <x:c r="M123" s="10"/>
    </x:row>
    <x:row r="124">
      <x:c r="A124" s="8" t="e">
        <x:f>IF(B124="","",IF(AND(E124&lt;&gt;"已完成",ISNUMBER(G124),G124&lt;=项目驾驶舱!$B$3+14),"是","否"))</x:f>
        <x:v>#NAME?</x:v>
      </x:c>
      <x:c r="B124" s="8" t="e">
        <x:f>项目总控台账!A123</x:f>
        <x:v>#NAME?</x:v>
      </x:c>
      <x:c r="C124" s="8" t="e">
        <x:f>IF(AND(项目总控台账!E123&lt;&gt;"",项目总控台账!E123&lt;&gt;"/"),项目总控台账!E123,IF(AND(项目总控台账!D123&lt;&gt;"",项目总控台账!D123&lt;&gt;"/"),项目总控台账!D123,项目总控台账!C123))</x:f>
        <x:v>#NAME?</x:v>
      </x:c>
      <x:c r="D124" s="8" t="e">
        <x:f>项目总控台账!F123</x:f>
        <x:v>#NAME?</x:v>
      </x:c>
      <x:c r="E124" s="8" t="e">
        <x:f>项目总控台账!G123</x:f>
        <x:v>#NAME?</x:v>
      </x:c>
      <x:c r="F124" s="8" t="e">
        <x:f>项目总控台账!H123</x:f>
        <x:v>#NAME?</x:v>
      </x:c>
      <x:c r="G124" s="25" t="e">
        <x:f>项目总控台账!J123</x:f>
        <x:v>#NAME?</x:v>
      </x:c>
      <x:c r="H124" s="8" t="e">
        <x:f>IF(G124="","",G124-项目驾驶舱!$B$3)</x:f>
        <x:v>#NAME?</x:v>
      </x:c>
      <x:c r="I124" s="8" t="e">
        <x:f>项目总控台账!AC123</x:f>
        <x:v>#NAME?</x:v>
      </x:c>
      <x:c r="J124" s="8" t="e">
        <x:f>项目总控台账!AD123</x:f>
        <x:v>#NAME?</x:v>
      </x:c>
      <x:c r="K124" s="8" t="str">
        <x:f t="shared" si="1"/>
      </x:c>
      <x:c r="L124" s="11"/>
      <x:c r="M124" s="10"/>
    </x:row>
    <x:row r="125">
      <x:c r="A125" s="8" t="e">
        <x:f>IF(B125="","",IF(AND(E125&lt;&gt;"已完成",ISNUMBER(G125),G125&lt;=项目驾驶舱!$B$3+14),"是","否"))</x:f>
        <x:v>#NAME?</x:v>
      </x:c>
      <x:c r="B125" s="8" t="e">
        <x:f>项目总控台账!A124</x:f>
        <x:v>#NAME?</x:v>
      </x:c>
      <x:c r="C125" s="8" t="e">
        <x:f>IF(AND(项目总控台账!E124&lt;&gt;"",项目总控台账!E124&lt;&gt;"/"),项目总控台账!E124,IF(AND(项目总控台账!D124&lt;&gt;"",项目总控台账!D124&lt;&gt;"/"),项目总控台账!D124,项目总控台账!C124))</x:f>
        <x:v>#NAME?</x:v>
      </x:c>
      <x:c r="D125" s="8" t="e">
        <x:f>项目总控台账!F124</x:f>
        <x:v>#NAME?</x:v>
      </x:c>
      <x:c r="E125" s="8" t="e">
        <x:f>项目总控台账!G124</x:f>
        <x:v>#NAME?</x:v>
      </x:c>
      <x:c r="F125" s="8" t="e">
        <x:f>项目总控台账!H124</x:f>
        <x:v>#NAME?</x:v>
      </x:c>
      <x:c r="G125" s="25" t="e">
        <x:f>项目总控台账!J124</x:f>
        <x:v>#NAME?</x:v>
      </x:c>
      <x:c r="H125" s="8" t="e">
        <x:f>IF(G125="","",G125-项目驾驶舱!$B$3)</x:f>
        <x:v>#NAME?</x:v>
      </x:c>
      <x:c r="I125" s="8" t="e">
        <x:f>项目总控台账!AC124</x:f>
        <x:v>#NAME?</x:v>
      </x:c>
      <x:c r="J125" s="8" t="e">
        <x:f>项目总控台账!AD124</x:f>
        <x:v>#NAME?</x:v>
      </x:c>
      <x:c r="K125" s="8" t="str">
        <x:f t="shared" si="1"/>
      </x:c>
      <x:c r="L125" s="11"/>
      <x:c r="M125" s="10"/>
    </x:row>
    <x:row r="126">
      <x:c r="A126" s="8" t="e">
        <x:f>IF(B126="","",IF(AND(E126&lt;&gt;"已完成",ISNUMBER(G126),G126&lt;=项目驾驶舱!$B$3+14),"是","否"))</x:f>
        <x:v>#NAME?</x:v>
      </x:c>
      <x:c r="B126" s="8" t="e">
        <x:f>项目总控台账!A125</x:f>
        <x:v>#NAME?</x:v>
      </x:c>
      <x:c r="C126" s="8" t="e">
        <x:f>IF(AND(项目总控台账!E125&lt;&gt;"",项目总控台账!E125&lt;&gt;"/"),项目总控台账!E125,IF(AND(项目总控台账!D125&lt;&gt;"",项目总控台账!D125&lt;&gt;"/"),项目总控台账!D125,项目总控台账!C125))</x:f>
        <x:v>#NAME?</x:v>
      </x:c>
      <x:c r="D126" s="8" t="e">
        <x:f>项目总控台账!F125</x:f>
        <x:v>#NAME?</x:v>
      </x:c>
      <x:c r="E126" s="8" t="e">
        <x:f>项目总控台账!G125</x:f>
        <x:v>#NAME?</x:v>
      </x:c>
      <x:c r="F126" s="8" t="e">
        <x:f>项目总控台账!H125</x:f>
        <x:v>#NAME?</x:v>
      </x:c>
      <x:c r="G126" s="25" t="e">
        <x:f>项目总控台账!J125</x:f>
        <x:v>#NAME?</x:v>
      </x:c>
      <x:c r="H126" s="8" t="e">
        <x:f>IF(G126="","",G126-项目驾驶舱!$B$3)</x:f>
        <x:v>#NAME?</x:v>
      </x:c>
      <x:c r="I126" s="8" t="e">
        <x:f>项目总控台账!AC125</x:f>
        <x:v>#NAME?</x:v>
      </x:c>
      <x:c r="J126" s="8" t="e">
        <x:f>项目总控台账!AD125</x:f>
        <x:v>#NAME?</x:v>
      </x:c>
      <x:c r="K126" s="8" t="str">
        <x:f t="shared" si="1"/>
      </x:c>
      <x:c r="L126" s="11"/>
      <x:c r="M126" s="10"/>
    </x:row>
    <x:row r="127">
      <x:c r="A127" s="8" t="e">
        <x:f>IF(B127="","",IF(AND(E127&lt;&gt;"已完成",ISNUMBER(G127),G127&lt;=项目驾驶舱!$B$3+14),"是","否"))</x:f>
        <x:v>#NAME?</x:v>
      </x:c>
      <x:c r="B127" s="8" t="e">
        <x:f>项目总控台账!A126</x:f>
        <x:v>#NAME?</x:v>
      </x:c>
      <x:c r="C127" s="8" t="e">
        <x:f>IF(AND(项目总控台账!E126&lt;&gt;"",项目总控台账!E126&lt;&gt;"/"),项目总控台账!E126,IF(AND(项目总控台账!D126&lt;&gt;"",项目总控台账!D126&lt;&gt;"/"),项目总控台账!D126,项目总控台账!C126))</x:f>
        <x:v>#NAME?</x:v>
      </x:c>
      <x:c r="D127" s="8" t="e">
        <x:f>项目总控台账!F126</x:f>
        <x:v>#NAME?</x:v>
      </x:c>
      <x:c r="E127" s="8" t="e">
        <x:f>项目总控台账!G126</x:f>
        <x:v>#NAME?</x:v>
      </x:c>
      <x:c r="F127" s="8" t="e">
        <x:f>项目总控台账!H126</x:f>
        <x:v>#NAME?</x:v>
      </x:c>
      <x:c r="G127" s="25" t="e">
        <x:f>项目总控台账!J126</x:f>
        <x:v>#NAME?</x:v>
      </x:c>
      <x:c r="H127" s="8" t="e">
        <x:f>IF(G127="","",G127-项目驾驶舱!$B$3)</x:f>
        <x:v>#NAME?</x:v>
      </x:c>
      <x:c r="I127" s="8" t="e">
        <x:f>项目总控台账!AC126</x:f>
        <x:v>#NAME?</x:v>
      </x:c>
      <x:c r="J127" s="8" t="e">
        <x:f>项目总控台账!AD126</x:f>
        <x:v>#NAME?</x:v>
      </x:c>
      <x:c r="K127" s="8" t="str">
        <x:f t="shared" si="1"/>
      </x:c>
      <x:c r="L127" s="11"/>
      <x:c r="M127" s="10"/>
    </x:row>
    <x:row r="128">
      <x:c r="A128" s="8" t="e">
        <x:f>IF(B128="","",IF(AND(E128&lt;&gt;"已完成",ISNUMBER(G128),G128&lt;=项目驾驶舱!$B$3+14),"是","否"))</x:f>
        <x:v>#NAME?</x:v>
      </x:c>
      <x:c r="B128" s="8" t="e">
        <x:f>项目总控台账!A127</x:f>
        <x:v>#NAME?</x:v>
      </x:c>
      <x:c r="C128" s="8" t="e">
        <x:f>IF(AND(项目总控台账!E127&lt;&gt;"",项目总控台账!E127&lt;&gt;"/"),项目总控台账!E127,IF(AND(项目总控台账!D127&lt;&gt;"",项目总控台账!D127&lt;&gt;"/"),项目总控台账!D127,项目总控台账!C127))</x:f>
        <x:v>#NAME?</x:v>
      </x:c>
      <x:c r="D128" s="8" t="e">
        <x:f>项目总控台账!F127</x:f>
        <x:v>#NAME?</x:v>
      </x:c>
      <x:c r="E128" s="8" t="e">
        <x:f>项目总控台账!G127</x:f>
        <x:v>#NAME?</x:v>
      </x:c>
      <x:c r="F128" s="8" t="e">
        <x:f>项目总控台账!H127</x:f>
        <x:v>#NAME?</x:v>
      </x:c>
      <x:c r="G128" s="25" t="e">
        <x:f>项目总控台账!J127</x:f>
        <x:v>#NAME?</x:v>
      </x:c>
      <x:c r="H128" s="8" t="e">
        <x:f>IF(G128="","",G128-项目驾驶舱!$B$3)</x:f>
        <x:v>#NAME?</x:v>
      </x:c>
      <x:c r="I128" s="8" t="e">
        <x:f>项目总控台账!AC127</x:f>
        <x:v>#NAME?</x:v>
      </x:c>
      <x:c r="J128" s="8" t="e">
        <x:f>项目总控台账!AD127</x:f>
        <x:v>#NAME?</x:v>
      </x:c>
      <x:c r="K128" s="8" t="str">
        <x:f t="shared" si="1"/>
      </x:c>
      <x:c r="L128" s="11"/>
      <x:c r="M128" s="10"/>
    </x:row>
    <x:row r="129">
      <x:c r="A129" s="8" t="e">
        <x:f>IF(B129="","",IF(AND(E129&lt;&gt;"已完成",ISNUMBER(G129),G129&lt;=项目驾驶舱!$B$3+14),"是","否"))</x:f>
        <x:v>#NAME?</x:v>
      </x:c>
      <x:c r="B129" s="8" t="e">
        <x:f>项目总控台账!A128</x:f>
        <x:v>#NAME?</x:v>
      </x:c>
      <x:c r="C129" s="8" t="e">
        <x:f>IF(AND(项目总控台账!E128&lt;&gt;"",项目总控台账!E128&lt;&gt;"/"),项目总控台账!E128,IF(AND(项目总控台账!D128&lt;&gt;"",项目总控台账!D128&lt;&gt;"/"),项目总控台账!D128,项目总控台账!C128))</x:f>
        <x:v>#NAME?</x:v>
      </x:c>
      <x:c r="D129" s="8" t="e">
        <x:f>项目总控台账!F128</x:f>
        <x:v>#NAME?</x:v>
      </x:c>
      <x:c r="E129" s="8" t="e">
        <x:f>项目总控台账!G128</x:f>
        <x:v>#NAME?</x:v>
      </x:c>
      <x:c r="F129" s="8" t="e">
        <x:f>项目总控台账!H128</x:f>
        <x:v>#NAME?</x:v>
      </x:c>
      <x:c r="G129" s="25" t="e">
        <x:f>项目总控台账!J128</x:f>
        <x:v>#NAME?</x:v>
      </x:c>
      <x:c r="H129" s="8" t="e">
        <x:f>IF(G129="","",G129-项目驾驶舱!$B$3)</x:f>
        <x:v>#NAME?</x:v>
      </x:c>
      <x:c r="I129" s="8" t="e">
        <x:f>项目总控台账!AC128</x:f>
        <x:v>#NAME?</x:v>
      </x:c>
      <x:c r="J129" s="8" t="e">
        <x:f>项目总控台账!AD128</x:f>
        <x:v>#NAME?</x:v>
      </x:c>
      <x:c r="K129" s="8" t="str">
        <x:f t="shared" si="1"/>
      </x:c>
      <x:c r="L129" s="11"/>
      <x:c r="M129" s="10"/>
    </x:row>
    <x:row r="130">
      <x:c r="A130" s="8" t="e">
        <x:f>IF(B130="","",IF(AND(E130&lt;&gt;"已完成",ISNUMBER(G130),G130&lt;=项目驾驶舱!$B$3+14),"是","否"))</x:f>
        <x:v>#NAME?</x:v>
      </x:c>
      <x:c r="B130" s="8" t="e">
        <x:f>项目总控台账!A129</x:f>
        <x:v>#NAME?</x:v>
      </x:c>
      <x:c r="C130" s="8" t="e">
        <x:f>IF(AND(项目总控台账!E129&lt;&gt;"",项目总控台账!E129&lt;&gt;"/"),项目总控台账!E129,IF(AND(项目总控台账!D129&lt;&gt;"",项目总控台账!D129&lt;&gt;"/"),项目总控台账!D129,项目总控台账!C129))</x:f>
        <x:v>#NAME?</x:v>
      </x:c>
      <x:c r="D130" s="8" t="e">
        <x:f>项目总控台账!F129</x:f>
        <x:v>#NAME?</x:v>
      </x:c>
      <x:c r="E130" s="8" t="e">
        <x:f>项目总控台账!G129</x:f>
        <x:v>#NAME?</x:v>
      </x:c>
      <x:c r="F130" s="8" t="e">
        <x:f>项目总控台账!H129</x:f>
        <x:v>#NAME?</x:v>
      </x:c>
      <x:c r="G130" s="25" t="e">
        <x:f>项目总控台账!J129</x:f>
        <x:v>#NAME?</x:v>
      </x:c>
      <x:c r="H130" s="8" t="e">
        <x:f>IF(G130="","",G130-项目驾驶舱!$B$3)</x:f>
        <x:v>#NAME?</x:v>
      </x:c>
      <x:c r="I130" s="8" t="e">
        <x:f>项目总控台账!AC129</x:f>
        <x:v>#NAME?</x:v>
      </x:c>
      <x:c r="J130" s="8" t="e">
        <x:f>项目总控台账!AD129</x:f>
        <x:v>#NAME?</x:v>
      </x:c>
      <x:c r="K130" s="8" t="str">
        <x:f t="shared" si="1"/>
      </x:c>
      <x:c r="L130" s="11"/>
      <x:c r="M130" s="10"/>
    </x:row>
    <x:row r="131">
      <x:c r="A131" s="8" t="e">
        <x:f>IF(B131="","",IF(AND(E131&lt;&gt;"已完成",ISNUMBER(G131),G131&lt;=项目驾驶舱!$B$3+14),"是","否"))</x:f>
        <x:v>#NAME?</x:v>
      </x:c>
      <x:c r="B131" s="8" t="e">
        <x:f>项目总控台账!A130</x:f>
        <x:v>#NAME?</x:v>
      </x:c>
      <x:c r="C131" s="8" t="e">
        <x:f>IF(AND(项目总控台账!E130&lt;&gt;"",项目总控台账!E130&lt;&gt;"/"),项目总控台账!E130,IF(AND(项目总控台账!D130&lt;&gt;"",项目总控台账!D130&lt;&gt;"/"),项目总控台账!D130,项目总控台账!C130))</x:f>
        <x:v>#NAME?</x:v>
      </x:c>
      <x:c r="D131" s="8" t="e">
        <x:f>项目总控台账!F130</x:f>
        <x:v>#NAME?</x:v>
      </x:c>
      <x:c r="E131" s="8" t="e">
        <x:f>项目总控台账!G130</x:f>
        <x:v>#NAME?</x:v>
      </x:c>
      <x:c r="F131" s="8" t="e">
        <x:f>项目总控台账!H130</x:f>
        <x:v>#NAME?</x:v>
      </x:c>
      <x:c r="G131" s="25" t="e">
        <x:f>项目总控台账!J130</x:f>
        <x:v>#NAME?</x:v>
      </x:c>
      <x:c r="H131" s="8" t="e">
        <x:f>IF(G131="","",G131-项目驾驶舱!$B$3)</x:f>
        <x:v>#NAME?</x:v>
      </x:c>
      <x:c r="I131" s="8" t="e">
        <x:f>项目总控台账!AC130</x:f>
        <x:v>#NAME?</x:v>
      </x:c>
      <x:c r="J131" s="8" t="e">
        <x:f>项目总控台账!AD130</x:f>
        <x:v>#NAME?</x:v>
      </x:c>
      <x:c r="K131" s="8" t="str">
        <x:f t="shared" si="1"/>
        <x:v>立即确认延期原因、影响及补救计划</x:v>
      </x:c>
      <x:c r="L131" s="11"/>
      <x:c r="M131" s="10"/>
    </x:row>
    <x:row r="132">
      <x:c r="A132" s="8" t="e">
        <x:f>IF(B132="","",IF(AND(E132&lt;&gt;"已完成",ISNUMBER(G132),G132&lt;=项目驾驶舱!$B$3+14),"是","否"))</x:f>
        <x:v>#NAME?</x:v>
      </x:c>
      <x:c r="B132" s="8" t="e">
        <x:f>项目总控台账!A131</x:f>
        <x:v>#NAME?</x:v>
      </x:c>
      <x:c r="C132" s="8" t="e">
        <x:f>IF(AND(项目总控台账!E131&lt;&gt;"",项目总控台账!E131&lt;&gt;"/"),项目总控台账!E131,IF(AND(项目总控台账!D131&lt;&gt;"",项目总控台账!D131&lt;&gt;"/"),项目总控台账!D131,项目总控台账!C131))</x:f>
        <x:v>#NAME?</x:v>
      </x:c>
      <x:c r="D132" s="8" t="e">
        <x:f>项目总控台账!F131</x:f>
        <x:v>#NAME?</x:v>
      </x:c>
      <x:c r="E132" s="8" t="e">
        <x:f>项目总控台账!G131</x:f>
        <x:v>#NAME?</x:v>
      </x:c>
      <x:c r="F132" s="8" t="e">
        <x:f>项目总控台账!H131</x:f>
        <x:v>#NAME?</x:v>
      </x:c>
      <x:c r="G132" s="25" t="e">
        <x:f>项目总控台账!J131</x:f>
        <x:v>#NAME?</x:v>
      </x:c>
      <x:c r="H132" s="8" t="e">
        <x:f>IF(G132="","",G132-项目驾驶舱!$B$3)</x:f>
        <x:v>#NAME?</x:v>
      </x:c>
      <x:c r="I132" s="8" t="e">
        <x:f>项目总控台账!AC131</x:f>
        <x:v>#NAME?</x:v>
      </x:c>
      <x:c r="J132" s="8" t="e">
        <x:f>项目总控台账!AD131</x:f>
        <x:v>#NAME?</x:v>
      </x:c>
      <x:c r="K132" s="8" t="str">
        <x:f t="shared" si="1"/>
        <x:v>立即确认延期原因、影响及补救计划</x:v>
      </x:c>
      <x:c r="L132" s="11"/>
      <x:c r="M132" s="10"/>
    </x:row>
    <x:row r="133">
      <x:c r="A133" s="8" t="e">
        <x:f>IF(B133="","",IF(AND(E133&lt;&gt;"已完成",ISNUMBER(G133),G133&lt;=项目驾驶舱!$B$3+14),"是","否"))</x:f>
        <x:v>#NAME?</x:v>
      </x:c>
      <x:c r="B133" s="8" t="e">
        <x:f>项目总控台账!A132</x:f>
        <x:v>#NAME?</x:v>
      </x:c>
      <x:c r="C133" s="8" t="e">
        <x:f>IF(AND(项目总控台账!E132&lt;&gt;"",项目总控台账!E132&lt;&gt;"/"),项目总控台账!E132,IF(AND(项目总控台账!D132&lt;&gt;"",项目总控台账!D132&lt;&gt;"/"),项目总控台账!D132,项目总控台账!C132))</x:f>
        <x:v>#NAME?</x:v>
      </x:c>
      <x:c r="D133" s="8" t="e">
        <x:f>项目总控台账!F132</x:f>
        <x:v>#NAME?</x:v>
      </x:c>
      <x:c r="E133" s="8" t="e">
        <x:f>项目总控台账!G132</x:f>
        <x:v>#NAME?</x:v>
      </x:c>
      <x:c r="F133" s="8" t="e">
        <x:f>项目总控台账!H132</x:f>
        <x:v>#NAME?</x:v>
      </x:c>
      <x:c r="G133" s="25" t="e">
        <x:f>项目总控台账!J132</x:f>
        <x:v>#NAME?</x:v>
      </x:c>
      <x:c r="H133" s="8" t="e">
        <x:f>IF(G133="","",G133-项目驾驶舱!$B$3)</x:f>
        <x:v>#NAME?</x:v>
      </x:c>
      <x:c r="I133" s="8" t="e">
        <x:f>项目总控台账!AC132</x:f>
        <x:v>#NAME?</x:v>
      </x:c>
      <x:c r="J133" s="8" t="e">
        <x:f>项目总控台账!AD132</x:f>
        <x:v>#NAME?</x:v>
      </x:c>
      <x:c r="K133" s="8" t="e">
        <x:f t="shared" ref="K133:K149" si="2">IF(A133&lt;&gt;"是","",IF(OR(E133="暂停",E133="挂起"),"确认暂停原因、恢复条件和责任人",IF(H133&lt;0,"立即确认延期原因、影响及补救计划",IF(H133&lt;=7,"本周确认交付承诺和完成证据","提前检查依赖与风险"))))</x:f>
        <x:v>#NAME?</x:v>
      </x:c>
      <x:c r="L133" s="11"/>
      <x:c r="M133" s="10"/>
    </x:row>
    <x:row r="134">
      <x:c r="A134" s="8" t="e">
        <x:f>IF(B134="","",IF(AND(E134&lt;&gt;"已完成",ISNUMBER(G134),G134&lt;=项目驾驶舱!$B$3+14),"是","否"))</x:f>
        <x:v>#NAME?</x:v>
      </x:c>
      <x:c r="B134" s="8" t="e">
        <x:f>项目总控台账!A133</x:f>
        <x:v>#NAME?</x:v>
      </x:c>
      <x:c r="C134" s="8" t="e">
        <x:f>IF(AND(项目总控台账!E133&lt;&gt;"",项目总控台账!E133&lt;&gt;"/"),项目总控台账!E133,IF(AND(项目总控台账!D133&lt;&gt;"",项目总控台账!D133&lt;&gt;"/"),项目总控台账!D133,项目总控台账!C133))</x:f>
        <x:v>#NAME?</x:v>
      </x:c>
      <x:c r="D134" s="8" t="e">
        <x:f>项目总控台账!F133</x:f>
        <x:v>#NAME?</x:v>
      </x:c>
      <x:c r="E134" s="8" t="e">
        <x:f>项目总控台账!G133</x:f>
        <x:v>#NAME?</x:v>
      </x:c>
      <x:c r="F134" s="8" t="e">
        <x:f>项目总控台账!H133</x:f>
        <x:v>#NAME?</x:v>
      </x:c>
      <x:c r="G134" s="25" t="e">
        <x:f>项目总控台账!J133</x:f>
        <x:v>#NAME?</x:v>
      </x:c>
      <x:c r="H134" s="8" t="e">
        <x:f>IF(G134="","",G134-项目驾驶舱!$B$3)</x:f>
        <x:v>#NAME?</x:v>
      </x:c>
      <x:c r="I134" s="8" t="e">
        <x:f>项目总控台账!AC133</x:f>
        <x:v>#NAME?</x:v>
      </x:c>
      <x:c r="J134" s="8" t="e">
        <x:f>项目总控台账!AD133</x:f>
        <x:v>#NAME?</x:v>
      </x:c>
      <x:c r="K134" s="8" t="str">
        <x:f t="shared" si="2"/>
      </x:c>
      <x:c r="L134" s="11"/>
      <x:c r="M134" s="10"/>
    </x:row>
    <x:row r="135">
      <x:c r="A135" s="8" t="e">
        <x:f>IF(B135="","",IF(AND(E135&lt;&gt;"已完成",ISNUMBER(G135),G135&lt;=项目驾驶舱!$B$3+14),"是","否"))</x:f>
        <x:v>#NAME?</x:v>
      </x:c>
      <x:c r="B135" s="8" t="e">
        <x:f>项目总控台账!A134</x:f>
        <x:v>#NAME?</x:v>
      </x:c>
      <x:c r="C135" s="8" t="e">
        <x:f>IF(AND(项目总控台账!E134&lt;&gt;"",项目总控台账!E134&lt;&gt;"/"),项目总控台账!E134,IF(AND(项目总控台账!D134&lt;&gt;"",项目总控台账!D134&lt;&gt;"/"),项目总控台账!D134,项目总控台账!C134))</x:f>
        <x:v>#NAME?</x:v>
      </x:c>
      <x:c r="D135" s="8" t="e">
        <x:f>项目总控台账!F134</x:f>
        <x:v>#NAME?</x:v>
      </x:c>
      <x:c r="E135" s="8" t="e">
        <x:f>项目总控台账!G134</x:f>
        <x:v>#NAME?</x:v>
      </x:c>
      <x:c r="F135" s="8" t="e">
        <x:f>项目总控台账!H134</x:f>
        <x:v>#NAME?</x:v>
      </x:c>
      <x:c r="G135" s="25" t="e">
        <x:f>项目总控台账!J134</x:f>
        <x:v>#NAME?</x:v>
      </x:c>
      <x:c r="H135" s="8" t="e">
        <x:f>IF(G135="","",G135-项目驾驶舱!$B$3)</x:f>
        <x:v>#NAME?</x:v>
      </x:c>
      <x:c r="I135" s="8" t="e">
        <x:f>项目总控台账!AC134</x:f>
        <x:v>#NAME?</x:v>
      </x:c>
      <x:c r="J135" s="8" t="e">
        <x:f>项目总控台账!AD134</x:f>
        <x:v>#NAME?</x:v>
      </x:c>
      <x:c r="K135" s="8" t="str">
        <x:f t="shared" si="2"/>
      </x:c>
      <x:c r="L135" s="11"/>
      <x:c r="M135" s="10"/>
    </x:row>
    <x:row r="136">
      <x:c r="A136" s="8" t="e">
        <x:f>IF(B136="","",IF(AND(E136&lt;&gt;"已完成",ISNUMBER(G136),G136&lt;=项目驾驶舱!$B$3+14),"是","否"))</x:f>
        <x:v>#NAME?</x:v>
      </x:c>
      <x:c r="B136" s="8" t="e">
        <x:f>项目总控台账!A135</x:f>
        <x:v>#NAME?</x:v>
      </x:c>
      <x:c r="C136" s="8" t="e">
        <x:f>IF(AND(项目总控台账!E135&lt;&gt;"",项目总控台账!E135&lt;&gt;"/"),项目总控台账!E135,IF(AND(项目总控台账!D135&lt;&gt;"",项目总控台账!D135&lt;&gt;"/"),项目总控台账!D135,项目总控台账!C135))</x:f>
        <x:v>#NAME?</x:v>
      </x:c>
      <x:c r="D136" s="8" t="e">
        <x:f>项目总控台账!F135</x:f>
        <x:v>#NAME?</x:v>
      </x:c>
      <x:c r="E136" s="8" t="e">
        <x:f>项目总控台账!G135</x:f>
        <x:v>#NAME?</x:v>
      </x:c>
      <x:c r="F136" s="8" t="e">
        <x:f>项目总控台账!H135</x:f>
        <x:v>#NAME?</x:v>
      </x:c>
      <x:c r="G136" s="25" t="e">
        <x:f>项目总控台账!J135</x:f>
        <x:v>#NAME?</x:v>
      </x:c>
      <x:c r="H136" s="8" t="e">
        <x:f>IF(G136="","",G136-项目驾驶舱!$B$3)</x:f>
        <x:v>#NAME?</x:v>
      </x:c>
      <x:c r="I136" s="8" t="e">
        <x:f>项目总控台账!AC135</x:f>
        <x:v>#NAME?</x:v>
      </x:c>
      <x:c r="J136" s="8" t="e">
        <x:f>项目总控台账!AD135</x:f>
        <x:v>#NAME?</x:v>
      </x:c>
      <x:c r="K136" s="8" t="str">
        <x:f t="shared" si="2"/>
      </x:c>
      <x:c r="L136" s="11"/>
      <x:c r="M136" s="10"/>
    </x:row>
    <x:row r="137">
      <x:c r="A137" s="8" t="e">
        <x:f>IF(B137="","",IF(AND(E137&lt;&gt;"已完成",ISNUMBER(G137),G137&lt;=项目驾驶舱!$B$3+14),"是","否"))</x:f>
        <x:v>#NAME?</x:v>
      </x:c>
      <x:c r="B137" s="8" t="e">
        <x:f>项目总控台账!A136</x:f>
        <x:v>#NAME?</x:v>
      </x:c>
      <x:c r="C137" s="8" t="e">
        <x:f>IF(AND(项目总控台账!E136&lt;&gt;"",项目总控台账!E136&lt;&gt;"/"),项目总控台账!E136,IF(AND(项目总控台账!D136&lt;&gt;"",项目总控台账!D136&lt;&gt;"/"),项目总控台账!D136,项目总控台账!C136))</x:f>
        <x:v>#NAME?</x:v>
      </x:c>
      <x:c r="D137" s="8" t="e">
        <x:f>项目总控台账!F136</x:f>
        <x:v>#NAME?</x:v>
      </x:c>
      <x:c r="E137" s="8" t="e">
        <x:f>项目总控台账!G136</x:f>
        <x:v>#NAME?</x:v>
      </x:c>
      <x:c r="F137" s="8" t="e">
        <x:f>项目总控台账!H136</x:f>
        <x:v>#NAME?</x:v>
      </x:c>
      <x:c r="G137" s="25" t="e">
        <x:f>项目总控台账!J136</x:f>
        <x:v>#NAME?</x:v>
      </x:c>
      <x:c r="H137" s="8" t="e">
        <x:f>IF(G137="","",G137-项目驾驶舱!$B$3)</x:f>
        <x:v>#NAME?</x:v>
      </x:c>
      <x:c r="I137" s="8" t="e">
        <x:f>项目总控台账!AC136</x:f>
        <x:v>#NAME?</x:v>
      </x:c>
      <x:c r="J137" s="8" t="e">
        <x:f>项目总控台账!AD136</x:f>
        <x:v>#NAME?</x:v>
      </x:c>
      <x:c r="K137" s="8" t="str">
        <x:f t="shared" si="2"/>
      </x:c>
      <x:c r="L137" s="11"/>
      <x:c r="M137" s="10"/>
    </x:row>
    <x:row r="138">
      <x:c r="A138" s="8" t="e">
        <x:f>IF(B138="","",IF(AND(E138&lt;&gt;"已完成",ISNUMBER(G138),G138&lt;=项目驾驶舱!$B$3+14),"是","否"))</x:f>
        <x:v>#NAME?</x:v>
      </x:c>
      <x:c r="B138" s="8" t="e">
        <x:f>项目总控台账!A137</x:f>
        <x:v>#NAME?</x:v>
      </x:c>
      <x:c r="C138" s="8" t="e">
        <x:f>IF(AND(项目总控台账!E137&lt;&gt;"",项目总控台账!E137&lt;&gt;"/"),项目总控台账!E137,IF(AND(项目总控台账!D137&lt;&gt;"",项目总控台账!D137&lt;&gt;"/"),项目总控台账!D137,项目总控台账!C137))</x:f>
        <x:v>#NAME?</x:v>
      </x:c>
      <x:c r="D138" s="8" t="e">
        <x:f>项目总控台账!F137</x:f>
        <x:v>#NAME?</x:v>
      </x:c>
      <x:c r="E138" s="8" t="e">
        <x:f>项目总控台账!G137</x:f>
        <x:v>#NAME?</x:v>
      </x:c>
      <x:c r="F138" s="8" t="e">
        <x:f>项目总控台账!H137</x:f>
        <x:v>#NAME?</x:v>
      </x:c>
      <x:c r="G138" s="25" t="e">
        <x:f>项目总控台账!J137</x:f>
        <x:v>#NAME?</x:v>
      </x:c>
      <x:c r="H138" s="8" t="e">
        <x:f>IF(G138="","",G138-项目驾驶舱!$B$3)</x:f>
        <x:v>#NAME?</x:v>
      </x:c>
      <x:c r="I138" s="8" t="e">
        <x:f>项目总控台账!AC137</x:f>
        <x:v>#NAME?</x:v>
      </x:c>
      <x:c r="J138" s="8" t="e">
        <x:f>项目总控台账!AD137</x:f>
        <x:v>#NAME?</x:v>
      </x:c>
      <x:c r="K138" s="8" t="str">
        <x:f t="shared" si="2"/>
      </x:c>
      <x:c r="L138" s="11"/>
      <x:c r="M138" s="10"/>
    </x:row>
    <x:row r="139">
      <x:c r="A139" s="8" t="e">
        <x:f>IF(B139="","",IF(AND(E139&lt;&gt;"已完成",ISNUMBER(G139),G139&lt;=项目驾驶舱!$B$3+14),"是","否"))</x:f>
        <x:v>#NAME?</x:v>
      </x:c>
      <x:c r="B139" s="8" t="e">
        <x:f>项目总控台账!A138</x:f>
        <x:v>#NAME?</x:v>
      </x:c>
      <x:c r="C139" s="8" t="e">
        <x:f>IF(AND(项目总控台账!E138&lt;&gt;"",项目总控台账!E138&lt;&gt;"/"),项目总控台账!E138,IF(AND(项目总控台账!D138&lt;&gt;"",项目总控台账!D138&lt;&gt;"/"),项目总控台账!D138,项目总控台账!C138))</x:f>
        <x:v>#NAME?</x:v>
      </x:c>
      <x:c r="D139" s="8" t="e">
        <x:f>项目总控台账!F138</x:f>
        <x:v>#NAME?</x:v>
      </x:c>
      <x:c r="E139" s="8" t="e">
        <x:f>项目总控台账!G138</x:f>
        <x:v>#NAME?</x:v>
      </x:c>
      <x:c r="F139" s="8" t="e">
        <x:f>项目总控台账!H138</x:f>
        <x:v>#NAME?</x:v>
      </x:c>
      <x:c r="G139" s="25" t="e">
        <x:f>项目总控台账!J138</x:f>
        <x:v>#NAME?</x:v>
      </x:c>
      <x:c r="H139" s="8" t="e">
        <x:f>IF(G139="","",G139-项目驾驶舱!$B$3)</x:f>
        <x:v>#NAME?</x:v>
      </x:c>
      <x:c r="I139" s="8" t="e">
        <x:f>项目总控台账!AC138</x:f>
        <x:v>#NAME?</x:v>
      </x:c>
      <x:c r="J139" s="8" t="e">
        <x:f>项目总控台账!AD138</x:f>
        <x:v>#NAME?</x:v>
      </x:c>
      <x:c r="K139" s="8" t="str">
        <x:f t="shared" si="2"/>
      </x:c>
      <x:c r="L139" s="11"/>
      <x:c r="M139" s="10"/>
    </x:row>
    <x:row r="140">
      <x:c r="A140" s="8" t="e">
        <x:f>IF(B140="","",IF(AND(E140&lt;&gt;"已完成",ISNUMBER(G140),G140&lt;=项目驾驶舱!$B$3+14),"是","否"))</x:f>
        <x:v>#NAME?</x:v>
      </x:c>
      <x:c r="B140" s="8" t="e">
        <x:f>项目总控台账!A139</x:f>
        <x:v>#NAME?</x:v>
      </x:c>
      <x:c r="C140" s="8" t="e">
        <x:f>IF(AND(项目总控台账!E139&lt;&gt;"",项目总控台账!E139&lt;&gt;"/"),项目总控台账!E139,IF(AND(项目总控台账!D139&lt;&gt;"",项目总控台账!D139&lt;&gt;"/"),项目总控台账!D139,项目总控台账!C139))</x:f>
        <x:v>#NAME?</x:v>
      </x:c>
      <x:c r="D140" s="8" t="e">
        <x:f>项目总控台账!F139</x:f>
        <x:v>#NAME?</x:v>
      </x:c>
      <x:c r="E140" s="8" t="e">
        <x:f>项目总控台账!G139</x:f>
        <x:v>#NAME?</x:v>
      </x:c>
      <x:c r="F140" s="8" t="e">
        <x:f>项目总控台账!H139</x:f>
        <x:v>#NAME?</x:v>
      </x:c>
      <x:c r="G140" s="25" t="e">
        <x:f>项目总控台账!J139</x:f>
        <x:v>#NAME?</x:v>
      </x:c>
      <x:c r="H140" s="8" t="e">
        <x:f>IF(G140="","",G140-项目驾驶舱!$B$3)</x:f>
        <x:v>#NAME?</x:v>
      </x:c>
      <x:c r="I140" s="8" t="e">
        <x:f>项目总控台账!AC139</x:f>
        <x:v>#NAME?</x:v>
      </x:c>
      <x:c r="J140" s="8" t="e">
        <x:f>项目总控台账!AD139</x:f>
        <x:v>#NAME?</x:v>
      </x:c>
      <x:c r="K140" s="8" t="str">
        <x:f t="shared" si="2"/>
      </x:c>
      <x:c r="L140" s="11"/>
      <x:c r="M140" s="10"/>
    </x:row>
    <x:row r="141">
      <x:c r="A141" s="8" t="e">
        <x:f>IF(B141="","",IF(AND(E141&lt;&gt;"已完成",ISNUMBER(G141),G141&lt;=项目驾驶舱!$B$3+14),"是","否"))</x:f>
        <x:v>#NAME?</x:v>
      </x:c>
      <x:c r="B141" s="8" t="e">
        <x:f>项目总控台账!A140</x:f>
        <x:v>#NAME?</x:v>
      </x:c>
      <x:c r="C141" s="8" t="e">
        <x:f>IF(AND(项目总控台账!E140&lt;&gt;"",项目总控台账!E140&lt;&gt;"/"),项目总控台账!E140,IF(AND(项目总控台账!D140&lt;&gt;"",项目总控台账!D140&lt;&gt;"/"),项目总控台账!D140,项目总控台账!C140))</x:f>
        <x:v>#NAME?</x:v>
      </x:c>
      <x:c r="D141" s="8" t="e">
        <x:f>项目总控台账!F140</x:f>
        <x:v>#NAME?</x:v>
      </x:c>
      <x:c r="E141" s="8" t="e">
        <x:f>项目总控台账!G140</x:f>
        <x:v>#NAME?</x:v>
      </x:c>
      <x:c r="F141" s="8" t="e">
        <x:f>项目总控台账!H140</x:f>
        <x:v>#NAME?</x:v>
      </x:c>
      <x:c r="G141" s="25" t="e">
        <x:f>项目总控台账!J140</x:f>
        <x:v>#NAME?</x:v>
      </x:c>
      <x:c r="H141" s="8" t="e">
        <x:f>IF(G141="","",G141-项目驾驶舱!$B$3)</x:f>
        <x:v>#NAME?</x:v>
      </x:c>
      <x:c r="I141" s="8" t="e">
        <x:f>项目总控台账!AC140</x:f>
        <x:v>#NAME?</x:v>
      </x:c>
      <x:c r="J141" s="8" t="e">
        <x:f>项目总控台账!AD140</x:f>
        <x:v>#NAME?</x:v>
      </x:c>
      <x:c r="K141" s="8" t="str">
        <x:f t="shared" si="2"/>
      </x:c>
      <x:c r="L141" s="11"/>
      <x:c r="M141" s="10"/>
    </x:row>
    <x:row r="142">
      <x:c r="A142" s="8" t="e">
        <x:f>IF(B142="","",IF(AND(E142&lt;&gt;"已完成",ISNUMBER(G142),G142&lt;=项目驾驶舱!$B$3+14),"是","否"))</x:f>
        <x:v>#NAME?</x:v>
      </x:c>
      <x:c r="B142" s="8" t="e">
        <x:f>项目总控台账!A141</x:f>
        <x:v>#NAME?</x:v>
      </x:c>
      <x:c r="C142" s="8" t="e">
        <x:f>IF(AND(项目总控台账!E141&lt;&gt;"",项目总控台账!E141&lt;&gt;"/"),项目总控台账!E141,IF(AND(项目总控台账!D141&lt;&gt;"",项目总控台账!D141&lt;&gt;"/"),项目总控台账!D141,项目总控台账!C141))</x:f>
        <x:v>#NAME?</x:v>
      </x:c>
      <x:c r="D142" s="8" t="e">
        <x:f>项目总控台账!F141</x:f>
        <x:v>#NAME?</x:v>
      </x:c>
      <x:c r="E142" s="8" t="e">
        <x:f>项目总控台账!G141</x:f>
        <x:v>#NAME?</x:v>
      </x:c>
      <x:c r="F142" s="8" t="e">
        <x:f>项目总控台账!H141</x:f>
        <x:v>#NAME?</x:v>
      </x:c>
      <x:c r="G142" s="25" t="e">
        <x:f>项目总控台账!J141</x:f>
        <x:v>#NAME?</x:v>
      </x:c>
      <x:c r="H142" s="8" t="e">
        <x:f>IF(G142="","",G142-项目驾驶舱!$B$3)</x:f>
        <x:v>#NAME?</x:v>
      </x:c>
      <x:c r="I142" s="8" t="e">
        <x:f>项目总控台账!AC141</x:f>
        <x:v>#NAME?</x:v>
      </x:c>
      <x:c r="J142" s="8" t="e">
        <x:f>项目总控台账!AD141</x:f>
        <x:v>#NAME?</x:v>
      </x:c>
      <x:c r="K142" s="8" t="str">
        <x:f t="shared" si="2"/>
      </x:c>
      <x:c r="L142" s="11"/>
      <x:c r="M142" s="10"/>
    </x:row>
    <x:row r="143">
      <x:c r="A143" s="8" t="e">
        <x:f>IF(B143="","",IF(AND(E143&lt;&gt;"已完成",ISNUMBER(G143),G143&lt;=项目驾驶舱!$B$3+14),"是","否"))</x:f>
        <x:v>#NAME?</x:v>
      </x:c>
      <x:c r="B143" s="8" t="e">
        <x:f>项目总控台账!A142</x:f>
        <x:v>#NAME?</x:v>
      </x:c>
      <x:c r="C143" s="8" t="e">
        <x:f>IF(AND(项目总控台账!E142&lt;&gt;"",项目总控台账!E142&lt;&gt;"/"),项目总控台账!E142,IF(AND(项目总控台账!D142&lt;&gt;"",项目总控台账!D142&lt;&gt;"/"),项目总控台账!D142,项目总控台账!C142))</x:f>
        <x:v>#NAME?</x:v>
      </x:c>
      <x:c r="D143" s="8" t="e">
        <x:f>项目总控台账!F142</x:f>
        <x:v>#NAME?</x:v>
      </x:c>
      <x:c r="E143" s="8" t="e">
        <x:f>项目总控台账!G142</x:f>
        <x:v>#NAME?</x:v>
      </x:c>
      <x:c r="F143" s="8" t="e">
        <x:f>项目总控台账!H142</x:f>
        <x:v>#NAME?</x:v>
      </x:c>
      <x:c r="G143" s="25" t="e">
        <x:f>项目总控台账!J142</x:f>
        <x:v>#NAME?</x:v>
      </x:c>
      <x:c r="H143" s="8" t="e">
        <x:f>IF(G143="","",G143-项目驾驶舱!$B$3)</x:f>
        <x:v>#NAME?</x:v>
      </x:c>
      <x:c r="I143" s="8" t="e">
        <x:f>项目总控台账!AC142</x:f>
        <x:v>#NAME?</x:v>
      </x:c>
      <x:c r="J143" s="8" t="e">
        <x:f>项目总控台账!AD142</x:f>
        <x:v>#NAME?</x:v>
      </x:c>
      <x:c r="K143" s="8" t="str">
        <x:f t="shared" si="2"/>
      </x:c>
      <x:c r="L143" s="11"/>
      <x:c r="M143" s="10"/>
    </x:row>
    <x:row r="144">
      <x:c r="A144" s="8" t="e">
        <x:f>IF(B144="","",IF(AND(E144&lt;&gt;"已完成",ISNUMBER(G144),G144&lt;=项目驾驶舱!$B$3+14),"是","否"))</x:f>
        <x:v>#NAME?</x:v>
      </x:c>
      <x:c r="B144" s="8" t="e">
        <x:f>项目总控台账!A143</x:f>
        <x:v>#NAME?</x:v>
      </x:c>
      <x:c r="C144" s="8" t="e">
        <x:f>IF(AND(项目总控台账!E143&lt;&gt;"",项目总控台账!E143&lt;&gt;"/"),项目总控台账!E143,IF(AND(项目总控台账!D143&lt;&gt;"",项目总控台账!D143&lt;&gt;"/"),项目总控台账!D143,项目总控台账!C143))</x:f>
        <x:v>#NAME?</x:v>
      </x:c>
      <x:c r="D144" s="8" t="e">
        <x:f>项目总控台账!F143</x:f>
        <x:v>#NAME?</x:v>
      </x:c>
      <x:c r="E144" s="8" t="e">
        <x:f>项目总控台账!G143</x:f>
        <x:v>#NAME?</x:v>
      </x:c>
      <x:c r="F144" s="8" t="e">
        <x:f>项目总控台账!H143</x:f>
        <x:v>#NAME?</x:v>
      </x:c>
      <x:c r="G144" s="25" t="e">
        <x:f>项目总控台账!J143</x:f>
        <x:v>#NAME?</x:v>
      </x:c>
      <x:c r="H144" s="8" t="e">
        <x:f>IF(G144="","",G144-项目驾驶舱!$B$3)</x:f>
        <x:v>#NAME?</x:v>
      </x:c>
      <x:c r="I144" s="8" t="e">
        <x:f>项目总控台账!AC143</x:f>
        <x:v>#NAME?</x:v>
      </x:c>
      <x:c r="J144" s="8" t="e">
        <x:f>项目总控台账!AD143</x:f>
        <x:v>#NAME?</x:v>
      </x:c>
      <x:c r="K144" s="8" t="str">
        <x:f t="shared" si="2"/>
      </x:c>
      <x:c r="L144" s="11"/>
      <x:c r="M144" s="10"/>
    </x:row>
    <x:row r="145">
      <x:c r="A145" s="8" t="e">
        <x:f>IF(B145="","",IF(AND(E145&lt;&gt;"已完成",ISNUMBER(G145),G145&lt;=项目驾驶舱!$B$3+14),"是","否"))</x:f>
        <x:v>#NAME?</x:v>
      </x:c>
      <x:c r="B145" s="8" t="e">
        <x:f>项目总控台账!A144</x:f>
        <x:v>#NAME?</x:v>
      </x:c>
      <x:c r="C145" s="8" t="e">
        <x:f>IF(AND(项目总控台账!E144&lt;&gt;"",项目总控台账!E144&lt;&gt;"/"),项目总控台账!E144,IF(AND(项目总控台账!D144&lt;&gt;"",项目总控台账!D144&lt;&gt;"/"),项目总控台账!D144,项目总控台账!C144))</x:f>
        <x:v>#NAME?</x:v>
      </x:c>
      <x:c r="D145" s="8" t="e">
        <x:f>项目总控台账!F144</x:f>
        <x:v>#NAME?</x:v>
      </x:c>
      <x:c r="E145" s="8" t="e">
        <x:f>项目总控台账!G144</x:f>
        <x:v>#NAME?</x:v>
      </x:c>
      <x:c r="F145" s="8" t="e">
        <x:f>项目总控台账!H144</x:f>
        <x:v>#NAME?</x:v>
      </x:c>
      <x:c r="G145" s="25" t="e">
        <x:f>项目总控台账!J144</x:f>
        <x:v>#NAME?</x:v>
      </x:c>
      <x:c r="H145" s="8" t="e">
        <x:f>IF(G145="","",G145-项目驾驶舱!$B$3)</x:f>
        <x:v>#NAME?</x:v>
      </x:c>
      <x:c r="I145" s="8" t="e">
        <x:f>项目总控台账!AC144</x:f>
        <x:v>#NAME?</x:v>
      </x:c>
      <x:c r="J145" s="8" t="e">
        <x:f>项目总控台账!AD144</x:f>
        <x:v>#NAME?</x:v>
      </x:c>
      <x:c r="K145" s="8" t="str">
        <x:f t="shared" si="2"/>
      </x:c>
      <x:c r="L145" s="11"/>
      <x:c r="M145" s="10"/>
    </x:row>
    <x:row r="146">
      <x:c r="A146" s="8" t="e">
        <x:f>IF(B146="","",IF(AND(E146&lt;&gt;"已完成",ISNUMBER(G146),G146&lt;=项目驾驶舱!$B$3+14),"是","否"))</x:f>
        <x:v>#NAME?</x:v>
      </x:c>
      <x:c r="B146" s="8" t="e">
        <x:f>项目总控台账!A145</x:f>
        <x:v>#NAME?</x:v>
      </x:c>
      <x:c r="C146" s="8" t="e">
        <x:f>IF(AND(项目总控台账!E145&lt;&gt;"",项目总控台账!E145&lt;&gt;"/"),项目总控台账!E145,IF(AND(项目总控台账!D145&lt;&gt;"",项目总控台账!D145&lt;&gt;"/"),项目总控台账!D145,项目总控台账!C145))</x:f>
        <x:v>#NAME?</x:v>
      </x:c>
      <x:c r="D146" s="8" t="e">
        <x:f>项目总控台账!F145</x:f>
        <x:v>#NAME?</x:v>
      </x:c>
      <x:c r="E146" s="8" t="e">
        <x:f>项目总控台账!G145</x:f>
        <x:v>#NAME?</x:v>
      </x:c>
      <x:c r="F146" s="8" t="e">
        <x:f>项目总控台账!H145</x:f>
        <x:v>#NAME?</x:v>
      </x:c>
      <x:c r="G146" s="25" t="e">
        <x:f>项目总控台账!J145</x:f>
        <x:v>#NAME?</x:v>
      </x:c>
      <x:c r="H146" s="8" t="e">
        <x:f>IF(G146="","",G146-项目驾驶舱!$B$3)</x:f>
        <x:v>#NAME?</x:v>
      </x:c>
      <x:c r="I146" s="8" t="e">
        <x:f>项目总控台账!AC145</x:f>
        <x:v>#NAME?</x:v>
      </x:c>
      <x:c r="J146" s="8" t="e">
        <x:f>项目总控台账!AD145</x:f>
        <x:v>#NAME?</x:v>
      </x:c>
      <x:c r="K146" s="8" t="str">
        <x:f t="shared" si="2"/>
      </x:c>
      <x:c r="L146" s="11"/>
      <x:c r="M146" s="10"/>
    </x:row>
    <x:row r="147">
      <x:c r="A147" s="8" t="e">
        <x:f>IF(B147="","",IF(AND(E147&lt;&gt;"已完成",ISNUMBER(G147),G147&lt;=项目驾驶舱!$B$3+14),"是","否"))</x:f>
        <x:v>#NAME?</x:v>
      </x:c>
      <x:c r="B147" s="8" t="e">
        <x:f>项目总控台账!A146</x:f>
        <x:v>#NAME?</x:v>
      </x:c>
      <x:c r="C147" s="8" t="e">
        <x:f>IF(AND(项目总控台账!E146&lt;&gt;"",项目总控台账!E146&lt;&gt;"/"),项目总控台账!E146,IF(AND(项目总控台账!D146&lt;&gt;"",项目总控台账!D146&lt;&gt;"/"),项目总控台账!D146,项目总控台账!C146))</x:f>
        <x:v>#NAME?</x:v>
      </x:c>
      <x:c r="D147" s="8" t="e">
        <x:f>项目总控台账!F146</x:f>
        <x:v>#NAME?</x:v>
      </x:c>
      <x:c r="E147" s="8" t="e">
        <x:f>项目总控台账!G146</x:f>
        <x:v>#NAME?</x:v>
      </x:c>
      <x:c r="F147" s="8" t="e">
        <x:f>项目总控台账!H146</x:f>
        <x:v>#NAME?</x:v>
      </x:c>
      <x:c r="G147" s="25" t="e">
        <x:f>项目总控台账!J146</x:f>
        <x:v>#NAME?</x:v>
      </x:c>
      <x:c r="H147" s="8" t="e">
        <x:f>IF(G147="","",G147-项目驾驶舱!$B$3)</x:f>
        <x:v>#NAME?</x:v>
      </x:c>
      <x:c r="I147" s="8" t="e">
        <x:f>项目总控台账!AC146</x:f>
        <x:v>#NAME?</x:v>
      </x:c>
      <x:c r="J147" s="8" t="e">
        <x:f>项目总控台账!AD146</x:f>
        <x:v>#NAME?</x:v>
      </x:c>
      <x:c r="K147" s="8" t="str">
        <x:f t="shared" si="2"/>
      </x:c>
      <x:c r="L147" s="11"/>
      <x:c r="M147" s="10"/>
    </x:row>
    <x:row r="148">
      <x:c r="A148" s="8" t="e">
        <x:f>IF(B148="","",IF(AND(E148&lt;&gt;"已完成",ISNUMBER(G148),G148&lt;=项目驾驶舱!$B$3+14),"是","否"))</x:f>
        <x:v>#NAME?</x:v>
      </x:c>
      <x:c r="B148" s="8" t="e">
        <x:f>项目总控台账!A147</x:f>
        <x:v>#NAME?</x:v>
      </x:c>
      <x:c r="C148" s="8" t="e">
        <x:f>IF(AND(项目总控台账!E147&lt;&gt;"",项目总控台账!E147&lt;&gt;"/"),项目总控台账!E147,IF(AND(项目总控台账!D147&lt;&gt;"",项目总控台账!D147&lt;&gt;"/"),项目总控台账!D147,项目总控台账!C147))</x:f>
        <x:v>#NAME?</x:v>
      </x:c>
      <x:c r="D148" s="8" t="e">
        <x:f>项目总控台账!F147</x:f>
        <x:v>#NAME?</x:v>
      </x:c>
      <x:c r="E148" s="8" t="e">
        <x:f>项目总控台账!G147</x:f>
        <x:v>#NAME?</x:v>
      </x:c>
      <x:c r="F148" s="8" t="e">
        <x:f>项目总控台账!H147</x:f>
        <x:v>#NAME?</x:v>
      </x:c>
      <x:c r="G148" s="25" t="e">
        <x:f>项目总控台账!J147</x:f>
        <x:v>#NAME?</x:v>
      </x:c>
      <x:c r="H148" s="8" t="e">
        <x:f>IF(G148="","",G148-项目驾驶舱!$B$3)</x:f>
        <x:v>#NAME?</x:v>
      </x:c>
      <x:c r="I148" s="8" t="e">
        <x:f>项目总控台账!AC147</x:f>
        <x:v>#NAME?</x:v>
      </x:c>
      <x:c r="J148" s="8" t="e">
        <x:f>项目总控台账!AD147</x:f>
        <x:v>#NAME?</x:v>
      </x:c>
      <x:c r="K148" s="8" t="str">
        <x:f t="shared" si="2"/>
      </x:c>
      <x:c r="L148" s="11"/>
      <x:c r="M148" s="10"/>
    </x:row>
    <x:row r="149">
      <x:c r="A149" s="8" t="e">
        <x:f>IF(B149="","",IF(AND(E149&lt;&gt;"已完成",ISNUMBER(G149),G149&lt;=项目驾驶舱!$B$3+14),"是","否"))</x:f>
        <x:v>#NAME?</x:v>
      </x:c>
      <x:c r="B149" s="8" t="e">
        <x:f>项目总控台账!A148</x:f>
        <x:v>#NAME?</x:v>
      </x:c>
      <x:c r="C149" s="8" t="e">
        <x:f>IF(AND(项目总控台账!E148&lt;&gt;"",项目总控台账!E148&lt;&gt;"/"),项目总控台账!E148,IF(AND(项目总控台账!D148&lt;&gt;"",项目总控台账!D148&lt;&gt;"/"),项目总控台账!D148,项目总控台账!C148))</x:f>
        <x:v>#NAME?</x:v>
      </x:c>
      <x:c r="D149" s="8" t="e">
        <x:f>项目总控台账!F148</x:f>
        <x:v>#NAME?</x:v>
      </x:c>
      <x:c r="E149" s="8" t="e">
        <x:f>项目总控台账!G148</x:f>
        <x:v>#NAME?</x:v>
      </x:c>
      <x:c r="F149" s="8" t="e">
        <x:f>项目总控台账!H148</x:f>
        <x:v>#NAME?</x:v>
      </x:c>
      <x:c r="G149" s="25" t="e">
        <x:f>项目总控台账!J148</x:f>
        <x:v>#NAME?</x:v>
      </x:c>
      <x:c r="H149" s="8" t="e">
        <x:f>IF(G149="","",G149-项目驾驶舱!$B$3)</x:f>
        <x:v>#NAME?</x:v>
      </x:c>
      <x:c r="I149" s="8" t="e">
        <x:f>项目总控台账!AC148</x:f>
        <x:v>#NAME?</x:v>
      </x:c>
      <x:c r="J149" s="8" t="e">
        <x:f>项目总控台账!AD148</x:f>
        <x:v>#NAME?</x:v>
      </x:c>
      <x:c r="K149" s="8" t="str">
        <x:f t="shared" si="2"/>
      </x:c>
      <x:c r="L149" s="11"/>
      <x:c r="M149" s="10"/>
    </x:row>
  </x:sheetData>
  <x:mergeCells>
    <x:mergeCell ref="A1:M1"/>
    <x:mergeCell ref="A2:M2"/>
  </x:mergeCells>
  <x:conditionalFormatting sqref="A5:A149">
    <x:cfRule type="expression" dxfId="7" priority="1">
      <x:formula>$A5="是"</x:formula>
    </x:cfRule>
  </x:conditionalFormatting>
  <x:conditionalFormatting sqref="H5:H149">
    <x:cfRule type="expression" dxfId="6" priority="2">
      <x:formula>$H5&lt;0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ColWidth="9" defaultRowHeight="16.799999237060547"/>
  <x:cols>
    <x:col min="1" max="1" width="22" style="1" customWidth="1"/>
    <x:col min="2" max="2" width="16" style="1" customWidth="1"/>
    <x:col min="3" max="3" width="34" style="1" customWidth="1"/>
    <x:col min="4" max="4" width="4" style="1" customWidth="1"/>
    <x:col min="5" max="10" width="14" style="1" customWidth="1"/>
  </x:cols>
  <x:sheetData>
    <x:row r="1" ht="28" customHeight="1">
      <x:c r="A1" s="2" t="s">
        <x:v>1474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2" customHeight="1">
      <x:c r="A2" s="5" t="s">
        <x:v>1475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12" t="s">
        <x:v>1476</x:v>
      </x:c>
      <x:c r="B4" s="13" t="e">
        <x:f>项目驾驶舱!B3</x:f>
        <x:v>#NAME?</x:v>
      </x:c>
      <x:c r="C4" s="3"/>
      <x:c r="D4" s="3"/>
      <x:c r="E4" s="3"/>
      <x:c r="F4" s="3"/>
      <x:c r="G4" s="3"/>
      <x:c r="H4" s="3"/>
      <x:c r="I4" s="3"/>
      <x:c r="J4" s="4"/>
    </x:row>
    <x:row r="5">
      <x:c r="A5" s="12" t="s">
        <x:v>1477</x:v>
      </x:c>
      <x:c r="B5" s="14" t="e">
        <x:f>AI项目诊断!E4</x:f>
        <x:v>#NAME?</x:v>
      </x:c>
      <x:c r="C5" s="3"/>
      <x:c r="D5" s="3"/>
      <x:c r="E5" s="3"/>
      <x:c r="F5" s="3"/>
      <x:c r="G5" s="3"/>
      <x:c r="H5" s="3"/>
      <x:c r="I5" s="3"/>
      <x:c r="J5" s="4"/>
    </x:row>
    <x:row r="6">
      <x:c r="A6" s="12" t="s">
        <x:v>1478</x:v>
      </x:c>
      <x:c r="B6" s="14" t="e">
        <x:f>AI项目诊断!H4</x:f>
        <x:v>#NAME?</x:v>
      </x:c>
      <x:c r="C6" s="3"/>
      <x:c r="D6" s="3"/>
      <x:c r="E6" s="3"/>
      <x:c r="F6" s="3"/>
      <x:c r="G6" s="3"/>
      <x:c r="H6" s="3"/>
      <x:c r="I6" s="3"/>
      <x:c r="J6" s="4"/>
    </x:row>
    <x:row r="8">
      <x:c r="A8" s="15" t="s">
        <x:v>1479</x:v>
      </x:c>
      <x:c r="B8" s="3"/>
      <x:c r="C8" s="3"/>
      <x:c r="D8" s="3"/>
      <x:c r="E8" s="3"/>
      <x:c r="F8" s="3"/>
      <x:c r="G8" s="3"/>
      <x:c r="H8" s="3"/>
      <x:c r="I8" s="3"/>
      <x:c r="J8" s="4"/>
    </x:row>
    <x:row r="9" ht="36" customHeight="1">
      <x:c r="A9" s="10" t="s">
        <x:v>1480</x:v>
      </x:c>
      <x:c r="B9" s="16"/>
      <x:c r="C9" s="16"/>
      <x:c r="D9" s="16"/>
      <x:c r="E9" s="16"/>
      <x:c r="F9" s="16"/>
      <x:c r="G9" s="16"/>
      <x:c r="H9" s="16"/>
      <x:c r="I9" s="16"/>
      <x:c r="J9" s="17"/>
    </x:row>
    <x:row r="10">
      <x:c r="A10" s="18"/>
      <x:c r="J10" s="19"/>
    </x:row>
    <x:row r="11">
      <x:c r="A11" s="20"/>
      <x:c r="B11" s="21"/>
      <x:c r="C11" s="21"/>
      <x:c r="D11" s="21"/>
      <x:c r="E11" s="21"/>
      <x:c r="F11" s="21"/>
      <x:c r="G11" s="21"/>
      <x:c r="H11" s="21"/>
      <x:c r="I11" s="21"/>
      <x:c r="J11" s="22"/>
    </x:row>
    <x:row r="12">
      <x:c r="A12" s="15" t="s">
        <x:v>1481</x:v>
      </x:c>
      <x:c r="B12" s="3"/>
      <x:c r="C12" s="3"/>
      <x:c r="D12" s="3"/>
      <x:c r="E12" s="3"/>
      <x:c r="F12" s="3"/>
      <x:c r="G12" s="3"/>
      <x:c r="H12" s="3"/>
      <x:c r="I12" s="3"/>
      <x:c r="J12" s="4"/>
    </x:row>
    <x:row r="13" ht="36" customHeight="1">
      <x:c r="A13" s="10" t="s">
        <x:v>1482</x:v>
      </x:c>
      <x:c r="B13" s="16"/>
      <x:c r="C13" s="16"/>
      <x:c r="D13" s="16"/>
      <x:c r="E13" s="16"/>
      <x:c r="F13" s="16"/>
      <x:c r="G13" s="16"/>
      <x:c r="H13" s="16"/>
      <x:c r="I13" s="16"/>
      <x:c r="J13" s="17"/>
    </x:row>
    <x:row r="14">
      <x:c r="A14" s="18"/>
      <x:c r="J14" s="19"/>
    </x:row>
    <x:row r="15">
      <x:c r="A15" s="20"/>
      <x:c r="B15" s="21"/>
      <x:c r="C15" s="21"/>
      <x:c r="D15" s="21"/>
      <x:c r="E15" s="21"/>
      <x:c r="F15" s="21"/>
      <x:c r="G15" s="21"/>
      <x:c r="H15" s="21"/>
      <x:c r="I15" s="21"/>
      <x:c r="J15" s="22"/>
    </x:row>
    <x:row r="17">
      <x:c r="A17" s="15" t="s">
        <x:v>1483</x:v>
      </x:c>
      <x:c r="B17" s="3"/>
      <x:c r="C17" s="3"/>
      <x:c r="D17" s="3"/>
      <x:c r="E17" s="3"/>
      <x:c r="F17" s="3"/>
      <x:c r="G17" s="3"/>
      <x:c r="H17" s="3"/>
      <x:c r="I17" s="3"/>
      <x:c r="J17" s="4"/>
    </x:row>
    <x:row r="18" ht="36" customHeight="1">
      <x:c r="A18" s="10" t="s">
        <x:v>1484</x:v>
      </x:c>
      <x:c r="B18" s="16"/>
      <x:c r="C18" s="16"/>
      <x:c r="D18" s="16"/>
      <x:c r="E18" s="16"/>
      <x:c r="F18" s="16"/>
      <x:c r="G18" s="16"/>
      <x:c r="H18" s="16"/>
      <x:c r="I18" s="16"/>
      <x:c r="J18" s="17"/>
    </x:row>
    <x:row r="19">
      <x:c r="A19" s="18"/>
      <x:c r="J19" s="19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22"/>
    </x:row>
    <x:row r="22">
      <x:c r="A22" s="15" t="s">
        <x:v>1485</x:v>
      </x:c>
      <x:c r="B22" s="3"/>
      <x:c r="C22" s="3"/>
      <x:c r="D22" s="3"/>
      <x:c r="E22" s="3"/>
      <x:c r="F22" s="3"/>
      <x:c r="G22" s="3"/>
      <x:c r="H22" s="3"/>
      <x:c r="I22" s="3"/>
      <x:c r="J22" s="4"/>
    </x:row>
    <x:row r="23" ht="36" customHeight="1">
      <x:c r="A23" s="10" t="s">
        <x:v>1486</x:v>
      </x:c>
      <x:c r="B23" s="16"/>
      <x:c r="C23" s="16"/>
      <x:c r="D23" s="16"/>
      <x:c r="E23" s="16"/>
      <x:c r="F23" s="16"/>
      <x:c r="G23" s="16"/>
      <x:c r="H23" s="16"/>
      <x:c r="I23" s="16"/>
      <x:c r="J23" s="17"/>
    </x:row>
    <x:row r="24">
      <x:c r="A24" s="18"/>
      <x:c r="J24" s="19"/>
    </x:row>
    <x:row r="25">
      <x:c r="A25" s="20"/>
      <x:c r="B25" s="21"/>
      <x:c r="C25" s="21"/>
      <x:c r="D25" s="21"/>
      <x:c r="E25" s="21"/>
      <x:c r="F25" s="21"/>
      <x:c r="G25" s="21"/>
      <x:c r="H25" s="21"/>
      <x:c r="I25" s="21"/>
      <x:c r="J25" s="22"/>
    </x:row>
    <x:row r="27">
      <x:c r="A27" s="15" t="s">
        <x:v>1487</x:v>
      </x:c>
      <x:c r="B27" s="3"/>
      <x:c r="C27" s="3"/>
      <x:c r="D27" s="3"/>
      <x:c r="E27" s="3"/>
      <x:c r="F27" s="3"/>
      <x:c r="G27" s="3"/>
      <x:c r="H27" s="3"/>
      <x:c r="I27" s="3"/>
      <x:c r="J27" s="4"/>
    </x:row>
    <x:row r="28" ht="36" customHeight="1">
      <x:c r="A28" s="10" t="s">
        <x:v>1488</x:v>
      </x:c>
      <x:c r="B28" s="16"/>
      <x:c r="C28" s="16"/>
      <x:c r="D28" s="16"/>
      <x:c r="E28" s="16"/>
      <x:c r="F28" s="16"/>
      <x:c r="G28" s="16"/>
      <x:c r="H28" s="16"/>
      <x:c r="I28" s="16"/>
      <x:c r="J28" s="17"/>
    </x:row>
    <x:row r="29">
      <x:c r="A29" s="18"/>
      <x:c r="J29" s="19"/>
    </x:row>
    <x:row r="30">
      <x:c r="A30" s="20"/>
      <x:c r="B30" s="21"/>
      <x:c r="C30" s="21"/>
      <x:c r="D30" s="21"/>
      <x:c r="E30" s="21"/>
      <x:c r="F30" s="21"/>
      <x:c r="G30" s="21"/>
      <x:c r="H30" s="21"/>
      <x:c r="I30" s="21"/>
      <x:c r="J30" s="22"/>
    </x:row>
    <x:row r="32" ht="17.600000381469727" customHeight="1">
      <x:c r="A32" s="23" t="s">
        <x:v>1489</x:v>
      </x:c>
    </x:row>
    <x:row r="33" ht="28" customHeight="1">
      <x:c r="A33" s="7" t="s">
        <x:v>1490</x:v>
      </x:c>
      <x:c r="B33" s="7" t="s">
        <x:v>1491</x:v>
      </x:c>
      <x:c r="C33" s="7" t="s">
        <x:v>1492</x:v>
      </x:c>
    </x:row>
    <x:row r="34">
      <x:c r="A34" s="8" t="s">
        <x:v>16</x:v>
      </x:c>
      <x:c r="B34" s="24" t="e">
        <x:f>IFERROR(COUNTIF(项目总控台账!$G$4:$G$148,"已完成")/COUNTIF(项目总控台账!$A$4:$A$148,"&lt;&gt;"),0)</x:f>
        <x:v>#NAME?</x:v>
      </x:c>
      <x:c r="C34" s="8" t="s">
        <x:v>1493</x:v>
      </x:c>
    </x:row>
    <x:row r="35">
      <x:c r="A35" s="8" t="s">
        <x:v>1494</x:v>
      </x:c>
      <x:c r="B35" s="8" t="e">
        <x:f>COUNTIF(项目总控台账!$AC$4:$AC$148,"*延期*")</x:f>
        <x:v>#NAME?</x:v>
      </x:c>
      <x:c r="C35" s="8" t="s">
        <x:v>1495</x:v>
      </x:c>
    </x:row>
    <x:row r="36">
      <x:c r="A36" s="8" t="s">
        <x:v>1417</x:v>
      </x:c>
      <x:c r="B36" s="8" t="e">
        <x:f>COUNTIFS(风险问题台账!$D$4:$D$102,"高",风险问题台账!$K$4:$K$102,"&lt;&gt;已关闭")</x:f>
        <x:v>#NAME?</x:v>
      </x:c>
      <x:c r="C36" s="8" t="s">
        <x:v>1496</x:v>
      </x:c>
    </x:row>
    <x:row r="37">
      <x:c r="A37" s="8" t="s">
        <x:v>1419</x:v>
      </x:c>
      <x:c r="B37" s="8" t="e">
        <x:f>COUNTIFS(会议行动项!$J$4:$J$102,"&gt;0",会议行动项!$H$4:$H$102,"&lt;&gt;已完成")</x:f>
        <x:v>#NAME?</x:v>
      </x:c>
      <x:c r="C37" s="8" t="s">
        <x:v>1497</x:v>
      </x:c>
    </x:row>
    <x:row r="38">
      <x:c r="A38" s="8" t="s">
        <x:v>1459</x:v>
      </x:c>
      <x:c r="B38" s="8" t="e">
        <x:f>COUNTIFS(待决策事项!$C$5:$C$54,"&lt;&gt;",待决策事项!$I$5:$I$54,"&lt;&gt;已决策",待决策事项!$I$5:$I$54,"&lt;&gt;已关闭")</x:f>
        <x:v>#NAME?</x:v>
      </x:c>
      <x:c r="C38" s="8" t="s">
        <x:v>1498</x:v>
      </x:c>
    </x:row>
    <x:row r="39">
      <x:c r="A39" s="8" t="s">
        <x:v>1420</x:v>
      </x:c>
      <x:c r="B39" s="8" t="e">
        <x:f>COUNTIF(数据质量检查!$H$5:$H$149,"需整改")</x:f>
        <x:v>#NAME?</x:v>
      </x:c>
      <x:c r="C39" s="8" t="s">
        <x:v>1499</x:v>
      </x:c>
    </x:row>
  </x:sheetData>
  <x:mergeCells>
    <x:mergeCell ref="A1:J1"/>
    <x:mergeCell ref="A2:J2"/>
    <x:mergeCell ref="B4:J4"/>
    <x:mergeCell ref="B5:J5"/>
    <x:mergeCell ref="B6:J6"/>
    <x:mergeCell ref="A8:J8"/>
    <x:mergeCell ref="A12:J12"/>
    <x:mergeCell ref="A17:J17"/>
    <x:mergeCell ref="A22:J22"/>
    <x:mergeCell ref="A27:J27"/>
    <x:mergeCell ref="A9:J11"/>
    <x:mergeCell ref="A13:J15"/>
    <x:mergeCell ref="A18:J20"/>
    <x:mergeCell ref="A28:J30"/>
    <x:mergeCell ref="A23:J25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2" style="1" customWidth="1"/>
    <x:col min="2" max="2" width="18" style="1" customWidth="1"/>
    <x:col min="3" max="3" width="15" style="1" customWidth="1"/>
    <x:col min="4" max="4" width="13" style="1" customWidth="1"/>
    <x:col min="5" max="5" width="22" style="1" customWidth="1"/>
    <x:col min="6" max="6" width="36" style="1" customWidth="1"/>
    <x:col min="7" max="7" width="12" style="1" customWidth="1"/>
    <x:col min="8" max="8" width="36" style="1" customWidth="1"/>
    <x:col min="9" max="9" width="30" style="1" customWidth="1"/>
    <x:col min="10" max="10" width="14" style="1" customWidth="1"/>
    <x:col min="11" max="12" width="13" style="1" customWidth="1"/>
  </x:cols>
  <x:sheetData>
    <x:row r="1" ht="28" customHeight="1">
      <x:c r="A1" s="2" t="s">
        <x:v>1500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1501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1502</x:v>
      </x:c>
      <x:c r="B4" s="7" t="s">
        <x:v>1503</x:v>
      </x:c>
      <x:c r="C4" s="7" t="s">
        <x:v>1504</x:v>
      </x:c>
      <x:c r="D4" s="7" t="s">
        <x:v>1408</x:v>
      </x:c>
      <x:c r="E4" s="7" t="s">
        <x:v>1505</x:v>
      </x:c>
      <x:c r="F4" s="7" t="s">
        <x:v>1506</x:v>
      </x:c>
      <x:c r="G4" s="7" t="s">
        <x:v>186</x:v>
      </x:c>
      <x:c r="H4" s="7" t="s">
        <x:v>1507</x:v>
      </x:c>
      <x:c r="I4" s="7" t="s">
        <x:v>1508</x:v>
      </x:c>
      <x:c r="J4" s="7" t="s">
        <x:v>1509</x:v>
      </x:c>
      <x:c r="K4" s="7" t="s">
        <x:v>1510</x:v>
      </x:c>
      <x:c r="L4" s="7" t="s">
        <x:v>1511</x:v>
      </x:c>
    </x:row>
    <x:row r="5">
      <x:c r="A5" s="8" t="str">
        <x:f t="shared" ref="A5:A68" si="0">IF(B5="","","AI-"&amp;TEXT(ROW()-4,"0000"))</x:f>
      </x:c>
      <x:c r="B5" s="9"/>
      <x:c r="C5" s="10"/>
      <x:c r="D5" s="11"/>
      <x:c r="E5" s="10"/>
      <x:c r="F5" s="10"/>
      <x:c r="G5" s="10"/>
      <x:c r="H5" s="10"/>
      <x:c r="I5" s="10"/>
      <x:c r="J5" s="10"/>
      <x:c r="K5" s="10"/>
      <x:c r="L5" s="11"/>
    </x:row>
    <x:row r="6">
      <x:c r="A6" s="8" t="str">
        <x:f t="shared" si="0"/>
      </x:c>
      <x:c r="B6" s="9"/>
      <x:c r="C6" s="10"/>
      <x:c r="D6" s="11"/>
      <x:c r="E6" s="10"/>
      <x:c r="F6" s="10"/>
      <x:c r="G6" s="10"/>
      <x:c r="H6" s="10"/>
      <x:c r="I6" s="10"/>
      <x:c r="J6" s="10"/>
      <x:c r="K6" s="10"/>
      <x:c r="L6" s="11"/>
    </x:row>
    <x:row r="7">
      <x:c r="A7" s="8" t="str">
        <x:f t="shared" si="0"/>
      </x:c>
      <x:c r="B7" s="9"/>
      <x:c r="C7" s="10"/>
      <x:c r="D7" s="11"/>
      <x:c r="E7" s="10"/>
      <x:c r="F7" s="10"/>
      <x:c r="G7" s="10"/>
      <x:c r="H7" s="10"/>
      <x:c r="I7" s="10"/>
      <x:c r="J7" s="10"/>
      <x:c r="K7" s="10"/>
      <x:c r="L7" s="11"/>
    </x:row>
    <x:row r="8">
      <x:c r="A8" s="8" t="str">
        <x:f t="shared" si="0"/>
      </x:c>
      <x:c r="B8" s="9"/>
      <x:c r="C8" s="10"/>
      <x:c r="D8" s="11"/>
      <x:c r="E8" s="10"/>
      <x:c r="F8" s="10"/>
      <x:c r="G8" s="10"/>
      <x:c r="H8" s="10"/>
      <x:c r="I8" s="10"/>
      <x:c r="J8" s="10"/>
      <x:c r="K8" s="10"/>
      <x:c r="L8" s="11"/>
    </x:row>
    <x:row r="9">
      <x:c r="A9" s="8" t="str">
        <x:f t="shared" si="0"/>
      </x:c>
      <x:c r="B9" s="9"/>
      <x:c r="C9" s="10"/>
      <x:c r="D9" s="11"/>
      <x:c r="E9" s="10"/>
      <x:c r="F9" s="10"/>
      <x:c r="G9" s="10"/>
      <x:c r="H9" s="10"/>
      <x:c r="I9" s="10"/>
      <x:c r="J9" s="10"/>
      <x:c r="K9" s="10"/>
      <x:c r="L9" s="11"/>
    </x:row>
    <x:row r="10">
      <x:c r="A10" s="8" t="str">
        <x:f t="shared" si="0"/>
      </x:c>
      <x:c r="B10" s="9"/>
      <x:c r="C10" s="10"/>
      <x:c r="D10" s="11"/>
      <x:c r="E10" s="10"/>
      <x:c r="F10" s="10"/>
      <x:c r="G10" s="10"/>
      <x:c r="H10" s="10"/>
      <x:c r="I10" s="10"/>
      <x:c r="J10" s="10"/>
      <x:c r="K10" s="10"/>
      <x:c r="L10" s="11"/>
    </x:row>
    <x:row r="11">
      <x:c r="A11" s="8" t="str">
        <x:f t="shared" si="0"/>
      </x:c>
      <x:c r="B11" s="9"/>
      <x:c r="C11" s="10"/>
      <x:c r="D11" s="11"/>
      <x:c r="E11" s="10"/>
      <x:c r="F11" s="10"/>
      <x:c r="G11" s="10"/>
      <x:c r="H11" s="10"/>
      <x:c r="I11" s="10"/>
      <x:c r="J11" s="10"/>
      <x:c r="K11" s="10"/>
      <x:c r="L11" s="11"/>
    </x:row>
    <x:row r="12">
      <x:c r="A12" s="8" t="str">
        <x:f t="shared" si="0"/>
      </x:c>
      <x:c r="B12" s="9"/>
      <x:c r="C12" s="10"/>
      <x:c r="D12" s="11"/>
      <x:c r="E12" s="10"/>
      <x:c r="F12" s="10"/>
      <x:c r="G12" s="10"/>
      <x:c r="H12" s="10"/>
      <x:c r="I12" s="10"/>
      <x:c r="J12" s="10"/>
      <x:c r="K12" s="10"/>
      <x:c r="L12" s="11"/>
    </x:row>
    <x:row r="13">
      <x:c r="A13" s="8" t="str">
        <x:f t="shared" si="0"/>
      </x:c>
      <x:c r="B13" s="9"/>
      <x:c r="C13" s="10"/>
      <x:c r="D13" s="11"/>
      <x:c r="E13" s="10"/>
      <x:c r="F13" s="10"/>
      <x:c r="G13" s="10"/>
      <x:c r="H13" s="10"/>
      <x:c r="I13" s="10"/>
      <x:c r="J13" s="10"/>
      <x:c r="K13" s="10"/>
      <x:c r="L13" s="11"/>
    </x:row>
    <x:row r="14">
      <x:c r="A14" s="8" t="str">
        <x:f t="shared" si="0"/>
      </x:c>
      <x:c r="B14" s="9"/>
      <x:c r="C14" s="10"/>
      <x:c r="D14" s="11"/>
      <x:c r="E14" s="10"/>
      <x:c r="F14" s="10"/>
      <x:c r="G14" s="10"/>
      <x:c r="H14" s="10"/>
      <x:c r="I14" s="10"/>
      <x:c r="J14" s="10"/>
      <x:c r="K14" s="10"/>
      <x:c r="L14" s="11"/>
    </x:row>
    <x:row r="15">
      <x:c r="A15" s="8" t="str">
        <x:f t="shared" si="0"/>
      </x:c>
      <x:c r="B15" s="9"/>
      <x:c r="C15" s="10"/>
      <x:c r="D15" s="11"/>
      <x:c r="E15" s="10"/>
      <x:c r="F15" s="10"/>
      <x:c r="G15" s="10"/>
      <x:c r="H15" s="10"/>
      <x:c r="I15" s="10"/>
      <x:c r="J15" s="10"/>
      <x:c r="K15" s="10"/>
      <x:c r="L15" s="11"/>
    </x:row>
    <x:row r="16">
      <x:c r="A16" s="8" t="str">
        <x:f t="shared" si="0"/>
      </x:c>
      <x:c r="B16" s="9"/>
      <x:c r="C16" s="10"/>
      <x:c r="D16" s="11"/>
      <x:c r="E16" s="10"/>
      <x:c r="F16" s="10"/>
      <x:c r="G16" s="10"/>
      <x:c r="H16" s="10"/>
      <x:c r="I16" s="10"/>
      <x:c r="J16" s="10"/>
      <x:c r="K16" s="10"/>
      <x:c r="L16" s="11"/>
    </x:row>
    <x:row r="17">
      <x:c r="A17" s="8" t="str">
        <x:f t="shared" si="0"/>
      </x:c>
      <x:c r="B17" s="9"/>
      <x:c r="C17" s="10"/>
      <x:c r="D17" s="11"/>
      <x:c r="E17" s="10"/>
      <x:c r="F17" s="10"/>
      <x:c r="G17" s="10"/>
      <x:c r="H17" s="10"/>
      <x:c r="I17" s="10"/>
      <x:c r="J17" s="10"/>
      <x:c r="K17" s="10"/>
      <x:c r="L17" s="11"/>
    </x:row>
    <x:row r="18">
      <x:c r="A18" s="8" t="str">
        <x:f t="shared" si="0"/>
      </x:c>
      <x:c r="B18" s="9"/>
      <x:c r="C18" s="10"/>
      <x:c r="D18" s="11"/>
      <x:c r="E18" s="10"/>
      <x:c r="F18" s="10"/>
      <x:c r="G18" s="10"/>
      <x:c r="H18" s="10"/>
      <x:c r="I18" s="10"/>
      <x:c r="J18" s="10"/>
      <x:c r="K18" s="10"/>
      <x:c r="L18" s="11"/>
    </x:row>
    <x:row r="19">
      <x:c r="A19" s="8" t="str">
        <x:f t="shared" si="0"/>
      </x:c>
      <x:c r="B19" s="9"/>
      <x:c r="C19" s="10"/>
      <x:c r="D19" s="11"/>
      <x:c r="E19" s="10"/>
      <x:c r="F19" s="10"/>
      <x:c r="G19" s="10"/>
      <x:c r="H19" s="10"/>
      <x:c r="I19" s="10"/>
      <x:c r="J19" s="10"/>
      <x:c r="K19" s="10"/>
      <x:c r="L19" s="11"/>
    </x:row>
    <x:row r="20">
      <x:c r="A20" s="8" t="str">
        <x:f t="shared" si="0"/>
      </x:c>
      <x:c r="B20" s="9"/>
      <x:c r="C20" s="10"/>
      <x:c r="D20" s="11"/>
      <x:c r="E20" s="10"/>
      <x:c r="F20" s="10"/>
      <x:c r="G20" s="10"/>
      <x:c r="H20" s="10"/>
      <x:c r="I20" s="10"/>
      <x:c r="J20" s="10"/>
      <x:c r="K20" s="10"/>
      <x:c r="L20" s="11"/>
    </x:row>
    <x:row r="21">
      <x:c r="A21" s="8" t="str">
        <x:f t="shared" si="0"/>
      </x:c>
      <x:c r="B21" s="9"/>
      <x:c r="C21" s="10"/>
      <x:c r="D21" s="11"/>
      <x:c r="E21" s="10"/>
      <x:c r="F21" s="10"/>
      <x:c r="G21" s="10"/>
      <x:c r="H21" s="10"/>
      <x:c r="I21" s="10"/>
      <x:c r="J21" s="10"/>
      <x:c r="K21" s="10"/>
      <x:c r="L21" s="11"/>
    </x:row>
    <x:row r="22">
      <x:c r="A22" s="8" t="str">
        <x:f t="shared" si="0"/>
      </x:c>
      <x:c r="B22" s="9"/>
      <x:c r="C22" s="10"/>
      <x:c r="D22" s="11"/>
      <x:c r="E22" s="10"/>
      <x:c r="F22" s="10"/>
      <x:c r="G22" s="10"/>
      <x:c r="H22" s="10"/>
      <x:c r="I22" s="10"/>
      <x:c r="J22" s="10"/>
      <x:c r="K22" s="10"/>
      <x:c r="L22" s="11"/>
    </x:row>
    <x:row r="23">
      <x:c r="A23" s="8" t="str">
        <x:f t="shared" si="0"/>
      </x:c>
      <x:c r="B23" s="9"/>
      <x:c r="C23" s="10"/>
      <x:c r="D23" s="11"/>
      <x:c r="E23" s="10"/>
      <x:c r="F23" s="10"/>
      <x:c r="G23" s="10"/>
      <x:c r="H23" s="10"/>
      <x:c r="I23" s="10"/>
      <x:c r="J23" s="10"/>
      <x:c r="K23" s="10"/>
      <x:c r="L23" s="11"/>
    </x:row>
    <x:row r="24">
      <x:c r="A24" s="8" t="str">
        <x:f t="shared" si="0"/>
      </x:c>
      <x:c r="B24" s="9"/>
      <x:c r="C24" s="10"/>
      <x:c r="D24" s="11"/>
      <x:c r="E24" s="10"/>
      <x:c r="F24" s="10"/>
      <x:c r="G24" s="10"/>
      <x:c r="H24" s="10"/>
      <x:c r="I24" s="10"/>
      <x:c r="J24" s="10"/>
      <x:c r="K24" s="10"/>
      <x:c r="L24" s="11"/>
    </x:row>
    <x:row r="25">
      <x:c r="A25" s="8" t="str">
        <x:f t="shared" si="0"/>
      </x:c>
      <x:c r="B25" s="9"/>
      <x:c r="C25" s="10"/>
      <x:c r="D25" s="11"/>
      <x:c r="E25" s="10"/>
      <x:c r="F25" s="10"/>
      <x:c r="G25" s="10"/>
      <x:c r="H25" s="10"/>
      <x:c r="I25" s="10"/>
      <x:c r="J25" s="10"/>
      <x:c r="K25" s="10"/>
      <x:c r="L25" s="11"/>
    </x:row>
    <x:row r="26">
      <x:c r="A26" s="8" t="str">
        <x:f t="shared" si="0"/>
      </x:c>
      <x:c r="B26" s="9"/>
      <x:c r="C26" s="10"/>
      <x:c r="D26" s="11"/>
      <x:c r="E26" s="10"/>
      <x:c r="F26" s="10"/>
      <x:c r="G26" s="10"/>
      <x:c r="H26" s="10"/>
      <x:c r="I26" s="10"/>
      <x:c r="J26" s="10"/>
      <x:c r="K26" s="10"/>
      <x:c r="L26" s="11"/>
    </x:row>
    <x:row r="27">
      <x:c r="A27" s="8" t="str">
        <x:f t="shared" si="0"/>
      </x:c>
      <x:c r="B27" s="9"/>
      <x:c r="C27" s="10"/>
      <x:c r="D27" s="11"/>
      <x:c r="E27" s="10"/>
      <x:c r="F27" s="10"/>
      <x:c r="G27" s="10"/>
      <x:c r="H27" s="10"/>
      <x:c r="I27" s="10"/>
      <x:c r="J27" s="10"/>
      <x:c r="K27" s="10"/>
      <x:c r="L27" s="11"/>
    </x:row>
    <x:row r="28">
      <x:c r="A28" s="8" t="str">
        <x:f t="shared" si="0"/>
      </x:c>
      <x:c r="B28" s="9"/>
      <x:c r="C28" s="10"/>
      <x:c r="D28" s="11"/>
      <x:c r="E28" s="10"/>
      <x:c r="F28" s="10"/>
      <x:c r="G28" s="10"/>
      <x:c r="H28" s="10"/>
      <x:c r="I28" s="10"/>
      <x:c r="J28" s="10"/>
      <x:c r="K28" s="10"/>
      <x:c r="L28" s="11"/>
    </x:row>
    <x:row r="29">
      <x:c r="A29" s="8" t="str">
        <x:f t="shared" si="0"/>
      </x:c>
      <x:c r="B29" s="9"/>
      <x:c r="C29" s="10"/>
      <x:c r="D29" s="11"/>
      <x:c r="E29" s="10"/>
      <x:c r="F29" s="10"/>
      <x:c r="G29" s="10"/>
      <x:c r="H29" s="10"/>
      <x:c r="I29" s="10"/>
      <x:c r="J29" s="10"/>
      <x:c r="K29" s="10"/>
      <x:c r="L29" s="11"/>
    </x:row>
    <x:row r="30">
      <x:c r="A30" s="8" t="str">
        <x:f t="shared" si="0"/>
      </x:c>
      <x:c r="B30" s="9"/>
      <x:c r="C30" s="10"/>
      <x:c r="D30" s="11"/>
      <x:c r="E30" s="10"/>
      <x:c r="F30" s="10"/>
      <x:c r="G30" s="10"/>
      <x:c r="H30" s="10"/>
      <x:c r="I30" s="10"/>
      <x:c r="J30" s="10"/>
      <x:c r="K30" s="10"/>
      <x:c r="L30" s="11"/>
    </x:row>
    <x:row r="31">
      <x:c r="A31" s="8" t="str">
        <x:f t="shared" si="0"/>
      </x:c>
      <x:c r="B31" s="9"/>
      <x:c r="C31" s="10"/>
      <x:c r="D31" s="11"/>
      <x:c r="E31" s="10"/>
      <x:c r="F31" s="10"/>
      <x:c r="G31" s="10"/>
      <x:c r="H31" s="10"/>
      <x:c r="I31" s="10"/>
      <x:c r="J31" s="10"/>
      <x:c r="K31" s="10"/>
      <x:c r="L31" s="11"/>
    </x:row>
    <x:row r="32">
      <x:c r="A32" s="8" t="str">
        <x:f t="shared" si="0"/>
      </x:c>
      <x:c r="B32" s="9"/>
      <x:c r="C32" s="10"/>
      <x:c r="D32" s="11"/>
      <x:c r="E32" s="10"/>
      <x:c r="F32" s="10"/>
      <x:c r="G32" s="10"/>
      <x:c r="H32" s="10"/>
      <x:c r="I32" s="10"/>
      <x:c r="J32" s="10"/>
      <x:c r="K32" s="10"/>
      <x:c r="L32" s="11"/>
    </x:row>
    <x:row r="33">
      <x:c r="A33" s="8" t="str">
        <x:f t="shared" si="0"/>
      </x:c>
      <x:c r="B33" s="9"/>
      <x:c r="C33" s="10"/>
      <x:c r="D33" s="11"/>
      <x:c r="E33" s="10"/>
      <x:c r="F33" s="10"/>
      <x:c r="G33" s="10"/>
      <x:c r="H33" s="10"/>
      <x:c r="I33" s="10"/>
      <x:c r="J33" s="10"/>
      <x:c r="K33" s="10"/>
      <x:c r="L33" s="11"/>
    </x:row>
    <x:row r="34">
      <x:c r="A34" s="8" t="str">
        <x:f t="shared" si="0"/>
      </x:c>
      <x:c r="B34" s="9"/>
      <x:c r="C34" s="10"/>
      <x:c r="D34" s="11"/>
      <x:c r="E34" s="10"/>
      <x:c r="F34" s="10"/>
      <x:c r="G34" s="10"/>
      <x:c r="H34" s="10"/>
      <x:c r="I34" s="10"/>
      <x:c r="J34" s="10"/>
      <x:c r="K34" s="10"/>
      <x:c r="L34" s="11"/>
    </x:row>
    <x:row r="35">
      <x:c r="A35" s="8" t="str">
        <x:f t="shared" si="0"/>
      </x:c>
      <x:c r="B35" s="9"/>
      <x:c r="C35" s="10"/>
      <x:c r="D35" s="11"/>
      <x:c r="E35" s="10"/>
      <x:c r="F35" s="10"/>
      <x:c r="G35" s="10"/>
      <x:c r="H35" s="10"/>
      <x:c r="I35" s="10"/>
      <x:c r="J35" s="10"/>
      <x:c r="K35" s="10"/>
      <x:c r="L35" s="11"/>
    </x:row>
    <x:row r="36">
      <x:c r="A36" s="8" t="str">
        <x:f t="shared" si="0"/>
      </x:c>
      <x:c r="B36" s="9"/>
      <x:c r="C36" s="10"/>
      <x:c r="D36" s="11"/>
      <x:c r="E36" s="10"/>
      <x:c r="F36" s="10"/>
      <x:c r="G36" s="10"/>
      <x:c r="H36" s="10"/>
      <x:c r="I36" s="10"/>
      <x:c r="J36" s="10"/>
      <x:c r="K36" s="10"/>
      <x:c r="L36" s="11"/>
    </x:row>
    <x:row r="37">
      <x:c r="A37" s="8" t="str">
        <x:f t="shared" si="0"/>
      </x:c>
      <x:c r="B37" s="9"/>
      <x:c r="C37" s="10"/>
      <x:c r="D37" s="11"/>
      <x:c r="E37" s="10"/>
      <x:c r="F37" s="10"/>
      <x:c r="G37" s="10"/>
      <x:c r="H37" s="10"/>
      <x:c r="I37" s="10"/>
      <x:c r="J37" s="10"/>
      <x:c r="K37" s="10"/>
      <x:c r="L37" s="11"/>
    </x:row>
    <x:row r="38">
      <x:c r="A38" s="8" t="str">
        <x:f t="shared" si="0"/>
      </x:c>
      <x:c r="B38" s="9"/>
      <x:c r="C38" s="10"/>
      <x:c r="D38" s="11"/>
      <x:c r="E38" s="10"/>
      <x:c r="F38" s="10"/>
      <x:c r="G38" s="10"/>
      <x:c r="H38" s="10"/>
      <x:c r="I38" s="10"/>
      <x:c r="J38" s="10"/>
      <x:c r="K38" s="10"/>
      <x:c r="L38" s="11"/>
    </x:row>
    <x:row r="39">
      <x:c r="A39" s="8" t="str">
        <x:f t="shared" si="0"/>
      </x:c>
      <x:c r="B39" s="9"/>
      <x:c r="C39" s="10"/>
      <x:c r="D39" s="11"/>
      <x:c r="E39" s="10"/>
      <x:c r="F39" s="10"/>
      <x:c r="G39" s="10"/>
      <x:c r="H39" s="10"/>
      <x:c r="I39" s="10"/>
      <x:c r="J39" s="10"/>
      <x:c r="K39" s="10"/>
      <x:c r="L39" s="11"/>
    </x:row>
    <x:row r="40">
      <x:c r="A40" s="8" t="str">
        <x:f t="shared" si="0"/>
      </x:c>
      <x:c r="B40" s="9"/>
      <x:c r="C40" s="10"/>
      <x:c r="D40" s="11"/>
      <x:c r="E40" s="10"/>
      <x:c r="F40" s="10"/>
      <x:c r="G40" s="10"/>
      <x:c r="H40" s="10"/>
      <x:c r="I40" s="10"/>
      <x:c r="J40" s="10"/>
      <x:c r="K40" s="10"/>
      <x:c r="L40" s="11"/>
    </x:row>
    <x:row r="41">
      <x:c r="A41" s="8" t="str">
        <x:f t="shared" si="0"/>
      </x:c>
      <x:c r="B41" s="9"/>
      <x:c r="C41" s="10"/>
      <x:c r="D41" s="11"/>
      <x:c r="E41" s="10"/>
      <x:c r="F41" s="10"/>
      <x:c r="G41" s="10"/>
      <x:c r="H41" s="10"/>
      <x:c r="I41" s="10"/>
      <x:c r="J41" s="10"/>
      <x:c r="K41" s="10"/>
      <x:c r="L41" s="11"/>
    </x:row>
    <x:row r="42">
      <x:c r="A42" s="8" t="str">
        <x:f t="shared" si="0"/>
      </x:c>
      <x:c r="B42" s="9"/>
      <x:c r="C42" s="10"/>
      <x:c r="D42" s="11"/>
      <x:c r="E42" s="10"/>
      <x:c r="F42" s="10"/>
      <x:c r="G42" s="10"/>
      <x:c r="H42" s="10"/>
      <x:c r="I42" s="10"/>
      <x:c r="J42" s="10"/>
      <x:c r="K42" s="10"/>
      <x:c r="L42" s="11"/>
    </x:row>
    <x:row r="43">
      <x:c r="A43" s="8" t="str">
        <x:f t="shared" si="0"/>
      </x:c>
      <x:c r="B43" s="9"/>
      <x:c r="C43" s="10"/>
      <x:c r="D43" s="11"/>
      <x:c r="E43" s="10"/>
      <x:c r="F43" s="10"/>
      <x:c r="G43" s="10"/>
      <x:c r="H43" s="10"/>
      <x:c r="I43" s="10"/>
      <x:c r="J43" s="10"/>
      <x:c r="K43" s="10"/>
      <x:c r="L43" s="11"/>
    </x:row>
    <x:row r="44">
      <x:c r="A44" s="8" t="str">
        <x:f t="shared" si="0"/>
      </x:c>
      <x:c r="B44" s="9"/>
      <x:c r="C44" s="10"/>
      <x:c r="D44" s="11"/>
      <x:c r="E44" s="10"/>
      <x:c r="F44" s="10"/>
      <x:c r="G44" s="10"/>
      <x:c r="H44" s="10"/>
      <x:c r="I44" s="10"/>
      <x:c r="J44" s="10"/>
      <x:c r="K44" s="10"/>
      <x:c r="L44" s="11"/>
    </x:row>
    <x:row r="45">
      <x:c r="A45" s="8" t="str">
        <x:f t="shared" si="0"/>
      </x:c>
      <x:c r="B45" s="9"/>
      <x:c r="C45" s="10"/>
      <x:c r="D45" s="11"/>
      <x:c r="E45" s="10"/>
      <x:c r="F45" s="10"/>
      <x:c r="G45" s="10"/>
      <x:c r="H45" s="10"/>
      <x:c r="I45" s="10"/>
      <x:c r="J45" s="10"/>
      <x:c r="K45" s="10"/>
      <x:c r="L45" s="11"/>
    </x:row>
    <x:row r="46">
      <x:c r="A46" s="8" t="str">
        <x:f t="shared" si="0"/>
      </x:c>
      <x:c r="B46" s="9"/>
      <x:c r="C46" s="10"/>
      <x:c r="D46" s="11"/>
      <x:c r="E46" s="10"/>
      <x:c r="F46" s="10"/>
      <x:c r="G46" s="10"/>
      <x:c r="H46" s="10"/>
      <x:c r="I46" s="10"/>
      <x:c r="J46" s="10"/>
      <x:c r="K46" s="10"/>
      <x:c r="L46" s="11"/>
    </x:row>
    <x:row r="47">
      <x:c r="A47" s="8" t="str">
        <x:f t="shared" si="0"/>
      </x:c>
      <x:c r="B47" s="9"/>
      <x:c r="C47" s="10"/>
      <x:c r="D47" s="11"/>
      <x:c r="E47" s="10"/>
      <x:c r="F47" s="10"/>
      <x:c r="G47" s="10"/>
      <x:c r="H47" s="10"/>
      <x:c r="I47" s="10"/>
      <x:c r="J47" s="10"/>
      <x:c r="K47" s="10"/>
      <x:c r="L47" s="11"/>
    </x:row>
    <x:row r="48">
      <x:c r="A48" s="8" t="str">
        <x:f t="shared" si="0"/>
      </x:c>
      <x:c r="B48" s="9"/>
      <x:c r="C48" s="10"/>
      <x:c r="D48" s="11"/>
      <x:c r="E48" s="10"/>
      <x:c r="F48" s="10"/>
      <x:c r="G48" s="10"/>
      <x:c r="H48" s="10"/>
      <x:c r="I48" s="10"/>
      <x:c r="J48" s="10"/>
      <x:c r="K48" s="10"/>
      <x:c r="L48" s="11"/>
    </x:row>
    <x:row r="49">
      <x:c r="A49" s="8" t="str">
        <x:f t="shared" si="0"/>
      </x:c>
      <x:c r="B49" s="9"/>
      <x:c r="C49" s="10"/>
      <x:c r="D49" s="11"/>
      <x:c r="E49" s="10"/>
      <x:c r="F49" s="10"/>
      <x:c r="G49" s="10"/>
      <x:c r="H49" s="10"/>
      <x:c r="I49" s="10"/>
      <x:c r="J49" s="10"/>
      <x:c r="K49" s="10"/>
      <x:c r="L49" s="11"/>
    </x:row>
    <x:row r="50">
      <x:c r="A50" s="8" t="str">
        <x:f t="shared" si="0"/>
      </x:c>
      <x:c r="B50" s="9"/>
      <x:c r="C50" s="10"/>
      <x:c r="D50" s="11"/>
      <x:c r="E50" s="10"/>
      <x:c r="F50" s="10"/>
      <x:c r="G50" s="10"/>
      <x:c r="H50" s="10"/>
      <x:c r="I50" s="10"/>
      <x:c r="J50" s="10"/>
      <x:c r="K50" s="10"/>
      <x:c r="L50" s="11"/>
    </x:row>
    <x:row r="51">
      <x:c r="A51" s="8" t="str">
        <x:f t="shared" si="0"/>
      </x:c>
      <x:c r="B51" s="9"/>
      <x:c r="C51" s="10"/>
      <x:c r="D51" s="11"/>
      <x:c r="E51" s="10"/>
      <x:c r="F51" s="10"/>
      <x:c r="G51" s="10"/>
      <x:c r="H51" s="10"/>
      <x:c r="I51" s="10"/>
      <x:c r="J51" s="10"/>
      <x:c r="K51" s="10"/>
      <x:c r="L51" s="11"/>
    </x:row>
    <x:row r="52">
      <x:c r="A52" s="8" t="str">
        <x:f t="shared" si="0"/>
      </x:c>
      <x:c r="B52" s="9"/>
      <x:c r="C52" s="10"/>
      <x:c r="D52" s="11"/>
      <x:c r="E52" s="10"/>
      <x:c r="F52" s="10"/>
      <x:c r="G52" s="10"/>
      <x:c r="H52" s="10"/>
      <x:c r="I52" s="10"/>
      <x:c r="J52" s="10"/>
      <x:c r="K52" s="10"/>
      <x:c r="L52" s="11"/>
    </x:row>
    <x:row r="53">
      <x:c r="A53" s="8" t="str">
        <x:f t="shared" si="0"/>
      </x:c>
      <x:c r="B53" s="9"/>
      <x:c r="C53" s="10"/>
      <x:c r="D53" s="11"/>
      <x:c r="E53" s="10"/>
      <x:c r="F53" s="10"/>
      <x:c r="G53" s="10"/>
      <x:c r="H53" s="10"/>
      <x:c r="I53" s="10"/>
      <x:c r="J53" s="10"/>
      <x:c r="K53" s="10"/>
      <x:c r="L53" s="11"/>
    </x:row>
    <x:row r="54">
      <x:c r="A54" s="8" t="str">
        <x:f t="shared" si="0"/>
      </x:c>
      <x:c r="B54" s="9"/>
      <x:c r="C54" s="10"/>
      <x:c r="D54" s="11"/>
      <x:c r="E54" s="10"/>
      <x:c r="F54" s="10"/>
      <x:c r="G54" s="10"/>
      <x:c r="H54" s="10"/>
      <x:c r="I54" s="10"/>
      <x:c r="J54" s="10"/>
      <x:c r="K54" s="10"/>
      <x:c r="L54" s="11"/>
    </x:row>
    <x:row r="55">
      <x:c r="A55" s="8" t="str">
        <x:f t="shared" si="0"/>
      </x:c>
      <x:c r="B55" s="9"/>
      <x:c r="C55" s="10"/>
      <x:c r="D55" s="11"/>
      <x:c r="E55" s="10"/>
      <x:c r="F55" s="10"/>
      <x:c r="G55" s="10"/>
      <x:c r="H55" s="10"/>
      <x:c r="I55" s="10"/>
      <x:c r="J55" s="10"/>
      <x:c r="K55" s="10"/>
      <x:c r="L55" s="11"/>
    </x:row>
    <x:row r="56">
      <x:c r="A56" s="8" t="str">
        <x:f t="shared" si="0"/>
      </x:c>
      <x:c r="B56" s="9"/>
      <x:c r="C56" s="10"/>
      <x:c r="D56" s="11"/>
      <x:c r="E56" s="10"/>
      <x:c r="F56" s="10"/>
      <x:c r="G56" s="10"/>
      <x:c r="H56" s="10"/>
      <x:c r="I56" s="10"/>
      <x:c r="J56" s="10"/>
      <x:c r="K56" s="10"/>
      <x:c r="L56" s="11"/>
    </x:row>
    <x:row r="57">
      <x:c r="A57" s="8" t="str">
        <x:f t="shared" si="0"/>
      </x:c>
      <x:c r="B57" s="9"/>
      <x:c r="C57" s="10"/>
      <x:c r="D57" s="11"/>
      <x:c r="E57" s="10"/>
      <x:c r="F57" s="10"/>
      <x:c r="G57" s="10"/>
      <x:c r="H57" s="10"/>
      <x:c r="I57" s="10"/>
      <x:c r="J57" s="10"/>
      <x:c r="K57" s="10"/>
      <x:c r="L57" s="11"/>
    </x:row>
    <x:row r="58">
      <x:c r="A58" s="8" t="str">
        <x:f t="shared" si="0"/>
      </x:c>
      <x:c r="B58" s="9"/>
      <x:c r="C58" s="10"/>
      <x:c r="D58" s="11"/>
      <x:c r="E58" s="10"/>
      <x:c r="F58" s="10"/>
      <x:c r="G58" s="10"/>
      <x:c r="H58" s="10"/>
      <x:c r="I58" s="10"/>
      <x:c r="J58" s="10"/>
      <x:c r="K58" s="10"/>
      <x:c r="L58" s="11"/>
    </x:row>
    <x:row r="59">
      <x:c r="A59" s="8" t="str">
        <x:f t="shared" si="0"/>
      </x:c>
      <x:c r="B59" s="9"/>
      <x:c r="C59" s="10"/>
      <x:c r="D59" s="11"/>
      <x:c r="E59" s="10"/>
      <x:c r="F59" s="10"/>
      <x:c r="G59" s="10"/>
      <x:c r="H59" s="10"/>
      <x:c r="I59" s="10"/>
      <x:c r="J59" s="10"/>
      <x:c r="K59" s="10"/>
      <x:c r="L59" s="11"/>
    </x:row>
    <x:row r="60">
      <x:c r="A60" s="8" t="str">
        <x:f t="shared" si="0"/>
      </x:c>
      <x:c r="B60" s="9"/>
      <x:c r="C60" s="10"/>
      <x:c r="D60" s="11"/>
      <x:c r="E60" s="10"/>
      <x:c r="F60" s="10"/>
      <x:c r="G60" s="10"/>
      <x:c r="H60" s="10"/>
      <x:c r="I60" s="10"/>
      <x:c r="J60" s="10"/>
      <x:c r="K60" s="10"/>
      <x:c r="L60" s="11"/>
    </x:row>
    <x:row r="61">
      <x:c r="A61" s="8" t="str">
        <x:f t="shared" si="0"/>
      </x:c>
      <x:c r="B61" s="9"/>
      <x:c r="C61" s="10"/>
      <x:c r="D61" s="11"/>
      <x:c r="E61" s="10"/>
      <x:c r="F61" s="10"/>
      <x:c r="G61" s="10"/>
      <x:c r="H61" s="10"/>
      <x:c r="I61" s="10"/>
      <x:c r="J61" s="10"/>
      <x:c r="K61" s="10"/>
      <x:c r="L61" s="11"/>
    </x:row>
    <x:row r="62">
      <x:c r="A62" s="8" t="str">
        <x:f t="shared" si="0"/>
      </x:c>
      <x:c r="B62" s="9"/>
      <x:c r="C62" s="10"/>
      <x:c r="D62" s="11"/>
      <x:c r="E62" s="10"/>
      <x:c r="F62" s="10"/>
      <x:c r="G62" s="10"/>
      <x:c r="H62" s="10"/>
      <x:c r="I62" s="10"/>
      <x:c r="J62" s="10"/>
      <x:c r="K62" s="10"/>
      <x:c r="L62" s="11"/>
    </x:row>
    <x:row r="63">
      <x:c r="A63" s="8" t="str">
        <x:f t="shared" si="0"/>
      </x:c>
      <x:c r="B63" s="9"/>
      <x:c r="C63" s="10"/>
      <x:c r="D63" s="11"/>
      <x:c r="E63" s="10"/>
      <x:c r="F63" s="10"/>
      <x:c r="G63" s="10"/>
      <x:c r="H63" s="10"/>
      <x:c r="I63" s="10"/>
      <x:c r="J63" s="10"/>
      <x:c r="K63" s="10"/>
      <x:c r="L63" s="11"/>
    </x:row>
    <x:row r="64">
      <x:c r="A64" s="8" t="str">
        <x:f t="shared" si="0"/>
      </x:c>
      <x:c r="B64" s="9"/>
      <x:c r="C64" s="10"/>
      <x:c r="D64" s="11"/>
      <x:c r="E64" s="10"/>
      <x:c r="F64" s="10"/>
      <x:c r="G64" s="10"/>
      <x:c r="H64" s="10"/>
      <x:c r="I64" s="10"/>
      <x:c r="J64" s="10"/>
      <x:c r="K64" s="10"/>
      <x:c r="L64" s="11"/>
    </x:row>
    <x:row r="65">
      <x:c r="A65" s="8" t="str">
        <x:f t="shared" si="0"/>
      </x:c>
      <x:c r="B65" s="9"/>
      <x:c r="C65" s="10"/>
      <x:c r="D65" s="11"/>
      <x:c r="E65" s="10"/>
      <x:c r="F65" s="10"/>
      <x:c r="G65" s="10"/>
      <x:c r="H65" s="10"/>
      <x:c r="I65" s="10"/>
      <x:c r="J65" s="10"/>
      <x:c r="K65" s="10"/>
      <x:c r="L65" s="11"/>
    </x:row>
    <x:row r="66">
      <x:c r="A66" s="8" t="str">
        <x:f t="shared" si="0"/>
      </x:c>
      <x:c r="B66" s="9"/>
      <x:c r="C66" s="10"/>
      <x:c r="D66" s="11"/>
      <x:c r="E66" s="10"/>
      <x:c r="F66" s="10"/>
      <x:c r="G66" s="10"/>
      <x:c r="H66" s="10"/>
      <x:c r="I66" s="10"/>
      <x:c r="J66" s="10"/>
      <x:c r="K66" s="10"/>
      <x:c r="L66" s="11"/>
    </x:row>
    <x:row r="67">
      <x:c r="A67" s="8" t="str">
        <x:f t="shared" si="0"/>
      </x:c>
      <x:c r="B67" s="9"/>
      <x:c r="C67" s="10"/>
      <x:c r="D67" s="11"/>
      <x:c r="E67" s="10"/>
      <x:c r="F67" s="10"/>
      <x:c r="G67" s="10"/>
      <x:c r="H67" s="10"/>
      <x:c r="I67" s="10"/>
      <x:c r="J67" s="10"/>
      <x:c r="K67" s="10"/>
      <x:c r="L67" s="11"/>
    </x:row>
    <x:row r="68">
      <x:c r="A68" s="8" t="str">
        <x:f t="shared" si="0"/>
      </x:c>
      <x:c r="B68" s="9"/>
      <x:c r="C68" s="10"/>
      <x:c r="D68" s="11"/>
      <x:c r="E68" s="10"/>
      <x:c r="F68" s="10"/>
      <x:c r="G68" s="10"/>
      <x:c r="H68" s="10"/>
      <x:c r="I68" s="10"/>
      <x:c r="J68" s="10"/>
      <x:c r="K68" s="10"/>
      <x:c r="L68" s="11"/>
    </x:row>
    <x:row r="69">
      <x:c r="A69" s="8" t="str">
        <x:f t="shared" ref="A69:A104" si="1">IF(B69="","","AI-"&amp;TEXT(ROW()-4,"0000"))</x:f>
      </x:c>
      <x:c r="B69" s="9"/>
      <x:c r="C69" s="10"/>
      <x:c r="D69" s="11"/>
      <x:c r="E69" s="10"/>
      <x:c r="F69" s="10"/>
      <x:c r="G69" s="10"/>
      <x:c r="H69" s="10"/>
      <x:c r="I69" s="10"/>
      <x:c r="J69" s="10"/>
      <x:c r="K69" s="10"/>
      <x:c r="L69" s="11"/>
    </x:row>
    <x:row r="70">
      <x:c r="A70" s="8" t="str">
        <x:f t="shared" si="1"/>
      </x:c>
      <x:c r="B70" s="9"/>
      <x:c r="C70" s="10"/>
      <x:c r="D70" s="11"/>
      <x:c r="E70" s="10"/>
      <x:c r="F70" s="10"/>
      <x:c r="G70" s="10"/>
      <x:c r="H70" s="10"/>
      <x:c r="I70" s="10"/>
      <x:c r="J70" s="10"/>
      <x:c r="K70" s="10"/>
      <x:c r="L70" s="11"/>
    </x:row>
    <x:row r="71">
      <x:c r="A71" s="8" t="str">
        <x:f t="shared" si="1"/>
      </x:c>
      <x:c r="B71" s="9"/>
      <x:c r="C71" s="10"/>
      <x:c r="D71" s="11"/>
      <x:c r="E71" s="10"/>
      <x:c r="F71" s="10"/>
      <x:c r="G71" s="10"/>
      <x:c r="H71" s="10"/>
      <x:c r="I71" s="10"/>
      <x:c r="J71" s="10"/>
      <x:c r="K71" s="10"/>
      <x:c r="L71" s="11"/>
    </x:row>
    <x:row r="72">
      <x:c r="A72" s="8" t="str">
        <x:f t="shared" si="1"/>
      </x:c>
      <x:c r="B72" s="9"/>
      <x:c r="C72" s="10"/>
      <x:c r="D72" s="11"/>
      <x:c r="E72" s="10"/>
      <x:c r="F72" s="10"/>
      <x:c r="G72" s="10"/>
      <x:c r="H72" s="10"/>
      <x:c r="I72" s="10"/>
      <x:c r="J72" s="10"/>
      <x:c r="K72" s="10"/>
      <x:c r="L72" s="11"/>
    </x:row>
    <x:row r="73">
      <x:c r="A73" s="8" t="str">
        <x:f t="shared" si="1"/>
      </x:c>
      <x:c r="B73" s="9"/>
      <x:c r="C73" s="10"/>
      <x:c r="D73" s="11"/>
      <x:c r="E73" s="10"/>
      <x:c r="F73" s="10"/>
      <x:c r="G73" s="10"/>
      <x:c r="H73" s="10"/>
      <x:c r="I73" s="10"/>
      <x:c r="J73" s="10"/>
      <x:c r="K73" s="10"/>
      <x:c r="L73" s="11"/>
    </x:row>
    <x:row r="74">
      <x:c r="A74" s="8" t="str">
        <x:f t="shared" si="1"/>
      </x:c>
      <x:c r="B74" s="9"/>
      <x:c r="C74" s="10"/>
      <x:c r="D74" s="11"/>
      <x:c r="E74" s="10"/>
      <x:c r="F74" s="10"/>
      <x:c r="G74" s="10"/>
      <x:c r="H74" s="10"/>
      <x:c r="I74" s="10"/>
      <x:c r="J74" s="10"/>
      <x:c r="K74" s="10"/>
      <x:c r="L74" s="11"/>
    </x:row>
    <x:row r="75">
      <x:c r="A75" s="8" t="str">
        <x:f t="shared" si="1"/>
      </x:c>
      <x:c r="B75" s="9"/>
      <x:c r="C75" s="10"/>
      <x:c r="D75" s="11"/>
      <x:c r="E75" s="10"/>
      <x:c r="F75" s="10"/>
      <x:c r="G75" s="10"/>
      <x:c r="H75" s="10"/>
      <x:c r="I75" s="10"/>
      <x:c r="J75" s="10"/>
      <x:c r="K75" s="10"/>
      <x:c r="L75" s="11"/>
    </x:row>
    <x:row r="76">
      <x:c r="A76" s="8" t="str">
        <x:f t="shared" si="1"/>
      </x:c>
      <x:c r="B76" s="9"/>
      <x:c r="C76" s="10"/>
      <x:c r="D76" s="11"/>
      <x:c r="E76" s="10"/>
      <x:c r="F76" s="10"/>
      <x:c r="G76" s="10"/>
      <x:c r="H76" s="10"/>
      <x:c r="I76" s="10"/>
      <x:c r="J76" s="10"/>
      <x:c r="K76" s="10"/>
      <x:c r="L76" s="11"/>
    </x:row>
    <x:row r="77">
      <x:c r="A77" s="8" t="str">
        <x:f t="shared" si="1"/>
      </x:c>
      <x:c r="B77" s="9"/>
      <x:c r="C77" s="10"/>
      <x:c r="D77" s="11"/>
      <x:c r="E77" s="10"/>
      <x:c r="F77" s="10"/>
      <x:c r="G77" s="10"/>
      <x:c r="H77" s="10"/>
      <x:c r="I77" s="10"/>
      <x:c r="J77" s="10"/>
      <x:c r="K77" s="10"/>
      <x:c r="L77" s="11"/>
    </x:row>
    <x:row r="78">
      <x:c r="A78" s="8" t="str">
        <x:f t="shared" si="1"/>
      </x:c>
      <x:c r="B78" s="9"/>
      <x:c r="C78" s="10"/>
      <x:c r="D78" s="11"/>
      <x:c r="E78" s="10"/>
      <x:c r="F78" s="10"/>
      <x:c r="G78" s="10"/>
      <x:c r="H78" s="10"/>
      <x:c r="I78" s="10"/>
      <x:c r="J78" s="10"/>
      <x:c r="K78" s="10"/>
      <x:c r="L78" s="11"/>
    </x:row>
    <x:row r="79">
      <x:c r="A79" s="8" t="str">
        <x:f t="shared" si="1"/>
      </x:c>
      <x:c r="B79" s="9"/>
      <x:c r="C79" s="10"/>
      <x:c r="D79" s="11"/>
      <x:c r="E79" s="10"/>
      <x:c r="F79" s="10"/>
      <x:c r="G79" s="10"/>
      <x:c r="H79" s="10"/>
      <x:c r="I79" s="10"/>
      <x:c r="J79" s="10"/>
      <x:c r="K79" s="10"/>
      <x:c r="L79" s="11"/>
    </x:row>
    <x:row r="80">
      <x:c r="A80" s="8" t="str">
        <x:f t="shared" si="1"/>
      </x:c>
      <x:c r="B80" s="9"/>
      <x:c r="C80" s="10"/>
      <x:c r="D80" s="11"/>
      <x:c r="E80" s="10"/>
      <x:c r="F80" s="10"/>
      <x:c r="G80" s="10"/>
      <x:c r="H80" s="10"/>
      <x:c r="I80" s="10"/>
      <x:c r="J80" s="10"/>
      <x:c r="K80" s="10"/>
      <x:c r="L80" s="11"/>
    </x:row>
    <x:row r="81">
      <x:c r="A81" s="8" t="str">
        <x:f t="shared" si="1"/>
      </x:c>
      <x:c r="B81" s="9"/>
      <x:c r="C81" s="10"/>
      <x:c r="D81" s="11"/>
      <x:c r="E81" s="10"/>
      <x:c r="F81" s="10"/>
      <x:c r="G81" s="10"/>
      <x:c r="H81" s="10"/>
      <x:c r="I81" s="10"/>
      <x:c r="J81" s="10"/>
      <x:c r="K81" s="10"/>
      <x:c r="L81" s="11"/>
    </x:row>
    <x:row r="82">
      <x:c r="A82" s="8" t="str">
        <x:f t="shared" si="1"/>
      </x:c>
      <x:c r="B82" s="9"/>
      <x:c r="C82" s="10"/>
      <x:c r="D82" s="11"/>
      <x:c r="E82" s="10"/>
      <x:c r="F82" s="10"/>
      <x:c r="G82" s="10"/>
      <x:c r="H82" s="10"/>
      <x:c r="I82" s="10"/>
      <x:c r="J82" s="10"/>
      <x:c r="K82" s="10"/>
      <x:c r="L82" s="11"/>
    </x:row>
    <x:row r="83">
      <x:c r="A83" s="8" t="str">
        <x:f t="shared" si="1"/>
      </x:c>
      <x:c r="B83" s="9"/>
      <x:c r="C83" s="10"/>
      <x:c r="D83" s="11"/>
      <x:c r="E83" s="10"/>
      <x:c r="F83" s="10"/>
      <x:c r="G83" s="10"/>
      <x:c r="H83" s="10"/>
      <x:c r="I83" s="10"/>
      <x:c r="J83" s="10"/>
      <x:c r="K83" s="10"/>
      <x:c r="L83" s="11"/>
    </x:row>
    <x:row r="84">
      <x:c r="A84" s="8" t="str">
        <x:f t="shared" si="1"/>
      </x:c>
      <x:c r="B84" s="9"/>
      <x:c r="C84" s="10"/>
      <x:c r="D84" s="11"/>
      <x:c r="E84" s="10"/>
      <x:c r="F84" s="10"/>
      <x:c r="G84" s="10"/>
      <x:c r="H84" s="10"/>
      <x:c r="I84" s="10"/>
      <x:c r="J84" s="10"/>
      <x:c r="K84" s="10"/>
      <x:c r="L84" s="11"/>
    </x:row>
    <x:row r="85">
      <x:c r="A85" s="8" t="str">
        <x:f t="shared" si="1"/>
      </x:c>
      <x:c r="B85" s="9"/>
      <x:c r="C85" s="10"/>
      <x:c r="D85" s="11"/>
      <x:c r="E85" s="10"/>
      <x:c r="F85" s="10"/>
      <x:c r="G85" s="10"/>
      <x:c r="H85" s="10"/>
      <x:c r="I85" s="10"/>
      <x:c r="J85" s="10"/>
      <x:c r="K85" s="10"/>
      <x:c r="L85" s="11"/>
    </x:row>
    <x:row r="86">
      <x:c r="A86" s="8" t="str">
        <x:f t="shared" si="1"/>
      </x:c>
      <x:c r="B86" s="9"/>
      <x:c r="C86" s="10"/>
      <x:c r="D86" s="11"/>
      <x:c r="E86" s="10"/>
      <x:c r="F86" s="10"/>
      <x:c r="G86" s="10"/>
      <x:c r="H86" s="10"/>
      <x:c r="I86" s="10"/>
      <x:c r="J86" s="10"/>
      <x:c r="K86" s="10"/>
      <x:c r="L86" s="11"/>
    </x:row>
    <x:row r="87">
      <x:c r="A87" s="8" t="str">
        <x:f t="shared" si="1"/>
      </x:c>
      <x:c r="B87" s="9"/>
      <x:c r="C87" s="10"/>
      <x:c r="D87" s="11"/>
      <x:c r="E87" s="10"/>
      <x:c r="F87" s="10"/>
      <x:c r="G87" s="10"/>
      <x:c r="H87" s="10"/>
      <x:c r="I87" s="10"/>
      <x:c r="J87" s="10"/>
      <x:c r="K87" s="10"/>
      <x:c r="L87" s="11"/>
    </x:row>
    <x:row r="88">
      <x:c r="A88" s="8" t="str">
        <x:f t="shared" si="1"/>
      </x:c>
      <x:c r="B88" s="9"/>
      <x:c r="C88" s="10"/>
      <x:c r="D88" s="11"/>
      <x:c r="E88" s="10"/>
      <x:c r="F88" s="10"/>
      <x:c r="G88" s="10"/>
      <x:c r="H88" s="10"/>
      <x:c r="I88" s="10"/>
      <x:c r="J88" s="10"/>
      <x:c r="K88" s="10"/>
      <x:c r="L88" s="11"/>
    </x:row>
    <x:row r="89">
      <x:c r="A89" s="8" t="str">
        <x:f t="shared" si="1"/>
      </x:c>
      <x:c r="B89" s="9"/>
      <x:c r="C89" s="10"/>
      <x:c r="D89" s="11"/>
      <x:c r="E89" s="10"/>
      <x:c r="F89" s="10"/>
      <x:c r="G89" s="10"/>
      <x:c r="H89" s="10"/>
      <x:c r="I89" s="10"/>
      <x:c r="J89" s="10"/>
      <x:c r="K89" s="10"/>
      <x:c r="L89" s="11"/>
    </x:row>
    <x:row r="90">
      <x:c r="A90" s="8" t="str">
        <x:f t="shared" si="1"/>
      </x:c>
      <x:c r="B90" s="9"/>
      <x:c r="C90" s="10"/>
      <x:c r="D90" s="11"/>
      <x:c r="E90" s="10"/>
      <x:c r="F90" s="10"/>
      <x:c r="G90" s="10"/>
      <x:c r="H90" s="10"/>
      <x:c r="I90" s="10"/>
      <x:c r="J90" s="10"/>
      <x:c r="K90" s="10"/>
      <x:c r="L90" s="11"/>
    </x:row>
    <x:row r="91">
      <x:c r="A91" s="8" t="str">
        <x:f t="shared" si="1"/>
      </x:c>
      <x:c r="B91" s="9"/>
      <x:c r="C91" s="10"/>
      <x:c r="D91" s="11"/>
      <x:c r="E91" s="10"/>
      <x:c r="F91" s="10"/>
      <x:c r="G91" s="10"/>
      <x:c r="H91" s="10"/>
      <x:c r="I91" s="10"/>
      <x:c r="J91" s="10"/>
      <x:c r="K91" s="10"/>
      <x:c r="L91" s="11"/>
    </x:row>
    <x:row r="92">
      <x:c r="A92" s="8" t="str">
        <x:f t="shared" si="1"/>
      </x:c>
      <x:c r="B92" s="9"/>
      <x:c r="C92" s="10"/>
      <x:c r="D92" s="11"/>
      <x:c r="E92" s="10"/>
      <x:c r="F92" s="10"/>
      <x:c r="G92" s="10"/>
      <x:c r="H92" s="10"/>
      <x:c r="I92" s="10"/>
      <x:c r="J92" s="10"/>
      <x:c r="K92" s="10"/>
      <x:c r="L92" s="11"/>
    </x:row>
    <x:row r="93">
      <x:c r="A93" s="8" t="str">
        <x:f t="shared" si="1"/>
      </x:c>
      <x:c r="B93" s="9"/>
      <x:c r="C93" s="10"/>
      <x:c r="D93" s="11"/>
      <x:c r="E93" s="10"/>
      <x:c r="F93" s="10"/>
      <x:c r="G93" s="10"/>
      <x:c r="H93" s="10"/>
      <x:c r="I93" s="10"/>
      <x:c r="J93" s="10"/>
      <x:c r="K93" s="10"/>
      <x:c r="L93" s="11"/>
    </x:row>
    <x:row r="94">
      <x:c r="A94" s="8" t="str">
        <x:f t="shared" si="1"/>
      </x:c>
      <x:c r="B94" s="9"/>
      <x:c r="C94" s="10"/>
      <x:c r="D94" s="11"/>
      <x:c r="E94" s="10"/>
      <x:c r="F94" s="10"/>
      <x:c r="G94" s="10"/>
      <x:c r="H94" s="10"/>
      <x:c r="I94" s="10"/>
      <x:c r="J94" s="10"/>
      <x:c r="K94" s="10"/>
      <x:c r="L94" s="11"/>
    </x:row>
    <x:row r="95">
      <x:c r="A95" s="8" t="str">
        <x:f t="shared" si="1"/>
      </x:c>
      <x:c r="B95" s="9"/>
      <x:c r="C95" s="10"/>
      <x:c r="D95" s="11"/>
      <x:c r="E95" s="10"/>
      <x:c r="F95" s="10"/>
      <x:c r="G95" s="10"/>
      <x:c r="H95" s="10"/>
      <x:c r="I95" s="10"/>
      <x:c r="J95" s="10"/>
      <x:c r="K95" s="10"/>
      <x:c r="L95" s="11"/>
    </x:row>
    <x:row r="96">
      <x:c r="A96" s="8" t="str">
        <x:f t="shared" si="1"/>
      </x:c>
      <x:c r="B96" s="9"/>
      <x:c r="C96" s="10"/>
      <x:c r="D96" s="11"/>
      <x:c r="E96" s="10"/>
      <x:c r="F96" s="10"/>
      <x:c r="G96" s="10"/>
      <x:c r="H96" s="10"/>
      <x:c r="I96" s="10"/>
      <x:c r="J96" s="10"/>
      <x:c r="K96" s="10"/>
      <x:c r="L96" s="11"/>
    </x:row>
    <x:row r="97">
      <x:c r="A97" s="8" t="str">
        <x:f t="shared" si="1"/>
      </x:c>
      <x:c r="B97" s="9"/>
      <x:c r="C97" s="10"/>
      <x:c r="D97" s="11"/>
      <x:c r="E97" s="10"/>
      <x:c r="F97" s="10"/>
      <x:c r="G97" s="10"/>
      <x:c r="H97" s="10"/>
      <x:c r="I97" s="10"/>
      <x:c r="J97" s="10"/>
      <x:c r="K97" s="10"/>
      <x:c r="L97" s="11"/>
    </x:row>
    <x:row r="98">
      <x:c r="A98" s="8" t="str">
        <x:f t="shared" si="1"/>
      </x:c>
      <x:c r="B98" s="9"/>
      <x:c r="C98" s="10"/>
      <x:c r="D98" s="11"/>
      <x:c r="E98" s="10"/>
      <x:c r="F98" s="10"/>
      <x:c r="G98" s="10"/>
      <x:c r="H98" s="10"/>
      <x:c r="I98" s="10"/>
      <x:c r="J98" s="10"/>
      <x:c r="K98" s="10"/>
      <x:c r="L98" s="11"/>
    </x:row>
    <x:row r="99">
      <x:c r="A99" s="8" t="str">
        <x:f t="shared" si="1"/>
      </x:c>
      <x:c r="B99" s="9"/>
      <x:c r="C99" s="10"/>
      <x:c r="D99" s="11"/>
      <x:c r="E99" s="10"/>
      <x:c r="F99" s="10"/>
      <x:c r="G99" s="10"/>
      <x:c r="H99" s="10"/>
      <x:c r="I99" s="10"/>
      <x:c r="J99" s="10"/>
      <x:c r="K99" s="10"/>
      <x:c r="L99" s="11"/>
    </x:row>
    <x:row r="100">
      <x:c r="A100" s="8" t="str">
        <x:f t="shared" si="1"/>
      </x:c>
      <x:c r="B100" s="9"/>
      <x:c r="C100" s="10"/>
      <x:c r="D100" s="11"/>
      <x:c r="E100" s="10"/>
      <x:c r="F100" s="10"/>
      <x:c r="G100" s="10"/>
      <x:c r="H100" s="10"/>
      <x:c r="I100" s="10"/>
      <x:c r="J100" s="10"/>
      <x:c r="K100" s="10"/>
      <x:c r="L100" s="11"/>
    </x:row>
    <x:row r="101">
      <x:c r="A101" s="8" t="str">
        <x:f t="shared" si="1"/>
      </x:c>
      <x:c r="B101" s="9"/>
      <x:c r="C101" s="10"/>
      <x:c r="D101" s="11"/>
      <x:c r="E101" s="10"/>
      <x:c r="F101" s="10"/>
      <x:c r="G101" s="10"/>
      <x:c r="H101" s="10"/>
      <x:c r="I101" s="10"/>
      <x:c r="J101" s="10"/>
      <x:c r="K101" s="10"/>
      <x:c r="L101" s="11"/>
    </x:row>
    <x:row r="102">
      <x:c r="A102" s="8" t="str">
        <x:f t="shared" si="1"/>
      </x:c>
      <x:c r="B102" s="9"/>
      <x:c r="C102" s="10"/>
      <x:c r="D102" s="11"/>
      <x:c r="E102" s="10"/>
      <x:c r="F102" s="10"/>
      <x:c r="G102" s="10"/>
      <x:c r="H102" s="10"/>
      <x:c r="I102" s="10"/>
      <x:c r="J102" s="10"/>
      <x:c r="K102" s="10"/>
      <x:c r="L102" s="11"/>
    </x:row>
    <x:row r="103">
      <x:c r="A103" s="8" t="str">
        <x:f t="shared" si="1"/>
      </x:c>
      <x:c r="B103" s="9"/>
      <x:c r="C103" s="10"/>
      <x:c r="D103" s="11"/>
      <x:c r="E103" s="10"/>
      <x:c r="F103" s="10"/>
      <x:c r="G103" s="10"/>
      <x:c r="H103" s="10"/>
      <x:c r="I103" s="10"/>
      <x:c r="J103" s="10"/>
      <x:c r="K103" s="10"/>
      <x:c r="L103" s="11"/>
    </x:row>
    <x:row r="104">
      <x:c r="A104" s="8" t="str">
        <x:f t="shared" si="1"/>
      </x:c>
      <x:c r="B104" s="9"/>
      <x:c r="C104" s="10"/>
      <x:c r="D104" s="11"/>
      <x:c r="E104" s="10"/>
      <x:c r="F104" s="10"/>
      <x:c r="G104" s="10"/>
      <x:c r="H104" s="10"/>
      <x:c r="I104" s="10"/>
      <x:c r="J104" s="10"/>
      <x:c r="K104" s="10"/>
      <x:c r="L104" s="11"/>
    </x:row>
  </x:sheetData>
  <x:mergeCells>
    <x:mergeCell ref="A1:L1"/>
    <x:mergeCell ref="A2:L2"/>
  </x:mergeCells>
  <x:dataValidations count="3">
    <x:dataValidation type="list" allowBlank="1" sqref="C5:C104">
      <x:formula1>"健康扫描,周报生成,风险分析,变更分析,会议提取,专项诊断"</x:formula1>
    </x:dataValidation>
    <x:dataValidation type="list" allowBlank="1" sqref="G5:G104">
      <x:formula1>"低,中,高"</x:formula1>
    </x:dataValidation>
    <x:dataValidation type="list" allowBlank="1" sqref="K5:K104">
      <x:formula1>"待确认,已采纳,部分采纳,不采纳,已完成"</x:formula1>
    </x:dataValidation>
  </x:dataValidations>
  <x:pageMargins left="0.7" right="0.7" top="0.75" bottom="0.75" header="0.3" footer="0.3"/>
</x:worksheet>
</file>
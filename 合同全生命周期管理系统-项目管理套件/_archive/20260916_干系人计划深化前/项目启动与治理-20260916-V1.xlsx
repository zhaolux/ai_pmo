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ebdaae180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相关方管理" sheetId="1" r:id="Reac54ccce28847d0"/>
    <x:sheet xmlns:r="http://schemas.openxmlformats.org/officeDocument/2006/relationships" name="_数据接口" sheetId="2" r:id="Rd2a450d523224871"/>
    <x:sheet xmlns:r="http://schemas.openxmlformats.org/officeDocument/2006/relationships" name="供应商POC计划" sheetId="3" r:id="R72683dfcdfc840d3"/>
  </x:sheets>
</x:workbook>
</file>

<file path=xl/sharedStrings.xml><?xml version="1.0" encoding="utf-8"?>
<x:sst xmlns:x="http://schemas.openxmlformats.org/spreadsheetml/2006/main">
  <x:si>
    <x:t xml:space="preserve">项目相关方管理</x:t>
  </x:si>
  <x:si>
    <x:t xml:space="preserve">相关方总数</x:t>
  </x:si>
  <x:si>
    <x:t xml:space="preserve">高权力相关方</x:t>
  </x:si>
  <x:si>
    <x:t xml:space="preserve">重点管理人数</x:t>
  </x:si>
  <x:si>
    <x:t xml:space="preserve">当前不支持人数</x:t>
  </x:si>
  <x:si>
    <x:t xml:space="preserve">存在支持差距</x:t>
  </x:si>
  <x:si>
    <x:t xml:space="preserve">沟通逾期人数</x:t>
  </x:si>
  <x:si>
    <x:t xml:space="preserve">未关闭行动数</x:t>
  </x:si>
  <x:si>
    <x:t xml:space="preserve">待升级事项</x:t>
  </x:si>
  <x:si>
    <x:t xml:space="preserve">相关方管理明细</x:t>
  </x:si>
  <x:si>
    <x:t xml:space="preserve">相关方ID</x:t>
  </x:si>
  <x:si>
    <x:t xml:space="preserve">姓名/组织</x:t>
  </x:si>
  <x:si>
    <x:t xml:space="preserve">所属单位/部门</x:t>
  </x:si>
  <x:si>
    <x:t xml:space="preserve">职务/角色</x:t>
  </x:si>
  <x:si>
    <x:t xml:space="preserve">相关方类别</x:t>
  </x:si>
  <x:si>
    <x:t xml:space="preserve">项目责任</x:t>
  </x:si>
  <x:si>
    <x:t xml:space="preserve">关注事项</x:t>
  </x:si>
  <x:si>
    <x:t xml:space="preserve">权力等级</x:t>
  </x:si>
  <x:si>
    <x:t xml:space="preserve">关注度</x:t>
  </x:si>
  <x:si>
    <x:t xml:space="preserve">当前支持度</x:t>
  </x:si>
  <x:si>
    <x:t xml:space="preserve">目标支持度</x:t>
  </x:si>
  <x:si>
    <x:t xml:space="preserve">支持差距</x:t>
  </x:si>
  <x:si>
    <x:t xml:space="preserve">影响方向</x:t>
  </x:si>
  <x:si>
    <x:t xml:space="preserve">管理策略</x:t>
  </x:si>
  <x:si>
    <x:t xml:space="preserve">沟通方式</x:t>
  </x:si>
  <x:si>
    <x:t xml:space="preserve">沟通频率</x:t>
  </x:si>
  <x:si>
    <x:t xml:space="preserve">沟通内容</x:t>
  </x:si>
  <x:si>
    <x:t xml:space="preserve">关系责任人</x:t>
  </x:si>
  <x:si>
    <x:t xml:space="preserve">最近沟通日期</x:t>
  </x:si>
  <x:si>
    <x:t xml:space="preserve">下次沟通日期</x:t>
  </x:si>
  <x:si>
    <x:t xml:space="preserve">当前诉求/意见</x:t>
  </x:si>
  <x:si>
    <x:t xml:space="preserve">待办行动</x:t>
  </x:si>
  <x:si>
    <x:t xml:space="preserve">行动责任人</x:t>
  </x:si>
  <x:si>
    <x:t xml:space="preserve">承诺完成日期</x:t>
  </x:si>
  <x:si>
    <x:t xml:space="preserve">行动状态</x:t>
  </x:si>
  <x:si>
    <x:t xml:space="preserve">是否需要升级</x:t>
  </x:si>
  <x:si>
    <x:t xml:space="preserve">升级对象</x:t>
  </x:si>
  <x:si>
    <x:t xml:space="preserve">风险提示</x:t>
  </x:si>
  <x:si>
    <x:t xml:space="preserve">备注</x:t>
  </x:si>
  <x:si>
    <x:t xml:space="preserve">李宗鹏</x:t>
  </x:si>
  <x:si>
    <x:t xml:space="preserve">项目建设单位/技术团队</x:t>
  </x:si>
  <x:si>
    <x:t xml:space="preserve">技术干系人</x:t>
  </x:si>
  <x:si>
    <x:t xml:space="preserve">建设方</x:t>
  </x:si>
  <x:si>
    <x:t xml:space="preserve">负责合同整体技术、运维等工作</x:t>
  </x:si>
  <x:si>
    <x:t xml:space="preserve">甲方技术人员管理、协调；与外采供应商沟通；</x:t>
  </x:si>
  <x:si>
    <x:t xml:space="preserve">会议</x:t>
  </x:si>
  <x:si>
    <x:t xml:space="preserve">每周</x:t>
  </x:si>
  <x:si>
    <x:t xml:space="preserve">姜于玲</x:t>
  </x:si>
  <x:si>
    <x:t xml:space="preserve">主要负责合同生命周期、集成，现有系统运维等工作</x:t>
  </x:si>
  <x:si>
    <x:t xml:space="preserve">按照微服务梳理接口、后端逻辑、数据字典及编制ER图</x:t>
  </x:si>
  <x:si>
    <x:t xml:space="preserve">王俊超</x:t>
  </x:si>
  <x:si>
    <x:t xml:space="preserve">主要负责合同申报、系统设置，现有系统运维等工作</x:t>
  </x:si>
  <x:si>
    <x:t xml:space="preserve">郝思佳</x:t>
  </x:si>
  <x:si>
    <x:t xml:space="preserve">主要负责前端开发，现有系统运维等工作</x:t>
  </x:si>
  <x:si>
    <x:t xml:space="preserve">整理核心模块前端逻辑、接口文档</x:t>
  </x:si>
  <x:si>
    <x:t xml:space="preserve">张玲</x:t>
  </x:si>
  <x:si>
    <x:t xml:space="preserve">主要负责合同履行的开发，现有系统运维等工作</x:t>
  </x:si>
  <x:si>
    <x:t xml:space="preserve">龚元波</x:t>
  </x:si>
  <x:si>
    <x:t xml:space="preserve">主要负责合同履行，报表的开发，现有系统运维等工作</x:t>
  </x:si>
  <x:si>
    <x:t xml:space="preserve">程晓悦</x:t>
  </x:si>
  <x:si>
    <x:t xml:space="preserve">主要负责合同集成，现有系统运维等工作</x:t>
  </x:si>
  <x:si>
    <x:t xml:space="preserve">李全</x:t>
  </x:si>
  <x:si>
    <x:t xml:space="preserve">可研、立项材料</x:t>
  </x:si>
  <x:si>
    <x:t xml:space="preserve">数据迁移方案（针对国产化数据库），包括不限于：存储过程、函数、触发器；信创智能化（现有平移，优化性能）；</x:t>
  </x:si>
  <x:si>
    <x:t xml:space="preserve">高美玲</x:t>
  </x:si>
  <x:si>
    <x:t xml:space="preserve">项目建设单位/业务团队</x:t>
  </x:si>
  <x:si>
    <x:t xml:space="preserve">业务干系人</x:t>
  </x:si>
  <x:si>
    <x:t xml:space="preserve">梳理业务相关逻辑</x:t>
  </x:si>
  <x:si>
    <x:t xml:space="preserve">合同履行（收/付款）、金山客户端、智能化应用模块</x:t>
  </x:si>
  <x:si>
    <x:t xml:space="preserve">赵翠霞</x:t>
  </x:si>
  <x:si>
    <x:t xml:space="preserve">系统管理、接口数据管理模块</x:t>
  </x:si>
  <x:si>
    <x:t xml:space="preserve">李琳</x:t>
  </x:si>
  <x:si>
    <x:t xml:space="preserve">合同申报模块</x:t>
  </x:si>
  <x:si>
    <x:t xml:space="preserve">曹宏博</x:t>
  </x:si>
  <x:si>
    <x:t xml:space="preserve">合同相对人、签约授权管理、个人工作助理、首页（其他）、工单管理、系统集成模块</x:t>
  </x:si>
  <x:si>
    <x:t xml:space="preserve">即时沟通</x:t>
  </x:si>
  <x:si>
    <x:t xml:space="preserve">随时</x:t>
  </x:si>
  <x:si>
    <x:t xml:space="preserve">黄春龙</x:t>
  </x:si>
  <x:si>
    <x:t xml:space="preserve">履约计划（收/付款）、合同变更、合同解除、违约金、合同终止、风险管理、下载中心模块</x:t>
  </x:si>
  <x:si>
    <x:t xml:space="preserve">王玥</x:t>
  </x:si>
  <x:si>
    <x:t xml:space="preserve">查询统计、合同迁移模块</x:t>
  </x:si>
  <x:si>
    <x:t xml:space="preserve">郭松林</x:t>
  </x:si>
  <x:si>
    <x:t xml:space="preserve">外协项目组</x:t>
  </x:si>
  <x:si>
    <x:t xml:space="preserve">项目经理</x:t>
  </x:si>
  <x:si>
    <x:t xml:space="preserve">供应商</x:t>
  </x:si>
  <x:si>
    <x:t xml:space="preserve">项目实施组织、计划协调与交付管理</x:t>
  </x:si>
  <x:si>
    <x:t xml:space="preserve">项目范围、进度、质量、资源与跨团队协同</x:t>
  </x:si>
  <x:si>
    <x:t xml:space="preserve">黄磊</x:t>
  </x:si>
  <x:si>
    <x:t xml:space="preserve">技术经理</x:t>
  </x:si>
  <x:si>
    <x:t xml:space="preserve">技术方案、研发与集成管理</x:t>
  </x:si>
  <x:si>
    <x:t xml:space="preserve">赵志悦</x:t>
  </x:si>
  <x:si>
    <x:t xml:space="preserve">产品经理</x:t>
  </x:si>
  <x:si>
    <x:t xml:space="preserve">需求分析、产品设计与业务协同</x:t>
  </x:si>
  <x:si>
    <x:t xml:space="preserve">殷戈</x:t>
  </x:si>
  <x:si>
    <x:t xml:space="preserve">腾讯云文档</x:t>
  </x:si>
  <x:si>
    <x:t xml:space="preserve">商务</x:t>
  </x:si>
  <x:si>
    <x:t xml:space="preserve">参与腾讯云文档产品交流、POC验证及商务协同</x:t>
  </x:si>
  <x:si>
    <x:t xml:space="preserve">产品能力、技术适配、合规安全、实施服务与商务方案</x:t>
  </x:si>
  <x:si>
    <x:t xml:space="preserve">里程碑</x:t>
  </x:si>
  <x:si>
    <x:t xml:space="preserve">张哲昆</x:t>
  </x:si>
  <x:si>
    <x:t xml:space="preserve">金山云文档</x:t>
  </x:si>
  <x:si>
    <x:t xml:space="preserve">参与金山云文档产品交流、POC验证及商务协同</x:t>
  </x:si>
  <x:si>
    <x:t xml:space="preserve">康文元</x:t>
  </x:si>
  <x:si>
    <x:t xml:space="preserve">永中云文档</x:t>
  </x:si>
  <x:si>
    <x:t xml:space="preserve">参与永中云文档产品交流、POC验证及商务协同</x:t>
  </x:si>
  <x:si>
    <x:t xml:space="preserve">韩博雅</x:t>
  </x:si>
  <x:si>
    <x:t xml:space="preserve">联想云文档</x:t>
  </x:si>
  <x:si>
    <x:t xml:space="preserve">参与联想云文档产品交流、POC验证及商务协同</x:t>
  </x:si>
  <x:si>
    <x:t xml:space="preserve">林桐</x:t>
  </x:si>
  <x:si>
    <x:t xml:space="preserve">思迈特BI报表</x:t>
  </x:si>
  <x:si>
    <x:t xml:space="preserve">参与思迈特BI报表产品交流、POC验证及商务协同</x:t>
  </x:si>
  <x:si>
    <x:t xml:space="preserve">徐斌</x:t>
  </x:si>
  <x:si>
    <x:t xml:space="preserve">帆软BI报表</x:t>
  </x:si>
  <x:si>
    <x:t xml:space="preserve">参与帆软BI报表产品交流、POC验证及商务协同</x:t>
  </x:si>
  <x:si>
    <x:t xml:space="preserve">赵轩</x:t>
  </x:si>
  <x:si>
    <x:t xml:space="preserve">永洪BI报表</x:t>
  </x:si>
  <x:si>
    <x:t xml:space="preserve">参与永洪BI报表产品交流、POC验证及商务协同</x:t>
  </x:si>
  <x:si>
    <x:t xml:space="preserve">侯小龙</x:t>
  </x:si>
  <x:si>
    <x:t xml:space="preserve">安证通电子签章</x:t>
  </x:si>
  <x:si>
    <x:t xml:space="preserve">参与安证通电子签章产品交流、POC验证及商务协同</x:t>
  </x:si>
  <x:si>
    <x:t xml:space="preserve">张成</x:t>
  </x:si>
  <x:si>
    <x:t xml:space="preserve">天威电子签章</x:t>
  </x:si>
  <x:si>
    <x:t xml:space="preserve">参与天威电子签章产品交流、POC验证及商务协同</x:t>
  </x:si>
  <x:si>
    <x:t xml:space="preserve">贾汉林</x:t>
  </x:si>
  <x:si>
    <x:t xml:space="preserve">法大大电子签章</x:t>
  </x:si>
  <x:si>
    <x:t xml:space="preserve">参与法大大电子签章产品交流、POC验证及商务协同</x:t>
  </x:si>
  <x:si>
    <x:t xml:space="preserve">孙忠鹰</x:t>
  </x:si>
  <x:si>
    <x:t xml:space="preserve">契约锁电子签章</x:t>
  </x:si>
  <x:si>
    <x:t xml:space="preserve">商务联系人</x:t>
  </x:si>
  <x:si>
    <x:t xml:space="preserve">参与契约锁电子签章产品交流、POC验证及商务协同</x:t>
  </x:si>
  <x:si>
    <x:t xml:space="preserve">邓辽阔</x:t>
  </x:si>
  <x:si>
    <x:t xml:space="preserve">达梦数据库</x:t>
  </x:si>
  <x:si>
    <x:t xml:space="preserve">参与达梦数据库产品交流、POC验证及商务协同</x:t>
  </x:si>
  <x:si>
    <x:t xml:space="preserve">杨路</x:t>
  </x:si>
  <x:si>
    <x:t xml:space="preserve">OB数据库</x:t>
  </x:si>
  <x:si>
    <x:t xml:space="preserve">参与OB数据库产品交流、POC验证及商务协同</x:t>
  </x:si>
  <x:si>
    <x:t xml:space="preserve">郭明娜</x:t>
  </x:si>
  <x:si>
    <x:t xml:space="preserve">华宇元典智能化</x:t>
  </x:si>
  <x:si>
    <x:t xml:space="preserve">参与华宇元典智能化产品交流、POC验证及商务协同</x:t>
  </x:si>
  <x:si>
    <x:t xml:space="preserve">袁韶华</x:t>
  </x:si>
  <x:si>
    <x:t xml:space="preserve">幂律智能化</x:t>
  </x:si>
  <x:si>
    <x:t xml:space="preserve">参与幂律智能化产品交流、POC验证及商务协同</x:t>
  </x:si>
  <x:si>
    <x:t xml:space="preserve">周朝玺</x:t>
  </x:si>
  <x:si>
    <x:t xml:space="preserve">科大讯飞智能化</x:t>
  </x:si>
  <x:si>
    <x:t xml:space="preserve">参与科大讯飞智能化产品交流、POC验证及商务协同</x:t>
  </x:si>
  <x:si>
    <x:t xml:space="preserve">邓勇</x:t>
  </x:si>
  <x:si>
    <x:t xml:space="preserve">腾讯智能化</x:t>
  </x:si>
  <x:si>
    <x:t xml:space="preserve">参与腾讯智能化产品交流、POC验证及商务协同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</x:si>
  <x:si>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</x:si>
  <x:si>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</x:si>
  <x:si>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</x:si>
  <x:si>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</x:si>
  <x:si>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项目名称</x:t>
  </x:si>
  <x:si>
    <x:t xml:space="preserve">能源行业合同全生命周期管理系统</x:t>
  </x:si>
  <x:si>
    <x:t xml:space="preserve">模块编码</x:t>
  </x:si>
  <x:si>
    <x:t xml:space="preserve">01</x:t>
  </x:si>
  <x:si>
    <x:t xml:space="preserve">生成日期</x:t>
  </x:si>
  <x:si>
    <x:t xml:space="preserve">2026-09-16</x:t>
  </x:si>
  <x:si>
    <x:t xml:space="preserve">中央数据库</x:t>
  </x:si>
  <x:si>
    <x:t xml:space="preserve">../90_项目数据中心/ai_pmo.db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</x:si>
</x:sst>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yyyy-mm-dd"/>
    <x:numFmt numFmtId="201" formatCode="0"/>
  </x:numFmts>
  <x:fonts count="30">
    <x:font>
      <x:sz val="11"/>
      <x:color theme="1"/>
      <x:name val="宋体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b/>
      <x:sz val="15"/>
      <x:color rgb="FF17365D"/>
      <x:name val="Carlito"/>
    </x:font>
    <x:font>
      <x:b/>
      <x:sz val="12"/>
      <x:color rgb="FF17365D"/>
      <x:name val="Carlito"/>
    </x:font>
    <x:font>
      <x:sz val="10"/>
      <x:color rgb="FF1F2937"/>
      <x:name val="Carlito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5"/>
      <x:color rgb="FF17365D"/>
      <x:name val="Arial"/>
    </x:font>
    <x:font>
      <x:sz val="10"/>
      <x:color rgb="FF222222"/>
      <x:name val="Arial"/>
    </x:font>
  </x:fonts>
  <x:fills count="4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070C0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6" borderId="4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14" fillId="0" borderId="6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7" borderId="7" applyNumberFormat="0" applyAlignment="0" applyProtection="0">
      <x:alignment vertical="center"/>
    </x:xf>
    <x:xf numFmtId="0" fontId="16" fillId="8" borderId="8" applyNumberFormat="0" applyAlignment="0" applyProtection="0">
      <x:alignment vertical="center"/>
    </x:xf>
    <x:xf numFmtId="0" fontId="17" fillId="8" borderId="7" applyNumberFormat="0" applyAlignment="0" applyProtection="0">
      <x:alignment vertical="center"/>
    </x:xf>
    <x:xf numFmtId="0" fontId="18" fillId="9" borderId="9" applyNumberFormat="0" applyAlignment="0" applyProtection="0">
      <x:alignment vertical="center"/>
    </x:xf>
    <x:xf numFmtId="0" fontId="19" fillId="0" borderId="10" applyNumberFormat="0" applyFill="0" applyAlignment="0" applyProtection="0">
      <x:alignment vertical="center"/>
    </x:xf>
    <x:xf numFmtId="0" fontId="20" fillId="0" borderId="11" applyNumberFormat="0" applyFill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0" fillId="14" borderId="0" applyNumberFormat="0" applyBorder="0" applyAlignment="0" applyProtection="0">
      <x:alignment vertical="center"/>
    </x:xf>
    <x:xf numFmtId="0" fontId="0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0" fillId="34" borderId="0" applyNumberFormat="0" applyBorder="0" applyAlignment="0" applyProtection="0">
      <x:alignment vertical="center"/>
    </x:xf>
    <x:xf numFmtId="0" fontId="0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</x:cellStyleXfs>
  <x:cellXfs count="7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/>
    <x:xf numFmtId="0" fontId="3" fillId="2" borderId="1" xfId="0" applyFont="1" applyFill="1" applyBorder="1" applyAlignment="1">
      <x:alignment horizontal="center" vertical="center"/>
    </x:xf>
    <x:xf numFmtId="0" fontId="0" fillId="0" borderId="2" xfId="0" applyBorder="1"/>
    <x:xf numFmtId="0" fontId="0" fillId="0" borderId="3" xfId="0" applyBorder="1"/>
    <x:xf numFmtId="0" fontId="4" fillId="3" borderId="1" xfId="0" applyFont="1" applyFill="1" applyBorder="1" applyAlignment="1">
      <x:alignment horizontal="center" vertical="center"/>
    </x:xf>
    <x:xf numFmtId="0" fontId="5" fillId="0" borderId="0" xfId="0" applyFont="1"/>
    <x:xf numFmtId="0" fontId="3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176" fontId="6" fillId="5" borderId="1" xfId="0" applyNumberFormat="1" applyFont="1" applyFill="1" applyBorder="1" applyAlignment="1">
      <x:alignment vertical="center" wrapText="1"/>
    </x:xf>
    <x:xf numFmtId="0" fontId="6" fillId="5" borderId="1" xfId="0" applyFont="1" applyFill="1" applyBorder="1" applyAlignment="1">
      <x:alignment vertical="top" wrapText="1"/>
    </x:xf>
    <x:xf numFmtId="176" fontId="6" fillId="5" borderId="1" xfId="0" applyNumberFormat="1" applyFont="1" applyFill="1" applyBorder="1" applyAlignment="1">
      <x:alignment vertical="top" wrapText="1"/>
    </x:xf>
    <x:xf numFmtId="200" fontId="6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horizontal="left"/>
    </x:xf>
    <x:xf numFmtId="0" fontId="25" fillId="0" borderId="0" xfId="0" applyNumberFormat="1" applyFont="1" applyFill="1" applyBorder="1" applyAlignment="1">
      <x:alignment horizontal="left" vertical="center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horizontal="left" wrapText="1"/>
    </x:xf>
    <x:xf numFmtId="0" fontId="26" fillId="0" borderId="0" xfId="0" applyNumberFormat="1" applyFont="1" applyFill="1" applyBorder="1" applyAlignment="1">
      <x:alignment horizontal="left" vertical="center" wrapText="1"/>
    </x:xf>
    <x:xf numFmtId="0" fontId="0" fillId="37" borderId="0" xfId="0" applyNumberFormat="1" applyFont="1" applyFill="1" applyBorder="1"/>
    <x:xf numFmtId="0" fontId="27" fillId="37" borderId="0" xfId="0" applyNumberFormat="1" applyFont="1" applyFill="1" applyBorder="1"/>
    <x:xf numFmtId="0" fontId="27" fillId="37" borderId="1" xfId="0" applyNumberFormat="1" applyFont="1" applyFill="1" applyBorder="1"/>
    <x:xf numFmtId="0" fontId="27" fillId="37" borderId="1" xfId="0" applyNumberFormat="1" applyFont="1" applyFill="1" applyBorder="1" applyAlignment="1">
      <x:alignment horizontal="center"/>
    </x:xf>
    <x:xf numFmtId="0" fontId="27" fillId="37" borderId="1" xfId="0" applyNumberFormat="1" applyFont="1" applyFill="1" applyBorder="1" applyAlignment="1">
      <x:alignment horizontal="center" vertical="center"/>
    </x:xf>
    <x:xf numFmtId="0" fontId="0" fillId="38" borderId="0" xfId="0" applyNumberFormat="1" applyFont="1" applyFill="1" applyBorder="1"/>
    <x:xf numFmtId="0" fontId="28" fillId="38" borderId="0" xfId="0" applyNumberFormat="1" applyFont="1" applyFill="1" applyBorder="1"/>
    <x:xf numFmtId="0" fontId="28" fillId="38" borderId="1" xfId="0" applyNumberFormat="1" applyFont="1" applyFill="1" applyBorder="1"/>
    <x:xf numFmtId="0" fontId="28" fillId="38" borderId="1" xfId="0" applyNumberFormat="1" applyFont="1" applyFill="1" applyBorder="1" applyAlignment="1">
      <x:alignment horizontal="center"/>
    </x:xf>
    <x:xf numFmtId="0" fontId="28" fillId="38" borderId="1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 applyAlignment="1">
      <x:alignment vertical="center"/>
    </x:xf>
    <x:xf numFmtId="0" fontId="27" fillId="39" borderId="0" xfId="0" applyNumberFormat="1" applyFont="1" applyFill="1" applyBorder="1" applyAlignment="1">
      <x:alignment vertical="center"/>
    </x:xf>
    <x:xf numFmtId="0" fontId="27" fillId="39" borderId="1" xfId="0" applyNumberFormat="1" applyFont="1" applyFill="1" applyBorder="1" applyAlignment="1">
      <x:alignment vertical="center"/>
    </x:xf>
    <x:xf numFmtId="0" fontId="27" fillId="39" borderId="1" xfId="0" applyNumberFormat="1" applyFont="1" applyFill="1" applyBorder="1" applyAlignment="1">
      <x:alignment vertical="center" wrapText="1"/>
    </x:xf>
    <x:xf numFmtId="0" fontId="27" fillId="39" borderId="1" xfId="0" applyNumberFormat="1" applyFont="1" applyFill="1" applyBorder="1" applyAlignment="1">
      <x:alignment horizontal="center" vertical="center" wrapText="1"/>
    </x:xf>
    <x:xf numFmtId="0" fontId="29" fillId="0" borderId="0" xfId="0" applyNumberFormat="1" applyFont="1" applyFill="1" applyBorder="1" applyAlignment="1">
      <x:alignment vertical="center"/>
    </x:xf>
    <x:xf numFmtId="0" fontId="29" fillId="0" borderId="0" xfId="0" applyNumberFormat="1" applyFont="1" applyFill="1" applyBorder="1" applyAlignment="1">
      <x:alignment vertical="center" wrapText="1"/>
    </x:xf>
    <x:xf numFmtId="200" fontId="29" fillId="0" borderId="0" xfId="0" applyNumberFormat="1" applyFont="1" applyFill="1" applyBorder="1" applyAlignment="1">
      <x:alignment vertical="center"/>
    </x:xf>
    <x:xf numFmtId="0" fontId="29" fillId="0" borderId="1" xfId="0" applyNumberFormat="1" applyFont="1" applyFill="1" applyBorder="1" applyAlignment="1">
      <x:alignment vertical="center"/>
    </x:xf>
    <x:xf numFmtId="0" fontId="29" fillId="0" borderId="1" xfId="0" applyNumberFormat="1" applyFont="1" applyFill="1" applyBorder="1" applyAlignment="1">
      <x:alignment vertical="center" wrapText="1"/>
    </x:xf>
    <x:xf numFmtId="200" fontId="29" fillId="0" borderId="1" xfId="0" applyNumberFormat="1" applyFont="1" applyFill="1" applyBorder="1" applyAlignment="1">
      <x:alignment vertical="center"/>
    </x:xf>
    <x:xf numFmtId="0" fontId="29" fillId="40" borderId="1" xfId="0" applyNumberFormat="1" applyFont="1" applyFill="1" applyBorder="1" applyAlignment="1">
      <x:alignment vertical="center"/>
    </x:xf>
    <x:xf numFmtId="0" fontId="29" fillId="40" borderId="1" xfId="0" applyNumberFormat="1" applyFont="1" applyFill="1" applyBorder="1" applyAlignment="1">
      <x:alignment vertical="center" wrapText="1"/>
    </x:xf>
    <x:xf numFmtId="200" fontId="29" fillId="40" borderId="1" xfId="0" applyNumberFormat="1" applyFont="1" applyFill="1" applyBorder="1" applyAlignment="1">
      <x:alignment vertical="center"/>
    </x:xf>
    <x:xf numFmtId="201" fontId="4" fillId="3" borderId="1" xfId="0" applyNumberFormat="1" applyFont="1" applyFill="1" applyBorder="1" applyAlignment="1">
      <x:alignment horizontal="center" vertical="center"/>
    </x:xf>
    <x:xf numFmtId="0" fontId="0" fillId="41" borderId="0" xfId="0" applyNumberFormat="1" applyFont="1" applyFill="1" applyBorder="1"/>
    <x:xf numFmtId="0" fontId="27" fillId="41" borderId="0" xfId="0" applyNumberFormat="1" applyFont="1" applyFill="1" applyBorder="1"/>
    <x:xf numFmtId="0" fontId="27" fillId="41" borderId="1" xfId="0" applyNumberFormat="1" applyFont="1" applyFill="1" applyBorder="1"/>
    <x:xf numFmtId="0" fontId="27" fillId="41" borderId="1" xfId="0" applyNumberFormat="1" applyFont="1" applyFill="1" applyBorder="1" applyAlignment="1">
      <x:alignment horizontal="center"/>
    </x:xf>
    <x:xf numFmtId="0" fontId="27" fillId="41" borderId="1" xfId="0" applyNumberFormat="1" applyFont="1" applyFill="1" applyBorder="1" applyAlignment="1">
      <x:alignment horizontal="center" vertical="center"/>
    </x:xf>
    <x:xf numFmtId="0" fontId="0" fillId="42" borderId="0" xfId="0" applyNumberFormat="1" applyFont="1" applyFill="1" applyBorder="1"/>
    <x:xf numFmtId="0" fontId="28" fillId="42" borderId="0" xfId="0" applyNumberFormat="1" applyFont="1" applyFill="1" applyBorder="1"/>
    <x:xf numFmtId="0" fontId="28" fillId="42" borderId="1" xfId="0" applyNumberFormat="1" applyFont="1" applyFill="1" applyBorder="1"/>
    <x:xf numFmtId="0" fontId="28" fillId="42" borderId="1" xfId="0" applyNumberFormat="1" applyFont="1" applyFill="1" applyBorder="1" applyAlignment="1">
      <x:alignment horizontal="center"/>
    </x:xf>
    <x:xf numFmtId="0" fontId="28" fillId="42" borderId="1" xfId="0" applyNumberFormat="1" applyFont="1" applyFill="1" applyBorder="1" applyAlignment="1">
      <x:alignment horizontal="center" vertical="center"/>
    </x:xf>
    <x:xf numFmtId="0" fontId="0" fillId="43" borderId="0" xfId="0" applyNumberFormat="1" applyFont="1" applyFill="1" applyBorder="1" applyAlignment="1">
      <x:alignment vertical="center"/>
    </x:xf>
    <x:xf numFmtId="0" fontId="27" fillId="43" borderId="0" xfId="0" applyNumberFormat="1" applyFont="1" applyFill="1" applyBorder="1" applyAlignment="1">
      <x:alignment vertical="center"/>
    </x:xf>
    <x:xf numFmtId="0" fontId="27" fillId="43" borderId="1" xfId="0" applyNumberFormat="1" applyFont="1" applyFill="1" applyBorder="1" applyAlignment="1">
      <x:alignment vertical="center"/>
    </x:xf>
    <x:xf numFmtId="0" fontId="27" fillId="43" borderId="1" xfId="0" applyNumberFormat="1" applyFont="1" applyFill="1" applyBorder="1" applyAlignment="1">
      <x:alignment vertical="center" wrapText="1"/>
    </x:xf>
    <x:xf numFmtId="0" fontId="27" fillId="43" borderId="1" xfId="0" applyNumberFormat="1" applyFont="1" applyFill="1" applyBorder="1" applyAlignment="1">
      <x:alignment horizontal="center" vertical="center" wrapText="1"/>
    </x:xf>
    <x:xf numFmtId="0" fontId="29" fillId="44" borderId="1" xfId="0" applyNumberFormat="1" applyFont="1" applyFill="1" applyBorder="1" applyAlignment="1">
      <x:alignment vertical="center"/>
    </x:xf>
    <x:xf numFmtId="0" fontId="29" fillId="44" borderId="1" xfId="0" applyNumberFormat="1" applyFont="1" applyFill="1" applyBorder="1" applyAlignment="1">
      <x:alignment vertical="center" wrapText="1"/>
    </x:xf>
    <x:xf numFmtId="200" fontId="29" fillId="44" borderId="1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2c2cad6ad478d" /><Relationship Type="http://schemas.openxmlformats.org/officeDocument/2006/relationships/theme" Target="/xl/theme/theme1.xml" Id="Rddc4f2b153384e47" /><Relationship Type="http://schemas.openxmlformats.org/officeDocument/2006/relationships/sharedStrings" Target="/xl/sharedStrings.xml" Id="Raac8bd6b63fe422e" /><Relationship Type="http://schemas.openxmlformats.org/officeDocument/2006/relationships/worksheet" Target="/xl/worksheets/sheet1.xml" Id="Reac54ccce28847d0" /><Relationship Type="http://schemas.openxmlformats.org/officeDocument/2006/relationships/worksheet" Target="/xl/worksheets/sheet2.xml" Id="Rd2a450d523224871" /><Relationship Type="http://schemas.openxmlformats.org/officeDocument/2006/relationships/worksheet" Target="/xl/worksheets/sheet3.xml" Id="R72683dfcdfc840d3" /></Relationships>
</file>

<file path=xl/tables/table1.xml><?xml version="1.0" encoding="utf-8"?>
<x:table xmlns:x="http://schemas.openxmlformats.org/spreadsheetml/2006/main" id="1" name="SupplierPOCPlanTable" displayName="SupplierPOCPlanTable" ref="A7:N24" headerRowCount="1" totalsRowCount="0" totalsRowShown="0">
  <x:tableColumns count="14">
    <x:tableColumn id="1" name="产品组"/>
    <x:tableColumn id="2" name="优先级"/>
    <x:tableColumn id="3" name="供应商/产品"/>
    <x:tableColumn id="4" name="联系人"/>
    <x:tableColumn id="5" name="联系电话"/>
    <x:tableColumn id="6" name="POC范围"/>
    <x:tableColumn id="7" name="评价维度"/>
    <x:tableColumn id="8" name="项目责任人"/>
    <x:tableColumn id="9" name="计划开始"/>
    <x:tableColumn id="10" name="计划结束"/>
    <x:tableColumn id="11" name="当前状态"/>
    <x:tableColumn id="12" name="必要输出"/>
    <x:tableColumn id="13" name="评审结论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c8a4b98ddab44b3" /></Relationships>
</file>

<file path=xl/worksheets/sheet1.xml><?xml version="1.0" encoding="utf-8"?>
<x:worksheet xmlns:x="http://schemas.openxmlformats.org/spreadsheetml/2006/main">
  <x:sheetPr>
    <x:tabColor rgb="FF8064A2"/>
  </x:sheetPr>
  <x:sheetViews>
    <x:sheetView showGridLines="0" workbookViewId="0">
      <x:pane xSplit="3" ySplit="8" topLeftCell="D9" activePane="bottomRight" state="frozen"/>
    </x:sheetView>
  </x:sheetViews>
  <x:sheetFormatPr defaultColWidth="9" defaultRowHeight="16.799999237060547"/>
  <x:cols>
    <x:col min="1" max="1" width="13" customWidth="1"/>
    <x:col min="2" max="2" width="18" customWidth="1"/>
    <x:col min="3" max="3" width="20" customWidth="1"/>
    <x:col min="4" max="4" width="18" customWidth="1"/>
    <x:col min="5" max="5" width="15" customWidth="1"/>
    <x:col min="6" max="6" width="24" customWidth="1"/>
    <x:col min="7" max="7" width="50.96154022216797" customWidth="1"/>
    <x:col min="8" max="8" width="11" customWidth="1"/>
    <x:col min="10" max="10" width="14" customWidth="1"/>
    <x:col min="11" max="11" width="8.65384578704834" customWidth="1"/>
    <x:col min="12" max="12" width="11" customWidth="1"/>
    <x:col min="14" max="14" width="14" customWidth="1"/>
    <x:col min="15" max="15" width="16" customWidth="1"/>
    <x:col min="16" max="16" width="13" customWidth="1"/>
    <x:col min="17" max="17" width="50.96154022216797" customWidth="1"/>
    <x:col min="18" max="18" width="15" customWidth="1"/>
    <x:col min="19" max="19" width="14" customWidth="1"/>
    <x:col min="20" max="20" width="12.817307472229004" customWidth="1"/>
    <x:col min="21" max="21" width="30" customWidth="1"/>
    <x:col min="23" max="23" width="15" customWidth="1"/>
    <x:col min="24" max="24" width="14" customWidth="1"/>
    <x:col min="25" max="25" width="13" customWidth="1"/>
    <x:col min="26" max="26" width="14" customWidth="1"/>
    <x:col min="27" max="27" width="18" customWidth="1"/>
    <x:col min="28" max="28" width="28" customWidth="1"/>
    <x:col min="29" max="29" width="24" customWidth="1"/>
  </x:cols>
  <x:sheetData>
    <x:row r="1" ht="28" customHeight="1">
      <x:c r="A1" s="1" t="s">
        <x:v>0</x:v>
      </x:c>
    </x:row>
    <x:row r="2">
      <x:c r="A2" s="2" t="str">
        <x:v>持续跟踪影响力、支持度、沟通节奏和待办行动。权力、关注度和支持度为项目组初评，需由项目经理确认；黄色单元格可维护。</x:v>
      </x:c>
    </x:row>
    <x:row r="4">
      <x:c r="A4" s="3" t="s">
        <x:v>1</x:v>
      </x:c>
      <x:c r="B4" s="4"/>
      <x:c r="C4" s="5"/>
      <x:c r="D4" s="3" t="s">
        <x:v>2</x:v>
      </x:c>
      <x:c r="E4" s="4"/>
      <x:c r="F4" s="5"/>
      <x:c r="G4" s="3" t="s">
        <x:v>3</x:v>
      </x:c>
      <x:c r="H4" s="4"/>
      <x:c r="I4" s="5"/>
      <x:c r="J4" s="3" t="s">
        <x:v>4</x:v>
      </x:c>
      <x:c r="K4" s="4"/>
      <x:c r="L4" s="5"/>
      <x:c r="M4" s="3" t="s">
        <x:v>5</x:v>
      </x:c>
      <x:c r="N4" s="4"/>
      <x:c r="O4" s="5"/>
      <x:c r="P4" s="3" t="s">
        <x:v>6</x:v>
      </x:c>
      <x:c r="Q4" s="4"/>
      <x:c r="R4" s="5"/>
      <x:c r="S4" s="3" t="s">
        <x:v>7</x:v>
      </x:c>
      <x:c r="T4" s="4"/>
      <x:c r="U4" s="5"/>
      <x:c r="V4" s="3" t="s">
        <x:v>8</x:v>
      </x:c>
      <x:c r="W4" s="4"/>
      <x:c r="X4" s="5"/>
    </x:row>
    <x:row r="5" ht="22" customHeight="1">
      <x:c r="A5" s="51" t="n">
        <x:f>COUNTIFS($B$9:$B$108,"&lt;&gt;")</x:f>
        <x:v>34</x:v>
      </x:c>
      <x:c r="B5" s="4"/>
      <x:c r="C5" s="5"/>
      <x:c r="D5" s="51" t="n">
        <x:f>COUNTIFS($B$9:$B$108,"&lt;&gt;",$H$9:$H$108,"高")</x:f>
        <x:v>4</x:v>
      </x:c>
      <x:c r="E5" s="4"/>
      <x:c r="F5" s="5"/>
      <x:c r="G5" s="51" t="n">
        <x:f>COUNTIFS($B$9:$B$108,"&lt;&gt;",$N$9:$N$108,"重点管理")</x:f>
        <x:v>4</x:v>
      </x:c>
      <x:c r="H5" s="4"/>
      <x:c r="I5" s="5"/>
      <x:c r="J5" s="51" t="n">
        <x:f>COUNTIFS($B$9:$B$108,"&lt;&gt;",$J$9:$J$108,"抵触")+COUNTIFS($B$9:$B$108,"&lt;&gt;",$J$9:$J$108,"不支持")</x:f>
        <x:v>0</x:v>
      </x:c>
      <x:c r="K5" s="4"/>
      <x:c r="L5" s="5"/>
      <x:c r="M5" s="51" t="n">
        <x:f>COUNTIFS($B$9:$B$108,"&lt;&gt;",$L$9:$L$108,"&gt;0")</x:f>
        <x:v>34</x:v>
      </x:c>
      <x:c r="N5" s="4"/>
      <x:c r="O5" s="5"/>
      <x:c r="P5" s="51" t="n">
        <x:f ca="1">COUNTIFS($B$9:$B$108,"&lt;&gt;",$T$9:$T$108,"&lt;"&amp;TODAY(),$T$9:$T$108,"&lt;&gt;")</x:f>
        <x:v>0</x:v>
      </x:c>
      <x:c r="Q5" s="4"/>
      <x:c r="R5" s="5"/>
      <x:c r="S5" s="51" t="n">
        <x:f>COUNTIFS($B$9:$B$108,"&lt;&gt;",$Y$9:$Y$108,"&lt;&gt;已完成",$V$9:$V$108,"&lt;&gt;")</x:f>
        <x:v>34</x:v>
      </x:c>
      <x:c r="T5" s="4"/>
      <x:c r="U5" s="5"/>
      <x:c r="V5" s="51" t="n">
        <x:f>COUNTIFS($B$9:$B$108,"&lt;&gt;",$Z$9:$Z$108,"是")</x:f>
        <x:v>0</x:v>
      </x:c>
      <x:c r="W5" s="4"/>
      <x:c r="X5" s="5"/>
    </x:row>
    <x:row r="7" ht="17.600000381469727" customHeight="1">
      <x:c r="A7" s="7" t="s">
        <x:v>9</x:v>
      </x:c>
    </x:row>
    <x:row r="8" ht="34" customHeight="1">
      <x:c r="A8" s="8" t="s">
        <x:v>10</x:v>
      </x:c>
      <x:c r="B8" s="8" t="s">
        <x:v>11</x:v>
      </x:c>
      <x:c r="C8" s="8" t="s">
        <x:v>12</x:v>
      </x:c>
      <x:c r="D8" s="8" t="s">
        <x:v>13</x:v>
      </x:c>
      <x:c r="E8" s="8" t="s">
        <x:v>14</x:v>
      </x:c>
      <x:c r="F8" s="8" t="s">
        <x:v>15</x:v>
      </x:c>
      <x:c r="G8" s="8" t="s">
        <x:v>16</x:v>
      </x:c>
      <x:c r="H8" s="8" t="s">
        <x:v>17</x:v>
      </x:c>
      <x:c r="I8" s="8" t="s">
        <x:v>18</x:v>
      </x:c>
      <x:c r="J8" s="8" t="s">
        <x:v>19</x:v>
      </x:c>
      <x:c r="K8" s="8" t="s">
        <x:v>20</x:v>
      </x:c>
      <x:c r="L8" s="8" t="s">
        <x:v>21</x:v>
      </x:c>
      <x:c r="M8" s="8" t="s">
        <x:v>22</x:v>
      </x:c>
      <x:c r="N8" s="8" t="s">
        <x:v>23</x:v>
      </x:c>
      <x:c r="O8" s="8" t="s">
        <x:v>24</x:v>
      </x:c>
      <x:c r="P8" s="8" t="s">
        <x:v>25</x:v>
      </x:c>
      <x:c r="Q8" s="8" t="s">
        <x:v>26</x:v>
      </x:c>
      <x:c r="R8" s="8" t="s">
        <x:v>27</x:v>
      </x:c>
      <x:c r="S8" s="8" t="s">
        <x:v>28</x:v>
      </x:c>
      <x:c r="T8" s="8" t="s">
        <x:v>29</x:v>
      </x:c>
      <x:c r="U8" s="8" t="s">
        <x:v>30</x:v>
      </x:c>
      <x:c r="V8" s="8" t="s">
        <x:v>31</x:v>
      </x:c>
      <x:c r="W8" s="8" t="s">
        <x:v>32</x:v>
      </x:c>
      <x:c r="X8" s="8" t="s">
        <x:v>33</x:v>
      </x:c>
      <x:c r="Y8" s="8" t="s">
        <x:v>34</x:v>
      </x:c>
      <x:c r="Z8" s="8" t="s">
        <x:v>35</x:v>
      </x:c>
      <x:c r="AA8" s="8" t="s">
        <x:v>36</x:v>
      </x:c>
      <x:c r="AB8" s="8" t="s">
        <x:v>37</x:v>
      </x:c>
      <x:c r="AC8" s="8" t="s">
        <x:v>38</x:v>
      </x:c>
    </x:row>
    <x:row r="9" ht="32" customHeight="1">
      <x:c r="A9" s="9" t="str">
        <x:f t="shared" ref="A9:A72" si="0">IF(B9="","","SH-"&amp;TEXT(ROW()-8,"000"))</x:f>
        <x:v>SH-001</x:v>
      </x:c>
      <x:c r="B9" s="10" t="s">
        <x:v>39</x:v>
      </x:c>
      <x:c r="C9" s="10" t="s">
        <x:v>40</x:v>
      </x:c>
      <x:c r="D9" s="10" t="s">
        <x:v>41</x:v>
      </x:c>
      <x:c r="E9" s="10" t="s">
        <x:v>42</x:v>
      </x:c>
      <x:c r="F9" s="10" t="s">
        <x:v>43</x:v>
      </x:c>
      <x:c r="G9" s="10" t="s">
        <x:v>44</x:v>
      </x:c>
      <x:c r="H9" s="10" t="str">
        <x:v>高</x:v>
      </x:c>
      <x:c r="I9" s="10" t="str">
        <x:v>高</x:v>
      </x:c>
      <x:c r="J9" s="10" t="str">
        <x:v>支持</x:v>
      </x:c>
      <x:c r="K9" s="10" t="str">
        <x:v>积极推动</x:v>
      </x:c>
      <x:c r="L9" s="11" t="n">
        <x:f t="shared" ref="L9:L72" si="1">IF(OR(J9="",K9=""),"",IF(K9="抵触",1,IF(K9="不支持",2,IF(K9="中立",3,IF(K9="支持",4,IF(K9="积极推动",5,"")))))-IF(J9="抵触",1,IF(J9="不支持",2,IF(J9="中立",3,IF(J9="支持",4,IF(J9="积极推动",5,""))))))</x:f>
        <x:v>1</x:v>
      </x:c>
      <x:c r="M9" s="10" t="str">
        <x:v>正向</x:v>
      </x:c>
      <x:c r="N9" s="10" t="str">
        <x:f t="shared" ref="N9:N72" si="2">IF(OR(H9="",I9=""),"",IF(AND(H9="高",I9="高"),"重点管理",IF(H9="高","保持满意",IF(I9="高","保持沟通","监督观察"))))</x:f>
        <x:v>重点管理</x:v>
      </x:c>
      <x:c r="O9" s="10" t="s">
        <x:v>45</x:v>
      </x:c>
      <x:c r="P9" s="10" t="s">
        <x:v>46</x:v>
      </x:c>
      <x:c r="Q9" s="10" t="str">
        <x:v>技术总体、甲方资源协调、运维衔接与外采协同</x:v>
      </x:c>
      <x:c r="R9" s="10" t="str">
        <x:v>郭松林</x:v>
      </x:c>
      <x:c r="S9" s="15"/>
      <x:c r="T9" s="15" t="n">
        <x:v>46283</x:v>
      </x:c>
      <x:c r="U9" s="10" t="str">
        <x:v>负责合同整体技术、运维等工作</x:v>
      </x:c>
      <x:c r="V9" s="10" t="str">
        <x:v>确认技术治理机制、架构评审安排及外采协调清单</x:v>
      </x:c>
      <x:c r="W9" s="10" t="str">
        <x:v>郭松林</x:v>
      </x:c>
      <x:c r="X9" s="15" t="n">
        <x:v>46295</x:v>
      </x:c>
      <x:c r="Y9" s="10" t="str">
        <x:v>进行中</x:v>
      </x:c>
      <x:c r="Z9" s="10" t="str">
        <x:v>否</x:v>
      </x:c>
      <x:c r="AA9" s="10"/>
      <x:c r="AB9" s="11" t="str">
        <x:f t="shared" ref="AB9:AB72" ca="1" si="3">IF(B9="","",IF(AND(H9="高",OR(J9="抵触",J9="不支持")),"高权力不支持；","")&amp;IF(L9&gt;0,"存在支持差距；","")&amp;IF(AND(T9&lt;&gt;"",T9&lt;TODAY()),"沟通逾期；","")&amp;IF(AND(V9&lt;&gt;"",X9&lt;TODAY(),Y9&lt;&gt;"已完成"),"行动逾期；","")&amp;IF(AND(Z9="是",AA9=""),"未填升级对象",""))</x:f>
        <x:v>存在支持差距；</x:v>
      </x:c>
      <x:c r="AC9" s="10" t="str"/>
    </x:row>
    <x:row r="10" ht="32" customHeight="1">
      <x:c r="A10" s="9" t="str">
        <x:f t="shared" si="0">IF(B10="","","SH-"&amp;TEXT(ROW()-8,"000"))</x:f>
        <x:v>SH-002</x:v>
      </x:c>
      <x:c r="B10" s="10" t="s">
        <x:v>47</x:v>
      </x:c>
      <x:c r="C10" s="10" t="s">
        <x:v>40</x:v>
      </x:c>
      <x:c r="D10" s="10" t="s">
        <x:v>41</x:v>
      </x:c>
      <x:c r="E10" s="10" t="s">
        <x:v>42</x:v>
      </x:c>
      <x:c r="F10" s="10" t="s">
        <x:v>48</x:v>
      </x:c>
      <x:c r="G10" s="10" t="s">
        <x:v>49</x:v>
      </x:c>
      <x:c r="H10" s="10" t="str">
        <x:v>中</x:v>
      </x:c>
      <x:c r="I10" s="10" t="str">
        <x:v>高</x:v>
      </x:c>
      <x:c r="J10" s="10" t="str">
        <x:v>支持</x:v>
      </x:c>
      <x:c r="K10" s="10" t="str">
        <x:v>积极推动</x:v>
      </x:c>
      <x:c r="L10" s="11" t="n">
        <x:f t="shared" si="1">IF(OR(J10="",K10=""),"",IF(K10="抵触",1,IF(K10="不支持",2,IF(K10="中立",3,IF(K10="支持",4,IF(K10="积极推动",5,"")))))-IF(J10="抵触",1,IF(J10="不支持",2,IF(J10="中立",3,IF(J10="支持",4,IF(J10="积极推动",5,""))))))</x:f>
        <x:v>1</x:v>
      </x:c>
      <x:c r="M10" s="10" t="str">
        <x:v>正向</x:v>
      </x:c>
      <x:c r="N10" s="10" t="str">
        <x:f t="shared" si="2">IF(OR(H10="",I10=""),"",IF(AND(H10="高",I10="高"),"重点管理",IF(H10="高","保持满意",IF(I10="高","保持沟通","监督观察"))))</x:f>
        <x:v>保持沟通</x:v>
      </x:c>
      <x:c r="O10" s="10" t="s">
        <x:v>45</x:v>
      </x:c>
      <x:c r="P10" s="10" t="s">
        <x:v>46</x:v>
      </x:c>
      <x:c r="Q10" s="10" t="str">
        <x:v>技术方案、接口、数据迁移、架构和运维准备</x:v>
      </x:c>
      <x:c r="R10" s="10" t="str">
        <x:v>黄磊</x:v>
      </x:c>
      <x:c r="S10" s="15"/>
      <x:c r="T10" s="15" t="n">
        <x:v>46283</x:v>
      </x:c>
      <x:c r="U10" s="10" t="str">
        <x:v>主要负责合同生命周期、集成，现有系统运维等工作</x:v>
      </x:c>
      <x:c r="V10" s="10" t="str">
        <x:v>按照微服务梳理接口、后端逻辑、数据字典及编制ER图</x:v>
      </x:c>
      <x:c r="W10" s="10" t="str">
        <x:v>黄磊</x:v>
      </x:c>
      <x:c r="X10" s="15" t="n">
        <x:v>46295</x:v>
      </x:c>
      <x:c r="Y10" s="10" t="str">
        <x:v>进行中</x:v>
      </x:c>
      <x:c r="Z10" s="10" t="str">
        <x:v>否</x:v>
      </x:c>
      <x:c r="AA10" s="10"/>
      <x:c r="AB10" s="11" t="str">
        <x:f t="shared" ca="1" si="3">IF(B10="","",IF(AND(H10="高",OR(J10="抵触",J10="不支持")),"高权力不支持；","")&amp;IF(L10&gt;0,"存在支持差距；","")&amp;IF(AND(T10&lt;&gt;"",T10&lt;TODAY()),"沟通逾期；","")&amp;IF(AND(V10&lt;&gt;"",X10&lt;TODAY(),Y10&lt;&gt;"已完成"),"行动逾期；","")&amp;IF(AND(Z10="是",AA10=""),"未填升级对象",""))</x:f>
        <x:v>存在支持差距；</x:v>
      </x:c>
      <x:c r="AC10" s="10" t="str"/>
    </x:row>
    <x:row r="11" ht="32" customHeight="1">
      <x:c r="A11" s="9" t="str">
        <x:f t="shared" si="0">IF(B11="","","SH-"&amp;TEXT(ROW()-8,"000"))</x:f>
        <x:v>SH-003</x:v>
      </x:c>
      <x:c r="B11" s="10" t="s">
        <x:v>50</x:v>
      </x:c>
      <x:c r="C11" s="10" t="s">
        <x:v>40</x:v>
      </x:c>
      <x:c r="D11" s="10" t="s">
        <x:v>41</x:v>
      </x:c>
      <x:c r="E11" s="10" t="s">
        <x:v>42</x:v>
      </x:c>
      <x:c r="F11" s="10" t="s">
        <x:v>51</x:v>
      </x:c>
      <x:c r="G11" s="10" t="s">
        <x:v>49</x:v>
      </x:c>
      <x:c r="H11" s="10" t="str">
        <x:v>中</x:v>
      </x:c>
      <x:c r="I11" s="10" t="str">
        <x:v>高</x:v>
      </x:c>
      <x:c r="J11" s="10" t="str">
        <x:v>支持</x:v>
      </x:c>
      <x:c r="K11" s="10" t="str">
        <x:v>积极推动</x:v>
      </x:c>
      <x:c r="L11" s="11" t="n">
        <x:f t="shared" si="1">IF(OR(J11="",K11=""),"",IF(K11="抵触",1,IF(K11="不支持",2,IF(K11="中立",3,IF(K11="支持",4,IF(K11="积极推动",5,"")))))-IF(J11="抵触",1,IF(J11="不支持",2,IF(J11="中立",3,IF(J11="支持",4,IF(J11="积极推动",5,""))))))</x:f>
        <x:v>1</x:v>
      </x:c>
      <x:c r="M11" s="10" t="str">
        <x:v>正向</x:v>
      </x:c>
      <x:c r="N11" s="10" t="str">
        <x:f t="shared" si="2">IF(OR(H11="",I11=""),"",IF(AND(H11="高",I11="高"),"重点管理",IF(H11="高","保持满意",IF(I11="高","保持沟通","监督观察"))))</x:f>
        <x:v>保持沟通</x:v>
      </x:c>
      <x:c r="O11" s="10" t="s">
        <x:v>45</x:v>
      </x:c>
      <x:c r="P11" s="10" t="s">
        <x:v>46</x:v>
      </x:c>
      <x:c r="Q11" s="10" t="str">
        <x:v>技术方案、接口、数据迁移、架构和运维准备</x:v>
      </x:c>
      <x:c r="R11" s="10" t="str">
        <x:v>黄磊</x:v>
      </x:c>
      <x:c r="S11" s="15"/>
      <x:c r="T11" s="15" t="n">
        <x:v>46283</x:v>
      </x:c>
      <x:c r="U11" s="10" t="str">
        <x:v>主要负责合同申报、系统设置，现有系统运维等工作</x:v>
      </x:c>
      <x:c r="V11" s="10" t="str">
        <x:v>按照微服务梳理接口、后端逻辑、数据字典及编制ER图</x:v>
      </x:c>
      <x:c r="W11" s="10" t="str">
        <x:v>黄磊</x:v>
      </x:c>
      <x:c r="X11" s="15" t="n">
        <x:v>46295</x:v>
      </x:c>
      <x:c r="Y11" s="10" t="str">
        <x:v>进行中</x:v>
      </x:c>
      <x:c r="Z11" s="10" t="str">
        <x:v>否</x:v>
      </x:c>
      <x:c r="AA11" s="10"/>
      <x:c r="AB11" s="11" t="str">
        <x:f t="shared" ca="1" si="3">IF(B11="","",IF(AND(H11="高",OR(J11="抵触",J11="不支持")),"高权力不支持；","")&amp;IF(L11&gt;0,"存在支持差距；","")&amp;IF(AND(T11&lt;&gt;"",T11&lt;TODAY()),"沟通逾期；","")&amp;IF(AND(V11&lt;&gt;"",X11&lt;TODAY(),Y11&lt;&gt;"已完成"),"行动逾期；","")&amp;IF(AND(Z11="是",AA11=""),"未填升级对象",""))</x:f>
        <x:v>存在支持差距；</x:v>
      </x:c>
      <x:c r="AC11" s="10" t="str"/>
    </x:row>
    <x:row r="12" ht="32" customHeight="1">
      <x:c r="A12" s="9" t="str">
        <x:f t="shared" si="0">IF(B12="","","SH-"&amp;TEXT(ROW()-8,"000"))</x:f>
        <x:v>SH-004</x:v>
      </x:c>
      <x:c r="B12" s="10" t="s">
        <x:v>52</x:v>
      </x:c>
      <x:c r="C12" s="10" t="s">
        <x:v>40</x:v>
      </x:c>
      <x:c r="D12" s="10" t="s">
        <x:v>41</x:v>
      </x:c>
      <x:c r="E12" s="10" t="s">
        <x:v>42</x:v>
      </x:c>
      <x:c r="F12" s="10" t="s">
        <x:v>53</x:v>
      </x:c>
      <x:c r="G12" s="10" t="s">
        <x:v>54</x:v>
      </x:c>
      <x:c r="H12" s="10" t="str">
        <x:v>中</x:v>
      </x:c>
      <x:c r="I12" s="10" t="str">
        <x:v>高</x:v>
      </x:c>
      <x:c r="J12" s="10" t="str">
        <x:v>支持</x:v>
      </x:c>
      <x:c r="K12" s="10" t="str">
        <x:v>积极推动</x:v>
      </x:c>
      <x:c r="L12" s="11" t="n">
        <x:f t="shared" si="1">IF(OR(J12="",K12=""),"",IF(K12="抵触",1,IF(K12="不支持",2,IF(K12="中立",3,IF(K12="支持",4,IF(K12="积极推动",5,"")))))-IF(J12="抵触",1,IF(J12="不支持",2,IF(J12="中立",3,IF(J12="支持",4,IF(J12="积极推动",5,""))))))</x:f>
        <x:v>1</x:v>
      </x:c>
      <x:c r="M12" s="10" t="str">
        <x:v>正向</x:v>
      </x:c>
      <x:c r="N12" s="10" t="str">
        <x:f t="shared" si="2">IF(OR(H12="",I12=""),"",IF(AND(H12="高",I12="高"),"重点管理",IF(H12="高","保持满意",IF(I12="高","保持沟通","监督观察"))))</x:f>
        <x:v>保持沟通</x:v>
      </x:c>
      <x:c r="O12" s="10" t="s">
        <x:v>45</x:v>
      </x:c>
      <x:c r="P12" s="10" t="s">
        <x:v>46</x:v>
      </x:c>
      <x:c r="Q12" s="10" t="str">
        <x:v>技术方案、接口、数据迁移、架构和运维准备</x:v>
      </x:c>
      <x:c r="R12" s="10" t="str">
        <x:v>黄磊</x:v>
      </x:c>
      <x:c r="S12" s="15"/>
      <x:c r="T12" s="15" t="n">
        <x:v>46283</x:v>
      </x:c>
      <x:c r="U12" s="10" t="str">
        <x:v>主要负责前端开发，现有系统运维等工作</x:v>
      </x:c>
      <x:c r="V12" s="10" t="str">
        <x:v>整理核心模块前端逻辑、接口文档</x:v>
      </x:c>
      <x:c r="W12" s="10" t="str">
        <x:v>黄磊</x:v>
      </x:c>
      <x:c r="X12" s="15" t="n">
        <x:v>46295</x:v>
      </x:c>
      <x:c r="Y12" s="10" t="str">
        <x:v>进行中</x:v>
      </x:c>
      <x:c r="Z12" s="10" t="str">
        <x:v>否</x:v>
      </x:c>
      <x:c r="AA12" s="10"/>
      <x:c r="AB12" s="11" t="str">
        <x:f t="shared" ca="1" si="3">IF(B12="","",IF(AND(H12="高",OR(J12="抵触",J12="不支持")),"高权力不支持；","")&amp;IF(L12&gt;0,"存在支持差距；","")&amp;IF(AND(T12&lt;&gt;"",T12&lt;TODAY()),"沟通逾期；","")&amp;IF(AND(V12&lt;&gt;"",X12&lt;TODAY(),Y12&lt;&gt;"已完成"),"行动逾期；","")&amp;IF(AND(Z12="是",AA12=""),"未填升级对象",""))</x:f>
        <x:v>存在支持差距；</x:v>
      </x:c>
      <x:c r="AC12" s="10" t="str"/>
    </x:row>
    <x:row r="13" ht="32" customHeight="1">
      <x:c r="A13" s="9" t="str">
        <x:f t="shared" si="0">IF(B13="","","SH-"&amp;TEXT(ROW()-8,"000"))</x:f>
        <x:v>SH-005</x:v>
      </x:c>
      <x:c r="B13" s="10" t="s">
        <x:v>55</x:v>
      </x:c>
      <x:c r="C13" s="10" t="s">
        <x:v>40</x:v>
      </x:c>
      <x:c r="D13" s="10" t="s">
        <x:v>41</x:v>
      </x:c>
      <x:c r="E13" s="10" t="s">
        <x:v>42</x:v>
      </x:c>
      <x:c r="F13" s="10" t="s">
        <x:v>56</x:v>
      </x:c>
      <x:c r="G13" s="10" t="s">
        <x:v>49</x:v>
      </x:c>
      <x:c r="H13" s="10" t="str">
        <x:v>中</x:v>
      </x:c>
      <x:c r="I13" s="10" t="str">
        <x:v>高</x:v>
      </x:c>
      <x:c r="J13" s="10" t="str">
        <x:v>支持</x:v>
      </x:c>
      <x:c r="K13" s="10" t="str">
        <x:v>积极推动</x:v>
      </x:c>
      <x:c r="L13" s="11" t="n">
        <x:f t="shared" si="1">IF(OR(J13="",K13=""),"",IF(K13="抵触",1,IF(K13="不支持",2,IF(K13="中立",3,IF(K13="支持",4,IF(K13="积极推动",5,"")))))-IF(J13="抵触",1,IF(J13="不支持",2,IF(J13="中立",3,IF(J13="支持",4,IF(J13="积极推动",5,""))))))</x:f>
        <x:v>1</x:v>
      </x:c>
      <x:c r="M13" s="10" t="str">
        <x:v>正向</x:v>
      </x:c>
      <x:c r="N13" s="10" t="str">
        <x:f t="shared" si="2">IF(OR(H13="",I13=""),"",IF(AND(H13="高",I13="高"),"重点管理",IF(H13="高","保持满意",IF(I13="高","保持沟通","监督观察"))))</x:f>
        <x:v>保持沟通</x:v>
      </x:c>
      <x:c r="O13" s="10" t="s">
        <x:v>45</x:v>
      </x:c>
      <x:c r="P13" s="10" t="s">
        <x:v>46</x:v>
      </x:c>
      <x:c r="Q13" s="10" t="str">
        <x:v>技术方案、接口、数据迁移、架构和运维准备</x:v>
      </x:c>
      <x:c r="R13" s="10" t="str">
        <x:v>黄磊</x:v>
      </x:c>
      <x:c r="S13" s="15"/>
      <x:c r="T13" s="15" t="n">
        <x:v>46283</x:v>
      </x:c>
      <x:c r="U13" s="10" t="str">
        <x:v>主要负责合同履行的开发，现有系统运维等工作</x:v>
      </x:c>
      <x:c r="V13" s="10" t="str">
        <x:v>按照微服务梳理接口、后端逻辑、数据字典及编制ER图</x:v>
      </x:c>
      <x:c r="W13" s="10" t="str">
        <x:v>黄磊</x:v>
      </x:c>
      <x:c r="X13" s="15" t="n">
        <x:v>46295</x:v>
      </x:c>
      <x:c r="Y13" s="10" t="str">
        <x:v>进行中</x:v>
      </x:c>
      <x:c r="Z13" s="10" t="str">
        <x:v>否</x:v>
      </x:c>
      <x:c r="AA13" s="10"/>
      <x:c r="AB13" s="11" t="str">
        <x:f t="shared" ca="1" si="3">IF(B13="","",IF(AND(H13="高",OR(J13="抵触",J13="不支持")),"高权力不支持；","")&amp;IF(L13&gt;0,"存在支持差距；","")&amp;IF(AND(T13&lt;&gt;"",T13&lt;TODAY()),"沟通逾期；","")&amp;IF(AND(V13&lt;&gt;"",X13&lt;TODAY(),Y13&lt;&gt;"已完成"),"行动逾期；","")&amp;IF(AND(Z13="是",AA13=""),"未填升级对象",""))</x:f>
        <x:v>存在支持差距；</x:v>
      </x:c>
      <x:c r="AC13" s="10" t="str"/>
    </x:row>
    <x:row r="14" ht="32" customHeight="1">
      <x:c r="A14" s="9" t="str">
        <x:f t="shared" si="0">IF(B14="","","SH-"&amp;TEXT(ROW()-8,"000"))</x:f>
        <x:v>SH-006</x:v>
      </x:c>
      <x:c r="B14" s="10" t="s">
        <x:v>57</x:v>
      </x:c>
      <x:c r="C14" s="10" t="s">
        <x:v>40</x:v>
      </x:c>
      <x:c r="D14" s="10" t="s">
        <x:v>41</x:v>
      </x:c>
      <x:c r="E14" s="10" t="s">
        <x:v>42</x:v>
      </x:c>
      <x:c r="F14" s="10" t="s">
        <x:v>58</x:v>
      </x:c>
      <x:c r="G14" s="10" t="s">
        <x:v>49</x:v>
      </x:c>
      <x:c r="H14" s="10" t="str">
        <x:v>中</x:v>
      </x:c>
      <x:c r="I14" s="10" t="str">
        <x:v>高</x:v>
      </x:c>
      <x:c r="J14" s="10" t="str">
        <x:v>支持</x:v>
      </x:c>
      <x:c r="K14" s="10" t="str">
        <x:v>积极推动</x:v>
      </x:c>
      <x:c r="L14" s="11" t="n">
        <x:f t="shared" si="1">IF(OR(J14="",K14=""),"",IF(K14="抵触",1,IF(K14="不支持",2,IF(K14="中立",3,IF(K14="支持",4,IF(K14="积极推动",5,"")))))-IF(J14="抵触",1,IF(J14="不支持",2,IF(J14="中立",3,IF(J14="支持",4,IF(J14="积极推动",5,""))))))</x:f>
        <x:v>1</x:v>
      </x:c>
      <x:c r="M14" s="10" t="str">
        <x:v>正向</x:v>
      </x:c>
      <x:c r="N14" s="10" t="str">
        <x:f t="shared" si="2">IF(OR(H14="",I14=""),"",IF(AND(H14="高",I14="高"),"重点管理",IF(H14="高","保持满意",IF(I14="高","保持沟通","监督观察"))))</x:f>
        <x:v>保持沟通</x:v>
      </x:c>
      <x:c r="O14" s="10" t="s">
        <x:v>45</x:v>
      </x:c>
      <x:c r="P14" s="10" t="s">
        <x:v>46</x:v>
      </x:c>
      <x:c r="Q14" s="10" t="str">
        <x:v>技术方案、接口、数据迁移、架构和运维准备</x:v>
      </x:c>
      <x:c r="R14" s="10" t="str">
        <x:v>黄磊</x:v>
      </x:c>
      <x:c r="S14" s="15"/>
      <x:c r="T14" s="15" t="n">
        <x:v>46283</x:v>
      </x:c>
      <x:c r="U14" s="10" t="str">
        <x:v>主要负责合同履行，报表的开发，现有系统运维等工作</x:v>
      </x:c>
      <x:c r="V14" s="10" t="str">
        <x:v>按照微服务梳理接口、后端逻辑、数据字典及编制ER图</x:v>
      </x:c>
      <x:c r="W14" s="10" t="str">
        <x:v>黄磊</x:v>
      </x:c>
      <x:c r="X14" s="15" t="n">
        <x:v>46295</x:v>
      </x:c>
      <x:c r="Y14" s="10" t="str">
        <x:v>进行中</x:v>
      </x:c>
      <x:c r="Z14" s="10" t="str">
        <x:v>否</x:v>
      </x:c>
      <x:c r="AA14" s="10"/>
      <x:c r="AB14" s="11" t="str">
        <x:f t="shared" ca="1" si="3">IF(B14="","",IF(AND(H14="高",OR(J14="抵触",J14="不支持")),"高权力不支持；","")&amp;IF(L14&gt;0,"存在支持差距；","")&amp;IF(AND(T14&lt;&gt;"",T14&lt;TODAY()),"沟通逾期；","")&amp;IF(AND(V14&lt;&gt;"",X14&lt;TODAY(),Y14&lt;&gt;"已完成"),"行动逾期；","")&amp;IF(AND(Z14="是",AA14=""),"未填升级对象",""))</x:f>
        <x:v>存在支持差距；</x:v>
      </x:c>
      <x:c r="AC14" s="10" t="str"/>
    </x:row>
    <x:row r="15" ht="32" customHeight="1">
      <x:c r="A15" s="9" t="str">
        <x:f t="shared" si="0">IF(B15="","","SH-"&amp;TEXT(ROW()-8,"000"))</x:f>
        <x:v>SH-007</x:v>
      </x:c>
      <x:c r="B15" s="10" t="s">
        <x:v>59</x:v>
      </x:c>
      <x:c r="C15" s="10" t="s">
        <x:v>40</x:v>
      </x:c>
      <x:c r="D15" s="10" t="s">
        <x:v>41</x:v>
      </x:c>
      <x:c r="E15" s="10" t="s">
        <x:v>42</x:v>
      </x:c>
      <x:c r="F15" s="10" t="s">
        <x:v>60</x:v>
      </x:c>
      <x:c r="G15" s="10" t="s">
        <x:v>49</x:v>
      </x:c>
      <x:c r="H15" s="10" t="str">
        <x:v>中</x:v>
      </x:c>
      <x:c r="I15" s="10" t="str">
        <x:v>高</x:v>
      </x:c>
      <x:c r="J15" s="10" t="str">
        <x:v>支持</x:v>
      </x:c>
      <x:c r="K15" s="10" t="str">
        <x:v>积极推动</x:v>
      </x:c>
      <x:c r="L15" s="11" t="n">
        <x:f t="shared" si="1">IF(OR(J15="",K15=""),"",IF(K15="抵触",1,IF(K15="不支持",2,IF(K15="中立",3,IF(K15="支持",4,IF(K15="积极推动",5,"")))))-IF(J15="抵触",1,IF(J15="不支持",2,IF(J15="中立",3,IF(J15="支持",4,IF(J15="积极推动",5,""))))))</x:f>
        <x:v>1</x:v>
      </x:c>
      <x:c r="M15" s="10" t="str">
        <x:v>正向</x:v>
      </x:c>
      <x:c r="N15" s="10" t="str">
        <x:f t="shared" si="2">IF(OR(H15="",I15=""),"",IF(AND(H15="高",I15="高"),"重点管理",IF(H15="高","保持满意",IF(I15="高","保持沟通","监督观察"))))</x:f>
        <x:v>保持沟通</x:v>
      </x:c>
      <x:c r="O15" s="10" t="s">
        <x:v>45</x:v>
      </x:c>
      <x:c r="P15" s="10" t="s">
        <x:v>46</x:v>
      </x:c>
      <x:c r="Q15" s="10" t="str">
        <x:v>技术方案、接口、数据迁移、架构和运维准备</x:v>
      </x:c>
      <x:c r="R15" s="10" t="str">
        <x:v>黄磊</x:v>
      </x:c>
      <x:c r="S15" s="15"/>
      <x:c r="T15" s="15" t="n">
        <x:v>46283</x:v>
      </x:c>
      <x:c r="U15" s="10" t="str">
        <x:v>主要负责合同集成，现有系统运维等工作</x:v>
      </x:c>
      <x:c r="V15" s="10" t="str">
        <x:v>按照微服务梳理接口、后端逻辑、数据字典及编制ER图</x:v>
      </x:c>
      <x:c r="W15" s="10" t="str">
        <x:v>黄磊</x:v>
      </x:c>
      <x:c r="X15" s="15" t="n">
        <x:v>46295</x:v>
      </x:c>
      <x:c r="Y15" s="10" t="str">
        <x:v>进行中</x:v>
      </x:c>
      <x:c r="Z15" s="10" t="str">
        <x:v>否</x:v>
      </x:c>
      <x:c r="AA15" s="10"/>
      <x:c r="AB15" s="11" t="str">
        <x:f t="shared" ca="1" si="3">IF(B15="","",IF(AND(H15="高",OR(J15="抵触",J15="不支持")),"高权力不支持；","")&amp;IF(L15&gt;0,"存在支持差距；","")&amp;IF(AND(T15&lt;&gt;"",T15&lt;TODAY()),"沟通逾期；","")&amp;IF(AND(V15&lt;&gt;"",X15&lt;TODAY(),Y15&lt;&gt;"已完成"),"行动逾期；","")&amp;IF(AND(Z15="是",AA15=""),"未填升级对象",""))</x:f>
        <x:v>存在支持差距；</x:v>
      </x:c>
      <x:c r="AC15" s="10" t="str"/>
    </x:row>
    <x:row r="16" ht="32" customHeight="1">
      <x:c r="A16" s="9" t="str">
        <x:f t="shared" si="0">IF(B16="","","SH-"&amp;TEXT(ROW()-8,"000"))</x:f>
        <x:v>SH-008</x:v>
      </x:c>
      <x:c r="B16" s="10" t="s">
        <x:v>61</x:v>
      </x:c>
      <x:c r="C16" s="10" t="s">
        <x:v>40</x:v>
      </x:c>
      <x:c r="D16" s="10" t="s">
        <x:v>41</x:v>
      </x:c>
      <x:c r="E16" s="10" t="s">
        <x:v>42</x:v>
      </x:c>
      <x:c r="F16" s="10" t="s">
        <x:v>62</x:v>
      </x:c>
      <x:c r="G16" s="10" t="s">
        <x:v>63</x:v>
      </x:c>
      <x:c r="H16" s="10" t="str">
        <x:v>中</x:v>
      </x:c>
      <x:c r="I16" s="10" t="str">
        <x:v>高</x:v>
      </x:c>
      <x:c r="J16" s="10" t="str">
        <x:v>支持</x:v>
      </x:c>
      <x:c r="K16" s="10" t="str">
        <x:v>积极推动</x:v>
      </x:c>
      <x:c r="L16" s="11" t="n">
        <x:f t="shared" si="1">IF(OR(J16="",K16=""),"",IF(K16="抵触",1,IF(K16="不支持",2,IF(K16="中立",3,IF(K16="支持",4,IF(K16="积极推动",5,"")))))-IF(J16="抵触",1,IF(J16="不支持",2,IF(J16="中立",3,IF(J16="支持",4,IF(J16="积极推动",5,""))))))</x:f>
        <x:v>1</x:v>
      </x:c>
      <x:c r="M16" s="10" t="str">
        <x:v>正向</x:v>
      </x:c>
      <x:c r="N16" s="10" t="str">
        <x:f t="shared" si="2">IF(OR(H16="",I16=""),"",IF(AND(H16="高",I16="高"),"重点管理",IF(H16="高","保持满意",IF(I16="高","保持沟通","监督观察"))))</x:f>
        <x:v>保持沟通</x:v>
      </x:c>
      <x:c r="O16" s="10" t="s">
        <x:v>45</x:v>
      </x:c>
      <x:c r="P16" s="10" t="s">
        <x:v>46</x:v>
      </x:c>
      <x:c r="Q16" s="10" t="str">
        <x:v>技术方案、接口、数据迁移、架构和运维准备</x:v>
      </x:c>
      <x:c r="R16" s="10" t="str">
        <x:v>黄磊</x:v>
      </x:c>
      <x:c r="S16" s="15"/>
      <x:c r="T16" s="15" t="n">
        <x:v>46283</x:v>
      </x:c>
      <x:c r="U16" s="10" t="str">
        <x:v>可研、立项材料</x:v>
      </x:c>
      <x:c r="V16" s="10" t="str">
        <x:v>数据迁移方案（针对国产化数据库），包括不限于：存储过程、函数、触发器；信创智能化（现有平移，优化性能）；</x:v>
      </x:c>
      <x:c r="W16" s="10" t="str">
        <x:v>黄磊</x:v>
      </x:c>
      <x:c r="X16" s="15" t="n">
        <x:v>46295</x:v>
      </x:c>
      <x:c r="Y16" s="10" t="str">
        <x:v>进行中</x:v>
      </x:c>
      <x:c r="Z16" s="10" t="str">
        <x:v>否</x:v>
      </x:c>
      <x:c r="AA16" s="10"/>
      <x:c r="AB16" s="11" t="str">
        <x:f t="shared" ca="1" si="3">IF(B16="","",IF(AND(H16="高",OR(J16="抵触",J16="不支持")),"高权力不支持；","")&amp;IF(L16&gt;0,"存在支持差距；","")&amp;IF(AND(T16&lt;&gt;"",T16&lt;TODAY()),"沟通逾期；","")&amp;IF(AND(V16&lt;&gt;"",X16&lt;TODAY(),Y16&lt;&gt;"已完成"),"行动逾期；","")&amp;IF(AND(Z16="是",AA16=""),"未填升级对象",""))</x:f>
        <x:v>存在支持差距；</x:v>
      </x:c>
      <x:c r="AC16" s="10" t="str"/>
    </x:row>
    <x:row r="17" ht="32" customHeight="1">
      <x:c r="A17" s="9" t="str">
        <x:f t="shared" si="0">IF(B17="","","SH-"&amp;TEXT(ROW()-8,"000"))</x:f>
        <x:v>SH-009</x:v>
      </x:c>
      <x:c r="B17" s="10" t="s">
        <x:v>64</x:v>
      </x:c>
      <x:c r="C17" s="10" t="s">
        <x:v>65</x:v>
      </x:c>
      <x:c r="D17" s="10" t="s">
        <x:v>66</x:v>
      </x:c>
      <x:c r="E17" s="10" t="s">
        <x:v>42</x:v>
      </x:c>
      <x:c r="F17" s="10" t="s">
        <x:v>67</x:v>
      </x:c>
      <x:c r="G17" s="10" t="s">
        <x:v>68</x:v>
      </x:c>
      <x:c r="H17" s="10" t="str">
        <x:v>中</x:v>
      </x:c>
      <x:c r="I17" s="10" t="str">
        <x:v>高</x:v>
      </x:c>
      <x:c r="J17" s="10" t="str">
        <x:v>支持</x:v>
      </x:c>
      <x:c r="K17" s="10" t="str">
        <x:v>积极推动</x:v>
      </x:c>
      <x:c r="L17" s="11" t="n">
        <x:f t="shared" si="1">IF(OR(J17="",K17=""),"",IF(K17="抵触",1,IF(K17="不支持",2,IF(K17="中立",3,IF(K17="支持",4,IF(K17="积极推动",5,"")))))-IF(J17="抵触",1,IF(J17="不支持",2,IF(J17="中立",3,IF(J17="支持",4,IF(J17="积极推动",5,""))))))</x:f>
        <x:v>1</x:v>
      </x:c>
      <x:c r="M17" s="10" t="str">
        <x:v>正向</x:v>
      </x:c>
      <x:c r="N17" s="10" t="str">
        <x:f t="shared" si="2">IF(OR(H17="",I17=""),"",IF(AND(H17="高",I17="高"),"重点管理",IF(H17="高","保持满意",IF(I17="高","保持沟通","监督观察"))))</x:f>
        <x:v>保持沟通</x:v>
      </x:c>
      <x:c r="O17" s="10" t="s">
        <x:v>45</x:v>
      </x:c>
      <x:c r="P17" s="10" t="s">
        <x:v>46</x:v>
      </x:c>
      <x:c r="Q17" s="10" t="str">
        <x:v>业务流程、规则、需求边界和验收标准</x:v>
      </x:c>
      <x:c r="R17" s="10" t="str">
        <x:v>赵志悦</x:v>
      </x:c>
      <x:c r="S17" s="15"/>
      <x:c r="T17" s="15" t="n">
        <x:v>46283</x:v>
      </x:c>
      <x:c r="U17" s="10" t="str">
        <x:v>梳理业务相关逻辑</x:v>
      </x:c>
      <x:c r="V17" s="10" t="str">
        <x:v>合同履行（收/付款）、金山客户端、智能化应用模块</x:v>
      </x:c>
      <x:c r="W17" s="10" t="str">
        <x:v>赵志悦</x:v>
      </x:c>
      <x:c r="X17" s="15" t="n">
        <x:v>46295</x:v>
      </x:c>
      <x:c r="Y17" s="10" t="str">
        <x:v>进行中</x:v>
      </x:c>
      <x:c r="Z17" s="10" t="str">
        <x:v>否</x:v>
      </x:c>
      <x:c r="AA17" s="10"/>
      <x:c r="AB17" s="11" t="str">
        <x:f t="shared" ca="1" si="3">IF(B17="","",IF(AND(H17="高",OR(J17="抵触",J17="不支持")),"高权力不支持；","")&amp;IF(L17&gt;0,"存在支持差距；","")&amp;IF(AND(T17&lt;&gt;"",T17&lt;TODAY()),"沟通逾期；","")&amp;IF(AND(V17&lt;&gt;"",X17&lt;TODAY(),Y17&lt;&gt;"已完成"),"行动逾期；","")&amp;IF(AND(Z17="是",AA17=""),"未填升级对象",""))</x:f>
        <x:v>存在支持差距；</x:v>
      </x:c>
      <x:c r="AC17" s="10" t="str"/>
    </x:row>
    <x:row r="18" ht="32" customHeight="1">
      <x:c r="A18" s="9" t="str">
        <x:f t="shared" si="0">IF(B18="","","SH-"&amp;TEXT(ROW()-8,"000"))</x:f>
        <x:v>SH-010</x:v>
      </x:c>
      <x:c r="B18" s="10" t="s">
        <x:v>69</x:v>
      </x:c>
      <x:c r="C18" s="10" t="s">
        <x:v>65</x:v>
      </x:c>
      <x:c r="D18" s="10" t="s">
        <x:v>66</x:v>
      </x:c>
      <x:c r="E18" s="10" t="s">
        <x:v>42</x:v>
      </x:c>
      <x:c r="F18" s="10" t="s">
        <x:v>67</x:v>
      </x:c>
      <x:c r="G18" s="10" t="s">
        <x:v>70</x:v>
      </x:c>
      <x:c r="H18" s="10" t="str">
        <x:v>中</x:v>
      </x:c>
      <x:c r="I18" s="10" t="str">
        <x:v>高</x:v>
      </x:c>
      <x:c r="J18" s="10" t="str">
        <x:v>支持</x:v>
      </x:c>
      <x:c r="K18" s="10" t="str">
        <x:v>积极推动</x:v>
      </x:c>
      <x:c r="L18" s="11" t="n">
        <x:f t="shared" si="1">IF(OR(J18="",K18=""),"",IF(K18="抵触",1,IF(K18="不支持",2,IF(K18="中立",3,IF(K18="支持",4,IF(K18="积极推动",5,"")))))-IF(J18="抵触",1,IF(J18="不支持",2,IF(J18="中立",3,IF(J18="支持",4,IF(J18="积极推动",5,""))))))</x:f>
        <x:v>1</x:v>
      </x:c>
      <x:c r="M18" s="10" t="str">
        <x:v>正向</x:v>
      </x:c>
      <x:c r="N18" s="10" t="str">
        <x:f t="shared" si="2">IF(OR(H18="",I18=""),"",IF(AND(H18="高",I18="高"),"重点管理",IF(H18="高","保持满意",IF(I18="高","保持沟通","监督观察"))))</x:f>
        <x:v>保持沟通</x:v>
      </x:c>
      <x:c r="O18" s="10" t="s">
        <x:v>45</x:v>
      </x:c>
      <x:c r="P18" s="10" t="s">
        <x:v>46</x:v>
      </x:c>
      <x:c r="Q18" s="10" t="str">
        <x:v>业务流程、规则、需求边界和验收标准</x:v>
      </x:c>
      <x:c r="R18" s="10" t="str">
        <x:v>赵志悦</x:v>
      </x:c>
      <x:c r="S18" s="15"/>
      <x:c r="T18" s="15" t="n">
        <x:v>46283</x:v>
      </x:c>
      <x:c r="U18" s="10" t="str">
        <x:v>梳理业务相关逻辑</x:v>
      </x:c>
      <x:c r="V18" s="10" t="str">
        <x:v>系统管理、接口数据管理模块</x:v>
      </x:c>
      <x:c r="W18" s="10" t="str">
        <x:v>赵志悦</x:v>
      </x:c>
      <x:c r="X18" s="15" t="n">
        <x:v>46295</x:v>
      </x:c>
      <x:c r="Y18" s="10" t="str">
        <x:v>进行中</x:v>
      </x:c>
      <x:c r="Z18" s="10" t="str">
        <x:v>否</x:v>
      </x:c>
      <x:c r="AA18" s="10"/>
      <x:c r="AB18" s="11" t="str">
        <x:f t="shared" ca="1" si="3">IF(B18="","",IF(AND(H18="高",OR(J18="抵触",J18="不支持")),"高权力不支持；","")&amp;IF(L18&gt;0,"存在支持差距；","")&amp;IF(AND(T18&lt;&gt;"",T18&lt;TODAY()),"沟通逾期；","")&amp;IF(AND(V18&lt;&gt;"",X18&lt;TODAY(),Y18&lt;&gt;"已完成"),"行动逾期；","")&amp;IF(AND(Z18="是",AA18=""),"未填升级对象",""))</x:f>
        <x:v>存在支持差距；</x:v>
      </x:c>
      <x:c r="AC18" s="10" t="str"/>
    </x:row>
    <x:row r="19" ht="32" customHeight="1">
      <x:c r="A19" s="9" t="str">
        <x:f t="shared" si="0">IF(B19="","","SH-"&amp;TEXT(ROW()-8,"000"))</x:f>
        <x:v>SH-011</x:v>
      </x:c>
      <x:c r="B19" s="10" t="s">
        <x:v>71</x:v>
      </x:c>
      <x:c r="C19" s="10" t="s">
        <x:v>65</x:v>
      </x:c>
      <x:c r="D19" s="10" t="s">
        <x:v>66</x:v>
      </x:c>
      <x:c r="E19" s="10" t="s">
        <x:v>42</x:v>
      </x:c>
      <x:c r="F19" s="10" t="s">
        <x:v>67</x:v>
      </x:c>
      <x:c r="G19" s="10" t="s">
        <x:v>72</x:v>
      </x:c>
      <x:c r="H19" s="10" t="str">
        <x:v>中</x:v>
      </x:c>
      <x:c r="I19" s="10" t="str">
        <x:v>高</x:v>
      </x:c>
      <x:c r="J19" s="10" t="str">
        <x:v>支持</x:v>
      </x:c>
      <x:c r="K19" s="10" t="str">
        <x:v>积极推动</x:v>
      </x:c>
      <x:c r="L19" s="11" t="n">
        <x:f t="shared" si="1">IF(OR(J19="",K19=""),"",IF(K19="抵触",1,IF(K19="不支持",2,IF(K19="中立",3,IF(K19="支持",4,IF(K19="积极推动",5,"")))))-IF(J19="抵触",1,IF(J19="不支持",2,IF(J19="中立",3,IF(J19="支持",4,IF(J19="积极推动",5,""))))))</x:f>
        <x:v>1</x:v>
      </x:c>
      <x:c r="M19" s="10" t="str">
        <x:v>正向</x:v>
      </x:c>
      <x:c r="N19" s="10" t="str">
        <x:f t="shared" si="2">IF(OR(H19="",I19=""),"",IF(AND(H19="高",I19="高"),"重点管理",IF(H19="高","保持满意",IF(I19="高","保持沟通","监督观察"))))</x:f>
        <x:v>保持沟通</x:v>
      </x:c>
      <x:c r="O19" s="10" t="s">
        <x:v>45</x:v>
      </x:c>
      <x:c r="P19" s="10" t="s">
        <x:v>46</x:v>
      </x:c>
      <x:c r="Q19" s="10" t="str">
        <x:v>业务流程、规则、需求边界和验收标准</x:v>
      </x:c>
      <x:c r="R19" s="10" t="str">
        <x:v>赵志悦</x:v>
      </x:c>
      <x:c r="S19" s="15"/>
      <x:c r="T19" s="15" t="n">
        <x:v>46283</x:v>
      </x:c>
      <x:c r="U19" s="10" t="str">
        <x:v>梳理业务相关逻辑</x:v>
      </x:c>
      <x:c r="V19" s="10" t="str">
        <x:v>合同申报模块</x:v>
      </x:c>
      <x:c r="W19" s="10" t="str">
        <x:v>赵志悦</x:v>
      </x:c>
      <x:c r="X19" s="15" t="n">
        <x:v>46295</x:v>
      </x:c>
      <x:c r="Y19" s="10" t="str">
        <x:v>进行中</x:v>
      </x:c>
      <x:c r="Z19" s="10" t="str">
        <x:v>否</x:v>
      </x:c>
      <x:c r="AA19" s="10"/>
      <x:c r="AB19" s="11" t="str">
        <x:f t="shared" ca="1" si="3">IF(B19="","",IF(AND(H19="高",OR(J19="抵触",J19="不支持")),"高权力不支持；","")&amp;IF(L19&gt;0,"存在支持差距；","")&amp;IF(AND(T19&lt;&gt;"",T19&lt;TODAY()),"沟通逾期；","")&amp;IF(AND(V19&lt;&gt;"",X19&lt;TODAY(),Y19&lt;&gt;"已完成"),"行动逾期；","")&amp;IF(AND(Z19="是",AA19=""),"未填升级对象",""))</x:f>
        <x:v>存在支持差距；</x:v>
      </x:c>
      <x:c r="AC19" s="10" t="str"/>
    </x:row>
    <x:row r="20" ht="32" customHeight="1">
      <x:c r="A20" s="9" t="str">
        <x:f t="shared" si="0">IF(B20="","","SH-"&amp;TEXT(ROW()-8,"000"))</x:f>
        <x:v>SH-012</x:v>
      </x:c>
      <x:c r="B20" s="10" t="s">
        <x:v>73</x:v>
      </x:c>
      <x:c r="C20" s="10" t="s">
        <x:v>65</x:v>
      </x:c>
      <x:c r="D20" s="10" t="s">
        <x:v>66</x:v>
      </x:c>
      <x:c r="E20" s="10" t="s">
        <x:v>42</x:v>
      </x:c>
      <x:c r="F20" s="10" t="s">
        <x:v>67</x:v>
      </x:c>
      <x:c r="G20" s="10" t="s">
        <x:v>74</x:v>
      </x:c>
      <x:c r="H20" s="10" t="str">
        <x:v>中</x:v>
      </x:c>
      <x:c r="I20" s="10" t="str">
        <x:v>高</x:v>
      </x:c>
      <x:c r="J20" s="10" t="str">
        <x:v>支持</x:v>
      </x:c>
      <x:c r="K20" s="10" t="str">
        <x:v>积极推动</x:v>
      </x:c>
      <x:c r="L20" s="11" t="n">
        <x:f t="shared" si="1">IF(OR(J20="",K20=""),"",IF(K20="抵触",1,IF(K20="不支持",2,IF(K20="中立",3,IF(K20="支持",4,IF(K20="积极推动",5,"")))))-IF(J20="抵触",1,IF(J20="不支持",2,IF(J20="中立",3,IF(J20="支持",4,IF(J20="积极推动",5,""))))))</x:f>
        <x:v>1</x:v>
      </x:c>
      <x:c r="M20" s="10" t="str">
        <x:v>正向</x:v>
      </x:c>
      <x:c r="N20" s="10" t="str">
        <x:f t="shared" si="2">IF(OR(H20="",I20=""),"",IF(AND(H20="高",I20="高"),"重点管理",IF(H20="高","保持满意",IF(I20="高","保持沟通","监督观察"))))</x:f>
        <x:v>保持沟通</x:v>
      </x:c>
      <x:c r="O20" s="10" t="s">
        <x:v>75</x:v>
      </x:c>
      <x:c r="P20" s="10" t="s">
        <x:v>76</x:v>
      </x:c>
      <x:c r="Q20" s="10" t="str">
        <x:v>业务流程、规则、需求边界和验收标准</x:v>
      </x:c>
      <x:c r="R20" s="10" t="str">
        <x:v>赵志悦</x:v>
      </x:c>
      <x:c r="S20" s="15"/>
      <x:c r="T20" s="15" t="n">
        <x:v>46283</x:v>
      </x:c>
      <x:c r="U20" s="10" t="str">
        <x:v>梳理业务相关逻辑</x:v>
      </x:c>
      <x:c r="V20" s="10" t="str">
        <x:v>合同相对人、签约授权管理、个人工作助理、首页（其他）、工单管理、系统集成模块</x:v>
      </x:c>
      <x:c r="W20" s="10" t="str">
        <x:v>赵志悦</x:v>
      </x:c>
      <x:c r="X20" s="15" t="n">
        <x:v>46295</x:v>
      </x:c>
      <x:c r="Y20" s="10" t="str">
        <x:v>进行中</x:v>
      </x:c>
      <x:c r="Z20" s="10" t="str">
        <x:v>否</x:v>
      </x:c>
      <x:c r="AA20" s="10"/>
      <x:c r="AB20" s="11" t="str">
        <x:f t="shared" ca="1" si="3">IF(B20="","",IF(AND(H20="高",OR(J20="抵触",J20="不支持")),"高权力不支持；","")&amp;IF(L20&gt;0,"存在支持差距；","")&amp;IF(AND(T20&lt;&gt;"",T20&lt;TODAY()),"沟通逾期；","")&amp;IF(AND(V20&lt;&gt;"",X20&lt;TODAY(),Y20&lt;&gt;"已完成"),"行动逾期；","")&amp;IF(AND(Z20="是",AA20=""),"未填升级对象",""))</x:f>
        <x:v>存在支持差距；</x:v>
      </x:c>
      <x:c r="AC20" s="10" t="str"/>
    </x:row>
    <x:row r="21" ht="32" customHeight="1">
      <x:c r="A21" s="9" t="str">
        <x:f t="shared" si="0">IF(B21="","","SH-"&amp;TEXT(ROW()-8,"000"))</x:f>
        <x:v>SH-013</x:v>
      </x:c>
      <x:c r="B21" s="10" t="s">
        <x:v>77</x:v>
      </x:c>
      <x:c r="C21" s="10" t="s">
        <x:v>65</x:v>
      </x:c>
      <x:c r="D21" s="10" t="s">
        <x:v>66</x:v>
      </x:c>
      <x:c r="E21" s="10" t="s">
        <x:v>42</x:v>
      </x:c>
      <x:c r="F21" s="10" t="s">
        <x:v>67</x:v>
      </x:c>
      <x:c r="G21" s="10" t="s">
        <x:v>78</x:v>
      </x:c>
      <x:c r="H21" s="10" t="str">
        <x:v>中</x:v>
      </x:c>
      <x:c r="I21" s="10" t="str">
        <x:v>高</x:v>
      </x:c>
      <x:c r="J21" s="10" t="str">
        <x:v>支持</x:v>
      </x:c>
      <x:c r="K21" s="10" t="str">
        <x:v>积极推动</x:v>
      </x:c>
      <x:c r="L21" s="11" t="n">
        <x:f t="shared" si="1">IF(OR(J21="",K21=""),"",IF(K21="抵触",1,IF(K21="不支持",2,IF(K21="中立",3,IF(K21="支持",4,IF(K21="积极推动",5,"")))))-IF(J21="抵触",1,IF(J21="不支持",2,IF(J21="中立",3,IF(J21="支持",4,IF(J21="积极推动",5,""))))))</x:f>
        <x:v>1</x:v>
      </x:c>
      <x:c r="M21" s="10" t="str">
        <x:v>正向</x:v>
      </x:c>
      <x:c r="N21" s="10" t="str">
        <x:f t="shared" si="2">IF(OR(H21="",I21=""),"",IF(AND(H21="高",I21="高"),"重点管理",IF(H21="高","保持满意",IF(I21="高","保持沟通","监督观察"))))</x:f>
        <x:v>保持沟通</x:v>
      </x:c>
      <x:c r="O21" s="10" t="s">
        <x:v>45</x:v>
      </x:c>
      <x:c r="P21" s="10" t="s">
        <x:v>46</x:v>
      </x:c>
      <x:c r="Q21" s="10" t="str">
        <x:v>业务流程、规则、需求边界和验收标准</x:v>
      </x:c>
      <x:c r="R21" s="10" t="str">
        <x:v>赵志悦</x:v>
      </x:c>
      <x:c r="S21" s="15"/>
      <x:c r="T21" s="15" t="n">
        <x:v>46283</x:v>
      </x:c>
      <x:c r="U21" s="10" t="str">
        <x:v>梳理业务相关逻辑</x:v>
      </x:c>
      <x:c r="V21" s="10" t="str">
        <x:v>履约计划（收/付款）、合同变更、合同解除、违约金、合同终止、风险管理、下载中心模块</x:v>
      </x:c>
      <x:c r="W21" s="10" t="str">
        <x:v>赵志悦</x:v>
      </x:c>
      <x:c r="X21" s="15" t="n">
        <x:v>46295</x:v>
      </x:c>
      <x:c r="Y21" s="10" t="str">
        <x:v>进行中</x:v>
      </x:c>
      <x:c r="Z21" s="10" t="str">
        <x:v>否</x:v>
      </x:c>
      <x:c r="AA21" s="10"/>
      <x:c r="AB21" s="11" t="str">
        <x:f t="shared" ca="1" si="3">IF(B21="","",IF(AND(H21="高",OR(J21="抵触",J21="不支持")),"高权力不支持；","")&amp;IF(L21&gt;0,"存在支持差距；","")&amp;IF(AND(T21&lt;&gt;"",T21&lt;TODAY()),"沟通逾期；","")&amp;IF(AND(V21&lt;&gt;"",X21&lt;TODAY(),Y21&lt;&gt;"已完成"),"行动逾期；","")&amp;IF(AND(Z21="是",AA21=""),"未填升级对象",""))</x:f>
        <x:v>存在支持差距；</x:v>
      </x:c>
      <x:c r="AC21" s="10" t="str"/>
    </x:row>
    <x:row r="22" ht="32" customHeight="1">
      <x:c r="A22" s="9" t="str">
        <x:f t="shared" si="0">IF(B22="","","SH-"&amp;TEXT(ROW()-8,"000"))</x:f>
        <x:v>SH-014</x:v>
      </x:c>
      <x:c r="B22" s="10" t="s">
        <x:v>79</x:v>
      </x:c>
      <x:c r="C22" s="10" t="s">
        <x:v>65</x:v>
      </x:c>
      <x:c r="D22" s="10" t="s">
        <x:v>66</x:v>
      </x:c>
      <x:c r="E22" s="10" t="s">
        <x:v>42</x:v>
      </x:c>
      <x:c r="F22" s="10" t="s">
        <x:v>67</x:v>
      </x:c>
      <x:c r="G22" s="10" t="s">
        <x:v>80</x:v>
      </x:c>
      <x:c r="H22" s="10" t="str">
        <x:v>中</x:v>
      </x:c>
      <x:c r="I22" s="10" t="str">
        <x:v>高</x:v>
      </x:c>
      <x:c r="J22" s="10" t="str">
        <x:v>支持</x:v>
      </x:c>
      <x:c r="K22" s="10" t="str">
        <x:v>积极推动</x:v>
      </x:c>
      <x:c r="L22" s="11" t="n">
        <x:f t="shared" si="1">IF(OR(J22="",K22=""),"",IF(K22="抵触",1,IF(K22="不支持",2,IF(K22="中立",3,IF(K22="支持",4,IF(K22="积极推动",5,"")))))-IF(J22="抵触",1,IF(J22="不支持",2,IF(J22="中立",3,IF(J22="支持",4,IF(J22="积极推动",5,""))))))</x:f>
        <x:v>1</x:v>
      </x:c>
      <x:c r="M22" s="10" t="str">
        <x:v>正向</x:v>
      </x:c>
      <x:c r="N22" s="10" t="str">
        <x:f t="shared" si="2">IF(OR(H22="",I22=""),"",IF(AND(H22="高",I22="高"),"重点管理",IF(H22="高","保持满意",IF(I22="高","保持沟通","监督观察"))))</x:f>
        <x:v>保持沟通</x:v>
      </x:c>
      <x:c r="O22" s="10" t="s">
        <x:v>45</x:v>
      </x:c>
      <x:c r="P22" s="10" t="s">
        <x:v>46</x:v>
      </x:c>
      <x:c r="Q22" s="10" t="str">
        <x:v>业务流程、规则、需求边界和验收标准</x:v>
      </x:c>
      <x:c r="R22" s="10" t="str">
        <x:v>赵志悦</x:v>
      </x:c>
      <x:c r="S22" s="15"/>
      <x:c r="T22" s="15" t="n">
        <x:v>46283</x:v>
      </x:c>
      <x:c r="U22" s="10" t="str">
        <x:v>梳理业务相关逻辑</x:v>
      </x:c>
      <x:c r="V22" s="10" t="str">
        <x:v>查询统计、合同迁移模块</x:v>
      </x:c>
      <x:c r="W22" s="10" t="str">
        <x:v>赵志悦</x:v>
      </x:c>
      <x:c r="X22" s="15" t="n">
        <x:v>46295</x:v>
      </x:c>
      <x:c r="Y22" s="10" t="str">
        <x:v>进行中</x:v>
      </x:c>
      <x:c r="Z22" s="10" t="str">
        <x:v>否</x:v>
      </x:c>
      <x:c r="AA22" s="10"/>
      <x:c r="AB22" s="11" t="str">
        <x:f t="shared" ca="1" si="3">IF(B22="","",IF(AND(H22="高",OR(J22="抵触",J22="不支持")),"高权力不支持；","")&amp;IF(L22&gt;0,"存在支持差距；","")&amp;IF(AND(T22&lt;&gt;"",T22&lt;TODAY()),"沟通逾期；","")&amp;IF(AND(V22&lt;&gt;"",X22&lt;TODAY(),Y22&lt;&gt;"已完成"),"行动逾期；","")&amp;IF(AND(Z22="是",AA22=""),"未填升级对象",""))</x:f>
        <x:v>存在支持差距；</x:v>
      </x:c>
      <x:c r="AC22" s="10" t="str"/>
    </x:row>
    <x:row r="23" ht="32" customHeight="1">
      <x:c r="A23" s="9" t="str">
        <x:f t="shared" si="0">IF(B23="","","SH-"&amp;TEXT(ROW()-8,"000"))</x:f>
        <x:v>SH-015</x:v>
      </x:c>
      <x:c r="B23" s="10" t="s">
        <x:v>81</x:v>
      </x:c>
      <x:c r="C23" s="10" t="s">
        <x:v>82</x:v>
      </x:c>
      <x:c r="D23" s="10" t="s">
        <x:v>83</x:v>
      </x:c>
      <x:c r="E23" s="10" t="s">
        <x:v>84</x:v>
      </x:c>
      <x:c r="F23" s="10" t="s">
        <x:v>85</x:v>
      </x:c>
      <x:c r="G23" s="10" t="s">
        <x:v>86</x:v>
      </x:c>
      <x:c r="H23" s="10" t="str">
        <x:v>高</x:v>
      </x:c>
      <x:c r="I23" s="10" t="str">
        <x:v>高</x:v>
      </x:c>
      <x:c r="J23" s="10" t="str">
        <x:v>支持</x:v>
      </x:c>
      <x:c r="K23" s="10" t="str">
        <x:v>积极推动</x:v>
      </x:c>
      <x:c r="L23" s="11" t="n">
        <x:f t="shared" si="1">IF(OR(J23="",K23=""),"",IF(K23="抵触",1,IF(K23="不支持",2,IF(K23="中立",3,IF(K23="支持",4,IF(K23="积极推动",5,"")))))-IF(J23="抵触",1,IF(J23="不支持",2,IF(J23="中立",3,IF(J23="支持",4,IF(J23="积极推动",5,""))))))</x:f>
        <x:v>1</x:v>
      </x:c>
      <x:c r="M23" s="10" t="str">
        <x:v>正向</x:v>
      </x:c>
      <x:c r="N23" s="10" t="str">
        <x:f t="shared" si="2">IF(OR(H23="",I23=""),"",IF(AND(H23="高",I23="高"),"重点管理",IF(H23="高","保持满意",IF(I23="高","保持沟通","监督观察"))))</x:f>
        <x:v>重点管理</x:v>
      </x:c>
      <x:c r="O23" s="10" t="s">
        <x:v>75</x:v>
      </x:c>
      <x:c r="P23" s="10" t="s">
        <x:v>46</x:v>
      </x:c>
      <x:c r="Q23" s="10" t="str">
        <x:v>启动准备、范围进度、资源、质量及协作机制</x:v>
      </x:c>
      <x:c r="R23" s="10" t="str">
        <x:v>项目集经理</x:v>
      </x:c>
      <x:c r="S23" s="15"/>
      <x:c r="T23" s="15" t="n">
        <x:v>46283</x:v>
      </x:c>
      <x:c r="U23" s="10" t="str">
        <x:v>即时通信、微信</x:v>
      </x:c>
      <x:c r="V23" s="10" t="str">
        <x:v>形成启动计划、治理节奏和跨团队行动清单</x:v>
      </x:c>
      <x:c r="W23" s="10" t="str">
        <x:v>项目集经理</x:v>
      </x:c>
      <x:c r="X23" s="15" t="n">
        <x:v>46311</x:v>
      </x:c>
      <x:c r="Y23" s="10" t="str">
        <x:v>进行中</x:v>
      </x:c>
      <x:c r="Z23" s="10" t="str">
        <x:v>否</x:v>
      </x:c>
      <x:c r="AA23" s="10"/>
      <x:c r="AB23" s="11" t="str">
        <x:f t="shared" ca="1" si="3">IF(B23="","",IF(AND(H23="高",OR(J23="抵触",J23="不支持")),"高权力不支持；","")&amp;IF(L23&gt;0,"存在支持差距；","")&amp;IF(AND(T23&lt;&gt;"",T23&lt;TODAY()),"沟通逾期；","")&amp;IF(AND(V23&lt;&gt;"",X23&lt;TODAY(),Y23&lt;&gt;"已完成"),"行动逾期；","")&amp;IF(AND(Z23="是",AA23=""),"未填升级对象",""))</x:f>
        <x:v>存在支持差距；</x:v>
      </x:c>
      <x:c r="AC23" s="10" t="str">
        <x:v>联系电话：15128613985</x:v>
      </x:c>
    </x:row>
    <x:row r="24" ht="32" customHeight="1">
      <x:c r="A24" s="9" t="str">
        <x:f t="shared" si="0">IF(B24="","","SH-"&amp;TEXT(ROW()-8,"000"))</x:f>
        <x:v>SH-016</x:v>
      </x:c>
      <x:c r="B24" s="10" t="s">
        <x:v>87</x:v>
      </x:c>
      <x:c r="C24" s="10" t="s">
        <x:v>82</x:v>
      </x:c>
      <x:c r="D24" s="10" t="s">
        <x:v>88</x:v>
      </x:c>
      <x:c r="E24" s="10" t="s">
        <x:v>84</x:v>
      </x:c>
      <x:c r="F24" s="10" t="s">
        <x:v>89</x:v>
      </x:c>
      <x:c r="G24" s="10" t="s">
        <x:v>86</x:v>
      </x:c>
      <x:c r="H24" s="10" t="str">
        <x:v>高</x:v>
      </x:c>
      <x:c r="I24" s="10" t="str">
        <x:v>高</x:v>
      </x:c>
      <x:c r="J24" s="10" t="str">
        <x:v>支持</x:v>
      </x:c>
      <x:c r="K24" s="10" t="str">
        <x:v>积极推动</x:v>
      </x:c>
      <x:c r="L24" s="11" t="n">
        <x:f t="shared" si="1">IF(OR(J24="",K24=""),"",IF(K24="抵触",1,IF(K24="不支持",2,IF(K24="中立",3,IF(K24="支持",4,IF(K24="积极推动",5,"")))))-IF(J24="抵触",1,IF(J24="不支持",2,IF(J24="中立",3,IF(J24="支持",4,IF(J24="积极推动",5,""))))))</x:f>
        <x:v>1</x:v>
      </x:c>
      <x:c r="M24" s="10" t="str">
        <x:v>正向</x:v>
      </x:c>
      <x:c r="N24" s="10" t="str">
        <x:f t="shared" si="2">IF(OR(H24="",I24=""),"",IF(AND(H24="高",I24="高"),"重点管理",IF(H24="高","保持满意",IF(I24="高","保持沟通","监督观察"))))</x:f>
        <x:v>重点管理</x:v>
      </x:c>
      <x:c r="O24" s="10" t="s">
        <x:v>75</x:v>
      </x:c>
      <x:c r="P24" s="10" t="s">
        <x:v>46</x:v>
      </x:c>
      <x:c r="Q24" s="10" t="str">
        <x:v>启动准备、范围进度、资源、质量及协作机制</x:v>
      </x:c>
      <x:c r="R24" s="10" t="str">
        <x:v>项目集经理</x:v>
      </x:c>
      <x:c r="S24" s="15"/>
      <x:c r="T24" s="15" t="n">
        <x:v>46283</x:v>
      </x:c>
      <x:c r="U24" s="10" t="str">
        <x:v>即时通信、微信</x:v>
      </x:c>
      <x:c r="V24" s="10" t="str">
        <x:v>完成技术架构、接口和研发准备评审</x:v>
      </x:c>
      <x:c r="W24" s="10" t="str">
        <x:v>项目集经理</x:v>
      </x:c>
      <x:c r="X24" s="15" t="n">
        <x:v>46311</x:v>
      </x:c>
      <x:c r="Y24" s="10" t="str">
        <x:v>进行中</x:v>
      </x:c>
      <x:c r="Z24" s="10" t="str">
        <x:v>否</x:v>
      </x:c>
      <x:c r="AA24" s="10"/>
      <x:c r="AB24" s="11" t="str">
        <x:f t="shared" ca="1" si="3">IF(B24="","",IF(AND(H24="高",OR(J24="抵触",J24="不支持")),"高权力不支持；","")&amp;IF(L24&gt;0,"存在支持差距；","")&amp;IF(AND(T24&lt;&gt;"",T24&lt;TODAY()),"沟通逾期；","")&amp;IF(AND(V24&lt;&gt;"",X24&lt;TODAY(),Y24&lt;&gt;"已完成"),"行动逾期；","")&amp;IF(AND(Z24="是",AA24=""),"未填升级对象",""))</x:f>
        <x:v>存在支持差距；</x:v>
      </x:c>
      <x:c r="AC24" s="10" t="str">
        <x:v>联系电话：15311454916</x:v>
      </x:c>
    </x:row>
    <x:row r="25" ht="32" customHeight="1">
      <x:c r="A25" s="9" t="str">
        <x:f t="shared" si="0">IF(B25="","","SH-"&amp;TEXT(ROW()-8,"000"))</x:f>
        <x:v>SH-017</x:v>
      </x:c>
      <x:c r="B25" s="10" t="s">
        <x:v>90</x:v>
      </x:c>
      <x:c r="C25" s="10" t="s">
        <x:v>82</x:v>
      </x:c>
      <x:c r="D25" s="10" t="s">
        <x:v>91</x:v>
      </x:c>
      <x:c r="E25" s="10" t="s">
        <x:v>84</x:v>
      </x:c>
      <x:c r="F25" s="10" t="s">
        <x:v>92</x:v>
      </x:c>
      <x:c r="G25" s="10" t="s">
        <x:v>86</x:v>
      </x:c>
      <x:c r="H25" s="10" t="str">
        <x:v>高</x:v>
      </x:c>
      <x:c r="I25" s="10" t="str">
        <x:v>高</x:v>
      </x:c>
      <x:c r="J25" s="10" t="str">
        <x:v>支持</x:v>
      </x:c>
      <x:c r="K25" s="10" t="str">
        <x:v>积极推动</x:v>
      </x:c>
      <x:c r="L25" s="11" t="n">
        <x:f t="shared" si="1">IF(OR(J25="",K25=""),"",IF(K25="抵触",1,IF(K25="不支持",2,IF(K25="中立",3,IF(K25="支持",4,IF(K25="积极推动",5,"")))))-IF(J25="抵触",1,IF(J25="不支持",2,IF(J25="中立",3,IF(J25="支持",4,IF(J25="积极推动",5,""))))))</x:f>
        <x:v>1</x:v>
      </x:c>
      <x:c r="M25" s="10" t="str">
        <x:v>正向</x:v>
      </x:c>
      <x:c r="N25" s="10" t="str">
        <x:f t="shared" si="2">IF(OR(H25="",I25=""),"",IF(AND(H25="高",I25="高"),"重点管理",IF(H25="高","保持满意",IF(I25="高","保持沟通","监督观察"))))</x:f>
        <x:v>重点管理</x:v>
      </x:c>
      <x:c r="O25" s="10" t="s">
        <x:v>75</x:v>
      </x:c>
      <x:c r="P25" s="10" t="s">
        <x:v>46</x:v>
      </x:c>
      <x:c r="Q25" s="10" t="str">
        <x:v>启动准备、范围进度、资源、质量及协作机制</x:v>
      </x:c>
      <x:c r="R25" s="10" t="str">
        <x:v>项目集经理</x:v>
      </x:c>
      <x:c r="S25" s="15"/>
      <x:c r="T25" s="15" t="n">
        <x:v>46283</x:v>
      </x:c>
      <x:c r="U25" s="10" t="str">
        <x:v>即时通信、微信</x:v>
      </x:c>
      <x:c r="V25" s="10" t="str">
        <x:v>完成需求调研计划、原型与需求基线准备</x:v>
      </x:c>
      <x:c r="W25" s="10" t="str">
        <x:v>项目集经理</x:v>
      </x:c>
      <x:c r="X25" s="15" t="n">
        <x:v>46311</x:v>
      </x:c>
      <x:c r="Y25" s="10" t="str">
        <x:v>进行中</x:v>
      </x:c>
      <x:c r="Z25" s="10" t="str">
        <x:v>否</x:v>
      </x:c>
      <x:c r="AA25" s="10"/>
      <x:c r="AB25" s="11" t="str">
        <x:f t="shared" ca="1" si="3">IF(B25="","",IF(AND(H25="高",OR(J25="抵触",J25="不支持")),"高权力不支持；","")&amp;IF(L25&gt;0,"存在支持差距；","")&amp;IF(AND(T25&lt;&gt;"",T25&lt;TODAY()),"沟通逾期；","")&amp;IF(AND(V25&lt;&gt;"",X25&lt;TODAY(),Y25&lt;&gt;"已完成"),"行动逾期；","")&amp;IF(AND(Z25="是",AA25=""),"未填升级对象",""))</x:f>
        <x:v>存在支持差距；</x:v>
      </x:c>
      <x:c r="AC25" s="10" t="str">
        <x:v>联系电话：15735155384</x:v>
      </x:c>
    </x:row>
    <x:row r="26" ht="32" customHeight="1">
      <x:c r="A26" s="9" t="str">
        <x:f t="shared" si="0">IF(B26="","","SH-"&amp;TEXT(ROW()-8,"000"))</x:f>
        <x:v>SH-018</x:v>
      </x:c>
      <x:c r="B26" s="10" t="s">
        <x:v>93</x:v>
      </x:c>
      <x:c r="C26" s="10" t="s">
        <x:v>94</x:v>
      </x:c>
      <x:c r="D26" s="10" t="s">
        <x:v>95</x:v>
      </x:c>
      <x:c r="E26" s="10" t="s">
        <x:v>84</x:v>
      </x:c>
      <x:c r="F26" s="10" t="s">
        <x:v>96</x:v>
      </x:c>
      <x:c r="G26" s="10" t="s">
        <x:v>97</x:v>
      </x:c>
      <x:c r="H26" s="10" t="str">
        <x:v>中</x:v>
      </x:c>
      <x:c r="I26" s="10" t="str">
        <x:v>高</x:v>
      </x:c>
      <x:c r="J26" s="10" t="str">
        <x:v>中立</x:v>
      </x:c>
      <x:c r="K26" s="10" t="str">
        <x:v>支持</x:v>
      </x:c>
      <x:c r="L26" s="11" t="n">
        <x:f t="shared" si="1">IF(OR(J26="",K26=""),"",IF(K26="抵触",1,IF(K26="不支持",2,IF(K26="中立",3,IF(K26="支持",4,IF(K26="积极推动",5,"")))))-IF(J26="抵触",1,IF(J26="不支持",2,IF(J26="中立",3,IF(J26="支持",4,IF(J26="积极推动",5,""))))))</x:f>
        <x:v>1</x:v>
      </x:c>
      <x:c r="M26" s="10" t="str">
        <x:v>正向</x:v>
      </x:c>
      <x:c r="N26" s="10" t="str">
        <x:f t="shared" si="2">IF(OR(H26="",I26=""),"",IF(AND(H26="高",I26="高"),"重点管理",IF(H26="高","保持满意",IF(I26="高","保持沟通","监督观察"))))</x:f>
        <x:v>保持沟通</x:v>
      </x:c>
      <x:c r="O26" s="10" t="s">
        <x:v>75</x:v>
      </x:c>
      <x:c r="P26" s="10" t="s">
        <x:v>98</x:v>
      </x:c>
      <x:c r="Q26" s="10" t="str">
        <x:v>电子文档产品POC、技术适配和商务方案</x:v>
      </x:c>
      <x:c r="R26" s="10" t="str">
        <x:v>赵志悦</x:v>
      </x:c>
      <x:c r="S26" s="15"/>
      <x:c r="T26" s="15" t="n">
        <x:v>46283</x:v>
      </x:c>
      <x:c r="U26" s="10" t="str">
        <x:v>商务</x:v>
      </x:c>
      <x:c r="V26" s="10" t="str">
        <x:v>提交POC方案、环境与接口材料，配合完成验证</x:v>
      </x:c>
      <x:c r="W26" s="10" t="str">
        <x:v>赵志悦</x:v>
      </x:c>
      <x:c r="X26" s="15" t="n">
        <x:v>46290</x:v>
      </x:c>
      <x:c r="Y26" s="10" t="str">
        <x:v>进行中</x:v>
      </x:c>
      <x:c r="Z26" s="10" t="str">
        <x:v>否</x:v>
      </x:c>
      <x:c r="AA26" s="10"/>
      <x:c r="AB26" s="11" t="str">
        <x:f t="shared" ca="1" si="3">IF(B26="","",IF(AND(H26="高",OR(J26="抵触",J26="不支持")),"高权力不支持；","")&amp;IF(L26&gt;0,"存在支持差距；","")&amp;IF(AND(T26&lt;&gt;"",T26&lt;TODAY()),"沟通逾期；","")&amp;IF(AND(V26&lt;&gt;"",X26&lt;TODAY(),Y26&lt;&gt;"已完成"),"行动逾期；","")&amp;IF(AND(Z26="是",AA26=""),"未填升级对象",""))</x:f>
        <x:v>存在支持差距；</x:v>
      </x:c>
      <x:c r="AC26" s="10" t="str">
        <x:v>联系电话：18500950569</x:v>
      </x:c>
    </x:row>
    <x:row r="27" ht="32" customHeight="1">
      <x:c r="A27" s="9" t="str">
        <x:f t="shared" si="0">IF(B27="","","SH-"&amp;TEXT(ROW()-8,"000"))</x:f>
        <x:v>SH-019</x:v>
      </x:c>
      <x:c r="B27" s="10" t="s">
        <x:v>99</x:v>
      </x:c>
      <x:c r="C27" s="10" t="s">
        <x:v>100</x:v>
      </x:c>
      <x:c r="D27" s="10" t="s">
        <x:v>95</x:v>
      </x:c>
      <x:c r="E27" s="10" t="s">
        <x:v>84</x:v>
      </x:c>
      <x:c r="F27" s="10" t="s">
        <x:v>101</x:v>
      </x:c>
      <x:c r="G27" s="10" t="s">
        <x:v>97</x:v>
      </x:c>
      <x:c r="H27" s="10" t="str">
        <x:v>中</x:v>
      </x:c>
      <x:c r="I27" s="10" t="str">
        <x:v>高</x:v>
      </x:c>
      <x:c r="J27" s="10" t="str">
        <x:v>中立</x:v>
      </x:c>
      <x:c r="K27" s="10" t="str">
        <x:v>支持</x:v>
      </x:c>
      <x:c r="L27" s="11" t="n">
        <x:f t="shared" si="1">IF(OR(J27="",K27=""),"",IF(K27="抵触",1,IF(K27="不支持",2,IF(K27="中立",3,IF(K27="支持",4,IF(K27="积极推动",5,"")))))-IF(J27="抵触",1,IF(J27="不支持",2,IF(J27="中立",3,IF(J27="支持",4,IF(J27="积极推动",5,""))))))</x:f>
        <x:v>1</x:v>
      </x:c>
      <x:c r="M27" s="10" t="str">
        <x:v>正向</x:v>
      </x:c>
      <x:c r="N27" s="10" t="str">
        <x:f t="shared" si="2">IF(OR(H27="",I27=""),"",IF(AND(H27="高",I27="高"),"重点管理",IF(H27="高","保持满意",IF(I27="高","保持沟通","监督观察"))))</x:f>
        <x:v>保持沟通</x:v>
      </x:c>
      <x:c r="O27" s="10" t="s">
        <x:v>75</x:v>
      </x:c>
      <x:c r="P27" s="10" t="s">
        <x:v>98</x:v>
      </x:c>
      <x:c r="Q27" s="10" t="str">
        <x:v>电子文档产品POC、技术适配和商务方案</x:v>
      </x:c>
      <x:c r="R27" s="10" t="str">
        <x:v>赵志悦</x:v>
      </x:c>
      <x:c r="S27" s="15"/>
      <x:c r="T27" s="15" t="n">
        <x:v>46283</x:v>
      </x:c>
      <x:c r="U27" s="10" t="str">
        <x:v>商务</x:v>
      </x:c>
      <x:c r="V27" s="10" t="str">
        <x:v>提交POC方案、环境与接口材料，配合完成验证</x:v>
      </x:c>
      <x:c r="W27" s="10" t="str">
        <x:v>赵志悦</x:v>
      </x:c>
      <x:c r="X27" s="15" t="n">
        <x:v>46290</x:v>
      </x:c>
      <x:c r="Y27" s="10" t="str">
        <x:v>进行中</x:v>
      </x:c>
      <x:c r="Z27" s="10" t="str">
        <x:v>否</x:v>
      </x:c>
      <x:c r="AA27" s="10"/>
      <x:c r="AB27" s="11" t="str">
        <x:f t="shared" ca="1" si="3">IF(B27="","",IF(AND(H27="高",OR(J27="抵触",J27="不支持")),"高权力不支持；","")&amp;IF(L27&gt;0,"存在支持差距；","")&amp;IF(AND(T27&lt;&gt;"",T27&lt;TODAY()),"沟通逾期；","")&amp;IF(AND(V27&lt;&gt;"",X27&lt;TODAY(),Y27&lt;&gt;"已完成"),"行动逾期；","")&amp;IF(AND(Z27="是",AA27=""),"未填升级对象",""))</x:f>
        <x:v>存在支持差距；</x:v>
      </x:c>
      <x:c r="AC27" s="10" t="str">
        <x:v>联系电话：18201156495</x:v>
      </x:c>
    </x:row>
    <x:row r="28" ht="32" customHeight="1">
      <x:c r="A28" s="9" t="str">
        <x:f t="shared" si="0">IF(B28="","","SH-"&amp;TEXT(ROW()-8,"000"))</x:f>
        <x:v>SH-020</x:v>
      </x:c>
      <x:c r="B28" s="10" t="s">
        <x:v>102</x:v>
      </x:c>
      <x:c r="C28" s="10" t="s">
        <x:v>103</x:v>
      </x:c>
      <x:c r="D28" s="10" t="s">
        <x:v>95</x:v>
      </x:c>
      <x:c r="E28" s="10" t="s">
        <x:v>84</x:v>
      </x:c>
      <x:c r="F28" s="10" t="s">
        <x:v>104</x:v>
      </x:c>
      <x:c r="G28" s="10" t="s">
        <x:v>97</x:v>
      </x:c>
      <x:c r="H28" s="10" t="str">
        <x:v>中</x:v>
      </x:c>
      <x:c r="I28" s="10" t="str">
        <x:v>高</x:v>
      </x:c>
      <x:c r="J28" s="10" t="str">
        <x:v>中立</x:v>
      </x:c>
      <x:c r="K28" s="10" t="str">
        <x:v>支持</x:v>
      </x:c>
      <x:c r="L28" s="11" t="n">
        <x:f t="shared" si="1">IF(OR(J28="",K28=""),"",IF(K28="抵触",1,IF(K28="不支持",2,IF(K28="中立",3,IF(K28="支持",4,IF(K28="积极推动",5,"")))))-IF(J28="抵触",1,IF(J28="不支持",2,IF(J28="中立",3,IF(J28="支持",4,IF(J28="积极推动",5,""))))))</x:f>
        <x:v>1</x:v>
      </x:c>
      <x:c r="M28" s="10" t="str">
        <x:v>正向</x:v>
      </x:c>
      <x:c r="N28" s="10" t="str">
        <x:f t="shared" si="2">IF(OR(H28="",I28=""),"",IF(AND(H28="高",I28="高"),"重点管理",IF(H28="高","保持满意",IF(I28="高","保持沟通","监督观察"))))</x:f>
        <x:v>保持沟通</x:v>
      </x:c>
      <x:c r="O28" s="10" t="s">
        <x:v>75</x:v>
      </x:c>
      <x:c r="P28" s="10" t="s">
        <x:v>98</x:v>
      </x:c>
      <x:c r="Q28" s="10" t="str">
        <x:v>电子文档产品POC、技术适配和商务方案</x:v>
      </x:c>
      <x:c r="R28" s="10" t="str">
        <x:v>赵志悦</x:v>
      </x:c>
      <x:c r="S28" s="15"/>
      <x:c r="T28" s="15" t="n">
        <x:v>46283</x:v>
      </x:c>
      <x:c r="U28" s="10" t="str">
        <x:v>商务</x:v>
      </x:c>
      <x:c r="V28" s="10" t="str">
        <x:v>提交POC方案、环境与接口材料，配合完成验证</x:v>
      </x:c>
      <x:c r="W28" s="10" t="str">
        <x:v>赵志悦</x:v>
      </x:c>
      <x:c r="X28" s="15" t="n">
        <x:v>46290</x:v>
      </x:c>
      <x:c r="Y28" s="10" t="str">
        <x:v>进行中</x:v>
      </x:c>
      <x:c r="Z28" s="10" t="str">
        <x:v>否</x:v>
      </x:c>
      <x:c r="AA28" s="10"/>
      <x:c r="AB28" s="11" t="str">
        <x:f t="shared" ca="1" si="3">IF(B28="","",IF(AND(H28="高",OR(J28="抵触",J28="不支持")),"高权力不支持；","")&amp;IF(L28&gt;0,"存在支持差距；","")&amp;IF(AND(T28&lt;&gt;"",T28&lt;TODAY()),"沟通逾期；","")&amp;IF(AND(V28&lt;&gt;"",X28&lt;TODAY(),Y28&lt;&gt;"已完成"),"行动逾期；","")&amp;IF(AND(Z28="是",AA28=""),"未填升级对象",""))</x:f>
        <x:v>存在支持差距；</x:v>
      </x:c>
      <x:c r="AC28" s="10" t="str">
        <x:v>联系电话：18210225780</x:v>
      </x:c>
    </x:row>
    <x:row r="29" ht="32" customHeight="1">
      <x:c r="A29" s="9" t="str">
        <x:f t="shared" si="0">IF(B29="","","SH-"&amp;TEXT(ROW()-8,"000"))</x:f>
        <x:v>SH-021</x:v>
      </x:c>
      <x:c r="B29" s="10" t="s">
        <x:v>105</x:v>
      </x:c>
      <x:c r="C29" s="10" t="s">
        <x:v>106</x:v>
      </x:c>
      <x:c r="D29" s="10" t="s">
        <x:v>95</x:v>
      </x:c>
      <x:c r="E29" s="10" t="s">
        <x:v>84</x:v>
      </x:c>
      <x:c r="F29" s="10" t="s">
        <x:v>107</x:v>
      </x:c>
      <x:c r="G29" s="10" t="s">
        <x:v>97</x:v>
      </x:c>
      <x:c r="H29" s="10" t="str">
        <x:v>中</x:v>
      </x:c>
      <x:c r="I29" s="10" t="str">
        <x:v>高</x:v>
      </x:c>
      <x:c r="J29" s="10" t="str">
        <x:v>中立</x:v>
      </x:c>
      <x:c r="K29" s="10" t="str">
        <x:v>支持</x:v>
      </x:c>
      <x:c r="L29" s="11" t="n">
        <x:f t="shared" si="1">IF(OR(J29="",K29=""),"",IF(K29="抵触",1,IF(K29="不支持",2,IF(K29="中立",3,IF(K29="支持",4,IF(K29="积极推动",5,"")))))-IF(J29="抵触",1,IF(J29="不支持",2,IF(J29="中立",3,IF(J29="支持",4,IF(J29="积极推动",5,""))))))</x:f>
        <x:v>1</x:v>
      </x:c>
      <x:c r="M29" s="10" t="str">
        <x:v>正向</x:v>
      </x:c>
      <x:c r="N29" s="10" t="str">
        <x:f t="shared" si="2">IF(OR(H29="",I29=""),"",IF(AND(H29="高",I29="高"),"重点管理",IF(H29="高","保持满意",IF(I29="高","保持沟通","监督观察"))))</x:f>
        <x:v>保持沟通</x:v>
      </x:c>
      <x:c r="O29" s="10" t="s">
        <x:v>75</x:v>
      </x:c>
      <x:c r="P29" s="10" t="s">
        <x:v>98</x:v>
      </x:c>
      <x:c r="Q29" s="10" t="str">
        <x:v>电子文档产品POC、技术适配和商务方案</x:v>
      </x:c>
      <x:c r="R29" s="10" t="str">
        <x:v>赵志悦</x:v>
      </x:c>
      <x:c r="S29" s="15"/>
      <x:c r="T29" s="15" t="n">
        <x:v>46283</x:v>
      </x:c>
      <x:c r="U29" s="10" t="str">
        <x:v>商务</x:v>
      </x:c>
      <x:c r="V29" s="10" t="str">
        <x:v>提交POC方案、环境与接口材料，配合完成验证</x:v>
      </x:c>
      <x:c r="W29" s="10" t="str">
        <x:v>赵志悦</x:v>
      </x:c>
      <x:c r="X29" s="15" t="n">
        <x:v>46290</x:v>
      </x:c>
      <x:c r="Y29" s="10" t="str">
        <x:v>进行中</x:v>
      </x:c>
      <x:c r="Z29" s="10" t="str">
        <x:v>否</x:v>
      </x:c>
      <x:c r="AA29" s="10"/>
      <x:c r="AB29" s="11" t="str">
        <x:f t="shared" ca="1" si="3">IF(B29="","",IF(AND(H29="高",OR(J29="抵触",J29="不支持")),"高权力不支持；","")&amp;IF(L29&gt;0,"存在支持差距；","")&amp;IF(AND(T29&lt;&gt;"",T29&lt;TODAY()),"沟通逾期；","")&amp;IF(AND(V29&lt;&gt;"",X29&lt;TODAY(),Y29&lt;&gt;"已完成"),"行动逾期；","")&amp;IF(AND(Z29="是",AA29=""),"未填升级对象",""))</x:f>
        <x:v>存在支持差距；</x:v>
      </x:c>
      <x:c r="AC29" s="10" t="str">
        <x:v>联系电话：13520771314</x:v>
      </x:c>
    </x:row>
    <x:row r="30" ht="32" customHeight="1">
      <x:c r="A30" s="9" t="str">
        <x:f t="shared" si="0">IF(B30="","","SH-"&amp;TEXT(ROW()-8,"000"))</x:f>
        <x:v>SH-022</x:v>
      </x:c>
      <x:c r="B30" s="10" t="s">
        <x:v>108</x:v>
      </x:c>
      <x:c r="C30" s="10" t="s">
        <x:v>109</x:v>
      </x:c>
      <x:c r="D30" s="10" t="s">
        <x:v>95</x:v>
      </x:c>
      <x:c r="E30" s="10" t="s">
        <x:v>84</x:v>
      </x:c>
      <x:c r="F30" s="10" t="s">
        <x:v>110</x:v>
      </x:c>
      <x:c r="G30" s="10" t="s">
        <x:v>97</x:v>
      </x:c>
      <x:c r="H30" s="10" t="str">
        <x:v>中</x:v>
      </x:c>
      <x:c r="I30" s="10" t="str">
        <x:v>高</x:v>
      </x:c>
      <x:c r="J30" s="10" t="str">
        <x:v>中立</x:v>
      </x:c>
      <x:c r="K30" s="10" t="str">
        <x:v>支持</x:v>
      </x:c>
      <x:c r="L30" s="11" t="n">
        <x:f t="shared" si="1">IF(OR(J30="",K30=""),"",IF(K30="抵触",1,IF(K30="不支持",2,IF(K30="中立",3,IF(K30="支持",4,IF(K30="积极推动",5,"")))))-IF(J30="抵触",1,IF(J30="不支持",2,IF(J30="中立",3,IF(J30="支持",4,IF(J30="积极推动",5,""))))))</x:f>
        <x:v>1</x:v>
      </x:c>
      <x:c r="M30" s="10" t="str">
        <x:v>正向</x:v>
      </x:c>
      <x:c r="N30" s="10" t="str">
        <x:f t="shared" si="2">IF(OR(H30="",I30=""),"",IF(AND(H30="高",I30="高"),"重点管理",IF(H30="高","保持满意",IF(I30="高","保持沟通","监督观察"))))</x:f>
        <x:v>保持沟通</x:v>
      </x:c>
      <x:c r="O30" s="10" t="s">
        <x:v>75</x:v>
      </x:c>
      <x:c r="P30" s="10" t="s">
        <x:v>98</x:v>
      </x:c>
      <x:c r="Q30" s="10" t="str">
        <x:v>BI报表产品POC、技术适配和商务方案</x:v>
      </x:c>
      <x:c r="R30" s="10" t="str">
        <x:v>赵志悦</x:v>
      </x:c>
      <x:c r="S30" s="15"/>
      <x:c r="T30" s="15" t="n">
        <x:v>46283</x:v>
      </x:c>
      <x:c r="U30" s="10" t="str">
        <x:v>商务</x:v>
      </x:c>
      <x:c r="V30" s="10" t="str">
        <x:v>提交POC方案、环境与接口材料，配合完成验证</x:v>
      </x:c>
      <x:c r="W30" s="10" t="str">
        <x:v>赵志悦</x:v>
      </x:c>
      <x:c r="X30" s="15" t="n">
        <x:v>46290</x:v>
      </x:c>
      <x:c r="Y30" s="10" t="str">
        <x:v>进行中</x:v>
      </x:c>
      <x:c r="Z30" s="10" t="str">
        <x:v>否</x:v>
      </x:c>
      <x:c r="AA30" s="10"/>
      <x:c r="AB30" s="11" t="str">
        <x:f t="shared" ca="1" si="3">IF(B30="","",IF(AND(H30="高",OR(J30="抵触",J30="不支持")),"高权力不支持；","")&amp;IF(L30&gt;0,"存在支持差距；","")&amp;IF(AND(T30&lt;&gt;"",T30&lt;TODAY()),"沟通逾期；","")&amp;IF(AND(V30&lt;&gt;"",X30&lt;TODAY(),Y30&lt;&gt;"已完成"),"行动逾期；","")&amp;IF(AND(Z30="是",AA30=""),"未填升级对象",""))</x:f>
        <x:v>存在支持差距；</x:v>
      </x:c>
      <x:c r="AC30" s="10" t="str">
        <x:v>联系电话：18519269076</x:v>
      </x:c>
    </x:row>
    <x:row r="31" ht="32" customHeight="1">
      <x:c r="A31" s="9" t="str">
        <x:f t="shared" si="0">IF(B31="","","SH-"&amp;TEXT(ROW()-8,"000"))</x:f>
        <x:v>SH-023</x:v>
      </x:c>
      <x:c r="B31" s="10" t="s">
        <x:v>111</x:v>
      </x:c>
      <x:c r="C31" s="10" t="s">
        <x:v>112</x:v>
      </x:c>
      <x:c r="D31" s="10" t="s">
        <x:v>95</x:v>
      </x:c>
      <x:c r="E31" s="10" t="s">
        <x:v>84</x:v>
      </x:c>
      <x:c r="F31" s="10" t="s">
        <x:v>113</x:v>
      </x:c>
      <x:c r="G31" s="10" t="s">
        <x:v>97</x:v>
      </x:c>
      <x:c r="H31" s="10" t="str">
        <x:v>中</x:v>
      </x:c>
      <x:c r="I31" s="10" t="str">
        <x:v>高</x:v>
      </x:c>
      <x:c r="J31" s="10" t="str">
        <x:v>中立</x:v>
      </x:c>
      <x:c r="K31" s="10" t="str">
        <x:v>支持</x:v>
      </x:c>
      <x:c r="L31" s="11" t="n">
        <x:f t="shared" si="1">IF(OR(J31="",K31=""),"",IF(K31="抵触",1,IF(K31="不支持",2,IF(K31="中立",3,IF(K31="支持",4,IF(K31="积极推动",5,"")))))-IF(J31="抵触",1,IF(J31="不支持",2,IF(J31="中立",3,IF(J31="支持",4,IF(J31="积极推动",5,""))))))</x:f>
        <x:v>1</x:v>
      </x:c>
      <x:c r="M31" s="10" t="str">
        <x:v>正向</x:v>
      </x:c>
      <x:c r="N31" s="10" t="str">
        <x:f t="shared" si="2">IF(OR(H31="",I31=""),"",IF(AND(H31="高",I31="高"),"重点管理",IF(H31="高","保持满意",IF(I31="高","保持沟通","监督观察"))))</x:f>
        <x:v>保持沟通</x:v>
      </x:c>
      <x:c r="O31" s="10" t="s">
        <x:v>75</x:v>
      </x:c>
      <x:c r="P31" s="10" t="s">
        <x:v>98</x:v>
      </x:c>
      <x:c r="Q31" s="10" t="str">
        <x:v>BI报表产品POC、技术适配和商务方案</x:v>
      </x:c>
      <x:c r="R31" s="10" t="str">
        <x:v>赵志悦</x:v>
      </x:c>
      <x:c r="S31" s="15"/>
      <x:c r="T31" s="15" t="n">
        <x:v>46283</x:v>
      </x:c>
      <x:c r="U31" s="10" t="str">
        <x:v>商务</x:v>
      </x:c>
      <x:c r="V31" s="10" t="str">
        <x:v>提交POC方案、环境与接口材料，配合完成验证</x:v>
      </x:c>
      <x:c r="W31" s="10" t="str">
        <x:v>赵志悦</x:v>
      </x:c>
      <x:c r="X31" s="15" t="n">
        <x:v>46290</x:v>
      </x:c>
      <x:c r="Y31" s="10" t="str">
        <x:v>进行中</x:v>
      </x:c>
      <x:c r="Z31" s="10" t="str">
        <x:v>否</x:v>
      </x:c>
      <x:c r="AA31" s="10"/>
      <x:c r="AB31" s="11" t="str">
        <x:f t="shared" ca="1" si="3">IF(B31="","",IF(AND(H31="高",OR(J31="抵触",J31="不支持")),"高权力不支持；","")&amp;IF(L31&gt;0,"存在支持差距；","")&amp;IF(AND(T31&lt;&gt;"",T31&lt;TODAY()),"沟通逾期；","")&amp;IF(AND(V31&lt;&gt;"",X31&lt;TODAY(),Y31&lt;&gt;"已完成"),"行动逾期；","")&amp;IF(AND(Z31="是",AA31=""),"未填升级对象",""))</x:f>
        <x:v>存在支持差距；</x:v>
      </x:c>
      <x:c r="AC31" s="10" t="str">
        <x:v>联系电话：15701252620</x:v>
      </x:c>
    </x:row>
    <x:row r="32" ht="32" customHeight="1">
      <x:c r="A32" s="9" t="str">
        <x:f t="shared" si="0">IF(B32="","","SH-"&amp;TEXT(ROW()-8,"000"))</x:f>
        <x:v>SH-024</x:v>
      </x:c>
      <x:c r="B32" s="10" t="s">
        <x:v>114</x:v>
      </x:c>
      <x:c r="C32" s="10" t="s">
        <x:v>115</x:v>
      </x:c>
      <x:c r="D32" s="10" t="s">
        <x:v>95</x:v>
      </x:c>
      <x:c r="E32" s="10" t="s">
        <x:v>84</x:v>
      </x:c>
      <x:c r="F32" s="10" t="s">
        <x:v>116</x:v>
      </x:c>
      <x:c r="G32" s="10" t="s">
        <x:v>97</x:v>
      </x:c>
      <x:c r="H32" s="10" t="str">
        <x:v>中</x:v>
      </x:c>
      <x:c r="I32" s="10" t="str">
        <x:v>高</x:v>
      </x:c>
      <x:c r="J32" s="10" t="str">
        <x:v>中立</x:v>
      </x:c>
      <x:c r="K32" s="10" t="str">
        <x:v>支持</x:v>
      </x:c>
      <x:c r="L32" s="11" t="n">
        <x:f t="shared" si="1">IF(OR(J32="",K32=""),"",IF(K32="抵触",1,IF(K32="不支持",2,IF(K32="中立",3,IF(K32="支持",4,IF(K32="积极推动",5,"")))))-IF(J32="抵触",1,IF(J32="不支持",2,IF(J32="中立",3,IF(J32="支持",4,IF(J32="积极推动",5,""))))))</x:f>
        <x:v>1</x:v>
      </x:c>
      <x:c r="M32" s="10" t="str">
        <x:v>正向</x:v>
      </x:c>
      <x:c r="N32" s="10" t="str">
        <x:f t="shared" si="2">IF(OR(H32="",I32=""),"",IF(AND(H32="高",I32="高"),"重点管理",IF(H32="高","保持满意",IF(I32="高","保持沟通","监督观察"))))</x:f>
        <x:v>保持沟通</x:v>
      </x:c>
      <x:c r="O32" s="10" t="s">
        <x:v>75</x:v>
      </x:c>
      <x:c r="P32" s="10" t="s">
        <x:v>98</x:v>
      </x:c>
      <x:c r="Q32" s="10" t="str">
        <x:v>BI报表产品POC、技术适配和商务方案</x:v>
      </x:c>
      <x:c r="R32" s="10" t="str">
        <x:v>赵志悦</x:v>
      </x:c>
      <x:c r="S32" s="15"/>
      <x:c r="T32" s="15" t="n">
        <x:v>46283</x:v>
      </x:c>
      <x:c r="U32" s="10" t="str">
        <x:v>商务</x:v>
      </x:c>
      <x:c r="V32" s="10" t="str">
        <x:v>提交POC方案、环境与接口材料，配合完成验证</x:v>
      </x:c>
      <x:c r="W32" s="10" t="str">
        <x:v>赵志悦</x:v>
      </x:c>
      <x:c r="X32" s="15" t="n">
        <x:v>46290</x:v>
      </x:c>
      <x:c r="Y32" s="10" t="str">
        <x:v>进行中</x:v>
      </x:c>
      <x:c r="Z32" s="10" t="str">
        <x:v>否</x:v>
      </x:c>
      <x:c r="AA32" s="10"/>
      <x:c r="AB32" s="11" t="str">
        <x:f t="shared" ca="1" si="3">IF(B32="","",IF(AND(H32="高",OR(J32="抵触",J32="不支持")),"高权力不支持；","")&amp;IF(L32&gt;0,"存在支持差距；","")&amp;IF(AND(T32&lt;&gt;"",T32&lt;TODAY()),"沟通逾期；","")&amp;IF(AND(V32&lt;&gt;"",X32&lt;TODAY(),Y32&lt;&gt;"已完成"),"行动逾期；","")&amp;IF(AND(Z32="是",AA32=""),"未填升级对象",""))</x:f>
        <x:v>存在支持差距；</x:v>
      </x:c>
      <x:c r="AC32" s="10" t="str">
        <x:v>联系电话：18810787659</x:v>
      </x:c>
    </x:row>
    <x:row r="33" ht="32" customHeight="1">
      <x:c r="A33" s="9" t="str">
        <x:f t="shared" si="0">IF(B33="","","SH-"&amp;TEXT(ROW()-8,"000"))</x:f>
        <x:v>SH-025</x:v>
      </x:c>
      <x:c r="B33" s="10" t="s">
        <x:v>117</x:v>
      </x:c>
      <x:c r="C33" s="10" t="s">
        <x:v>118</x:v>
      </x:c>
      <x:c r="D33" s="10" t="s">
        <x:v>95</x:v>
      </x:c>
      <x:c r="E33" s="10" t="s">
        <x:v>84</x:v>
      </x:c>
      <x:c r="F33" s="10" t="s">
        <x:v>119</x:v>
      </x:c>
      <x:c r="G33" s="10" t="s">
        <x:v>97</x:v>
      </x:c>
      <x:c r="H33" s="10" t="str">
        <x:v>中</x:v>
      </x:c>
      <x:c r="I33" s="10" t="str">
        <x:v>高</x:v>
      </x:c>
      <x:c r="J33" s="10" t="str">
        <x:v>中立</x:v>
      </x:c>
      <x:c r="K33" s="10" t="str">
        <x:v>支持</x:v>
      </x:c>
      <x:c r="L33" s="11" t="n">
        <x:f t="shared" si="1">IF(OR(J33="",K33=""),"",IF(K33="抵触",1,IF(K33="不支持",2,IF(K33="中立",3,IF(K33="支持",4,IF(K33="积极推动",5,"")))))-IF(J33="抵触",1,IF(J33="不支持",2,IF(J33="中立",3,IF(J33="支持",4,IF(J33="积极推动",5,""))))))</x:f>
        <x:v>1</x:v>
      </x:c>
      <x:c r="M33" s="10" t="str">
        <x:v>正向</x:v>
      </x:c>
      <x:c r="N33" s="10" t="str">
        <x:f t="shared" si="2">IF(OR(H33="",I33=""),"",IF(AND(H33="高",I33="高"),"重点管理",IF(H33="高","保持满意",IF(I33="高","保持沟通","监督观察"))))</x:f>
        <x:v>保持沟通</x:v>
      </x:c>
      <x:c r="O33" s="10" t="s">
        <x:v>75</x:v>
      </x:c>
      <x:c r="P33" s="10" t="s">
        <x:v>98</x:v>
      </x:c>
      <x:c r="Q33" s="10" t="str">
        <x:v>CA/电子签章产品POC、技术适配和商务方案</x:v>
      </x:c>
      <x:c r="R33" s="10" t="str">
        <x:v>黄磊/赵志悦</x:v>
      </x:c>
      <x:c r="S33" s="15"/>
      <x:c r="T33" s="15" t="n">
        <x:v>46283</x:v>
      </x:c>
      <x:c r="U33" s="10" t="str">
        <x:v>商务</x:v>
      </x:c>
      <x:c r="V33" s="10" t="str">
        <x:v>提交POC方案、环境与接口材料，配合完成验证</x:v>
      </x:c>
      <x:c r="W33" s="10" t="str">
        <x:v>黄磊/赵志悦</x:v>
      </x:c>
      <x:c r="X33" s="15" t="n">
        <x:v>46290</x:v>
      </x:c>
      <x:c r="Y33" s="10" t="str">
        <x:v>进行中</x:v>
      </x:c>
      <x:c r="Z33" s="10" t="str">
        <x:v>否</x:v>
      </x:c>
      <x:c r="AA33" s="10"/>
      <x:c r="AB33" s="11" t="str">
        <x:f t="shared" ca="1" si="3">IF(B33="","",IF(AND(H33="高",OR(J33="抵触",J33="不支持")),"高权力不支持；","")&amp;IF(L33&gt;0,"存在支持差距；","")&amp;IF(AND(T33&lt;&gt;"",T33&lt;TODAY()),"沟通逾期；","")&amp;IF(AND(V33&lt;&gt;"",X33&lt;TODAY(),Y33&lt;&gt;"已完成"),"行动逾期；","")&amp;IF(AND(Z33="是",AA33=""),"未填升级对象",""))</x:f>
        <x:v>存在支持差距；</x:v>
      </x:c>
      <x:c r="AC33" s="10" t="str">
        <x:v>联系电话：18811229100</x:v>
      </x:c>
    </x:row>
    <x:row r="34" ht="32" customHeight="1">
      <x:c r="A34" s="9" t="str">
        <x:f t="shared" si="0">IF(B34="","","SH-"&amp;TEXT(ROW()-8,"000"))</x:f>
        <x:v>SH-026</x:v>
      </x:c>
      <x:c r="B34" s="10" t="s">
        <x:v>120</x:v>
      </x:c>
      <x:c r="C34" s="10" t="s">
        <x:v>121</x:v>
      </x:c>
      <x:c r="D34" s="10" t="s">
        <x:v>95</x:v>
      </x:c>
      <x:c r="E34" s="10" t="s">
        <x:v>84</x:v>
      </x:c>
      <x:c r="F34" s="10" t="s">
        <x:v>122</x:v>
      </x:c>
      <x:c r="G34" s="10" t="s">
        <x:v>97</x:v>
      </x:c>
      <x:c r="H34" s="10" t="str">
        <x:v>中</x:v>
      </x:c>
      <x:c r="I34" s="10" t="str">
        <x:v>高</x:v>
      </x:c>
      <x:c r="J34" s="10" t="str">
        <x:v>中立</x:v>
      </x:c>
      <x:c r="K34" s="10" t="str">
        <x:v>支持</x:v>
      </x:c>
      <x:c r="L34" s="11" t="n">
        <x:f t="shared" si="1">IF(OR(J34="",K34=""),"",IF(K34="抵触",1,IF(K34="不支持",2,IF(K34="中立",3,IF(K34="支持",4,IF(K34="积极推动",5,"")))))-IF(J34="抵触",1,IF(J34="不支持",2,IF(J34="中立",3,IF(J34="支持",4,IF(J34="积极推动",5,""))))))</x:f>
        <x:v>1</x:v>
      </x:c>
      <x:c r="M34" s="10" t="str">
        <x:v>正向</x:v>
      </x:c>
      <x:c r="N34" s="10" t="str">
        <x:f t="shared" si="2">IF(OR(H34="",I34=""),"",IF(AND(H34="高",I34="高"),"重点管理",IF(H34="高","保持满意",IF(I34="高","保持沟通","监督观察"))))</x:f>
        <x:v>保持沟通</x:v>
      </x:c>
      <x:c r="O34" s="10" t="s">
        <x:v>75</x:v>
      </x:c>
      <x:c r="P34" s="10" t="s">
        <x:v>98</x:v>
      </x:c>
      <x:c r="Q34" s="10" t="str">
        <x:v>CA/电子签章产品POC、技术适配和商务方案</x:v>
      </x:c>
      <x:c r="R34" s="10" t="str">
        <x:v>黄磊/赵志悦</x:v>
      </x:c>
      <x:c r="S34" s="15"/>
      <x:c r="T34" s="15" t="n">
        <x:v>46283</x:v>
      </x:c>
      <x:c r="U34" s="10" t="str">
        <x:v>商务</x:v>
      </x:c>
      <x:c r="V34" s="10" t="str">
        <x:v>提交POC方案、环境与接口材料，配合完成验证</x:v>
      </x:c>
      <x:c r="W34" s="10" t="str">
        <x:v>黄磊/赵志悦</x:v>
      </x:c>
      <x:c r="X34" s="15" t="n">
        <x:v>46290</x:v>
      </x:c>
      <x:c r="Y34" s="10" t="str">
        <x:v>进行中</x:v>
      </x:c>
      <x:c r="Z34" s="10" t="str">
        <x:v>否</x:v>
      </x:c>
      <x:c r="AA34" s="10"/>
      <x:c r="AB34" s="11" t="str">
        <x:f t="shared" ca="1" si="3">IF(B34="","",IF(AND(H34="高",OR(J34="抵触",J34="不支持")),"高权力不支持；","")&amp;IF(L34&gt;0,"存在支持差距；","")&amp;IF(AND(T34&lt;&gt;"",T34&lt;TODAY()),"沟通逾期；","")&amp;IF(AND(V34&lt;&gt;"",X34&lt;TODAY(),Y34&lt;&gt;"已完成"),"行动逾期；","")&amp;IF(AND(Z34="是",AA34=""),"未填升级对象",""))</x:f>
        <x:v>存在支持差距；</x:v>
      </x:c>
      <x:c r="AC34" s="10" t="str">
        <x:v>联系电话：13910655628</x:v>
      </x:c>
    </x:row>
    <x:row r="35" ht="32" customHeight="1">
      <x:c r="A35" s="9" t="str">
        <x:f t="shared" si="0">IF(B35="","","SH-"&amp;TEXT(ROW()-8,"000"))</x:f>
        <x:v>SH-027</x:v>
      </x:c>
      <x:c r="B35" s="10" t="s">
        <x:v>123</x:v>
      </x:c>
      <x:c r="C35" s="10" t="s">
        <x:v>124</x:v>
      </x:c>
      <x:c r="D35" s="10" t="s">
        <x:v>95</x:v>
      </x:c>
      <x:c r="E35" s="10" t="s">
        <x:v>84</x:v>
      </x:c>
      <x:c r="F35" s="10" t="s">
        <x:v>125</x:v>
      </x:c>
      <x:c r="G35" s="10" t="s">
        <x:v>97</x:v>
      </x:c>
      <x:c r="H35" s="10" t="str">
        <x:v>中</x:v>
      </x:c>
      <x:c r="I35" s="10" t="str">
        <x:v>高</x:v>
      </x:c>
      <x:c r="J35" s="10" t="str">
        <x:v>中立</x:v>
      </x:c>
      <x:c r="K35" s="10" t="str">
        <x:v>支持</x:v>
      </x:c>
      <x:c r="L35" s="11" t="n">
        <x:f t="shared" si="1">IF(OR(J35="",K35=""),"",IF(K35="抵触",1,IF(K35="不支持",2,IF(K35="中立",3,IF(K35="支持",4,IF(K35="积极推动",5,"")))))-IF(J35="抵触",1,IF(J35="不支持",2,IF(J35="中立",3,IF(J35="支持",4,IF(J35="积极推动",5,""))))))</x:f>
        <x:v>1</x:v>
      </x:c>
      <x:c r="M35" s="10" t="str">
        <x:v>正向</x:v>
      </x:c>
      <x:c r="N35" s="10" t="str">
        <x:f t="shared" si="2">IF(OR(H35="",I35=""),"",IF(AND(H35="高",I35="高"),"重点管理",IF(H35="高","保持满意",IF(I35="高","保持沟通","监督观察"))))</x:f>
        <x:v>保持沟通</x:v>
      </x:c>
      <x:c r="O35" s="10" t="s">
        <x:v>75</x:v>
      </x:c>
      <x:c r="P35" s="10" t="s">
        <x:v>98</x:v>
      </x:c>
      <x:c r="Q35" s="10" t="str">
        <x:v>CA/电子签章产品POC、技术适配和商务方案</x:v>
      </x:c>
      <x:c r="R35" s="10" t="str">
        <x:v>黄磊/赵志悦</x:v>
      </x:c>
      <x:c r="S35" s="15"/>
      <x:c r="T35" s="15" t="n">
        <x:v>46283</x:v>
      </x:c>
      <x:c r="U35" s="10" t="str">
        <x:v>商务</x:v>
      </x:c>
      <x:c r="V35" s="10" t="str">
        <x:v>提交POC方案、环境与接口材料，配合完成验证</x:v>
      </x:c>
      <x:c r="W35" s="10" t="str">
        <x:v>黄磊/赵志悦</x:v>
      </x:c>
      <x:c r="X35" s="15" t="n">
        <x:v>46290</x:v>
      </x:c>
      <x:c r="Y35" s="10" t="str">
        <x:v>进行中</x:v>
      </x:c>
      <x:c r="Z35" s="10" t="str">
        <x:v>否</x:v>
      </x:c>
      <x:c r="AA35" s="10"/>
      <x:c r="AB35" s="11" t="str">
        <x:f t="shared" ca="1" si="3">IF(B35="","",IF(AND(H35="高",OR(J35="抵触",J35="不支持")),"高权力不支持；","")&amp;IF(L35&gt;0,"存在支持差距；","")&amp;IF(AND(T35&lt;&gt;"",T35&lt;TODAY()),"沟通逾期；","")&amp;IF(AND(V35&lt;&gt;"",X35&lt;TODAY(),Y35&lt;&gt;"已完成"),"行动逾期；","")&amp;IF(AND(Z35="是",AA35=""),"未填升级对象",""))</x:f>
        <x:v>存在支持差距；</x:v>
      </x:c>
      <x:c r="AC35" s="10" t="str">
        <x:v>联系电话：13701266895</x:v>
      </x:c>
    </x:row>
    <x:row r="36" ht="32" customHeight="1">
      <x:c r="A36" s="9" t="str">
        <x:f t="shared" si="0">IF(B36="","","SH-"&amp;TEXT(ROW()-8,"000"))</x:f>
        <x:v>SH-028</x:v>
      </x:c>
      <x:c r="B36" s="10" t="s">
        <x:v>126</x:v>
      </x:c>
      <x:c r="C36" s="10" t="s">
        <x:v>127</x:v>
      </x:c>
      <x:c r="D36" s="10" t="s">
        <x:v>128</x:v>
      </x:c>
      <x:c r="E36" s="10" t="s">
        <x:v>84</x:v>
      </x:c>
      <x:c r="F36" s="10" t="s">
        <x:v>129</x:v>
      </x:c>
      <x:c r="G36" s="10" t="s">
        <x:v>97</x:v>
      </x:c>
      <x:c r="H36" s="10" t="str">
        <x:v>中</x:v>
      </x:c>
      <x:c r="I36" s="10" t="str">
        <x:v>高</x:v>
      </x:c>
      <x:c r="J36" s="10" t="str">
        <x:v>中立</x:v>
      </x:c>
      <x:c r="K36" s="10" t="str">
        <x:v>支持</x:v>
      </x:c>
      <x:c r="L36" s="11" t="n">
        <x:f t="shared" si="1">IF(OR(J36="",K36=""),"",IF(K36="抵触",1,IF(K36="不支持",2,IF(K36="中立",3,IF(K36="支持",4,IF(K36="积极推动",5,"")))))-IF(J36="抵触",1,IF(J36="不支持",2,IF(J36="中立",3,IF(J36="支持",4,IF(J36="积极推动",5,""))))))</x:f>
        <x:v>1</x:v>
      </x:c>
      <x:c r="M36" s="10" t="str">
        <x:v>正向</x:v>
      </x:c>
      <x:c r="N36" s="10" t="str">
        <x:f t="shared" si="2">IF(OR(H36="",I36=""),"",IF(AND(H36="高",I36="高"),"重点管理",IF(H36="高","保持满意",IF(I36="高","保持沟通","监督观察"))))</x:f>
        <x:v>保持沟通</x:v>
      </x:c>
      <x:c r="O36" s="10" t="s">
        <x:v>75</x:v>
      </x:c>
      <x:c r="P36" s="10" t="s">
        <x:v>98</x:v>
      </x:c>
      <x:c r="Q36" s="10" t="str">
        <x:v>CA/电子签章产品POC、技术适配和商务方案</x:v>
      </x:c>
      <x:c r="R36" s="10" t="str">
        <x:v>黄磊/赵志悦</x:v>
      </x:c>
      <x:c r="S36" s="15"/>
      <x:c r="T36" s="15" t="n">
        <x:v>46283</x:v>
      </x:c>
      <x:c r="U36" s="10" t="str"/>
      <x:c r="V36" s="10" t="str">
        <x:v>提交POC方案、环境与接口材料，配合完成验证</x:v>
      </x:c>
      <x:c r="W36" s="10" t="str">
        <x:v>黄磊/赵志悦</x:v>
      </x:c>
      <x:c r="X36" s="15" t="n">
        <x:v>46290</x:v>
      </x:c>
      <x:c r="Y36" s="10" t="str">
        <x:v>进行中</x:v>
      </x:c>
      <x:c r="Z36" s="10" t="str">
        <x:v>否</x:v>
      </x:c>
      <x:c r="AA36" s="10"/>
      <x:c r="AB36" s="11" t="str">
        <x:f t="shared" ca="1" si="3">IF(B36="","",IF(AND(H36="高",OR(J36="抵触",J36="不支持")),"高权力不支持；","")&amp;IF(L36&gt;0,"存在支持差距；","")&amp;IF(AND(T36&lt;&gt;"",T36&lt;TODAY()),"沟通逾期；","")&amp;IF(AND(V36&lt;&gt;"",X36&lt;TODAY(),Y36&lt;&gt;"已完成"),"行动逾期；","")&amp;IF(AND(Z36="是",AA36=""),"未填升级对象",""))</x:f>
        <x:v>存在支持差距；</x:v>
      </x:c>
      <x:c r="AC36" s="10" t="str">
        <x:v>联系电话：15810436980</x:v>
      </x:c>
    </x:row>
    <x:row r="37" ht="32" customHeight="1">
      <x:c r="A37" s="9" t="str">
        <x:f t="shared" si="0">IF(B37="","","SH-"&amp;TEXT(ROW()-8,"000"))</x:f>
        <x:v>SH-029</x:v>
      </x:c>
      <x:c r="B37" s="10" t="s">
        <x:v>130</x:v>
      </x:c>
      <x:c r="C37" s="10" t="s">
        <x:v>131</x:v>
      </x:c>
      <x:c r="D37" s="10" t="s">
        <x:v>95</x:v>
      </x:c>
      <x:c r="E37" s="10" t="s">
        <x:v>84</x:v>
      </x:c>
      <x:c r="F37" s="10" t="s">
        <x:v>132</x:v>
      </x:c>
      <x:c r="G37" s="10" t="s">
        <x:v>97</x:v>
      </x:c>
      <x:c r="H37" s="10" t="str">
        <x:v>中</x:v>
      </x:c>
      <x:c r="I37" s="10" t="str">
        <x:v>高</x:v>
      </x:c>
      <x:c r="J37" s="10" t="str">
        <x:v>中立</x:v>
      </x:c>
      <x:c r="K37" s="10" t="str">
        <x:v>支持</x:v>
      </x:c>
      <x:c r="L37" s="11" t="n">
        <x:f t="shared" si="1">IF(OR(J37="",K37=""),"",IF(K37="抵触",1,IF(K37="不支持",2,IF(K37="中立",3,IF(K37="支持",4,IF(K37="积极推动",5,"")))))-IF(J37="抵触",1,IF(J37="不支持",2,IF(J37="中立",3,IF(J37="支持",4,IF(J37="积极推动",5,""))))))</x:f>
        <x:v>1</x:v>
      </x:c>
      <x:c r="M37" s="10" t="str">
        <x:v>正向</x:v>
      </x:c>
      <x:c r="N37" s="10" t="str">
        <x:f t="shared" si="2">IF(OR(H37="",I37=""),"",IF(AND(H37="高",I37="高"),"重点管理",IF(H37="高","保持满意",IF(I37="高","保持沟通","监督观察"))))</x:f>
        <x:v>保持沟通</x:v>
      </x:c>
      <x:c r="O37" s="10" t="s">
        <x:v>75</x:v>
      </x:c>
      <x:c r="P37" s="10" t="s">
        <x:v>98</x:v>
      </x:c>
      <x:c r="Q37" s="10" t="str">
        <x:v>国产数据库产品POC、技术适配和商务方案</x:v>
      </x:c>
      <x:c r="R37" s="10" t="str">
        <x:v>黄磊</x:v>
      </x:c>
      <x:c r="S37" s="15"/>
      <x:c r="T37" s="15" t="n">
        <x:v>46283</x:v>
      </x:c>
      <x:c r="U37" s="10" t="str">
        <x:v>商务</x:v>
      </x:c>
      <x:c r="V37" s="10" t="str">
        <x:v>提交POC方案、环境与接口材料，配合完成验证</x:v>
      </x:c>
      <x:c r="W37" s="10" t="str">
        <x:v>黄磊</x:v>
      </x:c>
      <x:c r="X37" s="15" t="n">
        <x:v>46290</x:v>
      </x:c>
      <x:c r="Y37" s="10" t="str">
        <x:v>进行中</x:v>
      </x:c>
      <x:c r="Z37" s="10" t="str">
        <x:v>否</x:v>
      </x:c>
      <x:c r="AA37" s="10"/>
      <x:c r="AB37" s="11" t="str">
        <x:f t="shared" ca="1" si="3">IF(B37="","",IF(AND(H37="高",OR(J37="抵触",J37="不支持")),"高权力不支持；","")&amp;IF(L37&gt;0,"存在支持差距；","")&amp;IF(AND(T37&lt;&gt;"",T37&lt;TODAY()),"沟通逾期；","")&amp;IF(AND(V37&lt;&gt;"",X37&lt;TODAY(),Y37&lt;&gt;"已完成"),"行动逾期；","")&amp;IF(AND(Z37="是",AA37=""),"未填升级对象",""))</x:f>
        <x:v>存在支持差距；</x:v>
      </x:c>
      <x:c r="AC37" s="10" t="str">
        <x:v>联系电话：17610285971</x:v>
      </x:c>
    </x:row>
    <x:row r="38" ht="32" customHeight="1">
      <x:c r="A38" s="9" t="str">
        <x:f t="shared" si="0">IF(B38="","","SH-"&amp;TEXT(ROW()-8,"000"))</x:f>
        <x:v>SH-030</x:v>
      </x:c>
      <x:c r="B38" s="10" t="s">
        <x:v>133</x:v>
      </x:c>
      <x:c r="C38" s="10" t="s">
        <x:v>134</x:v>
      </x:c>
      <x:c r="D38" s="10" t="s">
        <x:v>95</x:v>
      </x:c>
      <x:c r="E38" s="10" t="s">
        <x:v>84</x:v>
      </x:c>
      <x:c r="F38" s="10" t="s">
        <x:v>135</x:v>
      </x:c>
      <x:c r="G38" s="10" t="s">
        <x:v>97</x:v>
      </x:c>
      <x:c r="H38" s="10" t="str">
        <x:v>中</x:v>
      </x:c>
      <x:c r="I38" s="10" t="str">
        <x:v>高</x:v>
      </x:c>
      <x:c r="J38" s="10" t="str">
        <x:v>中立</x:v>
      </x:c>
      <x:c r="K38" s="10" t="str">
        <x:v>支持</x:v>
      </x:c>
      <x:c r="L38" s="11" t="n">
        <x:f t="shared" si="1">IF(OR(J38="",K38=""),"",IF(K38="抵触",1,IF(K38="不支持",2,IF(K38="中立",3,IF(K38="支持",4,IF(K38="积极推动",5,"")))))-IF(J38="抵触",1,IF(J38="不支持",2,IF(J38="中立",3,IF(J38="支持",4,IF(J38="积极推动",5,""))))))</x:f>
        <x:v>1</x:v>
      </x:c>
      <x:c r="M38" s="10" t="str">
        <x:v>正向</x:v>
      </x:c>
      <x:c r="N38" s="10" t="str">
        <x:f t="shared" si="2">IF(OR(H38="",I38=""),"",IF(AND(H38="高",I38="高"),"重点管理",IF(H38="高","保持满意",IF(I38="高","保持沟通","监督观察"))))</x:f>
        <x:v>保持沟通</x:v>
      </x:c>
      <x:c r="O38" s="10" t="s">
        <x:v>75</x:v>
      </x:c>
      <x:c r="P38" s="10" t="s">
        <x:v>98</x:v>
      </x:c>
      <x:c r="Q38" s="10" t="str">
        <x:v>国产数据库产品POC、技术适配和商务方案</x:v>
      </x:c>
      <x:c r="R38" s="10" t="str">
        <x:v>黄磊</x:v>
      </x:c>
      <x:c r="S38" s="15"/>
      <x:c r="T38" s="15" t="n">
        <x:v>46283</x:v>
      </x:c>
      <x:c r="U38" s="10" t="str">
        <x:v>商务</x:v>
      </x:c>
      <x:c r="V38" s="10" t="str">
        <x:v>提交POC方案、环境与接口材料，配合完成验证</x:v>
      </x:c>
      <x:c r="W38" s="10" t="str">
        <x:v>黄磊</x:v>
      </x:c>
      <x:c r="X38" s="15" t="n">
        <x:v>46290</x:v>
      </x:c>
      <x:c r="Y38" s="10" t="str">
        <x:v>进行中</x:v>
      </x:c>
      <x:c r="Z38" s="10" t="str">
        <x:v>否</x:v>
      </x:c>
      <x:c r="AA38" s="10"/>
      <x:c r="AB38" s="11" t="str">
        <x:f t="shared" ca="1" si="3">IF(B38="","",IF(AND(H38="高",OR(J38="抵触",J38="不支持")),"高权力不支持；","")&amp;IF(L38&gt;0,"存在支持差距；","")&amp;IF(AND(T38&lt;&gt;"",T38&lt;TODAY()),"沟通逾期；","")&amp;IF(AND(V38&lt;&gt;"",X38&lt;TODAY(),Y38&lt;&gt;"已完成"),"行动逾期；","")&amp;IF(AND(Z38="是",AA38=""),"未填升级对象",""))</x:f>
        <x:v>存在支持差距；</x:v>
      </x:c>
      <x:c r="AC38" s="10" t="str">
        <x:v>联系电话：18611668825</x:v>
      </x:c>
    </x:row>
    <x:row r="39" ht="32" customHeight="1">
      <x:c r="A39" s="9" t="str">
        <x:f t="shared" si="0">IF(B39="","","SH-"&amp;TEXT(ROW()-8,"000"))</x:f>
        <x:v>SH-031</x:v>
      </x:c>
      <x:c r="B39" s="10" t="s">
        <x:v>136</x:v>
      </x:c>
      <x:c r="C39" s="10" t="s">
        <x:v>137</x:v>
      </x:c>
      <x:c r="D39" s="10" t="s">
        <x:v>95</x:v>
      </x:c>
      <x:c r="E39" s="10" t="s">
        <x:v>84</x:v>
      </x:c>
      <x:c r="F39" s="10" t="s">
        <x:v>138</x:v>
      </x:c>
      <x:c r="G39" s="10" t="s">
        <x:v>97</x:v>
      </x:c>
      <x:c r="H39" s="10" t="str">
        <x:v>中</x:v>
      </x:c>
      <x:c r="I39" s="10" t="str">
        <x:v>高</x:v>
      </x:c>
      <x:c r="J39" s="10" t="str">
        <x:v>中立</x:v>
      </x:c>
      <x:c r="K39" s="10" t="str">
        <x:v>支持</x:v>
      </x:c>
      <x:c r="L39" s="11" t="n">
        <x:f t="shared" si="1">IF(OR(J39="",K39=""),"",IF(K39="抵触",1,IF(K39="不支持",2,IF(K39="中立",3,IF(K39="支持",4,IF(K39="积极推动",5,"")))))-IF(J39="抵触",1,IF(J39="不支持",2,IF(J39="中立",3,IF(J39="支持",4,IF(J39="积极推动",5,""))))))</x:f>
        <x:v>1</x:v>
      </x:c>
      <x:c r="M39" s="10" t="str">
        <x:v>正向</x:v>
      </x:c>
      <x:c r="N39" s="10" t="str">
        <x:f t="shared" si="2">IF(OR(H39="",I39=""),"",IF(AND(H39="高",I39="高"),"重点管理",IF(H39="高","保持满意",IF(I39="高","保持沟通","监督观察"))))</x:f>
        <x:v>保持沟通</x:v>
      </x:c>
      <x:c r="O39" s="10" t="s">
        <x:v>75</x:v>
      </x:c>
      <x:c r="P39" s="10" t="s">
        <x:v>98</x:v>
      </x:c>
      <x:c r="Q39" s="10" t="str">
        <x:v>合同智能化产品POC、技术适配和商务方案</x:v>
      </x:c>
      <x:c r="R39" s="10" t="str">
        <x:v>黄磊/赵志悦</x:v>
      </x:c>
      <x:c r="S39" s="15"/>
      <x:c r="T39" s="15" t="n">
        <x:v>46283</x:v>
      </x:c>
      <x:c r="U39" s="10" t="str">
        <x:v>商务</x:v>
      </x:c>
      <x:c r="V39" s="10" t="str">
        <x:v>提交POC方案、环境与接口材料，配合完成验证</x:v>
      </x:c>
      <x:c r="W39" s="10" t="str">
        <x:v>黄磊/赵志悦</x:v>
      </x:c>
      <x:c r="X39" s="15" t="n">
        <x:v>46290</x:v>
      </x:c>
      <x:c r="Y39" s="10" t="str">
        <x:v>进行中</x:v>
      </x:c>
      <x:c r="Z39" s="10" t="str">
        <x:v>否</x:v>
      </x:c>
      <x:c r="AA39" s="10"/>
      <x:c r="AB39" s="11" t="str">
        <x:f t="shared" ca="1" si="3">IF(B39="","",IF(AND(H39="高",OR(J39="抵触",J39="不支持")),"高权力不支持；","")&amp;IF(L39&gt;0,"存在支持差距；","")&amp;IF(AND(T39&lt;&gt;"",T39&lt;TODAY()),"沟通逾期；","")&amp;IF(AND(V39&lt;&gt;"",X39&lt;TODAY(),Y39&lt;&gt;"已完成"),"行动逾期；","")&amp;IF(AND(Z39="是",AA39=""),"未填升级对象",""))</x:f>
        <x:v>存在支持差距；</x:v>
      </x:c>
      <x:c r="AC39" s="10" t="str">
        <x:v>联系电话：15210038699</x:v>
      </x:c>
    </x:row>
    <x:row r="40" ht="32" customHeight="1">
      <x:c r="A40" s="9" t="str">
        <x:f t="shared" si="0">IF(B40="","","SH-"&amp;TEXT(ROW()-8,"000"))</x:f>
        <x:v>SH-032</x:v>
      </x:c>
      <x:c r="B40" s="10" t="s">
        <x:v>139</x:v>
      </x:c>
      <x:c r="C40" s="10" t="s">
        <x:v>140</x:v>
      </x:c>
      <x:c r="D40" s="10" t="s">
        <x:v>95</x:v>
      </x:c>
      <x:c r="E40" s="10" t="s">
        <x:v>84</x:v>
      </x:c>
      <x:c r="F40" s="10" t="s">
        <x:v>141</x:v>
      </x:c>
      <x:c r="G40" s="10" t="s">
        <x:v>97</x:v>
      </x:c>
      <x:c r="H40" s="10" t="str">
        <x:v>中</x:v>
      </x:c>
      <x:c r="I40" s="10" t="str">
        <x:v>高</x:v>
      </x:c>
      <x:c r="J40" s="10" t="str">
        <x:v>中立</x:v>
      </x:c>
      <x:c r="K40" s="10" t="str">
        <x:v>支持</x:v>
      </x:c>
      <x:c r="L40" s="11" t="n">
        <x:f t="shared" si="1">IF(OR(J40="",K40=""),"",IF(K40="抵触",1,IF(K40="不支持",2,IF(K40="中立",3,IF(K40="支持",4,IF(K40="积极推动",5,"")))))-IF(J40="抵触",1,IF(J40="不支持",2,IF(J40="中立",3,IF(J40="支持",4,IF(J40="积极推动",5,""))))))</x:f>
        <x:v>1</x:v>
      </x:c>
      <x:c r="M40" s="10" t="str">
        <x:v>正向</x:v>
      </x:c>
      <x:c r="N40" s="10" t="str">
        <x:f t="shared" si="2">IF(OR(H40="",I40=""),"",IF(AND(H40="高",I40="高"),"重点管理",IF(H40="高","保持满意",IF(I40="高","保持沟通","监督观察"))))</x:f>
        <x:v>保持沟通</x:v>
      </x:c>
      <x:c r="O40" s="10" t="s">
        <x:v>75</x:v>
      </x:c>
      <x:c r="P40" s="10" t="s">
        <x:v>98</x:v>
      </x:c>
      <x:c r="Q40" s="10" t="str">
        <x:v>合同智能化产品POC、技术适配和商务方案</x:v>
      </x:c>
      <x:c r="R40" s="10" t="str">
        <x:v>黄磊/赵志悦</x:v>
      </x:c>
      <x:c r="S40" s="15"/>
      <x:c r="T40" s="15" t="n">
        <x:v>46283</x:v>
      </x:c>
      <x:c r="U40" s="10" t="str">
        <x:v>商务</x:v>
      </x:c>
      <x:c r="V40" s="10" t="str">
        <x:v>提交POC方案、环境与接口材料，配合完成验证</x:v>
      </x:c>
      <x:c r="W40" s="10" t="str">
        <x:v>黄磊/赵志悦</x:v>
      </x:c>
      <x:c r="X40" s="15" t="n">
        <x:v>46290</x:v>
      </x:c>
      <x:c r="Y40" s="10" t="str">
        <x:v>进行中</x:v>
      </x:c>
      <x:c r="Z40" s="10" t="str">
        <x:v>否</x:v>
      </x:c>
      <x:c r="AA40" s="10"/>
      <x:c r="AB40" s="11" t="str">
        <x:f t="shared" ca="1" si="3">IF(B40="","",IF(AND(H40="高",OR(J40="抵触",J40="不支持")),"高权力不支持；","")&amp;IF(L40&gt;0,"存在支持差距；","")&amp;IF(AND(T40&lt;&gt;"",T40&lt;TODAY()),"沟通逾期；","")&amp;IF(AND(V40&lt;&gt;"",X40&lt;TODAY(),Y40&lt;&gt;"已完成"),"行动逾期；","")&amp;IF(AND(Z40="是",AA40=""),"未填升级对象",""))</x:f>
        <x:v>存在支持差距；</x:v>
      </x:c>
      <x:c r="AC40" s="10" t="str">
        <x:v>联系电话：15311254550</x:v>
      </x:c>
    </x:row>
    <x:row r="41" ht="32" customHeight="1">
      <x:c r="A41" s="9" t="str">
        <x:f t="shared" si="0">IF(B41="","","SH-"&amp;TEXT(ROW()-8,"000"))</x:f>
        <x:v>SH-033</x:v>
      </x:c>
      <x:c r="B41" s="10" t="s">
        <x:v>142</x:v>
      </x:c>
      <x:c r="C41" s="10" t="s">
        <x:v>143</x:v>
      </x:c>
      <x:c r="D41" s="10" t="s">
        <x:v>95</x:v>
      </x:c>
      <x:c r="E41" s="10" t="s">
        <x:v>84</x:v>
      </x:c>
      <x:c r="F41" s="10" t="s">
        <x:v>144</x:v>
      </x:c>
      <x:c r="G41" s="10" t="s">
        <x:v>97</x:v>
      </x:c>
      <x:c r="H41" s="10" t="str">
        <x:v>中</x:v>
      </x:c>
      <x:c r="I41" s="10" t="str">
        <x:v>高</x:v>
      </x:c>
      <x:c r="J41" s="10" t="str">
        <x:v>中立</x:v>
      </x:c>
      <x:c r="K41" s="10" t="str">
        <x:v>支持</x:v>
      </x:c>
      <x:c r="L41" s="11" t="n">
        <x:f t="shared" si="1">IF(OR(J41="",K41=""),"",IF(K41="抵触",1,IF(K41="不支持",2,IF(K41="中立",3,IF(K41="支持",4,IF(K41="积极推动",5,"")))))-IF(J41="抵触",1,IF(J41="不支持",2,IF(J41="中立",3,IF(J41="支持",4,IF(J41="积极推动",5,""))))))</x:f>
        <x:v>1</x:v>
      </x:c>
      <x:c r="M41" s="10" t="str">
        <x:v>正向</x:v>
      </x:c>
      <x:c r="N41" s="10" t="str">
        <x:f t="shared" si="2">IF(OR(H41="",I41=""),"",IF(AND(H41="高",I41="高"),"重点管理",IF(H41="高","保持满意",IF(I41="高","保持沟通","监督观察"))))</x:f>
        <x:v>保持沟通</x:v>
      </x:c>
      <x:c r="O41" s="10" t="s">
        <x:v>75</x:v>
      </x:c>
      <x:c r="P41" s="10" t="s">
        <x:v>98</x:v>
      </x:c>
      <x:c r="Q41" s="10" t="str">
        <x:v>合同智能化产品POC、技术适配和商务方案</x:v>
      </x:c>
      <x:c r="R41" s="10" t="str">
        <x:v>黄磊/赵志悦</x:v>
      </x:c>
      <x:c r="S41" s="15"/>
      <x:c r="T41" s="15" t="n">
        <x:v>46283</x:v>
      </x:c>
      <x:c r="U41" s="10" t="str">
        <x:v>商务</x:v>
      </x:c>
      <x:c r="V41" s="10" t="str">
        <x:v>提交POC方案、环境与接口材料，配合完成验证</x:v>
      </x:c>
      <x:c r="W41" s="10" t="str">
        <x:v>黄磊/赵志悦</x:v>
      </x:c>
      <x:c r="X41" s="15" t="n">
        <x:v>46290</x:v>
      </x:c>
      <x:c r="Y41" s="10" t="str">
        <x:v>进行中</x:v>
      </x:c>
      <x:c r="Z41" s="10" t="str">
        <x:v>否</x:v>
      </x:c>
      <x:c r="AA41" s="10"/>
      <x:c r="AB41" s="11" t="str">
        <x:f t="shared" ca="1" si="3">IF(B41="","",IF(AND(H41="高",OR(J41="抵触",J41="不支持")),"高权力不支持；","")&amp;IF(L41&gt;0,"存在支持差距；","")&amp;IF(AND(T41&lt;&gt;"",T41&lt;TODAY()),"沟通逾期；","")&amp;IF(AND(V41&lt;&gt;"",X41&lt;TODAY(),Y41&lt;&gt;"已完成"),"行动逾期；","")&amp;IF(AND(Z41="是",AA41=""),"未填升级对象",""))</x:f>
        <x:v>存在支持差距；</x:v>
      </x:c>
      <x:c r="AC41" s="10" t="str">
        <x:v>联系电话：18600166523</x:v>
      </x:c>
    </x:row>
    <x:row r="42" ht="32" customHeight="1">
      <x:c r="A42" s="9" t="str">
        <x:f t="shared" si="0">IF(B42="","","SH-"&amp;TEXT(ROW()-8,"000"))</x:f>
        <x:v>SH-034</x:v>
      </x:c>
      <x:c r="B42" s="10" t="s">
        <x:v>145</x:v>
      </x:c>
      <x:c r="C42" s="10" t="s">
        <x:v>146</x:v>
      </x:c>
      <x:c r="D42" s="10" t="s">
        <x:v>95</x:v>
      </x:c>
      <x:c r="E42" s="10" t="s">
        <x:v>84</x:v>
      </x:c>
      <x:c r="F42" s="10" t="s">
        <x:v>147</x:v>
      </x:c>
      <x:c r="G42" s="10" t="s">
        <x:v>97</x:v>
      </x:c>
      <x:c r="H42" s="10" t="str">
        <x:v>中</x:v>
      </x:c>
      <x:c r="I42" s="10" t="str">
        <x:v>高</x:v>
      </x:c>
      <x:c r="J42" s="10" t="str">
        <x:v>中立</x:v>
      </x:c>
      <x:c r="K42" s="10" t="str">
        <x:v>支持</x:v>
      </x:c>
      <x:c r="L42" s="11" t="n">
        <x:f t="shared" si="1">IF(OR(J42="",K42=""),"",IF(K42="抵触",1,IF(K42="不支持",2,IF(K42="中立",3,IF(K42="支持",4,IF(K42="积极推动",5,"")))))-IF(J42="抵触",1,IF(J42="不支持",2,IF(J42="中立",3,IF(J42="支持",4,IF(J42="积极推动",5,""))))))</x:f>
        <x:v>1</x:v>
      </x:c>
      <x:c r="M42" s="10" t="str">
        <x:v>正向</x:v>
      </x:c>
      <x:c r="N42" s="10" t="str">
        <x:f t="shared" si="2">IF(OR(H42="",I42=""),"",IF(AND(H42="高",I42="高"),"重点管理",IF(H42="高","保持满意",IF(I42="高","保持沟通","监督观察"))))</x:f>
        <x:v>保持沟通</x:v>
      </x:c>
      <x:c r="O42" s="10" t="s">
        <x:v>75</x:v>
      </x:c>
      <x:c r="P42" s="10" t="s">
        <x:v>98</x:v>
      </x:c>
      <x:c r="Q42" s="10" t="str">
        <x:v>合同智能化产品POC、技术适配和商务方案</x:v>
      </x:c>
      <x:c r="R42" s="10" t="str">
        <x:v>黄磊/赵志悦</x:v>
      </x:c>
      <x:c r="S42" s="15"/>
      <x:c r="T42" s="15" t="n">
        <x:v>46283</x:v>
      </x:c>
      <x:c r="U42" s="10" t="str">
        <x:v>商务</x:v>
      </x:c>
      <x:c r="V42" s="10" t="str">
        <x:v>提交POC方案、环境与接口材料，配合完成验证</x:v>
      </x:c>
      <x:c r="W42" s="10" t="str">
        <x:v>黄磊/赵志悦</x:v>
      </x:c>
      <x:c r="X42" s="15" t="n">
        <x:v>46290</x:v>
      </x:c>
      <x:c r="Y42" s="10" t="str">
        <x:v>进行中</x:v>
      </x:c>
      <x:c r="Z42" s="10" t="str">
        <x:v>否</x:v>
      </x:c>
      <x:c r="AA42" s="10"/>
      <x:c r="AB42" s="11" t="str">
        <x:f t="shared" ca="1" si="3">IF(B42="","",IF(AND(H42="高",OR(J42="抵触",J42="不支持")),"高权力不支持；","")&amp;IF(L42&gt;0,"存在支持差距；","")&amp;IF(AND(T42&lt;&gt;"",T42&lt;TODAY()),"沟通逾期；","")&amp;IF(AND(V42&lt;&gt;"",X42&lt;TODAY(),Y42&lt;&gt;"已完成"),"行动逾期；","")&amp;IF(AND(Z42="是",AA42=""),"未填升级对象",""))</x:f>
        <x:v>存在支持差距；</x:v>
      </x:c>
      <x:c r="AC42" s="10" t="str">
        <x:v>联系电话：18500001188</x:v>
      </x:c>
    </x:row>
    <x:row r="43">
      <x:c r="A43" s="9" t="str">
        <x:f t="shared" si="0">IF(B43="","","SH-"&amp;TEXT(ROW()-8,"000"))</x:f>
      </x:c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9" t="str">
        <x:f t="shared" si="1">IF(OR(J43="",K43=""),"",IF(K43="抵触",1,IF(K43="不支持",2,IF(K43="中立",3,IF(K43="支持",4,IF(K43="积极推动",5,"")))))-IF(J43="抵触",1,IF(J43="不支持",2,IF(J43="中立",3,IF(J43="支持",4,IF(J43="积极推动",5,""))))))</x:f>
      </x:c>
      <x:c r="M43" s="13"/>
      <x:c r="N43" s="13" t="str">
        <x:f t="shared" si="2">IF(OR(H43="",I43=""),"",IF(AND(H43="高",I43="高"),"重点管理",IF(H43="高","保持满意",IF(I43="高","保持沟通","监督观察"))))</x:f>
      </x:c>
      <x:c r="O43" s="13"/>
      <x:c r="P43" s="13"/>
      <x:c r="Q43" s="13"/>
      <x:c r="R43" s="13"/>
      <x:c r="S43" s="14"/>
      <x:c r="T43" s="14"/>
      <x:c r="U43" s="13"/>
      <x:c r="V43" s="13"/>
      <x:c r="W43" s="13"/>
      <x:c r="X43" s="14"/>
      <x:c r="Y43" s="13"/>
      <x:c r="Z43" s="13"/>
      <x:c r="AA43" s="13"/>
      <x:c r="AB43" s="9" t="str">
        <x:f t="shared" ca="1" si="3">IF(B43="","",IF(AND(H43="高",OR(J43="抵触",J43="不支持")),"高权力不支持；","")&amp;IF(L43&gt;0,"存在支持差距；","")&amp;IF(AND(T43&lt;&gt;"",T43&lt;TODAY()),"沟通逾期；","")&amp;IF(AND(V43&lt;&gt;"",X43&lt;TODAY(),Y43&lt;&gt;"已完成"),"行动逾期；","")&amp;IF(AND(Z43="是",AA43=""),"未填升级对象",""))</x:f>
      </x:c>
      <x:c r="AC43" s="13"/>
    </x:row>
    <x:row r="44">
      <x:c r="A44" s="9" t="str">
        <x:f t="shared" si="0">IF(B44="","","SH-"&amp;TEXT(ROW()-8,"000"))</x:f>
      </x:c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9" t="str">
        <x:f t="shared" si="1">IF(OR(J44="",K44=""),"",IF(K44="抵触",1,IF(K44="不支持",2,IF(K44="中立",3,IF(K44="支持",4,IF(K44="积极推动",5,"")))))-IF(J44="抵触",1,IF(J44="不支持",2,IF(J44="中立",3,IF(J44="支持",4,IF(J44="积极推动",5,""))))))</x:f>
      </x:c>
      <x:c r="M44" s="13"/>
      <x:c r="N44" s="13" t="str">
        <x:f t="shared" si="2">IF(OR(H44="",I44=""),"",IF(AND(H44="高",I44="高"),"重点管理",IF(H44="高","保持满意",IF(I44="高","保持沟通","监督观察"))))</x:f>
      </x:c>
      <x:c r="O44" s="13"/>
      <x:c r="P44" s="13"/>
      <x:c r="Q44" s="13"/>
      <x:c r="R44" s="13"/>
      <x:c r="S44" s="14"/>
      <x:c r="T44" s="14"/>
      <x:c r="U44" s="13"/>
      <x:c r="V44" s="13"/>
      <x:c r="W44" s="13"/>
      <x:c r="X44" s="14"/>
      <x:c r="Y44" s="13"/>
      <x:c r="Z44" s="13"/>
      <x:c r="AA44" s="13"/>
      <x:c r="AB44" s="9" t="str">
        <x:f t="shared" ca="1" si="3">IF(B44="","",IF(AND(H44="高",OR(J44="抵触",J44="不支持")),"高权力不支持；","")&amp;IF(L44&gt;0,"存在支持差距；","")&amp;IF(AND(T44&lt;&gt;"",T44&lt;TODAY()),"沟通逾期；","")&amp;IF(AND(V44&lt;&gt;"",X44&lt;TODAY(),Y44&lt;&gt;"已完成"),"行动逾期；","")&amp;IF(AND(Z44="是",AA44=""),"未填升级对象",""))</x:f>
      </x:c>
      <x:c r="AC44" s="13"/>
    </x:row>
    <x:row r="45">
      <x:c r="A45" s="9" t="str">
        <x:f t="shared" si="0">IF(B45="","","SH-"&amp;TEXT(ROW()-8,"000"))</x:f>
      </x:c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9" t="str">
        <x:f t="shared" si="1">IF(OR(J45="",K45=""),"",IF(K45="抵触",1,IF(K45="不支持",2,IF(K45="中立",3,IF(K45="支持",4,IF(K45="积极推动",5,"")))))-IF(J45="抵触",1,IF(J45="不支持",2,IF(J45="中立",3,IF(J45="支持",4,IF(J45="积极推动",5,""))))))</x:f>
      </x:c>
      <x:c r="M45" s="13"/>
      <x:c r="N45" s="13" t="str">
        <x:f t="shared" si="2">IF(OR(H45="",I45=""),"",IF(AND(H45="高",I45="高"),"重点管理",IF(H45="高","保持满意",IF(I45="高","保持沟通","监督观察"))))</x:f>
      </x:c>
      <x:c r="O45" s="13"/>
      <x:c r="P45" s="13"/>
      <x:c r="Q45" s="13"/>
      <x:c r="R45" s="13"/>
      <x:c r="S45" s="14"/>
      <x:c r="T45" s="14"/>
      <x:c r="U45" s="13"/>
      <x:c r="V45" s="13"/>
      <x:c r="W45" s="13"/>
      <x:c r="X45" s="14"/>
      <x:c r="Y45" s="13"/>
      <x:c r="Z45" s="13"/>
      <x:c r="AA45" s="13"/>
      <x:c r="AB45" s="9" t="str">
        <x:f t="shared" ca="1" si="3">IF(B45="","",IF(AND(H45="高",OR(J45="抵触",J45="不支持")),"高权力不支持；","")&amp;IF(L45&gt;0,"存在支持差距；","")&amp;IF(AND(T45&lt;&gt;"",T45&lt;TODAY()),"沟通逾期；","")&amp;IF(AND(V45&lt;&gt;"",X45&lt;TODAY(),Y45&lt;&gt;"已完成"),"行动逾期；","")&amp;IF(AND(Z45="是",AA45=""),"未填升级对象",""))</x:f>
      </x:c>
      <x:c r="AC45" s="13"/>
    </x:row>
    <x:row r="46">
      <x:c r="A46" s="9" t="str">
        <x:f t="shared" si="0">IF(B46="","","SH-"&amp;TEXT(ROW()-8,"000"))</x:f>
      </x:c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9" t="str">
        <x:f t="shared" si="1">IF(OR(J46="",K46=""),"",IF(K46="抵触",1,IF(K46="不支持",2,IF(K46="中立",3,IF(K46="支持",4,IF(K46="积极推动",5,"")))))-IF(J46="抵触",1,IF(J46="不支持",2,IF(J46="中立",3,IF(J46="支持",4,IF(J46="积极推动",5,""))))))</x:f>
      </x:c>
      <x:c r="M46" s="13"/>
      <x:c r="N46" s="13" t="str">
        <x:f t="shared" si="2">IF(OR(H46="",I46=""),"",IF(AND(H46="高",I46="高"),"重点管理",IF(H46="高","保持满意",IF(I46="高","保持沟通","监督观察"))))</x:f>
      </x:c>
      <x:c r="O46" s="13"/>
      <x:c r="P46" s="13"/>
      <x:c r="Q46" s="13"/>
      <x:c r="R46" s="13"/>
      <x:c r="S46" s="14"/>
      <x:c r="T46" s="14"/>
      <x:c r="U46" s="13"/>
      <x:c r="V46" s="13"/>
      <x:c r="W46" s="13"/>
      <x:c r="X46" s="14"/>
      <x:c r="Y46" s="13"/>
      <x:c r="Z46" s="13"/>
      <x:c r="AA46" s="13"/>
      <x:c r="AB46" s="9" t="str">
        <x:f t="shared" ca="1" si="3">IF(B46="","",IF(AND(H46="高",OR(J46="抵触",J46="不支持")),"高权力不支持；","")&amp;IF(L46&gt;0,"存在支持差距；","")&amp;IF(AND(T46&lt;&gt;"",T46&lt;TODAY()),"沟通逾期；","")&amp;IF(AND(V46&lt;&gt;"",X46&lt;TODAY(),Y46&lt;&gt;"已完成"),"行动逾期；","")&amp;IF(AND(Z46="是",AA46=""),"未填升级对象",""))</x:f>
      </x:c>
      <x:c r="AC46" s="13"/>
    </x:row>
    <x:row r="47">
      <x:c r="A47" s="9" t="str">
        <x:f t="shared" si="0">IF(B47="","","SH-"&amp;TEXT(ROW()-8,"000"))</x:f>
      </x:c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9" t="str">
        <x:f t="shared" si="1">IF(OR(J47="",K47=""),"",IF(K47="抵触",1,IF(K47="不支持",2,IF(K47="中立",3,IF(K47="支持",4,IF(K47="积极推动",5,"")))))-IF(J47="抵触",1,IF(J47="不支持",2,IF(J47="中立",3,IF(J47="支持",4,IF(J47="积极推动",5,""))))))</x:f>
      </x:c>
      <x:c r="M47" s="13"/>
      <x:c r="N47" s="13" t="str">
        <x:f t="shared" si="2">IF(OR(H47="",I47=""),"",IF(AND(H47="高",I47="高"),"重点管理",IF(H47="高","保持满意",IF(I47="高","保持沟通","监督观察"))))</x:f>
      </x:c>
      <x:c r="O47" s="13"/>
      <x:c r="P47" s="13"/>
      <x:c r="Q47" s="13"/>
      <x:c r="R47" s="13"/>
      <x:c r="S47" s="14"/>
      <x:c r="T47" s="14"/>
      <x:c r="U47" s="13"/>
      <x:c r="V47" s="13"/>
      <x:c r="W47" s="13"/>
      <x:c r="X47" s="14"/>
      <x:c r="Y47" s="13"/>
      <x:c r="Z47" s="13"/>
      <x:c r="AA47" s="13"/>
      <x:c r="AB47" s="9" t="str">
        <x:f t="shared" ca="1" si="3">IF(B47="","",IF(AND(H47="高",OR(J47="抵触",J47="不支持")),"高权力不支持；","")&amp;IF(L47&gt;0,"存在支持差距；","")&amp;IF(AND(T47&lt;&gt;"",T47&lt;TODAY()),"沟通逾期；","")&amp;IF(AND(V47&lt;&gt;"",X47&lt;TODAY(),Y47&lt;&gt;"已完成"),"行动逾期；","")&amp;IF(AND(Z47="是",AA47=""),"未填升级对象",""))</x:f>
      </x:c>
      <x:c r="AC47" s="13"/>
    </x:row>
    <x:row r="48">
      <x:c r="A48" s="9" t="str">
        <x:f t="shared" si="0">IF(B48="","","SH-"&amp;TEXT(ROW()-8,"000"))</x:f>
      </x:c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9" t="str">
        <x:f t="shared" si="1">IF(OR(J48="",K48=""),"",IF(K48="抵触",1,IF(K48="不支持",2,IF(K48="中立",3,IF(K48="支持",4,IF(K48="积极推动",5,"")))))-IF(J48="抵触",1,IF(J48="不支持",2,IF(J48="中立",3,IF(J48="支持",4,IF(J48="积极推动",5,""))))))</x:f>
      </x:c>
      <x:c r="M48" s="13"/>
      <x:c r="N48" s="13" t="str">
        <x:f t="shared" si="2">IF(OR(H48="",I48=""),"",IF(AND(H48="高",I48="高"),"重点管理",IF(H48="高","保持满意",IF(I48="高","保持沟通","监督观察"))))</x:f>
      </x:c>
      <x:c r="O48" s="13"/>
      <x:c r="P48" s="13"/>
      <x:c r="Q48" s="13"/>
      <x:c r="R48" s="13"/>
      <x:c r="S48" s="14"/>
      <x:c r="T48" s="14"/>
      <x:c r="U48" s="13"/>
      <x:c r="V48" s="13"/>
      <x:c r="W48" s="13"/>
      <x:c r="X48" s="14"/>
      <x:c r="Y48" s="13"/>
      <x:c r="Z48" s="13"/>
      <x:c r="AA48" s="13"/>
      <x:c r="AB48" s="9" t="str">
        <x:f t="shared" ca="1" si="3">IF(B48="","",IF(AND(H48="高",OR(J48="抵触",J48="不支持")),"高权力不支持；","")&amp;IF(L48&gt;0,"存在支持差距；","")&amp;IF(AND(T48&lt;&gt;"",T48&lt;TODAY()),"沟通逾期；","")&amp;IF(AND(V48&lt;&gt;"",X48&lt;TODAY(),Y48&lt;&gt;"已完成"),"行动逾期；","")&amp;IF(AND(Z48="是",AA48=""),"未填升级对象",""))</x:f>
      </x:c>
      <x:c r="AC48" s="13"/>
    </x:row>
    <x:row r="49">
      <x:c r="A49" s="9" t="str">
        <x:f t="shared" si="0">IF(B49="","","SH-"&amp;TEXT(ROW()-8,"000"))</x:f>
      </x:c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9" t="str">
        <x:f t="shared" si="1">IF(OR(J49="",K49=""),"",IF(K49="抵触",1,IF(K49="不支持",2,IF(K49="中立",3,IF(K49="支持",4,IF(K49="积极推动",5,"")))))-IF(J49="抵触",1,IF(J49="不支持",2,IF(J49="中立",3,IF(J49="支持",4,IF(J49="积极推动",5,""))))))</x:f>
      </x:c>
      <x:c r="M49" s="13"/>
      <x:c r="N49" s="13" t="str">
        <x:f t="shared" si="2">IF(OR(H49="",I49=""),"",IF(AND(H49="高",I49="高"),"重点管理",IF(H49="高","保持满意",IF(I49="高","保持沟通","监督观察"))))</x:f>
      </x:c>
      <x:c r="O49" s="13"/>
      <x:c r="P49" s="13"/>
      <x:c r="Q49" s="13"/>
      <x:c r="R49" s="13"/>
      <x:c r="S49" s="14"/>
      <x:c r="T49" s="14"/>
      <x:c r="U49" s="13"/>
      <x:c r="V49" s="13"/>
      <x:c r="W49" s="13"/>
      <x:c r="X49" s="14"/>
      <x:c r="Y49" s="13"/>
      <x:c r="Z49" s="13"/>
      <x:c r="AA49" s="13"/>
      <x:c r="AB49" s="9" t="str">
        <x:f t="shared" ca="1" si="3">IF(B49="","",IF(AND(H49="高",OR(J49="抵触",J49="不支持")),"高权力不支持；","")&amp;IF(L49&gt;0,"存在支持差距；","")&amp;IF(AND(T49&lt;&gt;"",T49&lt;TODAY()),"沟通逾期；","")&amp;IF(AND(V49&lt;&gt;"",X49&lt;TODAY(),Y49&lt;&gt;"已完成"),"行动逾期；","")&amp;IF(AND(Z49="是",AA49=""),"未填升级对象",""))</x:f>
      </x:c>
      <x:c r="AC49" s="13"/>
    </x:row>
    <x:row r="50">
      <x:c r="A50" s="9" t="str">
        <x:f t="shared" si="0">IF(B50="","","SH-"&amp;TEXT(ROW()-8,"000"))</x:f>
      </x:c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9" t="str">
        <x:f t="shared" si="1">IF(OR(J50="",K50=""),"",IF(K50="抵触",1,IF(K50="不支持",2,IF(K50="中立",3,IF(K50="支持",4,IF(K50="积极推动",5,"")))))-IF(J50="抵触",1,IF(J50="不支持",2,IF(J50="中立",3,IF(J50="支持",4,IF(J50="积极推动",5,""))))))</x:f>
      </x:c>
      <x:c r="M50" s="13"/>
      <x:c r="N50" s="13" t="str">
        <x:f t="shared" si="2">IF(OR(H50="",I50=""),"",IF(AND(H50="高",I50="高"),"重点管理",IF(H50="高","保持满意",IF(I50="高","保持沟通","监督观察"))))</x:f>
      </x:c>
      <x:c r="O50" s="13"/>
      <x:c r="P50" s="13"/>
      <x:c r="Q50" s="13"/>
      <x:c r="R50" s="13"/>
      <x:c r="S50" s="14"/>
      <x:c r="T50" s="14"/>
      <x:c r="U50" s="13"/>
      <x:c r="V50" s="13"/>
      <x:c r="W50" s="13"/>
      <x:c r="X50" s="14"/>
      <x:c r="Y50" s="13"/>
      <x:c r="Z50" s="13"/>
      <x:c r="AA50" s="13"/>
      <x:c r="AB50" s="9" t="str">
        <x:f t="shared" ca="1" si="3">IF(B50="","",IF(AND(H50="高",OR(J50="抵触",J50="不支持")),"高权力不支持；","")&amp;IF(L50&gt;0,"存在支持差距；","")&amp;IF(AND(T50&lt;&gt;"",T50&lt;TODAY()),"沟通逾期；","")&amp;IF(AND(V50&lt;&gt;"",X50&lt;TODAY(),Y50&lt;&gt;"已完成"),"行动逾期；","")&amp;IF(AND(Z50="是",AA50=""),"未填升级对象",""))</x:f>
      </x:c>
      <x:c r="AC50" s="13"/>
    </x:row>
    <x:row r="51">
      <x:c r="A51" s="9" t="str">
        <x:f t="shared" si="0">IF(B51="","","SH-"&amp;TEXT(ROW()-8,"000"))</x:f>
      </x:c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9" t="str">
        <x:f t="shared" si="1">IF(OR(J51="",K51=""),"",IF(K51="抵触",1,IF(K51="不支持",2,IF(K51="中立",3,IF(K51="支持",4,IF(K51="积极推动",5,"")))))-IF(J51="抵触",1,IF(J51="不支持",2,IF(J51="中立",3,IF(J51="支持",4,IF(J51="积极推动",5,""))))))</x:f>
      </x:c>
      <x:c r="M51" s="13"/>
      <x:c r="N51" s="13" t="str">
        <x:f t="shared" si="2">IF(OR(H51="",I51=""),"",IF(AND(H51="高",I51="高"),"重点管理",IF(H51="高","保持满意",IF(I51="高","保持沟通","监督观察"))))</x:f>
      </x:c>
      <x:c r="O51" s="13"/>
      <x:c r="P51" s="13"/>
      <x:c r="Q51" s="13"/>
      <x:c r="R51" s="13"/>
      <x:c r="S51" s="14"/>
      <x:c r="T51" s="14"/>
      <x:c r="U51" s="13"/>
      <x:c r="V51" s="13"/>
      <x:c r="W51" s="13"/>
      <x:c r="X51" s="14"/>
      <x:c r="Y51" s="13"/>
      <x:c r="Z51" s="13"/>
      <x:c r="AA51" s="13"/>
      <x:c r="AB51" s="9" t="str">
        <x:f t="shared" ca="1" si="3">IF(B51="","",IF(AND(H51="高",OR(J51="抵触",J51="不支持")),"高权力不支持；","")&amp;IF(L51&gt;0,"存在支持差距；","")&amp;IF(AND(T51&lt;&gt;"",T51&lt;TODAY()),"沟通逾期；","")&amp;IF(AND(V51&lt;&gt;"",X51&lt;TODAY(),Y51&lt;&gt;"已完成"),"行动逾期；","")&amp;IF(AND(Z51="是",AA51=""),"未填升级对象",""))</x:f>
      </x:c>
      <x:c r="AC51" s="13"/>
    </x:row>
    <x:row r="52">
      <x:c r="A52" s="9" t="str">
        <x:f t="shared" si="0">IF(B52="","","SH-"&amp;TEXT(ROW()-8,"000"))</x:f>
      </x:c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9" t="str">
        <x:f t="shared" si="1">IF(OR(J52="",K52=""),"",IF(K52="抵触",1,IF(K52="不支持",2,IF(K52="中立",3,IF(K52="支持",4,IF(K52="积极推动",5,"")))))-IF(J52="抵触",1,IF(J52="不支持",2,IF(J52="中立",3,IF(J52="支持",4,IF(J52="积极推动",5,""))))))</x:f>
      </x:c>
      <x:c r="M52" s="13"/>
      <x:c r="N52" s="13" t="str">
        <x:f t="shared" si="2">IF(OR(H52="",I52=""),"",IF(AND(H52="高",I52="高"),"重点管理",IF(H52="高","保持满意",IF(I52="高","保持沟通","监督观察"))))</x:f>
      </x:c>
      <x:c r="O52" s="13"/>
      <x:c r="P52" s="13"/>
      <x:c r="Q52" s="13"/>
      <x:c r="R52" s="13"/>
      <x:c r="S52" s="14"/>
      <x:c r="T52" s="14"/>
      <x:c r="U52" s="13"/>
      <x:c r="V52" s="13"/>
      <x:c r="W52" s="13"/>
      <x:c r="X52" s="14"/>
      <x:c r="Y52" s="13"/>
      <x:c r="Z52" s="13"/>
      <x:c r="AA52" s="13"/>
      <x:c r="AB52" s="9" t="str">
        <x:f t="shared" ca="1" si="3">IF(B52="","",IF(AND(H52="高",OR(J52="抵触",J52="不支持")),"高权力不支持；","")&amp;IF(L52&gt;0,"存在支持差距；","")&amp;IF(AND(T52&lt;&gt;"",T52&lt;TODAY()),"沟通逾期；","")&amp;IF(AND(V52&lt;&gt;"",X52&lt;TODAY(),Y52&lt;&gt;"已完成"),"行动逾期；","")&amp;IF(AND(Z52="是",AA52=""),"未填升级对象",""))</x:f>
      </x:c>
      <x:c r="AC52" s="13"/>
    </x:row>
    <x:row r="53">
      <x:c r="A53" s="9" t="str">
        <x:f t="shared" si="0">IF(B53="","","SH-"&amp;TEXT(ROW()-8,"000"))</x:f>
      </x:c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9" t="str">
        <x:f t="shared" si="1">IF(OR(J53="",K53=""),"",IF(K53="抵触",1,IF(K53="不支持",2,IF(K53="中立",3,IF(K53="支持",4,IF(K53="积极推动",5,"")))))-IF(J53="抵触",1,IF(J53="不支持",2,IF(J53="中立",3,IF(J53="支持",4,IF(J53="积极推动",5,""))))))</x:f>
      </x:c>
      <x:c r="M53" s="13"/>
      <x:c r="N53" s="13" t="str">
        <x:f t="shared" si="2">IF(OR(H53="",I53=""),"",IF(AND(H53="高",I53="高"),"重点管理",IF(H53="高","保持满意",IF(I53="高","保持沟通","监督观察"))))</x:f>
      </x:c>
      <x:c r="O53" s="13"/>
      <x:c r="P53" s="13"/>
      <x:c r="Q53" s="13"/>
      <x:c r="R53" s="13"/>
      <x:c r="S53" s="14"/>
      <x:c r="T53" s="14"/>
      <x:c r="U53" s="13"/>
      <x:c r="V53" s="13"/>
      <x:c r="W53" s="13"/>
      <x:c r="X53" s="14"/>
      <x:c r="Y53" s="13"/>
      <x:c r="Z53" s="13"/>
      <x:c r="AA53" s="13"/>
      <x:c r="AB53" s="9" t="str">
        <x:f t="shared" ca="1" si="3">IF(B53="","",IF(AND(H53="高",OR(J53="抵触",J53="不支持")),"高权力不支持；","")&amp;IF(L53&gt;0,"存在支持差距；","")&amp;IF(AND(T53&lt;&gt;"",T53&lt;TODAY()),"沟通逾期；","")&amp;IF(AND(V53&lt;&gt;"",X53&lt;TODAY(),Y53&lt;&gt;"已完成"),"行动逾期；","")&amp;IF(AND(Z53="是",AA53=""),"未填升级对象",""))</x:f>
      </x:c>
      <x:c r="AC53" s="13"/>
    </x:row>
    <x:row r="54">
      <x:c r="A54" s="9" t="str">
        <x:f t="shared" si="0">IF(B54="","","SH-"&amp;TEXT(ROW()-8,"000"))</x:f>
      </x:c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9" t="str">
        <x:f t="shared" si="1">IF(OR(J54="",K54=""),"",IF(K54="抵触",1,IF(K54="不支持",2,IF(K54="中立",3,IF(K54="支持",4,IF(K54="积极推动",5,"")))))-IF(J54="抵触",1,IF(J54="不支持",2,IF(J54="中立",3,IF(J54="支持",4,IF(J54="积极推动",5,""))))))</x:f>
      </x:c>
      <x:c r="M54" s="13"/>
      <x:c r="N54" s="13" t="str">
        <x:f t="shared" si="2">IF(OR(H54="",I54=""),"",IF(AND(H54="高",I54="高"),"重点管理",IF(H54="高","保持满意",IF(I54="高","保持沟通","监督观察"))))</x:f>
      </x:c>
      <x:c r="O54" s="13"/>
      <x:c r="P54" s="13"/>
      <x:c r="Q54" s="13"/>
      <x:c r="R54" s="13"/>
      <x:c r="S54" s="14"/>
      <x:c r="T54" s="14"/>
      <x:c r="U54" s="13"/>
      <x:c r="V54" s="13"/>
      <x:c r="W54" s="13"/>
      <x:c r="X54" s="14"/>
      <x:c r="Y54" s="13"/>
      <x:c r="Z54" s="13"/>
      <x:c r="AA54" s="13"/>
      <x:c r="AB54" s="9" t="str">
        <x:f t="shared" ca="1" si="3">IF(B54="","",IF(AND(H54="高",OR(J54="抵触",J54="不支持")),"高权力不支持；","")&amp;IF(L54&gt;0,"存在支持差距；","")&amp;IF(AND(T54&lt;&gt;"",T54&lt;TODAY()),"沟通逾期；","")&amp;IF(AND(V54&lt;&gt;"",X54&lt;TODAY(),Y54&lt;&gt;"已完成"),"行动逾期；","")&amp;IF(AND(Z54="是",AA54=""),"未填升级对象",""))</x:f>
      </x:c>
      <x:c r="AC54" s="13"/>
    </x:row>
    <x:row r="55">
      <x:c r="A55" s="9" t="str">
        <x:f t="shared" si="0">IF(B55="","","SH-"&amp;TEXT(ROW()-8,"000"))</x:f>
      </x:c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9" t="str">
        <x:f t="shared" si="1">IF(OR(J55="",K55=""),"",IF(K55="抵触",1,IF(K55="不支持",2,IF(K55="中立",3,IF(K55="支持",4,IF(K55="积极推动",5,"")))))-IF(J55="抵触",1,IF(J55="不支持",2,IF(J55="中立",3,IF(J55="支持",4,IF(J55="积极推动",5,""))))))</x:f>
      </x:c>
      <x:c r="M55" s="13"/>
      <x:c r="N55" s="13" t="str">
        <x:f t="shared" si="2">IF(OR(H55="",I55=""),"",IF(AND(H55="高",I55="高"),"重点管理",IF(H55="高","保持满意",IF(I55="高","保持沟通","监督观察"))))</x:f>
      </x:c>
      <x:c r="O55" s="13"/>
      <x:c r="P55" s="13"/>
      <x:c r="Q55" s="13"/>
      <x:c r="R55" s="13"/>
      <x:c r="S55" s="14"/>
      <x:c r="T55" s="14"/>
      <x:c r="U55" s="13"/>
      <x:c r="V55" s="13"/>
      <x:c r="W55" s="13"/>
      <x:c r="X55" s="14"/>
      <x:c r="Y55" s="13"/>
      <x:c r="Z55" s="13"/>
      <x:c r="AA55" s="13"/>
      <x:c r="AB55" s="9" t="str">
        <x:f t="shared" ca="1" si="3">IF(B55="","",IF(AND(H55="高",OR(J55="抵触",J55="不支持")),"高权力不支持；","")&amp;IF(L55&gt;0,"存在支持差距；","")&amp;IF(AND(T55&lt;&gt;"",T55&lt;TODAY()),"沟通逾期；","")&amp;IF(AND(V55&lt;&gt;"",X55&lt;TODAY(),Y55&lt;&gt;"已完成"),"行动逾期；","")&amp;IF(AND(Z55="是",AA55=""),"未填升级对象",""))</x:f>
      </x:c>
      <x:c r="AC55" s="13"/>
    </x:row>
    <x:row r="56">
      <x:c r="A56" s="9" t="str">
        <x:f t="shared" si="0">IF(B56="","","SH-"&amp;TEXT(ROW()-8,"000"))</x:f>
      </x:c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9" t="str">
        <x:f t="shared" si="1">IF(OR(J56="",K56=""),"",IF(K56="抵触",1,IF(K56="不支持",2,IF(K56="中立",3,IF(K56="支持",4,IF(K56="积极推动",5,"")))))-IF(J56="抵触",1,IF(J56="不支持",2,IF(J56="中立",3,IF(J56="支持",4,IF(J56="积极推动",5,""))))))</x:f>
      </x:c>
      <x:c r="M56" s="13"/>
      <x:c r="N56" s="13" t="str">
        <x:f t="shared" si="2">IF(OR(H56="",I56=""),"",IF(AND(H56="高",I56="高"),"重点管理",IF(H56="高","保持满意",IF(I56="高","保持沟通","监督观察"))))</x:f>
      </x:c>
      <x:c r="O56" s="13"/>
      <x:c r="P56" s="13"/>
      <x:c r="Q56" s="13"/>
      <x:c r="R56" s="13"/>
      <x:c r="S56" s="14"/>
      <x:c r="T56" s="14"/>
      <x:c r="U56" s="13"/>
      <x:c r="V56" s="13"/>
      <x:c r="W56" s="13"/>
      <x:c r="X56" s="14"/>
      <x:c r="Y56" s="13"/>
      <x:c r="Z56" s="13"/>
      <x:c r="AA56" s="13"/>
      <x:c r="AB56" s="9" t="str">
        <x:f t="shared" ca="1" si="3">IF(B56="","",IF(AND(H56="高",OR(J56="抵触",J56="不支持")),"高权力不支持；","")&amp;IF(L56&gt;0,"存在支持差距；","")&amp;IF(AND(T56&lt;&gt;"",T56&lt;TODAY()),"沟通逾期；","")&amp;IF(AND(V56&lt;&gt;"",X56&lt;TODAY(),Y56&lt;&gt;"已完成"),"行动逾期；","")&amp;IF(AND(Z56="是",AA56=""),"未填升级对象",""))</x:f>
      </x:c>
      <x:c r="AC56" s="13"/>
    </x:row>
    <x:row r="57">
      <x:c r="A57" s="9" t="str">
        <x:f t="shared" si="0">IF(B57="","","SH-"&amp;TEXT(ROW()-8,"000"))</x:f>
      </x:c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9" t="str">
        <x:f t="shared" si="1">IF(OR(J57="",K57=""),"",IF(K57="抵触",1,IF(K57="不支持",2,IF(K57="中立",3,IF(K57="支持",4,IF(K57="积极推动",5,"")))))-IF(J57="抵触",1,IF(J57="不支持",2,IF(J57="中立",3,IF(J57="支持",4,IF(J57="积极推动",5,""))))))</x:f>
      </x:c>
      <x:c r="M57" s="13"/>
      <x:c r="N57" s="13" t="str">
        <x:f t="shared" si="2">IF(OR(H57="",I57=""),"",IF(AND(H57="高",I57="高"),"重点管理",IF(H57="高","保持满意",IF(I57="高","保持沟通","监督观察"))))</x:f>
      </x:c>
      <x:c r="O57" s="13"/>
      <x:c r="P57" s="13"/>
      <x:c r="Q57" s="13"/>
      <x:c r="R57" s="13"/>
      <x:c r="S57" s="14"/>
      <x:c r="T57" s="14"/>
      <x:c r="U57" s="13"/>
      <x:c r="V57" s="13"/>
      <x:c r="W57" s="13"/>
      <x:c r="X57" s="14"/>
      <x:c r="Y57" s="13"/>
      <x:c r="Z57" s="13"/>
      <x:c r="AA57" s="13"/>
      <x:c r="AB57" s="9" t="str">
        <x:f t="shared" ca="1" si="3">IF(B57="","",IF(AND(H57="高",OR(J57="抵触",J57="不支持")),"高权力不支持；","")&amp;IF(L57&gt;0,"存在支持差距；","")&amp;IF(AND(T57&lt;&gt;"",T57&lt;TODAY()),"沟通逾期；","")&amp;IF(AND(V57&lt;&gt;"",X57&lt;TODAY(),Y57&lt;&gt;"已完成"),"行动逾期；","")&amp;IF(AND(Z57="是",AA57=""),"未填升级对象",""))</x:f>
      </x:c>
      <x:c r="AC57" s="13"/>
    </x:row>
    <x:row r="58">
      <x:c r="A58" s="9" t="str">
        <x:f t="shared" si="0">IF(B58="","","SH-"&amp;TEXT(ROW()-8,"000"))</x:f>
      </x:c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9" t="str">
        <x:f t="shared" si="1">IF(OR(J58="",K58=""),"",IF(K58="抵触",1,IF(K58="不支持",2,IF(K58="中立",3,IF(K58="支持",4,IF(K58="积极推动",5,"")))))-IF(J58="抵触",1,IF(J58="不支持",2,IF(J58="中立",3,IF(J58="支持",4,IF(J58="积极推动",5,""))))))</x:f>
      </x:c>
      <x:c r="M58" s="13"/>
      <x:c r="N58" s="13" t="str">
        <x:f t="shared" si="2">IF(OR(H58="",I58=""),"",IF(AND(H58="高",I58="高"),"重点管理",IF(H58="高","保持满意",IF(I58="高","保持沟通","监督观察"))))</x:f>
      </x:c>
      <x:c r="O58" s="13"/>
      <x:c r="P58" s="13"/>
      <x:c r="Q58" s="13"/>
      <x:c r="R58" s="13"/>
      <x:c r="S58" s="14"/>
      <x:c r="T58" s="14"/>
      <x:c r="U58" s="13"/>
      <x:c r="V58" s="13"/>
      <x:c r="W58" s="13"/>
      <x:c r="X58" s="14"/>
      <x:c r="Y58" s="13"/>
      <x:c r="Z58" s="13"/>
      <x:c r="AA58" s="13"/>
      <x:c r="AB58" s="9" t="str">
        <x:f t="shared" ca="1" si="3">IF(B58="","",IF(AND(H58="高",OR(J58="抵触",J58="不支持")),"高权力不支持；","")&amp;IF(L58&gt;0,"存在支持差距；","")&amp;IF(AND(T58&lt;&gt;"",T58&lt;TODAY()),"沟通逾期；","")&amp;IF(AND(V58&lt;&gt;"",X58&lt;TODAY(),Y58&lt;&gt;"已完成"),"行动逾期；","")&amp;IF(AND(Z58="是",AA58=""),"未填升级对象",""))</x:f>
      </x:c>
      <x:c r="AC58" s="13"/>
    </x:row>
    <x:row r="59">
      <x:c r="A59" s="9" t="str">
        <x:f t="shared" si="0">IF(B59="","","SH-"&amp;TEXT(ROW()-8,"000"))</x:f>
      </x:c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9" t="str">
        <x:f t="shared" si="1">IF(OR(J59="",K59=""),"",IF(K59="抵触",1,IF(K59="不支持",2,IF(K59="中立",3,IF(K59="支持",4,IF(K59="积极推动",5,"")))))-IF(J59="抵触",1,IF(J59="不支持",2,IF(J59="中立",3,IF(J59="支持",4,IF(J59="积极推动",5,""))))))</x:f>
      </x:c>
      <x:c r="M59" s="13"/>
      <x:c r="N59" s="13" t="str">
        <x:f t="shared" si="2">IF(OR(H59="",I59=""),"",IF(AND(H59="高",I59="高"),"重点管理",IF(H59="高","保持满意",IF(I59="高","保持沟通","监督观察"))))</x:f>
      </x:c>
      <x:c r="O59" s="13"/>
      <x:c r="P59" s="13"/>
      <x:c r="Q59" s="13"/>
      <x:c r="R59" s="13"/>
      <x:c r="S59" s="14"/>
      <x:c r="T59" s="14"/>
      <x:c r="U59" s="13"/>
      <x:c r="V59" s="13"/>
      <x:c r="W59" s="13"/>
      <x:c r="X59" s="14"/>
      <x:c r="Y59" s="13"/>
      <x:c r="Z59" s="13"/>
      <x:c r="AA59" s="13"/>
      <x:c r="AB59" s="9" t="str">
        <x:f t="shared" ca="1" si="3">IF(B59="","",IF(AND(H59="高",OR(J59="抵触",J59="不支持")),"高权力不支持；","")&amp;IF(L59&gt;0,"存在支持差距；","")&amp;IF(AND(T59&lt;&gt;"",T59&lt;TODAY()),"沟通逾期；","")&amp;IF(AND(V59&lt;&gt;"",X59&lt;TODAY(),Y59&lt;&gt;"已完成"),"行动逾期；","")&amp;IF(AND(Z59="是",AA59=""),"未填升级对象",""))</x:f>
      </x:c>
      <x:c r="AC59" s="13"/>
    </x:row>
    <x:row r="60">
      <x:c r="A60" s="9" t="str">
        <x:f t="shared" si="0">IF(B60="","","SH-"&amp;TEXT(ROW()-8,"000"))</x:f>
      </x:c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9" t="str">
        <x:f t="shared" si="1">IF(OR(J60="",K60=""),"",IF(K60="抵触",1,IF(K60="不支持",2,IF(K60="中立",3,IF(K60="支持",4,IF(K60="积极推动",5,"")))))-IF(J60="抵触",1,IF(J60="不支持",2,IF(J60="中立",3,IF(J60="支持",4,IF(J60="积极推动",5,""))))))</x:f>
      </x:c>
      <x:c r="M60" s="13"/>
      <x:c r="N60" s="13" t="str">
        <x:f t="shared" si="2">IF(OR(H60="",I60=""),"",IF(AND(H60="高",I60="高"),"重点管理",IF(H60="高","保持满意",IF(I60="高","保持沟通","监督观察"))))</x:f>
      </x:c>
      <x:c r="O60" s="13"/>
      <x:c r="P60" s="13"/>
      <x:c r="Q60" s="13"/>
      <x:c r="R60" s="13"/>
      <x:c r="S60" s="14"/>
      <x:c r="T60" s="14"/>
      <x:c r="U60" s="13"/>
      <x:c r="V60" s="13"/>
      <x:c r="W60" s="13"/>
      <x:c r="X60" s="14"/>
      <x:c r="Y60" s="13"/>
      <x:c r="Z60" s="13"/>
      <x:c r="AA60" s="13"/>
      <x:c r="AB60" s="9" t="str">
        <x:f t="shared" ca="1" si="3">IF(B60="","",IF(AND(H60="高",OR(J60="抵触",J60="不支持")),"高权力不支持；","")&amp;IF(L60&gt;0,"存在支持差距；","")&amp;IF(AND(T60&lt;&gt;"",T60&lt;TODAY()),"沟通逾期；","")&amp;IF(AND(V60&lt;&gt;"",X60&lt;TODAY(),Y60&lt;&gt;"已完成"),"行动逾期；","")&amp;IF(AND(Z60="是",AA60=""),"未填升级对象",""))</x:f>
      </x:c>
      <x:c r="AC60" s="13"/>
    </x:row>
    <x:row r="61">
      <x:c r="A61" s="9" t="str">
        <x:f t="shared" si="0">IF(B61="","","SH-"&amp;TEXT(ROW()-8,"000"))</x:f>
      </x:c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9" t="str">
        <x:f t="shared" si="1">IF(OR(J61="",K61=""),"",IF(K61="抵触",1,IF(K61="不支持",2,IF(K61="中立",3,IF(K61="支持",4,IF(K61="积极推动",5,"")))))-IF(J61="抵触",1,IF(J61="不支持",2,IF(J61="中立",3,IF(J61="支持",4,IF(J61="积极推动",5,""))))))</x:f>
      </x:c>
      <x:c r="M61" s="13"/>
      <x:c r="N61" s="13" t="str">
        <x:f t="shared" si="2">IF(OR(H61="",I61=""),"",IF(AND(H61="高",I61="高"),"重点管理",IF(H61="高","保持满意",IF(I61="高","保持沟通","监督观察"))))</x:f>
      </x:c>
      <x:c r="O61" s="13"/>
      <x:c r="P61" s="13"/>
      <x:c r="Q61" s="13"/>
      <x:c r="R61" s="13"/>
      <x:c r="S61" s="14"/>
      <x:c r="T61" s="14"/>
      <x:c r="U61" s="13"/>
      <x:c r="V61" s="13"/>
      <x:c r="W61" s="13"/>
      <x:c r="X61" s="14"/>
      <x:c r="Y61" s="13"/>
      <x:c r="Z61" s="13"/>
      <x:c r="AA61" s="13"/>
      <x:c r="AB61" s="9" t="str">
        <x:f t="shared" ca="1" si="3">IF(B61="","",IF(AND(H61="高",OR(J61="抵触",J61="不支持")),"高权力不支持；","")&amp;IF(L61&gt;0,"存在支持差距；","")&amp;IF(AND(T61&lt;&gt;"",T61&lt;TODAY()),"沟通逾期；","")&amp;IF(AND(V61&lt;&gt;"",X61&lt;TODAY(),Y61&lt;&gt;"已完成"),"行动逾期；","")&amp;IF(AND(Z61="是",AA61=""),"未填升级对象",""))</x:f>
      </x:c>
      <x:c r="AC61" s="13"/>
    </x:row>
    <x:row r="62">
      <x:c r="A62" s="9" t="str">
        <x:f t="shared" si="0">IF(B62="","","SH-"&amp;TEXT(ROW()-8,"000"))</x:f>
      </x:c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9" t="str">
        <x:f t="shared" si="1">IF(OR(J62="",K62=""),"",IF(K62="抵触",1,IF(K62="不支持",2,IF(K62="中立",3,IF(K62="支持",4,IF(K62="积极推动",5,"")))))-IF(J62="抵触",1,IF(J62="不支持",2,IF(J62="中立",3,IF(J62="支持",4,IF(J62="积极推动",5,""))))))</x:f>
      </x:c>
      <x:c r="M62" s="13"/>
      <x:c r="N62" s="13" t="str">
        <x:f t="shared" si="2">IF(OR(H62="",I62=""),"",IF(AND(H62="高",I62="高"),"重点管理",IF(H62="高","保持满意",IF(I62="高","保持沟通","监督观察"))))</x:f>
      </x:c>
      <x:c r="O62" s="13"/>
      <x:c r="P62" s="13"/>
      <x:c r="Q62" s="13"/>
      <x:c r="R62" s="13"/>
      <x:c r="S62" s="14"/>
      <x:c r="T62" s="14"/>
      <x:c r="U62" s="13"/>
      <x:c r="V62" s="13"/>
      <x:c r="W62" s="13"/>
      <x:c r="X62" s="14"/>
      <x:c r="Y62" s="13"/>
      <x:c r="Z62" s="13"/>
      <x:c r="AA62" s="13"/>
      <x:c r="AB62" s="9" t="str">
        <x:f t="shared" ca="1" si="3">IF(B62="","",IF(AND(H62="高",OR(J62="抵触",J62="不支持")),"高权力不支持；","")&amp;IF(L62&gt;0,"存在支持差距；","")&amp;IF(AND(T62&lt;&gt;"",T62&lt;TODAY()),"沟通逾期；","")&amp;IF(AND(V62&lt;&gt;"",X62&lt;TODAY(),Y62&lt;&gt;"已完成"),"行动逾期；","")&amp;IF(AND(Z62="是",AA62=""),"未填升级对象",""))</x:f>
      </x:c>
      <x:c r="AC62" s="13"/>
    </x:row>
    <x:row r="63">
      <x:c r="A63" s="9" t="str">
        <x:f t="shared" si="0">IF(B63="","","SH-"&amp;TEXT(ROW()-8,"000"))</x:f>
      </x:c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9" t="str">
        <x:f t="shared" si="1">IF(OR(J63="",K63=""),"",IF(K63="抵触",1,IF(K63="不支持",2,IF(K63="中立",3,IF(K63="支持",4,IF(K63="积极推动",5,"")))))-IF(J63="抵触",1,IF(J63="不支持",2,IF(J63="中立",3,IF(J63="支持",4,IF(J63="积极推动",5,""))))))</x:f>
      </x:c>
      <x:c r="M63" s="13"/>
      <x:c r="N63" s="13" t="str">
        <x:f t="shared" si="2">IF(OR(H63="",I63=""),"",IF(AND(H63="高",I63="高"),"重点管理",IF(H63="高","保持满意",IF(I63="高","保持沟通","监督观察"))))</x:f>
      </x:c>
      <x:c r="O63" s="13"/>
      <x:c r="P63" s="13"/>
      <x:c r="Q63" s="13"/>
      <x:c r="R63" s="13"/>
      <x:c r="S63" s="14"/>
      <x:c r="T63" s="14"/>
      <x:c r="U63" s="13"/>
      <x:c r="V63" s="13"/>
      <x:c r="W63" s="13"/>
      <x:c r="X63" s="14"/>
      <x:c r="Y63" s="13"/>
      <x:c r="Z63" s="13"/>
      <x:c r="AA63" s="13"/>
      <x:c r="AB63" s="9" t="str">
        <x:f t="shared" ca="1" si="3">IF(B63="","",IF(AND(H63="高",OR(J63="抵触",J63="不支持")),"高权力不支持；","")&amp;IF(L63&gt;0,"存在支持差距；","")&amp;IF(AND(T63&lt;&gt;"",T63&lt;TODAY()),"沟通逾期；","")&amp;IF(AND(V63&lt;&gt;"",X63&lt;TODAY(),Y63&lt;&gt;"已完成"),"行动逾期；","")&amp;IF(AND(Z63="是",AA63=""),"未填升级对象",""))</x:f>
      </x:c>
      <x:c r="AC63" s="13"/>
    </x:row>
    <x:row r="64">
      <x:c r="A64" s="9" t="str">
        <x:f t="shared" si="0">IF(B64="","","SH-"&amp;TEXT(ROW()-8,"000"))</x:f>
      </x:c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9" t="str">
        <x:f t="shared" si="1">IF(OR(J64="",K64=""),"",IF(K64="抵触",1,IF(K64="不支持",2,IF(K64="中立",3,IF(K64="支持",4,IF(K64="积极推动",5,"")))))-IF(J64="抵触",1,IF(J64="不支持",2,IF(J64="中立",3,IF(J64="支持",4,IF(J64="积极推动",5,""))))))</x:f>
      </x:c>
      <x:c r="M64" s="13"/>
      <x:c r="N64" s="13" t="str">
        <x:f t="shared" si="2">IF(OR(H64="",I64=""),"",IF(AND(H64="高",I64="高"),"重点管理",IF(H64="高","保持满意",IF(I64="高","保持沟通","监督观察"))))</x:f>
      </x:c>
      <x:c r="O64" s="13"/>
      <x:c r="P64" s="13"/>
      <x:c r="Q64" s="13"/>
      <x:c r="R64" s="13"/>
      <x:c r="S64" s="14"/>
      <x:c r="T64" s="14"/>
      <x:c r="U64" s="13"/>
      <x:c r="V64" s="13"/>
      <x:c r="W64" s="13"/>
      <x:c r="X64" s="14"/>
      <x:c r="Y64" s="13"/>
      <x:c r="Z64" s="13"/>
      <x:c r="AA64" s="13"/>
      <x:c r="AB64" s="9" t="str">
        <x:f t="shared" ca="1" si="3">IF(B64="","",IF(AND(H64="高",OR(J64="抵触",J64="不支持")),"高权力不支持；","")&amp;IF(L64&gt;0,"存在支持差距；","")&amp;IF(AND(T64&lt;&gt;"",T64&lt;TODAY()),"沟通逾期；","")&amp;IF(AND(V64&lt;&gt;"",X64&lt;TODAY(),Y64&lt;&gt;"已完成"),"行动逾期；","")&amp;IF(AND(Z64="是",AA64=""),"未填升级对象",""))</x:f>
      </x:c>
      <x:c r="AC64" s="13"/>
    </x:row>
    <x:row r="65">
      <x:c r="A65" s="9" t="str">
        <x:f t="shared" si="0">IF(B65="","","SH-"&amp;TEXT(ROW()-8,"000"))</x:f>
      </x:c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9" t="str">
        <x:f t="shared" si="1">IF(OR(J65="",K65=""),"",IF(K65="抵触",1,IF(K65="不支持",2,IF(K65="中立",3,IF(K65="支持",4,IF(K65="积极推动",5,"")))))-IF(J65="抵触",1,IF(J65="不支持",2,IF(J65="中立",3,IF(J65="支持",4,IF(J65="积极推动",5,""))))))</x:f>
      </x:c>
      <x:c r="M65" s="13"/>
      <x:c r="N65" s="13" t="str">
        <x:f t="shared" si="2">IF(OR(H65="",I65=""),"",IF(AND(H65="高",I65="高"),"重点管理",IF(H65="高","保持满意",IF(I65="高","保持沟通","监督观察"))))</x:f>
      </x:c>
      <x:c r="O65" s="13"/>
      <x:c r="P65" s="13"/>
      <x:c r="Q65" s="13"/>
      <x:c r="R65" s="13"/>
      <x:c r="S65" s="14"/>
      <x:c r="T65" s="14"/>
      <x:c r="U65" s="13"/>
      <x:c r="V65" s="13"/>
      <x:c r="W65" s="13"/>
      <x:c r="X65" s="14"/>
      <x:c r="Y65" s="13"/>
      <x:c r="Z65" s="13"/>
      <x:c r="AA65" s="13"/>
      <x:c r="AB65" s="9" t="str">
        <x:f t="shared" ca="1" si="3">IF(B65="","",IF(AND(H65="高",OR(J65="抵触",J65="不支持")),"高权力不支持；","")&amp;IF(L65&gt;0,"存在支持差距；","")&amp;IF(AND(T65&lt;&gt;"",T65&lt;TODAY()),"沟通逾期；","")&amp;IF(AND(V65&lt;&gt;"",X65&lt;TODAY(),Y65&lt;&gt;"已完成"),"行动逾期；","")&amp;IF(AND(Z65="是",AA65=""),"未填升级对象",""))</x:f>
      </x:c>
      <x:c r="AC65" s="13"/>
    </x:row>
    <x:row r="66">
      <x:c r="A66" s="9" t="str">
        <x:f t="shared" si="0">IF(B66="","","SH-"&amp;TEXT(ROW()-8,"000"))</x:f>
      </x:c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9" t="str">
        <x:f t="shared" si="1">IF(OR(J66="",K66=""),"",IF(K66="抵触",1,IF(K66="不支持",2,IF(K66="中立",3,IF(K66="支持",4,IF(K66="积极推动",5,"")))))-IF(J66="抵触",1,IF(J66="不支持",2,IF(J66="中立",3,IF(J66="支持",4,IF(J66="积极推动",5,""))))))</x:f>
      </x:c>
      <x:c r="M66" s="13"/>
      <x:c r="N66" s="13" t="str">
        <x:f t="shared" si="2">IF(OR(H66="",I66=""),"",IF(AND(H66="高",I66="高"),"重点管理",IF(H66="高","保持满意",IF(I66="高","保持沟通","监督观察"))))</x:f>
      </x:c>
      <x:c r="O66" s="13"/>
      <x:c r="P66" s="13"/>
      <x:c r="Q66" s="13"/>
      <x:c r="R66" s="13"/>
      <x:c r="S66" s="14"/>
      <x:c r="T66" s="14"/>
      <x:c r="U66" s="13"/>
      <x:c r="V66" s="13"/>
      <x:c r="W66" s="13"/>
      <x:c r="X66" s="14"/>
      <x:c r="Y66" s="13"/>
      <x:c r="Z66" s="13"/>
      <x:c r="AA66" s="13"/>
      <x:c r="AB66" s="9" t="str">
        <x:f t="shared" ca="1" si="3">IF(B66="","",IF(AND(H66="高",OR(J66="抵触",J66="不支持")),"高权力不支持；","")&amp;IF(L66&gt;0,"存在支持差距；","")&amp;IF(AND(T66&lt;&gt;"",T66&lt;TODAY()),"沟通逾期；","")&amp;IF(AND(V66&lt;&gt;"",X66&lt;TODAY(),Y66&lt;&gt;"已完成"),"行动逾期；","")&amp;IF(AND(Z66="是",AA66=""),"未填升级对象",""))</x:f>
      </x:c>
      <x:c r="AC66" s="13"/>
    </x:row>
    <x:row r="67">
      <x:c r="A67" s="9" t="str">
        <x:f t="shared" si="0">IF(B67="","","SH-"&amp;TEXT(ROW()-8,"000"))</x:f>
      </x:c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9" t="str">
        <x:f t="shared" si="1">IF(OR(J67="",K67=""),"",IF(K67="抵触",1,IF(K67="不支持",2,IF(K67="中立",3,IF(K67="支持",4,IF(K67="积极推动",5,"")))))-IF(J67="抵触",1,IF(J67="不支持",2,IF(J67="中立",3,IF(J67="支持",4,IF(J67="积极推动",5,""))))))</x:f>
      </x:c>
      <x:c r="M67" s="13"/>
      <x:c r="N67" s="13" t="str">
        <x:f t="shared" si="2">IF(OR(H67="",I67=""),"",IF(AND(H67="高",I67="高"),"重点管理",IF(H67="高","保持满意",IF(I67="高","保持沟通","监督观察"))))</x:f>
      </x:c>
      <x:c r="O67" s="13"/>
      <x:c r="P67" s="13"/>
      <x:c r="Q67" s="13"/>
      <x:c r="R67" s="13"/>
      <x:c r="S67" s="14"/>
      <x:c r="T67" s="14"/>
      <x:c r="U67" s="13"/>
      <x:c r="V67" s="13"/>
      <x:c r="W67" s="13"/>
      <x:c r="X67" s="14"/>
      <x:c r="Y67" s="13"/>
      <x:c r="Z67" s="13"/>
      <x:c r="AA67" s="13"/>
      <x:c r="AB67" s="9" t="str">
        <x:f t="shared" ca="1" si="3">IF(B67="","",IF(AND(H67="高",OR(J67="抵触",J67="不支持")),"高权力不支持；","")&amp;IF(L67&gt;0,"存在支持差距；","")&amp;IF(AND(T67&lt;&gt;"",T67&lt;TODAY()),"沟通逾期；","")&amp;IF(AND(V67&lt;&gt;"",X67&lt;TODAY(),Y67&lt;&gt;"已完成"),"行动逾期；","")&amp;IF(AND(Z67="是",AA67=""),"未填升级对象",""))</x:f>
      </x:c>
      <x:c r="AC67" s="13"/>
    </x:row>
    <x:row r="68">
      <x:c r="A68" s="9" t="str">
        <x:f t="shared" si="0">IF(B68="","","SH-"&amp;TEXT(ROW()-8,"000"))</x:f>
      </x:c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9" t="str">
        <x:f t="shared" si="1">IF(OR(J68="",K68=""),"",IF(K68="抵触",1,IF(K68="不支持",2,IF(K68="中立",3,IF(K68="支持",4,IF(K68="积极推动",5,"")))))-IF(J68="抵触",1,IF(J68="不支持",2,IF(J68="中立",3,IF(J68="支持",4,IF(J68="积极推动",5,""))))))</x:f>
      </x:c>
      <x:c r="M68" s="13"/>
      <x:c r="N68" s="13" t="str">
        <x:f t="shared" si="2">IF(OR(H68="",I68=""),"",IF(AND(H68="高",I68="高"),"重点管理",IF(H68="高","保持满意",IF(I68="高","保持沟通","监督观察"))))</x:f>
      </x:c>
      <x:c r="O68" s="13"/>
      <x:c r="P68" s="13"/>
      <x:c r="Q68" s="13"/>
      <x:c r="R68" s="13"/>
      <x:c r="S68" s="14"/>
      <x:c r="T68" s="14"/>
      <x:c r="U68" s="13"/>
      <x:c r="V68" s="13"/>
      <x:c r="W68" s="13"/>
      <x:c r="X68" s="14"/>
      <x:c r="Y68" s="13"/>
      <x:c r="Z68" s="13"/>
      <x:c r="AA68" s="13"/>
      <x:c r="AB68" s="9" t="str">
        <x:f t="shared" ca="1" si="3">IF(B68="","",IF(AND(H68="高",OR(J68="抵触",J68="不支持")),"高权力不支持；","")&amp;IF(L68&gt;0,"存在支持差距；","")&amp;IF(AND(T68&lt;&gt;"",T68&lt;TODAY()),"沟通逾期；","")&amp;IF(AND(V68&lt;&gt;"",X68&lt;TODAY(),Y68&lt;&gt;"已完成"),"行动逾期；","")&amp;IF(AND(Z68="是",AA68=""),"未填升级对象",""))</x:f>
      </x:c>
      <x:c r="AC68" s="13"/>
    </x:row>
    <x:row r="69">
      <x:c r="A69" s="9" t="str">
        <x:f t="shared" si="0">IF(B69="","","SH-"&amp;TEXT(ROW()-8,"000"))</x:f>
      </x:c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9" t="str">
        <x:f t="shared" si="1">IF(OR(J69="",K69=""),"",IF(K69="抵触",1,IF(K69="不支持",2,IF(K69="中立",3,IF(K69="支持",4,IF(K69="积极推动",5,"")))))-IF(J69="抵触",1,IF(J69="不支持",2,IF(J69="中立",3,IF(J69="支持",4,IF(J69="积极推动",5,""))))))</x:f>
      </x:c>
      <x:c r="M69" s="13"/>
      <x:c r="N69" s="13" t="str">
        <x:f t="shared" si="2">IF(OR(H69="",I69=""),"",IF(AND(H69="高",I69="高"),"重点管理",IF(H69="高","保持满意",IF(I69="高","保持沟通","监督观察"))))</x:f>
      </x:c>
      <x:c r="O69" s="13"/>
      <x:c r="P69" s="13"/>
      <x:c r="Q69" s="13"/>
      <x:c r="R69" s="13"/>
      <x:c r="S69" s="14"/>
      <x:c r="T69" s="14"/>
      <x:c r="U69" s="13"/>
      <x:c r="V69" s="13"/>
      <x:c r="W69" s="13"/>
      <x:c r="X69" s="14"/>
      <x:c r="Y69" s="13"/>
      <x:c r="Z69" s="13"/>
      <x:c r="AA69" s="13"/>
      <x:c r="AB69" s="9" t="str">
        <x:f t="shared" ca="1" si="3">IF(B69="","",IF(AND(H69="高",OR(J69="抵触",J69="不支持")),"高权力不支持；","")&amp;IF(L69&gt;0,"存在支持差距；","")&amp;IF(AND(T69&lt;&gt;"",T69&lt;TODAY()),"沟通逾期；","")&amp;IF(AND(V69&lt;&gt;"",X69&lt;TODAY(),Y69&lt;&gt;"已完成"),"行动逾期；","")&amp;IF(AND(Z69="是",AA69=""),"未填升级对象",""))</x:f>
      </x:c>
      <x:c r="AC69" s="13"/>
    </x:row>
    <x:row r="70">
      <x:c r="A70" s="9" t="str">
        <x:f t="shared" si="0">IF(B70="","","SH-"&amp;TEXT(ROW()-8,"000"))</x:f>
      </x:c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9" t="str">
        <x:f t="shared" si="1">IF(OR(J70="",K70=""),"",IF(K70="抵触",1,IF(K70="不支持",2,IF(K70="中立",3,IF(K70="支持",4,IF(K70="积极推动",5,"")))))-IF(J70="抵触",1,IF(J70="不支持",2,IF(J70="中立",3,IF(J70="支持",4,IF(J70="积极推动",5,""))))))</x:f>
      </x:c>
      <x:c r="M70" s="13"/>
      <x:c r="N70" s="13" t="str">
        <x:f t="shared" si="2">IF(OR(H70="",I70=""),"",IF(AND(H70="高",I70="高"),"重点管理",IF(H70="高","保持满意",IF(I70="高","保持沟通","监督观察"))))</x:f>
      </x:c>
      <x:c r="O70" s="13"/>
      <x:c r="P70" s="13"/>
      <x:c r="Q70" s="13"/>
      <x:c r="R70" s="13"/>
      <x:c r="S70" s="14"/>
      <x:c r="T70" s="14"/>
      <x:c r="U70" s="13"/>
      <x:c r="V70" s="13"/>
      <x:c r="W70" s="13"/>
      <x:c r="X70" s="14"/>
      <x:c r="Y70" s="13"/>
      <x:c r="Z70" s="13"/>
      <x:c r="AA70" s="13"/>
      <x:c r="AB70" s="9" t="str">
        <x:f t="shared" ca="1" si="3">IF(B70="","",IF(AND(H70="高",OR(J70="抵触",J70="不支持")),"高权力不支持；","")&amp;IF(L70&gt;0,"存在支持差距；","")&amp;IF(AND(T70&lt;&gt;"",T70&lt;TODAY()),"沟通逾期；","")&amp;IF(AND(V70&lt;&gt;"",X70&lt;TODAY(),Y70&lt;&gt;"已完成"),"行动逾期；","")&amp;IF(AND(Z70="是",AA70=""),"未填升级对象",""))</x:f>
      </x:c>
      <x:c r="AC70" s="13"/>
    </x:row>
    <x:row r="71">
      <x:c r="A71" s="9" t="str">
        <x:f t="shared" si="0">IF(B71="","","SH-"&amp;TEXT(ROW()-8,"000"))</x:f>
      </x:c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9" t="str">
        <x:f t="shared" si="1">IF(OR(J71="",K71=""),"",IF(K71="抵触",1,IF(K71="不支持",2,IF(K71="中立",3,IF(K71="支持",4,IF(K71="积极推动",5,"")))))-IF(J71="抵触",1,IF(J71="不支持",2,IF(J71="中立",3,IF(J71="支持",4,IF(J71="积极推动",5,""))))))</x:f>
      </x:c>
      <x:c r="M71" s="13"/>
      <x:c r="N71" s="13" t="str">
        <x:f t="shared" si="2">IF(OR(H71="",I71=""),"",IF(AND(H71="高",I71="高"),"重点管理",IF(H71="高","保持满意",IF(I71="高","保持沟通","监督观察"))))</x:f>
      </x:c>
      <x:c r="O71" s="13"/>
      <x:c r="P71" s="13"/>
      <x:c r="Q71" s="13"/>
      <x:c r="R71" s="13"/>
      <x:c r="S71" s="14"/>
      <x:c r="T71" s="14"/>
      <x:c r="U71" s="13"/>
      <x:c r="V71" s="13"/>
      <x:c r="W71" s="13"/>
      <x:c r="X71" s="14"/>
      <x:c r="Y71" s="13"/>
      <x:c r="Z71" s="13"/>
      <x:c r="AA71" s="13"/>
      <x:c r="AB71" s="9" t="str">
        <x:f t="shared" ca="1" si="3">IF(B71="","",IF(AND(H71="高",OR(J71="抵触",J71="不支持")),"高权力不支持；","")&amp;IF(L71&gt;0,"存在支持差距；","")&amp;IF(AND(T71&lt;&gt;"",T71&lt;TODAY()),"沟通逾期；","")&amp;IF(AND(V71&lt;&gt;"",X71&lt;TODAY(),Y71&lt;&gt;"已完成"),"行动逾期；","")&amp;IF(AND(Z71="是",AA71=""),"未填升级对象",""))</x:f>
      </x:c>
      <x:c r="AC71" s="13"/>
    </x:row>
    <x:row r="72">
      <x:c r="A72" s="9" t="str">
        <x:f t="shared" si="0">IF(B72="","","SH-"&amp;TEXT(ROW()-8,"000"))</x:f>
      </x:c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9" t="str">
        <x:f t="shared" si="1">IF(OR(J72="",K72=""),"",IF(K72="抵触",1,IF(K72="不支持",2,IF(K72="中立",3,IF(K72="支持",4,IF(K72="积极推动",5,"")))))-IF(J72="抵触",1,IF(J72="不支持",2,IF(J72="中立",3,IF(J72="支持",4,IF(J72="积极推动",5,""))))))</x:f>
      </x:c>
      <x:c r="M72" s="13"/>
      <x:c r="N72" s="13" t="str">
        <x:f t="shared" si="2">IF(OR(H72="",I72=""),"",IF(AND(H72="高",I72="高"),"重点管理",IF(H72="高","保持满意",IF(I72="高","保持沟通","监督观察"))))</x:f>
      </x:c>
      <x:c r="O72" s="13"/>
      <x:c r="P72" s="13"/>
      <x:c r="Q72" s="13"/>
      <x:c r="R72" s="13"/>
      <x:c r="S72" s="14"/>
      <x:c r="T72" s="14"/>
      <x:c r="U72" s="13"/>
      <x:c r="V72" s="13"/>
      <x:c r="W72" s="13"/>
      <x:c r="X72" s="14"/>
      <x:c r="Y72" s="13"/>
      <x:c r="Z72" s="13"/>
      <x:c r="AA72" s="13"/>
      <x:c r="AB72" s="9" t="str">
        <x:f t="shared" ca="1" si="3">IF(B72="","",IF(AND(H72="高",OR(J72="抵触",J72="不支持")),"高权力不支持；","")&amp;IF(L72&gt;0,"存在支持差距；","")&amp;IF(AND(T72&lt;&gt;"",T72&lt;TODAY()),"沟通逾期；","")&amp;IF(AND(V72&lt;&gt;"",X72&lt;TODAY(),Y72&lt;&gt;"已完成"),"行动逾期；","")&amp;IF(AND(Z72="是",AA72=""),"未填升级对象",""))</x:f>
      </x:c>
      <x:c r="AC72" s="13"/>
    </x:row>
    <x:row r="73">
      <x:c r="A73" s="9" t="str">
        <x:f t="shared" ref="A73:A108" si="4">IF(B73="","","SH-"&amp;TEXT(ROW()-8,"000"))</x:f>
      </x:c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9" t="str">
        <x:f t="shared" ref="L73:L108" si="5">IF(OR(J73="",K73=""),"",IF(K73="抵触",1,IF(K73="不支持",2,IF(K73="中立",3,IF(K73="支持",4,IF(K73="积极推动",5,"")))))-IF(J73="抵触",1,IF(J73="不支持",2,IF(J73="中立",3,IF(J73="支持",4,IF(J73="积极推动",5,""))))))</x:f>
      </x:c>
      <x:c r="M73" s="13"/>
      <x:c r="N73" s="13" t="str">
        <x:f t="shared" ref="N73:N108" si="6">IF(OR(H73="",I73=""),"",IF(AND(H73="高",I73="高"),"重点管理",IF(H73="高","保持满意",IF(I73="高","保持沟通","监督观察"))))</x:f>
      </x:c>
      <x:c r="O73" s="13"/>
      <x:c r="P73" s="13"/>
      <x:c r="Q73" s="13"/>
      <x:c r="R73" s="13"/>
      <x:c r="S73" s="14"/>
      <x:c r="T73" s="14"/>
      <x:c r="U73" s="13"/>
      <x:c r="V73" s="13"/>
      <x:c r="W73" s="13"/>
      <x:c r="X73" s="14"/>
      <x:c r="Y73" s="13"/>
      <x:c r="Z73" s="13"/>
      <x:c r="AA73" s="13"/>
      <x:c r="AB73" s="9" t="str">
        <x:f t="shared" ref="AB73:AB108" ca="1" si="7">IF(B73="","",IF(AND(H73="高",OR(J73="抵触",J73="不支持")),"高权力不支持；","")&amp;IF(L73&gt;0,"存在支持差距；","")&amp;IF(AND(T73&lt;&gt;"",T73&lt;TODAY()),"沟通逾期；","")&amp;IF(AND(V73&lt;&gt;"",X73&lt;TODAY(),Y73&lt;&gt;"已完成"),"行动逾期；","")&amp;IF(AND(Z73="是",AA73=""),"未填升级对象",""))</x:f>
      </x:c>
      <x:c r="AC73" s="13"/>
    </x:row>
    <x:row r="74">
      <x:c r="A74" s="9" t="str">
        <x:f t="shared" si="4">IF(B74="","","SH-"&amp;TEXT(ROW()-8,"000"))</x:f>
      </x:c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9" t="str">
        <x:f t="shared" si="5">IF(OR(J74="",K74=""),"",IF(K74="抵触",1,IF(K74="不支持",2,IF(K74="中立",3,IF(K74="支持",4,IF(K74="积极推动",5,"")))))-IF(J74="抵触",1,IF(J74="不支持",2,IF(J74="中立",3,IF(J74="支持",4,IF(J74="积极推动",5,""))))))</x:f>
      </x:c>
      <x:c r="M74" s="13"/>
      <x:c r="N74" s="13" t="str">
        <x:f t="shared" si="6">IF(OR(H74="",I74=""),"",IF(AND(H74="高",I74="高"),"重点管理",IF(H74="高","保持满意",IF(I74="高","保持沟通","监督观察"))))</x:f>
      </x:c>
      <x:c r="O74" s="13"/>
      <x:c r="P74" s="13"/>
      <x:c r="Q74" s="13"/>
      <x:c r="R74" s="13"/>
      <x:c r="S74" s="14"/>
      <x:c r="T74" s="14"/>
      <x:c r="U74" s="13"/>
      <x:c r="V74" s="13"/>
      <x:c r="W74" s="13"/>
      <x:c r="X74" s="14"/>
      <x:c r="Y74" s="13"/>
      <x:c r="Z74" s="13"/>
      <x:c r="AA74" s="13"/>
      <x:c r="AB74" s="9" t="str">
        <x:f t="shared" ca="1" si="7">IF(B74="","",IF(AND(H74="高",OR(J74="抵触",J74="不支持")),"高权力不支持；","")&amp;IF(L74&gt;0,"存在支持差距；","")&amp;IF(AND(T74&lt;&gt;"",T74&lt;TODAY()),"沟通逾期；","")&amp;IF(AND(V74&lt;&gt;"",X74&lt;TODAY(),Y74&lt;&gt;"已完成"),"行动逾期；","")&amp;IF(AND(Z74="是",AA74=""),"未填升级对象",""))</x:f>
      </x:c>
      <x:c r="AC74" s="13"/>
    </x:row>
    <x:row r="75">
      <x:c r="A75" s="9" t="str">
        <x:f t="shared" si="4">IF(B75="","","SH-"&amp;TEXT(ROW()-8,"000"))</x:f>
      </x:c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9" t="str">
        <x:f t="shared" si="5">IF(OR(J75="",K75=""),"",IF(K75="抵触",1,IF(K75="不支持",2,IF(K75="中立",3,IF(K75="支持",4,IF(K75="积极推动",5,"")))))-IF(J75="抵触",1,IF(J75="不支持",2,IF(J75="中立",3,IF(J75="支持",4,IF(J75="积极推动",5,""))))))</x:f>
      </x:c>
      <x:c r="M75" s="13"/>
      <x:c r="N75" s="13" t="str">
        <x:f t="shared" si="6">IF(OR(H75="",I75=""),"",IF(AND(H75="高",I75="高"),"重点管理",IF(H75="高","保持满意",IF(I75="高","保持沟通","监督观察"))))</x:f>
      </x:c>
      <x:c r="O75" s="13"/>
      <x:c r="P75" s="13"/>
      <x:c r="Q75" s="13"/>
      <x:c r="R75" s="13"/>
      <x:c r="S75" s="14"/>
      <x:c r="T75" s="14"/>
      <x:c r="U75" s="13"/>
      <x:c r="V75" s="13"/>
      <x:c r="W75" s="13"/>
      <x:c r="X75" s="14"/>
      <x:c r="Y75" s="13"/>
      <x:c r="Z75" s="13"/>
      <x:c r="AA75" s="13"/>
      <x:c r="AB75" s="9" t="str">
        <x:f t="shared" ca="1" si="7">IF(B75="","",IF(AND(H75="高",OR(J75="抵触",J75="不支持")),"高权力不支持；","")&amp;IF(L75&gt;0,"存在支持差距；","")&amp;IF(AND(T75&lt;&gt;"",T75&lt;TODAY()),"沟通逾期；","")&amp;IF(AND(V75&lt;&gt;"",X75&lt;TODAY(),Y75&lt;&gt;"已完成"),"行动逾期；","")&amp;IF(AND(Z75="是",AA75=""),"未填升级对象",""))</x:f>
      </x:c>
      <x:c r="AC75" s="13"/>
    </x:row>
    <x:row r="76">
      <x:c r="A76" s="9" t="str">
        <x:f t="shared" si="4">IF(B76="","","SH-"&amp;TEXT(ROW()-8,"000"))</x:f>
      </x:c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9" t="str">
        <x:f t="shared" si="5">IF(OR(J76="",K76=""),"",IF(K76="抵触",1,IF(K76="不支持",2,IF(K76="中立",3,IF(K76="支持",4,IF(K76="积极推动",5,"")))))-IF(J76="抵触",1,IF(J76="不支持",2,IF(J76="中立",3,IF(J76="支持",4,IF(J76="积极推动",5,""))))))</x:f>
      </x:c>
      <x:c r="M76" s="13"/>
      <x:c r="N76" s="13" t="str">
        <x:f t="shared" si="6">IF(OR(H76="",I76=""),"",IF(AND(H76="高",I76="高"),"重点管理",IF(H76="高","保持满意",IF(I76="高","保持沟通","监督观察"))))</x:f>
      </x:c>
      <x:c r="O76" s="13"/>
      <x:c r="P76" s="13"/>
      <x:c r="Q76" s="13"/>
      <x:c r="R76" s="13"/>
      <x:c r="S76" s="14"/>
      <x:c r="T76" s="14"/>
      <x:c r="U76" s="13"/>
      <x:c r="V76" s="13"/>
      <x:c r="W76" s="13"/>
      <x:c r="X76" s="14"/>
      <x:c r="Y76" s="13"/>
      <x:c r="Z76" s="13"/>
      <x:c r="AA76" s="13"/>
      <x:c r="AB76" s="9" t="str">
        <x:f t="shared" ca="1" si="7">IF(B76="","",IF(AND(H76="高",OR(J76="抵触",J76="不支持")),"高权力不支持；","")&amp;IF(L76&gt;0,"存在支持差距；","")&amp;IF(AND(T76&lt;&gt;"",T76&lt;TODAY()),"沟通逾期；","")&amp;IF(AND(V76&lt;&gt;"",X76&lt;TODAY(),Y76&lt;&gt;"已完成"),"行动逾期；","")&amp;IF(AND(Z76="是",AA76=""),"未填升级对象",""))</x:f>
      </x:c>
      <x:c r="AC76" s="13"/>
    </x:row>
    <x:row r="77">
      <x:c r="A77" s="9" t="str">
        <x:f t="shared" si="4">IF(B77="","","SH-"&amp;TEXT(ROW()-8,"000"))</x:f>
      </x:c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9" t="str">
        <x:f t="shared" si="5">IF(OR(J77="",K77=""),"",IF(K77="抵触",1,IF(K77="不支持",2,IF(K77="中立",3,IF(K77="支持",4,IF(K77="积极推动",5,"")))))-IF(J77="抵触",1,IF(J77="不支持",2,IF(J77="中立",3,IF(J77="支持",4,IF(J77="积极推动",5,""))))))</x:f>
      </x:c>
      <x:c r="M77" s="13"/>
      <x:c r="N77" s="13" t="str">
        <x:f t="shared" si="6">IF(OR(H77="",I77=""),"",IF(AND(H77="高",I77="高"),"重点管理",IF(H77="高","保持满意",IF(I77="高","保持沟通","监督观察"))))</x:f>
      </x:c>
      <x:c r="O77" s="13"/>
      <x:c r="P77" s="13"/>
      <x:c r="Q77" s="13"/>
      <x:c r="R77" s="13"/>
      <x:c r="S77" s="14"/>
      <x:c r="T77" s="14"/>
      <x:c r="U77" s="13"/>
      <x:c r="V77" s="13"/>
      <x:c r="W77" s="13"/>
      <x:c r="X77" s="14"/>
      <x:c r="Y77" s="13"/>
      <x:c r="Z77" s="13"/>
      <x:c r="AA77" s="13"/>
      <x:c r="AB77" s="9" t="str">
        <x:f t="shared" ca="1" si="7">IF(B77="","",IF(AND(H77="高",OR(J77="抵触",J77="不支持")),"高权力不支持；","")&amp;IF(L77&gt;0,"存在支持差距；","")&amp;IF(AND(T77&lt;&gt;"",T77&lt;TODAY()),"沟通逾期；","")&amp;IF(AND(V77&lt;&gt;"",X77&lt;TODAY(),Y77&lt;&gt;"已完成"),"行动逾期；","")&amp;IF(AND(Z77="是",AA77=""),"未填升级对象",""))</x:f>
      </x:c>
      <x:c r="AC77" s="13"/>
    </x:row>
    <x:row r="78">
      <x:c r="A78" s="9" t="str">
        <x:f t="shared" si="4">IF(B78="","","SH-"&amp;TEXT(ROW()-8,"000"))</x:f>
      </x:c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9" t="str">
        <x:f t="shared" si="5">IF(OR(J78="",K78=""),"",IF(K78="抵触",1,IF(K78="不支持",2,IF(K78="中立",3,IF(K78="支持",4,IF(K78="积极推动",5,"")))))-IF(J78="抵触",1,IF(J78="不支持",2,IF(J78="中立",3,IF(J78="支持",4,IF(J78="积极推动",5,""))))))</x:f>
      </x:c>
      <x:c r="M78" s="13"/>
      <x:c r="N78" s="13" t="str">
        <x:f t="shared" si="6">IF(OR(H78="",I78=""),"",IF(AND(H78="高",I78="高"),"重点管理",IF(H78="高","保持满意",IF(I78="高","保持沟通","监督观察"))))</x:f>
      </x:c>
      <x:c r="O78" s="13"/>
      <x:c r="P78" s="13"/>
      <x:c r="Q78" s="13"/>
      <x:c r="R78" s="13"/>
      <x:c r="S78" s="14"/>
      <x:c r="T78" s="14"/>
      <x:c r="U78" s="13"/>
      <x:c r="V78" s="13"/>
      <x:c r="W78" s="13"/>
      <x:c r="X78" s="14"/>
      <x:c r="Y78" s="13"/>
      <x:c r="Z78" s="13"/>
      <x:c r="AA78" s="13"/>
      <x:c r="AB78" s="9" t="str">
        <x:f t="shared" ca="1" si="7">IF(B78="","",IF(AND(H78="高",OR(J78="抵触",J78="不支持")),"高权力不支持；","")&amp;IF(L78&gt;0,"存在支持差距；","")&amp;IF(AND(T78&lt;&gt;"",T78&lt;TODAY()),"沟通逾期；","")&amp;IF(AND(V78&lt;&gt;"",X78&lt;TODAY(),Y78&lt;&gt;"已完成"),"行动逾期；","")&amp;IF(AND(Z78="是",AA78=""),"未填升级对象",""))</x:f>
      </x:c>
      <x:c r="AC78" s="13"/>
    </x:row>
    <x:row r="79">
      <x:c r="A79" s="9" t="str">
        <x:f t="shared" si="4">IF(B79="","","SH-"&amp;TEXT(ROW()-8,"000"))</x:f>
      </x:c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9" t="str">
        <x:f t="shared" si="5">IF(OR(J79="",K79=""),"",IF(K79="抵触",1,IF(K79="不支持",2,IF(K79="中立",3,IF(K79="支持",4,IF(K79="积极推动",5,"")))))-IF(J79="抵触",1,IF(J79="不支持",2,IF(J79="中立",3,IF(J79="支持",4,IF(J79="积极推动",5,""))))))</x:f>
      </x:c>
      <x:c r="M79" s="13"/>
      <x:c r="N79" s="13" t="str">
        <x:f t="shared" si="6">IF(OR(H79="",I79=""),"",IF(AND(H79="高",I79="高"),"重点管理",IF(H79="高","保持满意",IF(I79="高","保持沟通","监督观察"))))</x:f>
      </x:c>
      <x:c r="O79" s="13"/>
      <x:c r="P79" s="13"/>
      <x:c r="Q79" s="13"/>
      <x:c r="R79" s="13"/>
      <x:c r="S79" s="14"/>
      <x:c r="T79" s="14"/>
      <x:c r="U79" s="13"/>
      <x:c r="V79" s="13"/>
      <x:c r="W79" s="13"/>
      <x:c r="X79" s="14"/>
      <x:c r="Y79" s="13"/>
      <x:c r="Z79" s="13"/>
      <x:c r="AA79" s="13"/>
      <x:c r="AB79" s="9" t="str">
        <x:f t="shared" ca="1" si="7">IF(B79="","",IF(AND(H79="高",OR(J79="抵触",J79="不支持")),"高权力不支持；","")&amp;IF(L79&gt;0,"存在支持差距；","")&amp;IF(AND(T79&lt;&gt;"",T79&lt;TODAY()),"沟通逾期；","")&amp;IF(AND(V79&lt;&gt;"",X79&lt;TODAY(),Y79&lt;&gt;"已完成"),"行动逾期；","")&amp;IF(AND(Z79="是",AA79=""),"未填升级对象",""))</x:f>
      </x:c>
      <x:c r="AC79" s="13"/>
    </x:row>
    <x:row r="80">
      <x:c r="A80" s="9" t="str">
        <x:f t="shared" si="4">IF(B80="","","SH-"&amp;TEXT(ROW()-8,"000"))</x:f>
      </x:c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9" t="str">
        <x:f t="shared" si="5">IF(OR(J80="",K80=""),"",IF(K80="抵触",1,IF(K80="不支持",2,IF(K80="中立",3,IF(K80="支持",4,IF(K80="积极推动",5,"")))))-IF(J80="抵触",1,IF(J80="不支持",2,IF(J80="中立",3,IF(J80="支持",4,IF(J80="积极推动",5,""))))))</x:f>
      </x:c>
      <x:c r="M80" s="13"/>
      <x:c r="N80" s="13" t="str">
        <x:f t="shared" si="6">IF(OR(H80="",I80=""),"",IF(AND(H80="高",I80="高"),"重点管理",IF(H80="高","保持满意",IF(I80="高","保持沟通","监督观察"))))</x:f>
      </x:c>
      <x:c r="O80" s="13"/>
      <x:c r="P80" s="13"/>
      <x:c r="Q80" s="13"/>
      <x:c r="R80" s="13"/>
      <x:c r="S80" s="14"/>
      <x:c r="T80" s="14"/>
      <x:c r="U80" s="13"/>
      <x:c r="V80" s="13"/>
      <x:c r="W80" s="13"/>
      <x:c r="X80" s="14"/>
      <x:c r="Y80" s="13"/>
      <x:c r="Z80" s="13"/>
      <x:c r="AA80" s="13"/>
      <x:c r="AB80" s="9" t="str">
        <x:f t="shared" ca="1" si="7">IF(B80="","",IF(AND(H80="高",OR(J80="抵触",J80="不支持")),"高权力不支持；","")&amp;IF(L80&gt;0,"存在支持差距；","")&amp;IF(AND(T80&lt;&gt;"",T80&lt;TODAY()),"沟通逾期；","")&amp;IF(AND(V80&lt;&gt;"",X80&lt;TODAY(),Y80&lt;&gt;"已完成"),"行动逾期；","")&amp;IF(AND(Z80="是",AA80=""),"未填升级对象",""))</x:f>
      </x:c>
      <x:c r="AC80" s="13"/>
    </x:row>
    <x:row r="81">
      <x:c r="A81" s="9" t="str">
        <x:f t="shared" si="4">IF(B81="","","SH-"&amp;TEXT(ROW()-8,"000"))</x:f>
      </x:c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9" t="str">
        <x:f t="shared" si="5">IF(OR(J81="",K81=""),"",IF(K81="抵触",1,IF(K81="不支持",2,IF(K81="中立",3,IF(K81="支持",4,IF(K81="积极推动",5,"")))))-IF(J81="抵触",1,IF(J81="不支持",2,IF(J81="中立",3,IF(J81="支持",4,IF(J81="积极推动",5,""))))))</x:f>
      </x:c>
      <x:c r="M81" s="13"/>
      <x:c r="N81" s="13" t="str">
        <x:f t="shared" si="6">IF(OR(H81="",I81=""),"",IF(AND(H81="高",I81="高"),"重点管理",IF(H81="高","保持满意",IF(I81="高","保持沟通","监督观察"))))</x:f>
      </x:c>
      <x:c r="O81" s="13"/>
      <x:c r="P81" s="13"/>
      <x:c r="Q81" s="13"/>
      <x:c r="R81" s="13"/>
      <x:c r="S81" s="14"/>
      <x:c r="T81" s="14"/>
      <x:c r="U81" s="13"/>
      <x:c r="V81" s="13"/>
      <x:c r="W81" s="13"/>
      <x:c r="X81" s="14"/>
      <x:c r="Y81" s="13"/>
      <x:c r="Z81" s="13"/>
      <x:c r="AA81" s="13"/>
      <x:c r="AB81" s="9" t="str">
        <x:f t="shared" ca="1" si="7">IF(B81="","",IF(AND(H81="高",OR(J81="抵触",J81="不支持")),"高权力不支持；","")&amp;IF(L81&gt;0,"存在支持差距；","")&amp;IF(AND(T81&lt;&gt;"",T81&lt;TODAY()),"沟通逾期；","")&amp;IF(AND(V81&lt;&gt;"",X81&lt;TODAY(),Y81&lt;&gt;"已完成"),"行动逾期；","")&amp;IF(AND(Z81="是",AA81=""),"未填升级对象",""))</x:f>
      </x:c>
      <x:c r="AC81" s="13"/>
    </x:row>
    <x:row r="82">
      <x:c r="A82" s="9" t="str">
        <x:f t="shared" si="4">IF(B82="","","SH-"&amp;TEXT(ROW()-8,"000"))</x:f>
      </x:c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9" t="str">
        <x:f t="shared" si="5">IF(OR(J82="",K82=""),"",IF(K82="抵触",1,IF(K82="不支持",2,IF(K82="中立",3,IF(K82="支持",4,IF(K82="积极推动",5,"")))))-IF(J82="抵触",1,IF(J82="不支持",2,IF(J82="中立",3,IF(J82="支持",4,IF(J82="积极推动",5,""))))))</x:f>
      </x:c>
      <x:c r="M82" s="13"/>
      <x:c r="N82" s="13" t="str">
        <x:f t="shared" si="6">IF(OR(H82="",I82=""),"",IF(AND(H82="高",I82="高"),"重点管理",IF(H82="高","保持满意",IF(I82="高","保持沟通","监督观察"))))</x:f>
      </x:c>
      <x:c r="O82" s="13"/>
      <x:c r="P82" s="13"/>
      <x:c r="Q82" s="13"/>
      <x:c r="R82" s="13"/>
      <x:c r="S82" s="14"/>
      <x:c r="T82" s="14"/>
      <x:c r="U82" s="13"/>
      <x:c r="V82" s="13"/>
      <x:c r="W82" s="13"/>
      <x:c r="X82" s="14"/>
      <x:c r="Y82" s="13"/>
      <x:c r="Z82" s="13"/>
      <x:c r="AA82" s="13"/>
      <x:c r="AB82" s="9" t="str">
        <x:f t="shared" ca="1" si="7">IF(B82="","",IF(AND(H82="高",OR(J82="抵触",J82="不支持")),"高权力不支持；","")&amp;IF(L82&gt;0,"存在支持差距；","")&amp;IF(AND(T82&lt;&gt;"",T82&lt;TODAY()),"沟通逾期；","")&amp;IF(AND(V82&lt;&gt;"",X82&lt;TODAY(),Y82&lt;&gt;"已完成"),"行动逾期；","")&amp;IF(AND(Z82="是",AA82=""),"未填升级对象",""))</x:f>
      </x:c>
      <x:c r="AC82" s="13"/>
    </x:row>
    <x:row r="83">
      <x:c r="A83" s="9" t="str">
        <x:f t="shared" si="4">IF(B83="","","SH-"&amp;TEXT(ROW()-8,"000"))</x:f>
      </x:c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9" t="str">
        <x:f t="shared" si="5">IF(OR(J83="",K83=""),"",IF(K83="抵触",1,IF(K83="不支持",2,IF(K83="中立",3,IF(K83="支持",4,IF(K83="积极推动",5,"")))))-IF(J83="抵触",1,IF(J83="不支持",2,IF(J83="中立",3,IF(J83="支持",4,IF(J83="积极推动",5,""))))))</x:f>
      </x:c>
      <x:c r="M83" s="13"/>
      <x:c r="N83" s="13" t="str">
        <x:f t="shared" si="6">IF(OR(H83="",I83=""),"",IF(AND(H83="高",I83="高"),"重点管理",IF(H83="高","保持满意",IF(I83="高","保持沟通","监督观察"))))</x:f>
      </x:c>
      <x:c r="O83" s="13"/>
      <x:c r="P83" s="13"/>
      <x:c r="Q83" s="13"/>
      <x:c r="R83" s="13"/>
      <x:c r="S83" s="14"/>
      <x:c r="T83" s="14"/>
      <x:c r="U83" s="13"/>
      <x:c r="V83" s="13"/>
      <x:c r="W83" s="13"/>
      <x:c r="X83" s="14"/>
      <x:c r="Y83" s="13"/>
      <x:c r="Z83" s="13"/>
      <x:c r="AA83" s="13"/>
      <x:c r="AB83" s="9" t="str">
        <x:f t="shared" ca="1" si="7">IF(B83="","",IF(AND(H83="高",OR(J83="抵触",J83="不支持")),"高权力不支持；","")&amp;IF(L83&gt;0,"存在支持差距；","")&amp;IF(AND(T83&lt;&gt;"",T83&lt;TODAY()),"沟通逾期；","")&amp;IF(AND(V83&lt;&gt;"",X83&lt;TODAY(),Y83&lt;&gt;"已完成"),"行动逾期；","")&amp;IF(AND(Z83="是",AA83=""),"未填升级对象",""))</x:f>
      </x:c>
      <x:c r="AC83" s="13"/>
    </x:row>
    <x:row r="84">
      <x:c r="A84" s="9" t="str">
        <x:f t="shared" si="4">IF(B84="","","SH-"&amp;TEXT(ROW()-8,"000"))</x:f>
      </x:c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9" t="str">
        <x:f t="shared" si="5">IF(OR(J84="",K84=""),"",IF(K84="抵触",1,IF(K84="不支持",2,IF(K84="中立",3,IF(K84="支持",4,IF(K84="积极推动",5,"")))))-IF(J84="抵触",1,IF(J84="不支持",2,IF(J84="中立",3,IF(J84="支持",4,IF(J84="积极推动",5,""))))))</x:f>
      </x:c>
      <x:c r="M84" s="13"/>
      <x:c r="N84" s="13" t="str">
        <x:f t="shared" si="6">IF(OR(H84="",I84=""),"",IF(AND(H84="高",I84="高"),"重点管理",IF(H84="高","保持满意",IF(I84="高","保持沟通","监督观察"))))</x:f>
      </x:c>
      <x:c r="O84" s="13"/>
      <x:c r="P84" s="13"/>
      <x:c r="Q84" s="13"/>
      <x:c r="R84" s="13"/>
      <x:c r="S84" s="14"/>
      <x:c r="T84" s="14"/>
      <x:c r="U84" s="13"/>
      <x:c r="V84" s="13"/>
      <x:c r="W84" s="13"/>
      <x:c r="X84" s="14"/>
      <x:c r="Y84" s="13"/>
      <x:c r="Z84" s="13"/>
      <x:c r="AA84" s="13"/>
      <x:c r="AB84" s="9" t="str">
        <x:f t="shared" ca="1" si="7">IF(B84="","",IF(AND(H84="高",OR(J84="抵触",J84="不支持")),"高权力不支持；","")&amp;IF(L84&gt;0,"存在支持差距；","")&amp;IF(AND(T84&lt;&gt;"",T84&lt;TODAY()),"沟通逾期；","")&amp;IF(AND(V84&lt;&gt;"",X84&lt;TODAY(),Y84&lt;&gt;"已完成"),"行动逾期；","")&amp;IF(AND(Z84="是",AA84=""),"未填升级对象",""))</x:f>
      </x:c>
      <x:c r="AC84" s="13"/>
    </x:row>
    <x:row r="85">
      <x:c r="A85" s="9" t="str">
        <x:f t="shared" si="4">IF(B85="","","SH-"&amp;TEXT(ROW()-8,"000"))</x:f>
      </x:c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9" t="str">
        <x:f t="shared" si="5">IF(OR(J85="",K85=""),"",IF(K85="抵触",1,IF(K85="不支持",2,IF(K85="中立",3,IF(K85="支持",4,IF(K85="积极推动",5,"")))))-IF(J85="抵触",1,IF(J85="不支持",2,IF(J85="中立",3,IF(J85="支持",4,IF(J85="积极推动",5,""))))))</x:f>
      </x:c>
      <x:c r="M85" s="13"/>
      <x:c r="N85" s="13" t="str">
        <x:f t="shared" si="6">IF(OR(H85="",I85=""),"",IF(AND(H85="高",I85="高"),"重点管理",IF(H85="高","保持满意",IF(I85="高","保持沟通","监督观察"))))</x:f>
      </x:c>
      <x:c r="O85" s="13"/>
      <x:c r="P85" s="13"/>
      <x:c r="Q85" s="13"/>
      <x:c r="R85" s="13"/>
      <x:c r="S85" s="14"/>
      <x:c r="T85" s="14"/>
      <x:c r="U85" s="13"/>
      <x:c r="V85" s="13"/>
      <x:c r="W85" s="13"/>
      <x:c r="X85" s="14"/>
      <x:c r="Y85" s="13"/>
      <x:c r="Z85" s="13"/>
      <x:c r="AA85" s="13"/>
      <x:c r="AB85" s="9" t="str">
        <x:f t="shared" ca="1" si="7">IF(B85="","",IF(AND(H85="高",OR(J85="抵触",J85="不支持")),"高权力不支持；","")&amp;IF(L85&gt;0,"存在支持差距；","")&amp;IF(AND(T85&lt;&gt;"",T85&lt;TODAY()),"沟通逾期；","")&amp;IF(AND(V85&lt;&gt;"",X85&lt;TODAY(),Y85&lt;&gt;"已完成"),"行动逾期；","")&amp;IF(AND(Z85="是",AA85=""),"未填升级对象",""))</x:f>
      </x:c>
      <x:c r="AC85" s="13"/>
    </x:row>
    <x:row r="86">
      <x:c r="A86" s="9" t="str">
        <x:f t="shared" si="4">IF(B86="","","SH-"&amp;TEXT(ROW()-8,"000"))</x:f>
      </x:c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9" t="str">
        <x:f t="shared" si="5">IF(OR(J86="",K86=""),"",IF(K86="抵触",1,IF(K86="不支持",2,IF(K86="中立",3,IF(K86="支持",4,IF(K86="积极推动",5,"")))))-IF(J86="抵触",1,IF(J86="不支持",2,IF(J86="中立",3,IF(J86="支持",4,IF(J86="积极推动",5,""))))))</x:f>
      </x:c>
      <x:c r="M86" s="13"/>
      <x:c r="N86" s="13" t="str">
        <x:f t="shared" si="6">IF(OR(H86="",I86=""),"",IF(AND(H86="高",I86="高"),"重点管理",IF(H86="高","保持满意",IF(I86="高","保持沟通","监督观察"))))</x:f>
      </x:c>
      <x:c r="O86" s="13"/>
      <x:c r="P86" s="13"/>
      <x:c r="Q86" s="13"/>
      <x:c r="R86" s="13"/>
      <x:c r="S86" s="14"/>
      <x:c r="T86" s="14"/>
      <x:c r="U86" s="13"/>
      <x:c r="V86" s="13"/>
      <x:c r="W86" s="13"/>
      <x:c r="X86" s="14"/>
      <x:c r="Y86" s="13"/>
      <x:c r="Z86" s="13"/>
      <x:c r="AA86" s="13"/>
      <x:c r="AB86" s="9" t="str">
        <x:f t="shared" ca="1" si="7">IF(B86="","",IF(AND(H86="高",OR(J86="抵触",J86="不支持")),"高权力不支持；","")&amp;IF(L86&gt;0,"存在支持差距；","")&amp;IF(AND(T86&lt;&gt;"",T86&lt;TODAY()),"沟通逾期；","")&amp;IF(AND(V86&lt;&gt;"",X86&lt;TODAY(),Y86&lt;&gt;"已完成"),"行动逾期；","")&amp;IF(AND(Z86="是",AA86=""),"未填升级对象",""))</x:f>
      </x:c>
      <x:c r="AC86" s="13"/>
    </x:row>
    <x:row r="87">
      <x:c r="A87" s="9" t="str">
        <x:f t="shared" si="4">IF(B87="","","SH-"&amp;TEXT(ROW()-8,"000"))</x:f>
      </x:c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9" t="str">
        <x:f t="shared" si="5">IF(OR(J87="",K87=""),"",IF(K87="抵触",1,IF(K87="不支持",2,IF(K87="中立",3,IF(K87="支持",4,IF(K87="积极推动",5,"")))))-IF(J87="抵触",1,IF(J87="不支持",2,IF(J87="中立",3,IF(J87="支持",4,IF(J87="积极推动",5,""))))))</x:f>
      </x:c>
      <x:c r="M87" s="13"/>
      <x:c r="N87" s="13" t="str">
        <x:f t="shared" si="6">IF(OR(H87="",I87=""),"",IF(AND(H87="高",I87="高"),"重点管理",IF(H87="高","保持满意",IF(I87="高","保持沟通","监督观察"))))</x:f>
      </x:c>
      <x:c r="O87" s="13"/>
      <x:c r="P87" s="13"/>
      <x:c r="Q87" s="13"/>
      <x:c r="R87" s="13"/>
      <x:c r="S87" s="14"/>
      <x:c r="T87" s="14"/>
      <x:c r="U87" s="13"/>
      <x:c r="V87" s="13"/>
      <x:c r="W87" s="13"/>
      <x:c r="X87" s="14"/>
      <x:c r="Y87" s="13"/>
      <x:c r="Z87" s="13"/>
      <x:c r="AA87" s="13"/>
      <x:c r="AB87" s="9" t="str">
        <x:f t="shared" ca="1" si="7">IF(B87="","",IF(AND(H87="高",OR(J87="抵触",J87="不支持")),"高权力不支持；","")&amp;IF(L87&gt;0,"存在支持差距；","")&amp;IF(AND(T87&lt;&gt;"",T87&lt;TODAY()),"沟通逾期；","")&amp;IF(AND(V87&lt;&gt;"",X87&lt;TODAY(),Y87&lt;&gt;"已完成"),"行动逾期；","")&amp;IF(AND(Z87="是",AA87=""),"未填升级对象",""))</x:f>
      </x:c>
      <x:c r="AC87" s="13"/>
    </x:row>
    <x:row r="88">
      <x:c r="A88" s="9" t="str">
        <x:f t="shared" si="4">IF(B88="","","SH-"&amp;TEXT(ROW()-8,"000"))</x:f>
      </x:c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9" t="str">
        <x:f t="shared" si="5">IF(OR(J88="",K88=""),"",IF(K88="抵触",1,IF(K88="不支持",2,IF(K88="中立",3,IF(K88="支持",4,IF(K88="积极推动",5,"")))))-IF(J88="抵触",1,IF(J88="不支持",2,IF(J88="中立",3,IF(J88="支持",4,IF(J88="积极推动",5,""))))))</x:f>
      </x:c>
      <x:c r="M88" s="13"/>
      <x:c r="N88" s="13" t="str">
        <x:f t="shared" si="6">IF(OR(H88="",I88=""),"",IF(AND(H88="高",I88="高"),"重点管理",IF(H88="高","保持满意",IF(I88="高","保持沟通","监督观察"))))</x:f>
      </x:c>
      <x:c r="O88" s="13"/>
      <x:c r="P88" s="13"/>
      <x:c r="Q88" s="13"/>
      <x:c r="R88" s="13"/>
      <x:c r="S88" s="14"/>
      <x:c r="T88" s="14"/>
      <x:c r="U88" s="13"/>
      <x:c r="V88" s="13"/>
      <x:c r="W88" s="13"/>
      <x:c r="X88" s="14"/>
      <x:c r="Y88" s="13"/>
      <x:c r="Z88" s="13"/>
      <x:c r="AA88" s="13"/>
      <x:c r="AB88" s="9" t="str">
        <x:f t="shared" ca="1" si="7">IF(B88="","",IF(AND(H88="高",OR(J88="抵触",J88="不支持")),"高权力不支持；","")&amp;IF(L88&gt;0,"存在支持差距；","")&amp;IF(AND(T88&lt;&gt;"",T88&lt;TODAY()),"沟通逾期；","")&amp;IF(AND(V88&lt;&gt;"",X88&lt;TODAY(),Y88&lt;&gt;"已完成"),"行动逾期；","")&amp;IF(AND(Z88="是",AA88=""),"未填升级对象",""))</x:f>
      </x:c>
      <x:c r="AC88" s="13"/>
    </x:row>
    <x:row r="89">
      <x:c r="A89" s="9" t="str">
        <x:f t="shared" si="4">IF(B89="","","SH-"&amp;TEXT(ROW()-8,"000"))</x:f>
      </x:c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9" t="str">
        <x:f t="shared" si="5">IF(OR(J89="",K89=""),"",IF(K89="抵触",1,IF(K89="不支持",2,IF(K89="中立",3,IF(K89="支持",4,IF(K89="积极推动",5,"")))))-IF(J89="抵触",1,IF(J89="不支持",2,IF(J89="中立",3,IF(J89="支持",4,IF(J89="积极推动",5,""))))))</x:f>
      </x:c>
      <x:c r="M89" s="13"/>
      <x:c r="N89" s="13" t="str">
        <x:f t="shared" si="6">IF(OR(H89="",I89=""),"",IF(AND(H89="高",I89="高"),"重点管理",IF(H89="高","保持满意",IF(I89="高","保持沟通","监督观察"))))</x:f>
      </x:c>
      <x:c r="O89" s="13"/>
      <x:c r="P89" s="13"/>
      <x:c r="Q89" s="13"/>
      <x:c r="R89" s="13"/>
      <x:c r="S89" s="14"/>
      <x:c r="T89" s="14"/>
      <x:c r="U89" s="13"/>
      <x:c r="V89" s="13"/>
      <x:c r="W89" s="13"/>
      <x:c r="X89" s="14"/>
      <x:c r="Y89" s="13"/>
      <x:c r="Z89" s="13"/>
      <x:c r="AA89" s="13"/>
      <x:c r="AB89" s="9" t="str">
        <x:f t="shared" ca="1" si="7">IF(B89="","",IF(AND(H89="高",OR(J89="抵触",J89="不支持")),"高权力不支持；","")&amp;IF(L89&gt;0,"存在支持差距；","")&amp;IF(AND(T89&lt;&gt;"",T89&lt;TODAY()),"沟通逾期；","")&amp;IF(AND(V89&lt;&gt;"",X89&lt;TODAY(),Y89&lt;&gt;"已完成"),"行动逾期；","")&amp;IF(AND(Z89="是",AA89=""),"未填升级对象",""))</x:f>
      </x:c>
      <x:c r="AC89" s="13"/>
    </x:row>
    <x:row r="90">
      <x:c r="A90" s="9" t="str">
        <x:f t="shared" si="4">IF(B90="","","SH-"&amp;TEXT(ROW()-8,"000"))</x:f>
      </x:c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9" t="str">
        <x:f t="shared" si="5">IF(OR(J90="",K90=""),"",IF(K90="抵触",1,IF(K90="不支持",2,IF(K90="中立",3,IF(K90="支持",4,IF(K90="积极推动",5,"")))))-IF(J90="抵触",1,IF(J90="不支持",2,IF(J90="中立",3,IF(J90="支持",4,IF(J90="积极推动",5,""))))))</x:f>
      </x:c>
      <x:c r="M90" s="13"/>
      <x:c r="N90" s="13" t="str">
        <x:f t="shared" si="6">IF(OR(H90="",I90=""),"",IF(AND(H90="高",I90="高"),"重点管理",IF(H90="高","保持满意",IF(I90="高","保持沟通","监督观察"))))</x:f>
      </x:c>
      <x:c r="O90" s="13"/>
      <x:c r="P90" s="13"/>
      <x:c r="Q90" s="13"/>
      <x:c r="R90" s="13"/>
      <x:c r="S90" s="14"/>
      <x:c r="T90" s="14"/>
      <x:c r="U90" s="13"/>
      <x:c r="V90" s="13"/>
      <x:c r="W90" s="13"/>
      <x:c r="X90" s="14"/>
      <x:c r="Y90" s="13"/>
      <x:c r="Z90" s="13"/>
      <x:c r="AA90" s="13"/>
      <x:c r="AB90" s="9" t="str">
        <x:f t="shared" ca="1" si="7">IF(B90="","",IF(AND(H90="高",OR(J90="抵触",J90="不支持")),"高权力不支持；","")&amp;IF(L90&gt;0,"存在支持差距；","")&amp;IF(AND(T90&lt;&gt;"",T90&lt;TODAY()),"沟通逾期；","")&amp;IF(AND(V90&lt;&gt;"",X90&lt;TODAY(),Y90&lt;&gt;"已完成"),"行动逾期；","")&amp;IF(AND(Z90="是",AA90=""),"未填升级对象",""))</x:f>
      </x:c>
      <x:c r="AC90" s="13"/>
    </x:row>
    <x:row r="91">
      <x:c r="A91" s="9" t="str">
        <x:f t="shared" si="4">IF(B91="","","SH-"&amp;TEXT(ROW()-8,"000"))</x:f>
      </x:c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9" t="str">
        <x:f t="shared" si="5">IF(OR(J91="",K91=""),"",IF(K91="抵触",1,IF(K91="不支持",2,IF(K91="中立",3,IF(K91="支持",4,IF(K91="积极推动",5,"")))))-IF(J91="抵触",1,IF(J91="不支持",2,IF(J91="中立",3,IF(J91="支持",4,IF(J91="积极推动",5,""))))))</x:f>
      </x:c>
      <x:c r="M91" s="13"/>
      <x:c r="N91" s="13" t="str">
        <x:f t="shared" si="6">IF(OR(H91="",I91=""),"",IF(AND(H91="高",I91="高"),"重点管理",IF(H91="高","保持满意",IF(I91="高","保持沟通","监督观察"))))</x:f>
      </x:c>
      <x:c r="O91" s="13"/>
      <x:c r="P91" s="13"/>
      <x:c r="Q91" s="13"/>
      <x:c r="R91" s="13"/>
      <x:c r="S91" s="14"/>
      <x:c r="T91" s="14"/>
      <x:c r="U91" s="13"/>
      <x:c r="V91" s="13"/>
      <x:c r="W91" s="13"/>
      <x:c r="X91" s="14"/>
      <x:c r="Y91" s="13"/>
      <x:c r="Z91" s="13"/>
      <x:c r="AA91" s="13"/>
      <x:c r="AB91" s="9" t="str">
        <x:f t="shared" ca="1" si="7">IF(B91="","",IF(AND(H91="高",OR(J91="抵触",J91="不支持")),"高权力不支持；","")&amp;IF(L91&gt;0,"存在支持差距；","")&amp;IF(AND(T91&lt;&gt;"",T91&lt;TODAY()),"沟通逾期；","")&amp;IF(AND(V91&lt;&gt;"",X91&lt;TODAY(),Y91&lt;&gt;"已完成"),"行动逾期；","")&amp;IF(AND(Z91="是",AA91=""),"未填升级对象",""))</x:f>
      </x:c>
      <x:c r="AC91" s="13"/>
    </x:row>
    <x:row r="92">
      <x:c r="A92" s="9" t="str">
        <x:f t="shared" si="4">IF(B92="","","SH-"&amp;TEXT(ROW()-8,"000"))</x:f>
      </x:c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9" t="str">
        <x:f t="shared" si="5">IF(OR(J92="",K92=""),"",IF(K92="抵触",1,IF(K92="不支持",2,IF(K92="中立",3,IF(K92="支持",4,IF(K92="积极推动",5,"")))))-IF(J92="抵触",1,IF(J92="不支持",2,IF(J92="中立",3,IF(J92="支持",4,IF(J92="积极推动",5,""))))))</x:f>
      </x:c>
      <x:c r="M92" s="13"/>
      <x:c r="N92" s="13" t="str">
        <x:f t="shared" si="6">IF(OR(H92="",I92=""),"",IF(AND(H92="高",I92="高"),"重点管理",IF(H92="高","保持满意",IF(I92="高","保持沟通","监督观察"))))</x:f>
      </x:c>
      <x:c r="O92" s="13"/>
      <x:c r="P92" s="13"/>
      <x:c r="Q92" s="13"/>
      <x:c r="R92" s="13"/>
      <x:c r="S92" s="14"/>
      <x:c r="T92" s="14"/>
      <x:c r="U92" s="13"/>
      <x:c r="V92" s="13"/>
      <x:c r="W92" s="13"/>
      <x:c r="X92" s="14"/>
      <x:c r="Y92" s="13"/>
      <x:c r="Z92" s="13"/>
      <x:c r="AA92" s="13"/>
      <x:c r="AB92" s="9" t="str">
        <x:f t="shared" ca="1" si="7">IF(B92="","",IF(AND(H92="高",OR(J92="抵触",J92="不支持")),"高权力不支持；","")&amp;IF(L92&gt;0,"存在支持差距；","")&amp;IF(AND(T92&lt;&gt;"",T92&lt;TODAY()),"沟通逾期；","")&amp;IF(AND(V92&lt;&gt;"",X92&lt;TODAY(),Y92&lt;&gt;"已完成"),"行动逾期；","")&amp;IF(AND(Z92="是",AA92=""),"未填升级对象",""))</x:f>
      </x:c>
      <x:c r="AC92" s="13"/>
    </x:row>
    <x:row r="93">
      <x:c r="A93" s="9" t="str">
        <x:f t="shared" si="4">IF(B93="","","SH-"&amp;TEXT(ROW()-8,"000"))</x:f>
      </x:c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9" t="str">
        <x:f t="shared" si="5">IF(OR(J93="",K93=""),"",IF(K93="抵触",1,IF(K93="不支持",2,IF(K93="中立",3,IF(K93="支持",4,IF(K93="积极推动",5,"")))))-IF(J93="抵触",1,IF(J93="不支持",2,IF(J93="中立",3,IF(J93="支持",4,IF(J93="积极推动",5,""))))))</x:f>
      </x:c>
      <x:c r="M93" s="13"/>
      <x:c r="N93" s="13" t="str">
        <x:f t="shared" si="6">IF(OR(H93="",I93=""),"",IF(AND(H93="高",I93="高"),"重点管理",IF(H93="高","保持满意",IF(I93="高","保持沟通","监督观察"))))</x:f>
      </x:c>
      <x:c r="O93" s="13"/>
      <x:c r="P93" s="13"/>
      <x:c r="Q93" s="13"/>
      <x:c r="R93" s="13"/>
      <x:c r="S93" s="14"/>
      <x:c r="T93" s="14"/>
      <x:c r="U93" s="13"/>
      <x:c r="V93" s="13"/>
      <x:c r="W93" s="13"/>
      <x:c r="X93" s="14"/>
      <x:c r="Y93" s="13"/>
      <x:c r="Z93" s="13"/>
      <x:c r="AA93" s="13"/>
      <x:c r="AB93" s="9" t="str">
        <x:f t="shared" ca="1" si="7">IF(B93="","",IF(AND(H93="高",OR(J93="抵触",J93="不支持")),"高权力不支持；","")&amp;IF(L93&gt;0,"存在支持差距；","")&amp;IF(AND(T93&lt;&gt;"",T93&lt;TODAY()),"沟通逾期；","")&amp;IF(AND(V93&lt;&gt;"",X93&lt;TODAY(),Y93&lt;&gt;"已完成"),"行动逾期；","")&amp;IF(AND(Z93="是",AA93=""),"未填升级对象",""))</x:f>
      </x:c>
      <x:c r="AC93" s="13"/>
    </x:row>
    <x:row r="94">
      <x:c r="A94" s="9" t="str">
        <x:f t="shared" si="4">IF(B94="","","SH-"&amp;TEXT(ROW()-8,"000"))</x:f>
      </x:c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9" t="str">
        <x:f t="shared" si="5">IF(OR(J94="",K94=""),"",IF(K94="抵触",1,IF(K94="不支持",2,IF(K94="中立",3,IF(K94="支持",4,IF(K94="积极推动",5,"")))))-IF(J94="抵触",1,IF(J94="不支持",2,IF(J94="中立",3,IF(J94="支持",4,IF(J94="积极推动",5,""))))))</x:f>
      </x:c>
      <x:c r="M94" s="13"/>
      <x:c r="N94" s="13" t="str">
        <x:f t="shared" si="6">IF(OR(H94="",I94=""),"",IF(AND(H94="高",I94="高"),"重点管理",IF(H94="高","保持满意",IF(I94="高","保持沟通","监督观察"))))</x:f>
      </x:c>
      <x:c r="O94" s="13"/>
      <x:c r="P94" s="13"/>
      <x:c r="Q94" s="13"/>
      <x:c r="R94" s="13"/>
      <x:c r="S94" s="14"/>
      <x:c r="T94" s="14"/>
      <x:c r="U94" s="13"/>
      <x:c r="V94" s="13"/>
      <x:c r="W94" s="13"/>
      <x:c r="X94" s="14"/>
      <x:c r="Y94" s="13"/>
      <x:c r="Z94" s="13"/>
      <x:c r="AA94" s="13"/>
      <x:c r="AB94" s="9" t="str">
        <x:f t="shared" ca="1" si="7">IF(B94="","",IF(AND(H94="高",OR(J94="抵触",J94="不支持")),"高权力不支持；","")&amp;IF(L94&gt;0,"存在支持差距；","")&amp;IF(AND(T94&lt;&gt;"",T94&lt;TODAY()),"沟通逾期；","")&amp;IF(AND(V94&lt;&gt;"",X94&lt;TODAY(),Y94&lt;&gt;"已完成"),"行动逾期；","")&amp;IF(AND(Z94="是",AA94=""),"未填升级对象",""))</x:f>
      </x:c>
      <x:c r="AC94" s="13"/>
    </x:row>
    <x:row r="95">
      <x:c r="A95" s="9" t="str">
        <x:f t="shared" si="4">IF(B95="","","SH-"&amp;TEXT(ROW()-8,"000"))</x:f>
      </x:c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9" t="str">
        <x:f t="shared" si="5">IF(OR(J95="",K95=""),"",IF(K95="抵触",1,IF(K95="不支持",2,IF(K95="中立",3,IF(K95="支持",4,IF(K95="积极推动",5,"")))))-IF(J95="抵触",1,IF(J95="不支持",2,IF(J95="中立",3,IF(J95="支持",4,IF(J95="积极推动",5,""))))))</x:f>
      </x:c>
      <x:c r="M95" s="13"/>
      <x:c r="N95" s="13" t="str">
        <x:f t="shared" si="6">IF(OR(H95="",I95=""),"",IF(AND(H95="高",I95="高"),"重点管理",IF(H95="高","保持满意",IF(I95="高","保持沟通","监督观察"))))</x:f>
      </x:c>
      <x:c r="O95" s="13"/>
      <x:c r="P95" s="13"/>
      <x:c r="Q95" s="13"/>
      <x:c r="R95" s="13"/>
      <x:c r="S95" s="14"/>
      <x:c r="T95" s="14"/>
      <x:c r="U95" s="13"/>
      <x:c r="V95" s="13"/>
      <x:c r="W95" s="13"/>
      <x:c r="X95" s="14"/>
      <x:c r="Y95" s="13"/>
      <x:c r="Z95" s="13"/>
      <x:c r="AA95" s="13"/>
      <x:c r="AB95" s="9" t="str">
        <x:f t="shared" ca="1" si="7">IF(B95="","",IF(AND(H95="高",OR(J95="抵触",J95="不支持")),"高权力不支持；","")&amp;IF(L95&gt;0,"存在支持差距；","")&amp;IF(AND(T95&lt;&gt;"",T95&lt;TODAY()),"沟通逾期；","")&amp;IF(AND(V95&lt;&gt;"",X95&lt;TODAY(),Y95&lt;&gt;"已完成"),"行动逾期；","")&amp;IF(AND(Z95="是",AA95=""),"未填升级对象",""))</x:f>
      </x:c>
      <x:c r="AC95" s="13"/>
    </x:row>
    <x:row r="96">
      <x:c r="A96" s="9" t="str">
        <x:f t="shared" si="4">IF(B96="","","SH-"&amp;TEXT(ROW()-8,"000"))</x:f>
      </x:c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9" t="str">
        <x:f t="shared" si="5">IF(OR(J96="",K96=""),"",IF(K96="抵触",1,IF(K96="不支持",2,IF(K96="中立",3,IF(K96="支持",4,IF(K96="积极推动",5,"")))))-IF(J96="抵触",1,IF(J96="不支持",2,IF(J96="中立",3,IF(J96="支持",4,IF(J96="积极推动",5,""))))))</x:f>
      </x:c>
      <x:c r="M96" s="13"/>
      <x:c r="N96" s="13" t="str">
        <x:f t="shared" si="6">IF(OR(H96="",I96=""),"",IF(AND(H96="高",I96="高"),"重点管理",IF(H96="高","保持满意",IF(I96="高","保持沟通","监督观察"))))</x:f>
      </x:c>
      <x:c r="O96" s="13"/>
      <x:c r="P96" s="13"/>
      <x:c r="Q96" s="13"/>
      <x:c r="R96" s="13"/>
      <x:c r="S96" s="14"/>
      <x:c r="T96" s="14"/>
      <x:c r="U96" s="13"/>
      <x:c r="V96" s="13"/>
      <x:c r="W96" s="13"/>
      <x:c r="X96" s="14"/>
      <x:c r="Y96" s="13"/>
      <x:c r="Z96" s="13"/>
      <x:c r="AA96" s="13"/>
      <x:c r="AB96" s="9" t="str">
        <x:f t="shared" ca="1" si="7">IF(B96="","",IF(AND(H96="高",OR(J96="抵触",J96="不支持")),"高权力不支持；","")&amp;IF(L96&gt;0,"存在支持差距；","")&amp;IF(AND(T96&lt;&gt;"",T96&lt;TODAY()),"沟通逾期；","")&amp;IF(AND(V96&lt;&gt;"",X96&lt;TODAY(),Y96&lt;&gt;"已完成"),"行动逾期；","")&amp;IF(AND(Z96="是",AA96=""),"未填升级对象",""))</x:f>
      </x:c>
      <x:c r="AC96" s="13"/>
    </x:row>
    <x:row r="97">
      <x:c r="A97" s="9" t="str">
        <x:f t="shared" si="4">IF(B97="","","SH-"&amp;TEXT(ROW()-8,"000"))</x:f>
      </x:c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9" t="str">
        <x:f t="shared" si="5">IF(OR(J97="",K97=""),"",IF(K97="抵触",1,IF(K97="不支持",2,IF(K97="中立",3,IF(K97="支持",4,IF(K97="积极推动",5,"")))))-IF(J97="抵触",1,IF(J97="不支持",2,IF(J97="中立",3,IF(J97="支持",4,IF(J97="积极推动",5,""))))))</x:f>
      </x:c>
      <x:c r="M97" s="13"/>
      <x:c r="N97" s="13" t="str">
        <x:f t="shared" si="6">IF(OR(H97="",I97=""),"",IF(AND(H97="高",I97="高"),"重点管理",IF(H97="高","保持满意",IF(I97="高","保持沟通","监督观察"))))</x:f>
      </x:c>
      <x:c r="O97" s="13"/>
      <x:c r="P97" s="13"/>
      <x:c r="Q97" s="13"/>
      <x:c r="R97" s="13"/>
      <x:c r="S97" s="14"/>
      <x:c r="T97" s="14"/>
      <x:c r="U97" s="13"/>
      <x:c r="V97" s="13"/>
      <x:c r="W97" s="13"/>
      <x:c r="X97" s="14"/>
      <x:c r="Y97" s="13"/>
      <x:c r="Z97" s="13"/>
      <x:c r="AA97" s="13"/>
      <x:c r="AB97" s="9" t="str">
        <x:f t="shared" ca="1" si="7">IF(B97="","",IF(AND(H97="高",OR(J97="抵触",J97="不支持")),"高权力不支持；","")&amp;IF(L97&gt;0,"存在支持差距；","")&amp;IF(AND(T97&lt;&gt;"",T97&lt;TODAY()),"沟通逾期；","")&amp;IF(AND(V97&lt;&gt;"",X97&lt;TODAY(),Y97&lt;&gt;"已完成"),"行动逾期；","")&amp;IF(AND(Z97="是",AA97=""),"未填升级对象",""))</x:f>
      </x:c>
      <x:c r="AC97" s="13"/>
    </x:row>
    <x:row r="98">
      <x:c r="A98" s="9" t="str">
        <x:f t="shared" si="4">IF(B98="","","SH-"&amp;TEXT(ROW()-8,"000"))</x:f>
      </x:c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9" t="str">
        <x:f t="shared" si="5">IF(OR(J98="",K98=""),"",IF(K98="抵触",1,IF(K98="不支持",2,IF(K98="中立",3,IF(K98="支持",4,IF(K98="积极推动",5,"")))))-IF(J98="抵触",1,IF(J98="不支持",2,IF(J98="中立",3,IF(J98="支持",4,IF(J98="积极推动",5,""))))))</x:f>
      </x:c>
      <x:c r="M98" s="13"/>
      <x:c r="N98" s="13" t="str">
        <x:f t="shared" si="6">IF(OR(H98="",I98=""),"",IF(AND(H98="高",I98="高"),"重点管理",IF(H98="高","保持满意",IF(I98="高","保持沟通","监督观察"))))</x:f>
      </x:c>
      <x:c r="O98" s="13"/>
      <x:c r="P98" s="13"/>
      <x:c r="Q98" s="13"/>
      <x:c r="R98" s="13"/>
      <x:c r="S98" s="14"/>
      <x:c r="T98" s="14"/>
      <x:c r="U98" s="13"/>
      <x:c r="V98" s="13"/>
      <x:c r="W98" s="13"/>
      <x:c r="X98" s="14"/>
      <x:c r="Y98" s="13"/>
      <x:c r="Z98" s="13"/>
      <x:c r="AA98" s="13"/>
      <x:c r="AB98" s="9" t="str">
        <x:f t="shared" ca="1" si="7">IF(B98="","",IF(AND(H98="高",OR(J98="抵触",J98="不支持")),"高权力不支持；","")&amp;IF(L98&gt;0,"存在支持差距；","")&amp;IF(AND(T98&lt;&gt;"",T98&lt;TODAY()),"沟通逾期；","")&amp;IF(AND(V98&lt;&gt;"",X98&lt;TODAY(),Y98&lt;&gt;"已完成"),"行动逾期；","")&amp;IF(AND(Z98="是",AA98=""),"未填升级对象",""))</x:f>
      </x:c>
      <x:c r="AC98" s="13"/>
    </x:row>
    <x:row r="99">
      <x:c r="A99" s="9" t="str">
        <x:f t="shared" si="4">IF(B99="","","SH-"&amp;TEXT(ROW()-8,"000"))</x:f>
      </x:c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9" t="str">
        <x:f t="shared" si="5">IF(OR(J99="",K99=""),"",IF(K99="抵触",1,IF(K99="不支持",2,IF(K99="中立",3,IF(K99="支持",4,IF(K99="积极推动",5,"")))))-IF(J99="抵触",1,IF(J99="不支持",2,IF(J99="中立",3,IF(J99="支持",4,IF(J99="积极推动",5,""))))))</x:f>
      </x:c>
      <x:c r="M99" s="13"/>
      <x:c r="N99" s="13" t="str">
        <x:f t="shared" si="6">IF(OR(H99="",I99=""),"",IF(AND(H99="高",I99="高"),"重点管理",IF(H99="高","保持满意",IF(I99="高","保持沟通","监督观察"))))</x:f>
      </x:c>
      <x:c r="O99" s="13"/>
      <x:c r="P99" s="13"/>
      <x:c r="Q99" s="13"/>
      <x:c r="R99" s="13"/>
      <x:c r="S99" s="14"/>
      <x:c r="T99" s="14"/>
      <x:c r="U99" s="13"/>
      <x:c r="V99" s="13"/>
      <x:c r="W99" s="13"/>
      <x:c r="X99" s="14"/>
      <x:c r="Y99" s="13"/>
      <x:c r="Z99" s="13"/>
      <x:c r="AA99" s="13"/>
      <x:c r="AB99" s="9" t="str">
        <x:f t="shared" ca="1" si="7">IF(B99="","",IF(AND(H99="高",OR(J99="抵触",J99="不支持")),"高权力不支持；","")&amp;IF(L99&gt;0,"存在支持差距；","")&amp;IF(AND(T99&lt;&gt;"",T99&lt;TODAY()),"沟通逾期；","")&amp;IF(AND(V99&lt;&gt;"",X99&lt;TODAY(),Y99&lt;&gt;"已完成"),"行动逾期；","")&amp;IF(AND(Z99="是",AA99=""),"未填升级对象",""))</x:f>
      </x:c>
      <x:c r="AC99" s="13"/>
    </x:row>
    <x:row r="100">
      <x:c r="A100" s="9" t="str">
        <x:f t="shared" si="4">IF(B100="","","SH-"&amp;TEXT(ROW()-8,"000"))</x:f>
      </x:c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9" t="str">
        <x:f t="shared" si="5">IF(OR(J100="",K100=""),"",IF(K100="抵触",1,IF(K100="不支持",2,IF(K100="中立",3,IF(K100="支持",4,IF(K100="积极推动",5,"")))))-IF(J100="抵触",1,IF(J100="不支持",2,IF(J100="中立",3,IF(J100="支持",4,IF(J100="积极推动",5,""))))))</x:f>
      </x:c>
      <x:c r="M100" s="13"/>
      <x:c r="N100" s="13" t="str">
        <x:f t="shared" si="6">IF(OR(H100="",I100=""),"",IF(AND(H100="高",I100="高"),"重点管理",IF(H100="高","保持满意",IF(I100="高","保持沟通","监督观察"))))</x:f>
      </x:c>
      <x:c r="O100" s="13"/>
      <x:c r="P100" s="13"/>
      <x:c r="Q100" s="13"/>
      <x:c r="R100" s="13"/>
      <x:c r="S100" s="14"/>
      <x:c r="T100" s="14"/>
      <x:c r="U100" s="13"/>
      <x:c r="V100" s="13"/>
      <x:c r="W100" s="13"/>
      <x:c r="X100" s="14"/>
      <x:c r="Y100" s="13"/>
      <x:c r="Z100" s="13"/>
      <x:c r="AA100" s="13"/>
      <x:c r="AB100" s="9" t="str">
        <x:f t="shared" ca="1" si="7">IF(B100="","",IF(AND(H100="高",OR(J100="抵触",J100="不支持")),"高权力不支持；","")&amp;IF(L100&gt;0,"存在支持差距；","")&amp;IF(AND(T100&lt;&gt;"",T100&lt;TODAY()),"沟通逾期；","")&amp;IF(AND(V100&lt;&gt;"",X100&lt;TODAY(),Y100&lt;&gt;"已完成"),"行动逾期；","")&amp;IF(AND(Z100="是",AA100=""),"未填升级对象",""))</x:f>
      </x:c>
      <x:c r="AC100" s="13"/>
    </x:row>
    <x:row r="101">
      <x:c r="A101" s="9" t="str">
        <x:f t="shared" si="4">IF(B101="","","SH-"&amp;TEXT(ROW()-8,"000"))</x:f>
      </x:c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9" t="str">
        <x:f t="shared" si="5">IF(OR(J101="",K101=""),"",IF(K101="抵触",1,IF(K101="不支持",2,IF(K101="中立",3,IF(K101="支持",4,IF(K101="积极推动",5,"")))))-IF(J101="抵触",1,IF(J101="不支持",2,IF(J101="中立",3,IF(J101="支持",4,IF(J101="积极推动",5,""))))))</x:f>
      </x:c>
      <x:c r="M101" s="13"/>
      <x:c r="N101" s="13" t="str">
        <x:f t="shared" si="6">IF(OR(H101="",I101=""),"",IF(AND(H101="高",I101="高"),"重点管理",IF(H101="高","保持满意",IF(I101="高","保持沟通","监督观察"))))</x:f>
      </x:c>
      <x:c r="O101" s="13"/>
      <x:c r="P101" s="13"/>
      <x:c r="Q101" s="13"/>
      <x:c r="R101" s="13"/>
      <x:c r="S101" s="14"/>
      <x:c r="T101" s="14"/>
      <x:c r="U101" s="13"/>
      <x:c r="V101" s="13"/>
      <x:c r="W101" s="13"/>
      <x:c r="X101" s="14"/>
      <x:c r="Y101" s="13"/>
      <x:c r="Z101" s="13"/>
      <x:c r="AA101" s="13"/>
      <x:c r="AB101" s="9" t="str">
        <x:f t="shared" ca="1" si="7">IF(B101="","",IF(AND(H101="高",OR(J101="抵触",J101="不支持")),"高权力不支持；","")&amp;IF(L101&gt;0,"存在支持差距；","")&amp;IF(AND(T101&lt;&gt;"",T101&lt;TODAY()),"沟通逾期；","")&amp;IF(AND(V101&lt;&gt;"",X101&lt;TODAY(),Y101&lt;&gt;"已完成"),"行动逾期；","")&amp;IF(AND(Z101="是",AA101=""),"未填升级对象",""))</x:f>
      </x:c>
      <x:c r="AC101" s="13"/>
    </x:row>
    <x:row r="102">
      <x:c r="A102" s="9" t="str">
        <x:f t="shared" si="4">IF(B102="","","SH-"&amp;TEXT(ROW()-8,"000"))</x:f>
      </x:c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9" t="str">
        <x:f t="shared" si="5">IF(OR(J102="",K102=""),"",IF(K102="抵触",1,IF(K102="不支持",2,IF(K102="中立",3,IF(K102="支持",4,IF(K102="积极推动",5,"")))))-IF(J102="抵触",1,IF(J102="不支持",2,IF(J102="中立",3,IF(J102="支持",4,IF(J102="积极推动",5,""))))))</x:f>
      </x:c>
      <x:c r="M102" s="13"/>
      <x:c r="N102" s="13" t="str">
        <x:f t="shared" si="6">IF(OR(H102="",I102=""),"",IF(AND(H102="高",I102="高"),"重点管理",IF(H102="高","保持满意",IF(I102="高","保持沟通","监督观察"))))</x:f>
      </x:c>
      <x:c r="O102" s="13"/>
      <x:c r="P102" s="13"/>
      <x:c r="Q102" s="13"/>
      <x:c r="R102" s="13"/>
      <x:c r="S102" s="14"/>
      <x:c r="T102" s="14"/>
      <x:c r="U102" s="13"/>
      <x:c r="V102" s="13"/>
      <x:c r="W102" s="13"/>
      <x:c r="X102" s="14"/>
      <x:c r="Y102" s="13"/>
      <x:c r="Z102" s="13"/>
      <x:c r="AA102" s="13"/>
      <x:c r="AB102" s="9" t="str">
        <x:f t="shared" ca="1" si="7">IF(B102="","",IF(AND(H102="高",OR(J102="抵触",J102="不支持")),"高权力不支持；","")&amp;IF(L102&gt;0,"存在支持差距；","")&amp;IF(AND(T102&lt;&gt;"",T102&lt;TODAY()),"沟通逾期；","")&amp;IF(AND(V102&lt;&gt;"",X102&lt;TODAY(),Y102&lt;&gt;"已完成"),"行动逾期；","")&amp;IF(AND(Z102="是",AA102=""),"未填升级对象",""))</x:f>
      </x:c>
      <x:c r="AC102" s="13"/>
    </x:row>
    <x:row r="103">
      <x:c r="A103" s="9" t="str">
        <x:f t="shared" si="4">IF(B103="","","SH-"&amp;TEXT(ROW()-8,"000"))</x:f>
      </x:c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9" t="str">
        <x:f t="shared" si="5">IF(OR(J103="",K103=""),"",IF(K103="抵触",1,IF(K103="不支持",2,IF(K103="中立",3,IF(K103="支持",4,IF(K103="积极推动",5,"")))))-IF(J103="抵触",1,IF(J103="不支持",2,IF(J103="中立",3,IF(J103="支持",4,IF(J103="积极推动",5,""))))))</x:f>
      </x:c>
      <x:c r="M103" s="13"/>
      <x:c r="N103" s="13" t="str">
        <x:f t="shared" si="6">IF(OR(H103="",I103=""),"",IF(AND(H103="高",I103="高"),"重点管理",IF(H103="高","保持满意",IF(I103="高","保持沟通","监督观察"))))</x:f>
      </x:c>
      <x:c r="O103" s="13"/>
      <x:c r="P103" s="13"/>
      <x:c r="Q103" s="13"/>
      <x:c r="R103" s="13"/>
      <x:c r="S103" s="14"/>
      <x:c r="T103" s="14"/>
      <x:c r="U103" s="13"/>
      <x:c r="V103" s="13"/>
      <x:c r="W103" s="13"/>
      <x:c r="X103" s="14"/>
      <x:c r="Y103" s="13"/>
      <x:c r="Z103" s="13"/>
      <x:c r="AA103" s="13"/>
      <x:c r="AB103" s="9" t="str">
        <x:f t="shared" ca="1" si="7">IF(B103="","",IF(AND(H103="高",OR(J103="抵触",J103="不支持")),"高权力不支持；","")&amp;IF(L103&gt;0,"存在支持差距；","")&amp;IF(AND(T103&lt;&gt;"",T103&lt;TODAY()),"沟通逾期；","")&amp;IF(AND(V103&lt;&gt;"",X103&lt;TODAY(),Y103&lt;&gt;"已完成"),"行动逾期；","")&amp;IF(AND(Z103="是",AA103=""),"未填升级对象",""))</x:f>
      </x:c>
      <x:c r="AC103" s="13"/>
    </x:row>
    <x:row r="104">
      <x:c r="A104" s="9" t="str">
        <x:f t="shared" si="4">IF(B104="","","SH-"&amp;TEXT(ROW()-8,"000"))</x:f>
      </x:c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9" t="str">
        <x:f t="shared" si="5">IF(OR(J104="",K104=""),"",IF(K104="抵触",1,IF(K104="不支持",2,IF(K104="中立",3,IF(K104="支持",4,IF(K104="积极推动",5,"")))))-IF(J104="抵触",1,IF(J104="不支持",2,IF(J104="中立",3,IF(J104="支持",4,IF(J104="积极推动",5,""))))))</x:f>
      </x:c>
      <x:c r="M104" s="13"/>
      <x:c r="N104" s="13" t="str">
        <x:f t="shared" si="6">IF(OR(H104="",I104=""),"",IF(AND(H104="高",I104="高"),"重点管理",IF(H104="高","保持满意",IF(I104="高","保持沟通","监督观察"))))</x:f>
      </x:c>
      <x:c r="O104" s="13"/>
      <x:c r="P104" s="13"/>
      <x:c r="Q104" s="13"/>
      <x:c r="R104" s="13"/>
      <x:c r="S104" s="14"/>
      <x:c r="T104" s="14"/>
      <x:c r="U104" s="13"/>
      <x:c r="V104" s="13"/>
      <x:c r="W104" s="13"/>
      <x:c r="X104" s="14"/>
      <x:c r="Y104" s="13"/>
      <x:c r="Z104" s="13"/>
      <x:c r="AA104" s="13"/>
      <x:c r="AB104" s="9" t="str">
        <x:f t="shared" ca="1" si="7">IF(B104="","",IF(AND(H104="高",OR(J104="抵触",J104="不支持")),"高权力不支持；","")&amp;IF(L104&gt;0,"存在支持差距；","")&amp;IF(AND(T104&lt;&gt;"",T104&lt;TODAY()),"沟通逾期；","")&amp;IF(AND(V104&lt;&gt;"",X104&lt;TODAY(),Y104&lt;&gt;"已完成"),"行动逾期；","")&amp;IF(AND(Z104="是",AA104=""),"未填升级对象",""))</x:f>
      </x:c>
      <x:c r="AC104" s="13"/>
    </x:row>
    <x:row r="105">
      <x:c r="A105" s="9" t="str">
        <x:f t="shared" si="4">IF(B105="","","SH-"&amp;TEXT(ROW()-8,"000"))</x:f>
      </x:c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9" t="str">
        <x:f t="shared" si="5">IF(OR(J105="",K105=""),"",IF(K105="抵触",1,IF(K105="不支持",2,IF(K105="中立",3,IF(K105="支持",4,IF(K105="积极推动",5,"")))))-IF(J105="抵触",1,IF(J105="不支持",2,IF(J105="中立",3,IF(J105="支持",4,IF(J105="积极推动",5,""))))))</x:f>
      </x:c>
      <x:c r="M105" s="13"/>
      <x:c r="N105" s="13" t="str">
        <x:f t="shared" si="6">IF(OR(H105="",I105=""),"",IF(AND(H105="高",I105="高"),"重点管理",IF(H105="高","保持满意",IF(I105="高","保持沟通","监督观察"))))</x:f>
      </x:c>
      <x:c r="O105" s="13"/>
      <x:c r="P105" s="13"/>
      <x:c r="Q105" s="13"/>
      <x:c r="R105" s="13"/>
      <x:c r="S105" s="14"/>
      <x:c r="T105" s="14"/>
      <x:c r="U105" s="13"/>
      <x:c r="V105" s="13"/>
      <x:c r="W105" s="13"/>
      <x:c r="X105" s="14"/>
      <x:c r="Y105" s="13"/>
      <x:c r="Z105" s="13"/>
      <x:c r="AA105" s="13"/>
      <x:c r="AB105" s="9" t="str">
        <x:f t="shared" ca="1" si="7">IF(B105="","",IF(AND(H105="高",OR(J105="抵触",J105="不支持")),"高权力不支持；","")&amp;IF(L105&gt;0,"存在支持差距；","")&amp;IF(AND(T105&lt;&gt;"",T105&lt;TODAY()),"沟通逾期；","")&amp;IF(AND(V105&lt;&gt;"",X105&lt;TODAY(),Y105&lt;&gt;"已完成"),"行动逾期；","")&amp;IF(AND(Z105="是",AA105=""),"未填升级对象",""))</x:f>
      </x:c>
      <x:c r="AC105" s="13"/>
    </x:row>
    <x:row r="106">
      <x:c r="A106" s="9" t="str">
        <x:f t="shared" si="4">IF(B106="","","SH-"&amp;TEXT(ROW()-8,"000"))</x:f>
      </x:c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9" t="str">
        <x:f t="shared" si="5">IF(OR(J106="",K106=""),"",IF(K106="抵触",1,IF(K106="不支持",2,IF(K106="中立",3,IF(K106="支持",4,IF(K106="积极推动",5,"")))))-IF(J106="抵触",1,IF(J106="不支持",2,IF(J106="中立",3,IF(J106="支持",4,IF(J106="积极推动",5,""))))))</x:f>
      </x:c>
      <x:c r="M106" s="13"/>
      <x:c r="N106" s="13" t="str">
        <x:f t="shared" si="6">IF(OR(H106="",I106=""),"",IF(AND(H106="高",I106="高"),"重点管理",IF(H106="高","保持满意",IF(I106="高","保持沟通","监督观察"))))</x:f>
      </x:c>
      <x:c r="O106" s="13"/>
      <x:c r="P106" s="13"/>
      <x:c r="Q106" s="13"/>
      <x:c r="R106" s="13"/>
      <x:c r="S106" s="14"/>
      <x:c r="T106" s="14"/>
      <x:c r="U106" s="13"/>
      <x:c r="V106" s="13"/>
      <x:c r="W106" s="13"/>
      <x:c r="X106" s="14"/>
      <x:c r="Y106" s="13"/>
      <x:c r="Z106" s="13"/>
      <x:c r="AA106" s="13"/>
      <x:c r="AB106" s="9" t="str">
        <x:f t="shared" ca="1" si="7">IF(B106="","",IF(AND(H106="高",OR(J106="抵触",J106="不支持")),"高权力不支持；","")&amp;IF(L106&gt;0,"存在支持差距；","")&amp;IF(AND(T106&lt;&gt;"",T106&lt;TODAY()),"沟通逾期；","")&amp;IF(AND(V106&lt;&gt;"",X106&lt;TODAY(),Y106&lt;&gt;"已完成"),"行动逾期；","")&amp;IF(AND(Z106="是",AA106=""),"未填升级对象",""))</x:f>
      </x:c>
      <x:c r="AC106" s="13"/>
    </x:row>
    <x:row r="107">
      <x:c r="A107" s="9" t="str">
        <x:f t="shared" si="4">IF(B107="","","SH-"&amp;TEXT(ROW()-8,"000"))</x:f>
      </x:c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9" t="str">
        <x:f t="shared" si="5">IF(OR(J107="",K107=""),"",IF(K107="抵触",1,IF(K107="不支持",2,IF(K107="中立",3,IF(K107="支持",4,IF(K107="积极推动",5,"")))))-IF(J107="抵触",1,IF(J107="不支持",2,IF(J107="中立",3,IF(J107="支持",4,IF(J107="积极推动",5,""))))))</x:f>
      </x:c>
      <x:c r="M107" s="13"/>
      <x:c r="N107" s="13" t="str">
        <x:f t="shared" si="6">IF(OR(H107="",I107=""),"",IF(AND(H107="高",I107="高"),"重点管理",IF(H107="高","保持满意",IF(I107="高","保持沟通","监督观察"))))</x:f>
      </x:c>
      <x:c r="O107" s="13"/>
      <x:c r="P107" s="13"/>
      <x:c r="Q107" s="13"/>
      <x:c r="R107" s="13"/>
      <x:c r="S107" s="14"/>
      <x:c r="T107" s="14"/>
      <x:c r="U107" s="13"/>
      <x:c r="V107" s="13"/>
      <x:c r="W107" s="13"/>
      <x:c r="X107" s="14"/>
      <x:c r="Y107" s="13"/>
      <x:c r="Z107" s="13"/>
      <x:c r="AA107" s="13"/>
      <x:c r="AB107" s="9" t="str">
        <x:f t="shared" ca="1" si="7">IF(B107="","",IF(AND(H107="高",OR(J107="抵触",J107="不支持")),"高权力不支持；","")&amp;IF(L107&gt;0,"存在支持差距；","")&amp;IF(AND(T107&lt;&gt;"",T107&lt;TODAY()),"沟通逾期；","")&amp;IF(AND(V107&lt;&gt;"",X107&lt;TODAY(),Y107&lt;&gt;"已完成"),"行动逾期；","")&amp;IF(AND(Z107="是",AA107=""),"未填升级对象",""))</x:f>
      </x:c>
      <x:c r="AC107" s="13"/>
    </x:row>
    <x:row r="108">
      <x:c r="A108" s="9" t="str">
        <x:f t="shared" si="4">IF(B108="","","SH-"&amp;TEXT(ROW()-8,"000"))</x:f>
      </x:c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9" t="str">
        <x:f t="shared" si="5">IF(OR(J108="",K108=""),"",IF(K108="抵触",1,IF(K108="不支持",2,IF(K108="中立",3,IF(K108="支持",4,IF(K108="积极推动",5,"")))))-IF(J108="抵触",1,IF(J108="不支持",2,IF(J108="中立",3,IF(J108="支持",4,IF(J108="积极推动",5,""))))))</x:f>
      </x:c>
      <x:c r="M108" s="13"/>
      <x:c r="N108" s="13" t="str">
        <x:f t="shared" si="6">IF(OR(H108="",I108=""),"",IF(AND(H108="高",I108="高"),"重点管理",IF(H108="高","保持满意",IF(I108="高","保持沟通","监督观察"))))</x:f>
      </x:c>
      <x:c r="O108" s="13"/>
      <x:c r="P108" s="13"/>
      <x:c r="Q108" s="13"/>
      <x:c r="R108" s="13"/>
      <x:c r="S108" s="14"/>
      <x:c r="T108" s="14"/>
      <x:c r="U108" s="13"/>
      <x:c r="V108" s="13"/>
      <x:c r="W108" s="13"/>
      <x:c r="X108" s="14"/>
      <x:c r="Y108" s="13"/>
      <x:c r="Z108" s="13"/>
      <x:c r="AA108" s="13"/>
      <x:c r="AB108" s="9" t="str">
        <x:f t="shared" ca="1" si="7">IF(B108="","",IF(AND(H108="高",OR(J108="抵触",J108="不支持")),"高权力不支持；","")&amp;IF(L108&gt;0,"存在支持差距；","")&amp;IF(AND(T108&lt;&gt;"",T108&lt;TODAY()),"沟通逾期；","")&amp;IF(AND(V108&lt;&gt;"",X108&lt;TODAY(),Y108&lt;&gt;"已完成"),"行动逾期；","")&amp;IF(AND(Z108="是",AA108=""),"未填升级对象",""))</x:f>
      </x:c>
      <x:c r="AC108" s="13"/>
    </x:row>
  </x:sheetData>
  <x:mergeCells>
    <x:mergeCell ref="A1:AC1"/>
    <x:mergeCell ref="A2:AC2"/>
    <x:mergeCell ref="A4:C4"/>
    <x:mergeCell ref="D4:F4"/>
    <x:mergeCell ref="G4:I4"/>
    <x:mergeCell ref="J4:L4"/>
    <x:mergeCell ref="M4:O4"/>
    <x:mergeCell ref="P4:R4"/>
    <x:mergeCell ref="S4:U4"/>
    <x:mergeCell ref="V4:X4"/>
    <x:mergeCell ref="A5:C5"/>
    <x:mergeCell ref="D5:F5"/>
    <x:mergeCell ref="G5:I5"/>
    <x:mergeCell ref="J5:L5"/>
    <x:mergeCell ref="M5:O5"/>
    <x:mergeCell ref="P5:R5"/>
    <x:mergeCell ref="S5:U5"/>
    <x:mergeCell ref="V5:X5"/>
  </x:mergeCells>
  <x:dataValidations count="8">
    <x:dataValidation type="list" allowBlank="1" sqref="E9:E108">
      <x:formula1>"决策方,业务方,建设方,使用方,监管方,供应商"</x:formula1>
    </x:dataValidation>
    <x:dataValidation type="list" allowBlank="1" sqref="M9:M108">
      <x:formula1>"正向,中性,负向"</x:formula1>
    </x:dataValidation>
    <x:dataValidation type="list" allowBlank="1" sqref="O9:O108">
      <x:formula1>"会议,周报,专题汇报,邮件,即时沟通"</x:formula1>
    </x:dataValidation>
    <x:dataValidation type="list" allowBlank="1" sqref="P9:P108">
      <x:formula1>"随时,每周,双周,每月,里程碑"</x:formula1>
    </x:dataValidation>
    <x:dataValidation type="list" allowBlank="1" sqref="Y9:Y108">
      <x:formula1>"未开始,进行中,已完成,暂停"</x:formula1>
    </x:dataValidation>
    <x:dataValidation type="list" allowBlank="1" sqref="Z9:Z108">
      <x:formula1>"是,否"</x:formula1>
    </x:dataValidation>
    <x:dataValidation type="list" allowBlank="1" sqref="H9:I108">
      <x:formula1>"高,中,低"</x:formula1>
    </x:dataValidation>
    <x:dataValidation type="list" allowBlank="1" sqref="J9:K108">
      <x:formula1>"抵触,不支持,中立,支持,积极推动"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sheetData>
    <x:row r="1">
      <x:c r="A1" t="s">
        <x:v>148</x:v>
      </x:c>
      <x:c r="B1" t="s">
        <x:v>149</x:v>
      </x:c>
    </x:row>
    <x:row r="2">
      <x:c r="A2" t="s">
        <x:v>150</x:v>
      </x:c>
      <x:c r="B2" t="s">
        <x:v>151</x:v>
      </x:c>
    </x:row>
    <x:row r="3">
      <x:c r="A3" t="s">
        <x:v>152</x:v>
      </x:c>
      <x:c r="B3" t="s">
        <x:v>153</x:v>
      </x:c>
    </x:row>
    <x:row r="4">
      <x:c r="A4" t="s">
        <x:v>154</x:v>
      </x:c>
      <x:c r="B4" t="s">
        <x:v>155</x:v>
      </x:c>
    </x:row>
    <x:row r="5">
      <x:c r="A5" t="s">
        <x:v>156</x:v>
      </x:c>
      <x:c r="B5" t="s">
        <x:v>157</x:v>
      </x:c>
    </x:row>
    <x:row r="6">
      <x:c r="A6" t="s">
        <x:v>158</x:v>
      </x:c>
      <x:c r="B6" t="s">
        <x:v>159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22" hidden="0" customWidth="1"/>
    <x:col min="4" max="4" width="12" hidden="0" customWidth="1"/>
    <x:col min="5" max="5" width="16" hidden="0" customWidth="1"/>
    <x:col min="6" max="6" width="34" hidden="0" customWidth="1"/>
    <x:col min="7" max="7" width="34" hidden="0" customWidth="1"/>
    <x:col min="8" max="8" width="16" hidden="0" customWidth="1"/>
    <x:col min="9" max="9" width="13" hidden="0" customWidth="1"/>
    <x:col min="10" max="10" width="13" hidden="0" customWidth="1"/>
    <x:col min="11" max="11" width="18" hidden="0" customWidth="1"/>
    <x:col min="12" max="12" width="28" hidden="0" customWidth="1"/>
    <x:col min="13" max="13" width="16" hidden="0" customWidth="1"/>
    <x:col min="14" max="14" width="30" hidden="0" customWidth="1"/>
  </x:cols>
  <x:sheetData>
    <x:row r="1" ht="28" customHeight="1">
      <x:c r="A1" s="22" t="str">
        <x:v>外部产品供应商POC计划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2" ht="32" customHeight="1">
      <x:c r="A2" s="26" t="str">
        <x:v>计划窗口：2026-08-15至2026-09-25。P0覆盖CA/电子签章、电子文档和BI报表；P1覆盖国产数据库和合同智能化预研。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56" t="str">
        <x:v>候选供应商总数</x:v>
      </x:c>
      <x:c r="B4" s="56"/>
      <x:c r="C4" s="56"/>
      <x:c r="D4" s="56" t="str">
        <x:v>P0候选数</x:v>
      </x:c>
      <x:c r="E4" s="56"/>
      <x:c r="F4" s="56"/>
      <x:c r="G4" s="56" t="str">
        <x:v>P1候选数</x:v>
      </x:c>
      <x:c r="H4" s="56"/>
      <x:c r="I4" s="56"/>
      <x:c r="J4" s="56" t="str">
        <x:v>待形成结论数</x:v>
      </x:c>
      <x:c r="K4" s="56"/>
      <x:c r="L4" s="17"/>
      <x:c r="M4" s="17"/>
      <x:c r="N4" s="17"/>
    </x:row>
    <x:row r="5">
      <x:c r="A5" s="61" t="n">
        <x:f>COUNTA(D8:D24)</x:f>
        <x:v>17</x:v>
      </x:c>
      <x:c r="B5" s="61"/>
      <x:c r="C5" s="61"/>
      <x:c r="D5" s="61" t="n">
        <x:f>COUNTIFS(B8:B24,"P0")</x:f>
        <x:v>11</x:v>
      </x:c>
      <x:c r="E5" s="61"/>
      <x:c r="F5" s="61"/>
      <x:c r="G5" s="61" t="n">
        <x:f>COUNTIFS(B8:B24,"P1")</x:f>
        <x:v>6</x:v>
      </x:c>
      <x:c r="H5" s="61"/>
      <x:c r="I5" s="61"/>
      <x:c r="J5" s="61" t="n">
        <x:f>COUNTA(D8:D24)-COUNTA(M8:M24)</x:f>
        <x:v>0</x:v>
      </x:c>
      <x:c r="K5" s="61"/>
      <x:c r="L5" s="17"/>
      <x:c r="M5" s="17"/>
      <x:c r="N5" s="17"/>
    </x:row>
    <x:row r="6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</x:row>
    <x:row r="7" ht="34" customHeight="1">
      <x:c r="A7" s="66" t="str">
        <x:v>产品组</x:v>
      </x:c>
      <x:c r="B7" s="66" t="str">
        <x:v>优先级</x:v>
      </x:c>
      <x:c r="C7" s="66" t="str">
        <x:v>供应商/产品</x:v>
      </x:c>
      <x:c r="D7" s="66" t="str">
        <x:v>联系人</x:v>
      </x:c>
      <x:c r="E7" s="66" t="str">
        <x:v>联系电话</x:v>
      </x:c>
      <x:c r="F7" s="66" t="str">
        <x:v>POC范围</x:v>
      </x:c>
      <x:c r="G7" s="66" t="str">
        <x:v>评价维度</x:v>
      </x:c>
      <x:c r="H7" s="66" t="str">
        <x:v>项目责任人</x:v>
      </x:c>
      <x:c r="I7" s="66" t="str">
        <x:v>计划开始</x:v>
      </x:c>
      <x:c r="J7" s="66" t="str">
        <x:v>计划结束</x:v>
      </x:c>
      <x:c r="K7" s="66" t="str">
        <x:v>当前状态</x:v>
      </x:c>
      <x:c r="L7" s="66" t="str">
        <x:v>必要输出</x:v>
      </x:c>
      <x:c r="M7" s="66" t="str">
        <x:v>评审结论</x:v>
      </x:c>
      <x:c r="N7" s="66" t="str">
        <x:v>备注</x:v>
      </x:c>
    </x:row>
    <x:row r="8" ht="38" customHeight="1">
      <x:c r="A8" s="67" t="str">
        <x:v>电子文档</x:v>
      </x:c>
      <x:c r="B8" s="67" t="str">
        <x:v>P0</x:v>
      </x:c>
      <x:c r="C8" s="67" t="str">
        <x:v>腾讯云文档</x:v>
      </x:c>
      <x:c r="D8" s="67" t="str">
        <x:v>殷戈</x:v>
      </x:c>
      <x:c r="E8" s="67" t="str">
        <x:v>18500950569</x:v>
      </x:c>
      <x:c r="F8" s="68" t="str">
        <x:v>验证在线编辑、版本协同、格式兼容、权限和归档集成</x:v>
      </x:c>
      <x:c r="G8" s="68" t="str">
        <x:v>功能适配、格式兼容、权限安全、性能、集成复杂度</x:v>
      </x:c>
      <x:c r="H8" s="67" t="str">
        <x:v>赵志悦</x:v>
      </x:c>
      <x:c r="I8" s="69" t="n">
        <x:v>46249</x:v>
      </x:c>
      <x:c r="J8" s="69" t="n">
        <x:v>46290</x:v>
      </x:c>
      <x:c r="K8" s="67" t="str">
        <x:v>进行中（待确认）</x:v>
      </x:c>
      <x:c r="L8" s="68" t="str">
        <x:v>POC报告、指标结果、问题清单、报价及服务承诺</x:v>
      </x:c>
      <x:c r="M8" s="68" t="str"/>
      <x:c r="N8" s="68" t="str">
        <x:v>结论由技术、业务、安全和采购联合评审</x:v>
      </x:c>
    </x:row>
    <x:row r="9" ht="38" customHeight="1">
      <x:c r="A9" s="67" t="str">
        <x:v>电子文档</x:v>
      </x:c>
      <x:c r="B9" s="67" t="str">
        <x:v>P0</x:v>
      </x:c>
      <x:c r="C9" s="67" t="str">
        <x:v>金山云文档</x:v>
      </x:c>
      <x:c r="D9" s="67" t="str">
        <x:v>张哲昆</x:v>
      </x:c>
      <x:c r="E9" s="67" t="str">
        <x:v>18201156495</x:v>
      </x:c>
      <x:c r="F9" s="68" t="str">
        <x:v>验证在线编辑、版本协同、格式兼容、权限和归档集成</x:v>
      </x:c>
      <x:c r="G9" s="68" t="str">
        <x:v>功能适配、格式兼容、权限安全、性能、集成复杂度</x:v>
      </x:c>
      <x:c r="H9" s="67" t="str">
        <x:v>赵志悦</x:v>
      </x:c>
      <x:c r="I9" s="69" t="n">
        <x:v>46249</x:v>
      </x:c>
      <x:c r="J9" s="69" t="n">
        <x:v>46290</x:v>
      </x:c>
      <x:c r="K9" s="67" t="str">
        <x:v>进行中（待确认）</x:v>
      </x:c>
      <x:c r="L9" s="68" t="str">
        <x:v>POC报告、指标结果、问题清单、报价及服务承诺</x:v>
      </x:c>
      <x:c r="M9" s="68" t="str"/>
      <x:c r="N9" s="68" t="str">
        <x:v>结论由技术、业务、安全和采购联合评审</x:v>
      </x:c>
    </x:row>
    <x:row r="10" ht="38" customHeight="1">
      <x:c r="A10" s="67" t="str">
        <x:v>电子文档</x:v>
      </x:c>
      <x:c r="B10" s="67" t="str">
        <x:v>P0</x:v>
      </x:c>
      <x:c r="C10" s="67" t="str">
        <x:v>永中云文档</x:v>
      </x:c>
      <x:c r="D10" s="67" t="str">
        <x:v>康文元</x:v>
      </x:c>
      <x:c r="E10" s="67" t="str">
        <x:v>18210225780</x:v>
      </x:c>
      <x:c r="F10" s="68" t="str">
        <x:v>验证在线编辑、版本协同、格式兼容、权限和归档集成</x:v>
      </x:c>
      <x:c r="G10" s="68" t="str">
        <x:v>功能适配、格式兼容、权限安全、性能、集成复杂度</x:v>
      </x:c>
      <x:c r="H10" s="67" t="str">
        <x:v>赵志悦</x:v>
      </x:c>
      <x:c r="I10" s="69" t="n">
        <x:v>46249</x:v>
      </x:c>
      <x:c r="J10" s="69" t="n">
        <x:v>46290</x:v>
      </x:c>
      <x:c r="K10" s="67" t="str">
        <x:v>进行中（待确认）</x:v>
      </x:c>
      <x:c r="L10" s="68" t="str">
        <x:v>POC报告、指标结果、问题清单、报价及服务承诺</x:v>
      </x:c>
      <x:c r="M10" s="68" t="str"/>
      <x:c r="N10" s="68" t="str">
        <x:v>结论由技术、业务、安全和采购联合评审</x:v>
      </x:c>
    </x:row>
    <x:row r="11" ht="38" customHeight="1">
      <x:c r="A11" s="67" t="str">
        <x:v>电子文档</x:v>
      </x:c>
      <x:c r="B11" s="67" t="str">
        <x:v>P0</x:v>
      </x:c>
      <x:c r="C11" s="67" t="str">
        <x:v>联想云文档</x:v>
      </x:c>
      <x:c r="D11" s="67" t="str">
        <x:v>韩博雅</x:v>
      </x:c>
      <x:c r="E11" s="67" t="str">
        <x:v>13520771314</x:v>
      </x:c>
      <x:c r="F11" s="68" t="str">
        <x:v>验证在线编辑、版本协同、格式兼容、权限和归档集成</x:v>
      </x:c>
      <x:c r="G11" s="68" t="str">
        <x:v>功能适配、格式兼容、权限安全、性能、集成复杂度</x:v>
      </x:c>
      <x:c r="H11" s="67" t="str">
        <x:v>赵志悦</x:v>
      </x:c>
      <x:c r="I11" s="69" t="n">
        <x:v>46249</x:v>
      </x:c>
      <x:c r="J11" s="69" t="n">
        <x:v>46290</x:v>
      </x:c>
      <x:c r="K11" s="67" t="str">
        <x:v>进行中（待确认）</x:v>
      </x:c>
      <x:c r="L11" s="68" t="str">
        <x:v>POC报告、指标结果、问题清单、报价及服务承诺</x:v>
      </x:c>
      <x:c r="M11" s="68" t="str"/>
      <x:c r="N11" s="68" t="str">
        <x:v>结论由技术、业务、安全和采购联合评审</x:v>
      </x:c>
    </x:row>
    <x:row r="12" ht="38" customHeight="1">
      <x:c r="A12" s="67" t="str">
        <x:v>BI报表</x:v>
      </x:c>
      <x:c r="B12" s="67" t="str">
        <x:v>P0</x:v>
      </x:c>
      <x:c r="C12" s="67" t="str">
        <x:v>思迈特BI报表</x:v>
      </x:c>
      <x:c r="D12" s="67" t="str">
        <x:v>林桐</x:v>
      </x:c>
      <x:c r="E12" s="67" t="str">
        <x:v>18519269076</x:v>
      </x:c>
      <x:c r="F12" s="68" t="str">
        <x:v>验证合同统计分析、穿透查询、权限和大数据量报表能力</x:v>
      </x:c>
      <x:c r="G12" s="68" t="str">
        <x:v>报表能力、权限隔离、性能、易用性、集成复杂度</x:v>
      </x:c>
      <x:c r="H12" s="67" t="str">
        <x:v>赵志悦</x:v>
      </x:c>
      <x:c r="I12" s="69" t="n">
        <x:v>46249</x:v>
      </x:c>
      <x:c r="J12" s="69" t="n">
        <x:v>46290</x:v>
      </x:c>
      <x:c r="K12" s="67" t="str">
        <x:v>进行中（待确认）</x:v>
      </x:c>
      <x:c r="L12" s="68" t="str">
        <x:v>POC报告、指标结果、问题清单、报价及服务承诺</x:v>
      </x:c>
      <x:c r="M12" s="68" t="str"/>
      <x:c r="N12" s="68" t="str">
        <x:v>结论由技术、业务、安全和采购联合评审</x:v>
      </x:c>
    </x:row>
    <x:row r="13" ht="38" customHeight="1">
      <x:c r="A13" s="67" t="str">
        <x:v>BI报表</x:v>
      </x:c>
      <x:c r="B13" s="67" t="str">
        <x:v>P0</x:v>
      </x:c>
      <x:c r="C13" s="67" t="str">
        <x:v>帆软BI报表</x:v>
      </x:c>
      <x:c r="D13" s="67" t="str">
        <x:v>徐斌</x:v>
      </x:c>
      <x:c r="E13" s="67" t="str">
        <x:v>15701252620</x:v>
      </x:c>
      <x:c r="F13" s="68" t="str">
        <x:v>验证合同统计分析、穿透查询、权限和大数据量报表能力</x:v>
      </x:c>
      <x:c r="G13" s="68" t="str">
        <x:v>报表能力、权限隔离、性能、易用性、集成复杂度</x:v>
      </x:c>
      <x:c r="H13" s="67" t="str">
        <x:v>赵志悦</x:v>
      </x:c>
      <x:c r="I13" s="69" t="n">
        <x:v>46249</x:v>
      </x:c>
      <x:c r="J13" s="69" t="n">
        <x:v>46290</x:v>
      </x:c>
      <x:c r="K13" s="67" t="str">
        <x:v>进行中（待确认）</x:v>
      </x:c>
      <x:c r="L13" s="68" t="str">
        <x:v>POC报告、指标结果、问题清单、报价及服务承诺</x:v>
      </x:c>
      <x:c r="M13" s="68" t="str"/>
      <x:c r="N13" s="68" t="str">
        <x:v>结论由技术、业务、安全和采购联合评审</x:v>
      </x:c>
    </x:row>
    <x:row r="14" ht="38" customHeight="1">
      <x:c r="A14" s="67" t="str">
        <x:v>BI报表</x:v>
      </x:c>
      <x:c r="B14" s="67" t="str">
        <x:v>P0</x:v>
      </x:c>
      <x:c r="C14" s="67" t="str">
        <x:v>永洪BI报表</x:v>
      </x:c>
      <x:c r="D14" s="67" t="str">
        <x:v>赵轩</x:v>
      </x:c>
      <x:c r="E14" s="67" t="str">
        <x:v>18810787659</x:v>
      </x:c>
      <x:c r="F14" s="68" t="str">
        <x:v>验证合同统计分析、穿透查询、权限和大数据量报表能力</x:v>
      </x:c>
      <x:c r="G14" s="68" t="str">
        <x:v>报表能力、权限隔离、性能、易用性、集成复杂度</x:v>
      </x:c>
      <x:c r="H14" s="67" t="str">
        <x:v>赵志悦</x:v>
      </x:c>
      <x:c r="I14" s="69" t="n">
        <x:v>46249</x:v>
      </x:c>
      <x:c r="J14" s="69" t="n">
        <x:v>46290</x:v>
      </x:c>
      <x:c r="K14" s="67" t="str">
        <x:v>进行中（待确认）</x:v>
      </x:c>
      <x:c r="L14" s="68" t="str">
        <x:v>POC报告、指标结果、问题清单、报价及服务承诺</x:v>
      </x:c>
      <x:c r="M14" s="68" t="str"/>
      <x:c r="N14" s="68" t="str">
        <x:v>结论由技术、业务、安全和采购联合评审</x:v>
      </x:c>
    </x:row>
    <x:row r="15" ht="38" customHeight="1">
      <x:c r="A15" s="67" t="str">
        <x:v>CA/电子签章</x:v>
      </x:c>
      <x:c r="B15" s="67" t="str">
        <x:v>P0</x:v>
      </x:c>
      <x:c r="C15" s="67" t="str">
        <x:v>安证通电子签章</x:v>
      </x:c>
      <x:c r="D15" s="67" t="str">
        <x:v>侯小龙</x:v>
      </x:c>
      <x:c r="E15" s="67" t="str">
        <x:v>18811229100</x:v>
      </x:c>
      <x:c r="F15" s="68" t="str">
        <x:v>验证CA认证、签章流程、证据链、审计和合同归档</x:v>
      </x:c>
      <x:c r="G15" s="68" t="str">
        <x:v>合规性、证据完整性、接口能力、性能、实施服务</x:v>
      </x:c>
      <x:c r="H15" s="67" t="str">
        <x:v>黄磊/赵志悦</x:v>
      </x:c>
      <x:c r="I15" s="69" t="n">
        <x:v>46249</x:v>
      </x:c>
      <x:c r="J15" s="69" t="n">
        <x:v>46290</x:v>
      </x:c>
      <x:c r="K15" s="67" t="str">
        <x:v>进行中（待确认）</x:v>
      </x:c>
      <x:c r="L15" s="68" t="str">
        <x:v>POC报告、指标结果、问题清单、报价及服务承诺</x:v>
      </x:c>
      <x:c r="M15" s="68" t="str"/>
      <x:c r="N15" s="68" t="str">
        <x:v>结论由技术、业务、安全和采购联合评审</x:v>
      </x:c>
    </x:row>
    <x:row r="16" ht="38" customHeight="1">
      <x:c r="A16" s="67" t="str">
        <x:v>CA/电子签章</x:v>
      </x:c>
      <x:c r="B16" s="67" t="str">
        <x:v>P0</x:v>
      </x:c>
      <x:c r="C16" s="67" t="str">
        <x:v>天威电子签章</x:v>
      </x:c>
      <x:c r="D16" s="67" t="str">
        <x:v>张成</x:v>
      </x:c>
      <x:c r="E16" s="67" t="str">
        <x:v>13910655628</x:v>
      </x:c>
      <x:c r="F16" s="68" t="str">
        <x:v>验证CA认证、签章流程、证据链、审计和合同归档</x:v>
      </x:c>
      <x:c r="G16" s="68" t="str">
        <x:v>合规性、证据完整性、接口能力、性能、实施服务</x:v>
      </x:c>
      <x:c r="H16" s="67" t="str">
        <x:v>黄磊/赵志悦</x:v>
      </x:c>
      <x:c r="I16" s="69" t="n">
        <x:v>46249</x:v>
      </x:c>
      <x:c r="J16" s="69" t="n">
        <x:v>46290</x:v>
      </x:c>
      <x:c r="K16" s="67" t="str">
        <x:v>进行中（待确认）</x:v>
      </x:c>
      <x:c r="L16" s="68" t="str">
        <x:v>POC报告、指标结果、问题清单、报价及服务承诺</x:v>
      </x:c>
      <x:c r="M16" s="68" t="str"/>
      <x:c r="N16" s="68" t="str">
        <x:v>结论由技术、业务、安全和采购联合评审</x:v>
      </x:c>
    </x:row>
    <x:row r="17" ht="38" customHeight="1">
      <x:c r="A17" s="67" t="str">
        <x:v>CA/电子签章</x:v>
      </x:c>
      <x:c r="B17" s="67" t="str">
        <x:v>P0</x:v>
      </x:c>
      <x:c r="C17" s="67" t="str">
        <x:v>法大大电子签章</x:v>
      </x:c>
      <x:c r="D17" s="67" t="str">
        <x:v>贾汉林</x:v>
      </x:c>
      <x:c r="E17" s="67" t="str">
        <x:v>13701266895</x:v>
      </x:c>
      <x:c r="F17" s="68" t="str">
        <x:v>验证CA认证、签章流程、证据链、审计和合同归档</x:v>
      </x:c>
      <x:c r="G17" s="68" t="str">
        <x:v>合规性、证据完整性、接口能力、性能、实施服务</x:v>
      </x:c>
      <x:c r="H17" s="67" t="str">
        <x:v>黄磊/赵志悦</x:v>
      </x:c>
      <x:c r="I17" s="69" t="n">
        <x:v>46249</x:v>
      </x:c>
      <x:c r="J17" s="69" t="n">
        <x:v>46290</x:v>
      </x:c>
      <x:c r="K17" s="67" t="str">
        <x:v>进行中（待确认）</x:v>
      </x:c>
      <x:c r="L17" s="68" t="str">
        <x:v>POC报告、指标结果、问题清单、报价及服务承诺</x:v>
      </x:c>
      <x:c r="M17" s="68" t="str"/>
      <x:c r="N17" s="68" t="str">
        <x:v>结论由技术、业务、安全和采购联合评审</x:v>
      </x:c>
    </x:row>
    <x:row r="18" ht="38" customHeight="1">
      <x:c r="A18" s="67" t="str">
        <x:v>CA/电子签章</x:v>
      </x:c>
      <x:c r="B18" s="67" t="str">
        <x:v>P0</x:v>
      </x:c>
      <x:c r="C18" s="67" t="str">
        <x:v>契约锁电子签章</x:v>
      </x:c>
      <x:c r="D18" s="67" t="str">
        <x:v>孙忠鹰</x:v>
      </x:c>
      <x:c r="E18" s="67" t="str">
        <x:v>15810436980</x:v>
      </x:c>
      <x:c r="F18" s="68" t="str">
        <x:v>验证CA认证、签章流程、证据链、审计和合同归档</x:v>
      </x:c>
      <x:c r="G18" s="68" t="str">
        <x:v>合规性、证据完整性、接口能力、性能、实施服务</x:v>
      </x:c>
      <x:c r="H18" s="67" t="str">
        <x:v>黄磊/赵志悦</x:v>
      </x:c>
      <x:c r="I18" s="69" t="n">
        <x:v>46249</x:v>
      </x:c>
      <x:c r="J18" s="69" t="n">
        <x:v>46290</x:v>
      </x:c>
      <x:c r="K18" s="67" t="str">
        <x:v>进行中（待确认）</x:v>
      </x:c>
      <x:c r="L18" s="68" t="str">
        <x:v>POC报告、指标结果、问题清单、报价及服务承诺</x:v>
      </x:c>
      <x:c r="M18" s="68" t="str"/>
      <x:c r="N18" s="68" t="str">
        <x:v>结论由技术、业务、安全和采购联合评审</x:v>
      </x:c>
    </x:row>
    <x:row r="19" ht="38" customHeight="1">
      <x:c r="A19" s="67" t="str">
        <x:v>国产数据库</x:v>
      </x:c>
      <x:c r="B19" s="67" t="str">
        <x:v>P1</x:v>
      </x:c>
      <x:c r="C19" s="67" t="str">
        <x:v>达梦数据库</x:v>
      </x:c>
      <x:c r="D19" s="67" t="str">
        <x:v>邓辽阔</x:v>
      </x:c>
      <x:c r="E19" s="67" t="str">
        <x:v>17610285971</x:v>
      </x:c>
      <x:c r="F19" s="68" t="str">
        <x:v>验证兼容性、迁移工具、存储过程改造、性能与高可用</x:v>
      </x:c>
      <x:c r="G19" s="68" t="str">
        <x:v>兼容性、迁移成本、性能、高可用、运维能力</x:v>
      </x:c>
      <x:c r="H19" s="67" t="str">
        <x:v>黄磊</x:v>
      </x:c>
      <x:c r="I19" s="69" t="n">
        <x:v>46249</x:v>
      </x:c>
      <x:c r="J19" s="69" t="n">
        <x:v>46290</x:v>
      </x:c>
      <x:c r="K19" s="67" t="str">
        <x:v>进行中（待确认）</x:v>
      </x:c>
      <x:c r="L19" s="68" t="str">
        <x:v>POC报告、指标结果、问题清单、报价及服务承诺</x:v>
      </x:c>
      <x:c r="M19" s="68" t="str"/>
      <x:c r="N19" s="68" t="str">
        <x:v>结论由技术、业务、安全和采购联合评审</x:v>
      </x:c>
    </x:row>
    <x:row r="20" ht="38" customHeight="1">
      <x:c r="A20" s="67" t="str">
        <x:v>国产数据库</x:v>
      </x:c>
      <x:c r="B20" s="67" t="str">
        <x:v>P1</x:v>
      </x:c>
      <x:c r="C20" s="67" t="str">
        <x:v>OB数据库</x:v>
      </x:c>
      <x:c r="D20" s="67" t="str">
        <x:v>杨路</x:v>
      </x:c>
      <x:c r="E20" s="67" t="str">
        <x:v>18611668825</x:v>
      </x:c>
      <x:c r="F20" s="68" t="str">
        <x:v>验证兼容性、迁移工具、存储过程改造、性能与高可用</x:v>
      </x:c>
      <x:c r="G20" s="68" t="str">
        <x:v>兼容性、迁移成本、性能、高可用、运维能力</x:v>
      </x:c>
      <x:c r="H20" s="67" t="str">
        <x:v>黄磊</x:v>
      </x:c>
      <x:c r="I20" s="69" t="n">
        <x:v>46249</x:v>
      </x:c>
      <x:c r="J20" s="69" t="n">
        <x:v>46290</x:v>
      </x:c>
      <x:c r="K20" s="67" t="str">
        <x:v>进行中（待确认）</x:v>
      </x:c>
      <x:c r="L20" s="68" t="str">
        <x:v>POC报告、指标结果、问题清单、报价及服务承诺</x:v>
      </x:c>
      <x:c r="M20" s="68" t="str"/>
      <x:c r="N20" s="68" t="str">
        <x:v>结论由技术、业务、安全和采购联合评审</x:v>
      </x:c>
    </x:row>
    <x:row r="21" ht="38" customHeight="1">
      <x:c r="A21" s="67" t="str">
        <x:v>合同智能化</x:v>
      </x:c>
      <x:c r="B21" s="67" t="str">
        <x:v>P1</x:v>
      </x:c>
      <x:c r="C21" s="67" t="str">
        <x:v>华宇元典智能化</x:v>
      </x:c>
      <x:c r="D21" s="67" t="str">
        <x:v>郭明娜</x:v>
      </x:c>
      <x:c r="E21" s="67" t="str">
        <x:v>15210038699</x:v>
      </x:c>
      <x:c r="F21" s="68" t="str">
        <x:v>验证条款识别、风险提示、知识库、准确率和可解释性</x:v>
      </x:c>
      <x:c r="G21" s="68" t="str">
        <x:v>准确率、召回率、可解释性、数据安全、集成复杂度</x:v>
      </x:c>
      <x:c r="H21" s="67" t="str">
        <x:v>黄磊/赵志悦</x:v>
      </x:c>
      <x:c r="I21" s="69" t="n">
        <x:v>46249</x:v>
      </x:c>
      <x:c r="J21" s="69" t="n">
        <x:v>46290</x:v>
      </x:c>
      <x:c r="K21" s="67" t="str">
        <x:v>进行中（待确认）</x:v>
      </x:c>
      <x:c r="L21" s="68" t="str">
        <x:v>POC报告、指标结果、问题清单、报价及服务承诺</x:v>
      </x:c>
      <x:c r="M21" s="68" t="str"/>
      <x:c r="N21" s="68" t="str">
        <x:v>结论由技术、业务、安全和采购联合评审</x:v>
      </x:c>
    </x:row>
    <x:row r="22" ht="38" customHeight="1">
      <x:c r="A22" s="67" t="str">
        <x:v>合同智能化</x:v>
      </x:c>
      <x:c r="B22" s="67" t="str">
        <x:v>P1</x:v>
      </x:c>
      <x:c r="C22" s="67" t="str">
        <x:v>幂律智能化</x:v>
      </x:c>
      <x:c r="D22" s="67" t="str">
        <x:v>袁韶华</x:v>
      </x:c>
      <x:c r="E22" s="67" t="str">
        <x:v>15311254550</x:v>
      </x:c>
      <x:c r="F22" s="68" t="str">
        <x:v>验证条款识别、风险提示、知识库、准确率和可解释性</x:v>
      </x:c>
      <x:c r="G22" s="68" t="str">
        <x:v>准确率、召回率、可解释性、数据安全、集成复杂度</x:v>
      </x:c>
      <x:c r="H22" s="67" t="str">
        <x:v>黄磊/赵志悦</x:v>
      </x:c>
      <x:c r="I22" s="69" t="n">
        <x:v>46249</x:v>
      </x:c>
      <x:c r="J22" s="69" t="n">
        <x:v>46290</x:v>
      </x:c>
      <x:c r="K22" s="67" t="str">
        <x:v>进行中（待确认）</x:v>
      </x:c>
      <x:c r="L22" s="68" t="str">
        <x:v>POC报告、指标结果、问题清单、报价及服务承诺</x:v>
      </x:c>
      <x:c r="M22" s="68" t="str"/>
      <x:c r="N22" s="68" t="str">
        <x:v>结论由技术、业务、安全和采购联合评审</x:v>
      </x:c>
    </x:row>
    <x:row r="23" ht="38" customHeight="1">
      <x:c r="A23" s="67" t="str">
        <x:v>合同智能化</x:v>
      </x:c>
      <x:c r="B23" s="67" t="str">
        <x:v>P1</x:v>
      </x:c>
      <x:c r="C23" s="67" t="str">
        <x:v>科大讯飞智能化</x:v>
      </x:c>
      <x:c r="D23" s="67" t="str">
        <x:v>周朝玺</x:v>
      </x:c>
      <x:c r="E23" s="67" t="str">
        <x:v>18600166523</x:v>
      </x:c>
      <x:c r="F23" s="68" t="str">
        <x:v>验证条款识别、风险提示、知识库、准确率和可解释性</x:v>
      </x:c>
      <x:c r="G23" s="68" t="str">
        <x:v>准确率、召回率、可解释性、数据安全、集成复杂度</x:v>
      </x:c>
      <x:c r="H23" s="67" t="str">
        <x:v>黄磊/赵志悦</x:v>
      </x:c>
      <x:c r="I23" s="69" t="n">
        <x:v>46249</x:v>
      </x:c>
      <x:c r="J23" s="69" t="n">
        <x:v>46290</x:v>
      </x:c>
      <x:c r="K23" s="67" t="str">
        <x:v>进行中（待确认）</x:v>
      </x:c>
      <x:c r="L23" s="68" t="str">
        <x:v>POC报告、指标结果、问题清单、报价及服务承诺</x:v>
      </x:c>
      <x:c r="M23" s="68" t="str"/>
      <x:c r="N23" s="68" t="str">
        <x:v>结论由技术、业务、安全和采购联合评审</x:v>
      </x:c>
    </x:row>
    <x:row r="24" ht="38" customHeight="1">
      <x:c r="A24" s="67" t="str">
        <x:v>合同智能化</x:v>
      </x:c>
      <x:c r="B24" s="67" t="str">
        <x:v>P1</x:v>
      </x:c>
      <x:c r="C24" s="67" t="str">
        <x:v>腾讯智能化</x:v>
      </x:c>
      <x:c r="D24" s="67" t="str">
        <x:v>邓勇</x:v>
      </x:c>
      <x:c r="E24" s="67" t="str">
        <x:v>18500001188</x:v>
      </x:c>
      <x:c r="F24" s="68" t="str">
        <x:v>验证条款识别、风险提示、知识库、准确率和可解释性</x:v>
      </x:c>
      <x:c r="G24" s="68" t="str">
        <x:v>准确率、召回率、可解释性、数据安全、集成复杂度</x:v>
      </x:c>
      <x:c r="H24" s="67" t="str">
        <x:v>黄磊/赵志悦</x:v>
      </x:c>
      <x:c r="I24" s="69" t="n">
        <x:v>46249</x:v>
      </x:c>
      <x:c r="J24" s="69" t="n">
        <x:v>46290</x:v>
      </x:c>
      <x:c r="K24" s="67" t="str">
        <x:v>进行中（待确认）</x:v>
      </x:c>
      <x:c r="L24" s="68" t="str">
        <x:v>POC报告、指标结果、问题清单、报价及服务承诺</x:v>
      </x:c>
      <x:c r="M24" s="68" t="str"/>
      <x:c r="N24" s="68" t="str">
        <x:v>结论由技术、业务、安全和采购联合评审</x:v>
      </x:c>
    </x:row>
  </x:sheetData>
  <x:mergeCells>
    <x:mergeCell ref="A1:N1"/>
    <x:mergeCell ref="A2:N2"/>
    <x:mergeCell ref="A4:B4"/>
    <x:mergeCell ref="A5:B5"/>
    <x:mergeCell ref="D4:E4"/>
    <x:mergeCell ref="D5:E5"/>
    <x:mergeCell ref="G4:H4"/>
    <x:mergeCell ref="G5:H5"/>
    <x:mergeCell ref="J4:K4"/>
    <x:mergeCell ref="J5:K5"/>
  </x:mergeCells>
  <x:dataValidations count="3">
    <x:dataValidation type="list" sqref="B8:B24">
      <x:formula1>"P0,P1"</x:formula1>
    </x:dataValidation>
    <x:dataValidation type="list" sqref="K8:K24">
      <x:formula1>"未开始,进行中（待确认）,已完成,暂停"</x:formula1>
    </x:dataValidation>
    <x:dataValidation type="list" sqref="M8:M24">
      <x:formula1>"采纳,有条件采纳,不采纳,待评审"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8a4b98ddab44b3"/>
  </x:tableParts>
</x:worksheet>
</file>
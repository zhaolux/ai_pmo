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管理计划" sheetId="1" state="visible" r:id="rId1"/>
    <sheet xmlns:r="http://schemas.openxmlformats.org/officeDocument/2006/relationships" name="风险登记册" sheetId="2" state="visible" r:id="rId2"/>
    <sheet xmlns:r="http://schemas.openxmlformats.org/officeDocument/2006/relationships" name="风险热力图" sheetId="3" state="visible" r:id="rId3"/>
    <sheet xmlns:r="http://schemas.openxmlformats.org/officeDocument/2006/relationships" name="重点风险清单" sheetId="4" state="visible" r:id="rId4"/>
    <sheet xmlns:r="http://schemas.openxmlformats.org/officeDocument/2006/relationships" name="重大风险应对" sheetId="5" state="visible" r:id="rId5"/>
    <sheet xmlns:r="http://schemas.openxmlformats.org/officeDocument/2006/relationships" name="风险应对计划" sheetId="6" state="visible" r:id="rId6"/>
    <sheet xmlns:r="http://schemas.openxmlformats.org/officeDocument/2006/relationships" name="风险问题台账" sheetId="7" state="visible" r:id="rId7"/>
    <sheet xmlns:r="http://schemas.openxmlformats.org/officeDocument/2006/relationships" name="变更台账" sheetId="8" state="visible" r:id="rId8"/>
    <sheet xmlns:r="http://schemas.openxmlformats.org/officeDocument/2006/relationships" name="待决策事项" sheetId="9" state="visible" r:id="rId9"/>
    <sheet xmlns:r="http://schemas.openxmlformats.org/officeDocument/2006/relationships" name="_数据接口" sheetId="10" state="hidden" r:id="rId10"/>
  </sheets>
  <definedNames>
    <definedName name="_xlnm._FilterDatabase" localSheetId="1" hidden="1">'风险登记册'!$A$8:$AQ$108</definedName>
    <definedName name="_xlnm._FilterDatabase" localSheetId="3" hidden="1">'重点风险清单'!$A$4:$N$34</definedName>
    <definedName name="_xlnm._FilterDatabase" localSheetId="4" hidden="1">'重大风险应对'!$A$4:$Y$24</definedName>
    <definedName name="_xlnm._FilterDatabase" localSheetId="5" hidden="1">'风险应对计划'!$A$4:$T$104</definedName>
    <definedName name="_xlnm._FilterDatabase" localSheetId="8" hidden="1">'待决策事项'!$A$4:$M$54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年&quot;m&quot;月&quot;d&quot;日&quot;;@"/>
    <numFmt numFmtId="165" formatCode="yyyy\-mm\-dd"/>
    <numFmt numFmtId="166" formatCode="\¥#,##0"/>
    <numFmt numFmtId="167" formatCode="yyyy-mm-dd h:mm:ss"/>
  </numFmts>
  <fonts count="13">
    <font>
      <name val="Calibri"/>
      <family val="2"/>
      <color theme="1"/>
      <sz val="11"/>
      <scheme val="minor"/>
    </font>
    <font>
      <name val="Carlito"/>
      <charset val="134"/>
      <b val="1"/>
      <color rgb="FF17365D"/>
      <sz val="16"/>
    </font>
    <font>
      <name val="Carlito"/>
      <charset val="134"/>
      <i val="1"/>
      <color rgb="FF5B6573"/>
      <sz val="10"/>
    </font>
    <font>
      <name val="Carlito"/>
      <charset val="134"/>
      <b val="1"/>
      <color rgb="FF17365D"/>
      <sz val="11"/>
    </font>
    <font>
      <name val="Carlito"/>
      <charset val="134"/>
      <sz val="11"/>
    </font>
    <font>
      <name val="Carlito"/>
      <charset val="134"/>
      <b val="1"/>
      <color rgb="FF17365D"/>
      <sz val="12"/>
    </font>
    <font>
      <name val="Carlito"/>
      <charset val="134"/>
      <b val="1"/>
      <color rgb="FFFFFFFF"/>
      <sz val="10"/>
    </font>
    <font>
      <name val="Carlito"/>
      <charset val="134"/>
      <color rgb="FF1F2937"/>
      <sz val="10"/>
    </font>
    <font>
      <name val="Carlito"/>
      <charset val="134"/>
      <b val="1"/>
      <color rgb="FFFFFFFF"/>
      <sz val="11"/>
    </font>
    <font>
      <name val="Carlito"/>
      <charset val="134"/>
      <b val="1"/>
      <color rgb="FF17365D"/>
      <sz val="15"/>
    </font>
    <font>
      <name val="Carlito"/>
      <charset val="134"/>
      <b val="1"/>
      <color rgb="FF1F2937"/>
      <sz val="11"/>
    </font>
    <font>
      <name val="Carlito"/>
      <charset val="134"/>
      <b val="1"/>
      <color rgb="FFC00000"/>
      <sz val="11"/>
    </font>
    <font>
      <name val="Carlito"/>
      <charset val="134"/>
      <color rgb="FF1F2937"/>
      <sz val="11"/>
    </font>
  </fonts>
  <fills count="9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2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9" fontId="7" fillId="3" borderId="1" applyAlignment="1" pivotButton="0" quotePrefix="0" xfId="0">
      <alignment vertical="top" wrapText="1"/>
    </xf>
    <xf numFmtId="0" fontId="8" fillId="5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4" fillId="0" borderId="1" pivotButton="0" quotePrefix="0" xfId="0"/>
    <xf numFmtId="0" fontId="10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4" fillId="3" borderId="1" pivotButton="0" quotePrefix="0" xfId="0"/>
    <xf numFmtId="0" fontId="4" fillId="6" borderId="1" pivotButton="0" quotePrefix="0" xfId="0"/>
    <xf numFmtId="0" fontId="4" fillId="7" borderId="1" pivotButton="0" quotePrefix="0" xfId="0"/>
    <xf numFmtId="165" fontId="7" fillId="0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0" fontId="8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165" fontId="1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ColWidth="9" defaultRowHeight="16.8"/>
  <cols>
    <col width="18" customWidth="1" min="1" max="1"/>
    <col width="28" customWidth="1" min="2" max="2"/>
    <col width="24" customWidth="1" min="3" max="3"/>
    <col width="16" customWidth="1" min="4" max="4"/>
    <col width="20" customWidth="1" min="6" max="6"/>
    <col width="24" customWidth="1" min="7" max="7"/>
    <col width="18" customWidth="1" min="8" max="8"/>
    <col width="24" customWidth="1" min="10" max="10"/>
  </cols>
  <sheetData>
    <row r="1" ht="28" customHeight="1">
      <c r="A1" s="1" t="inlineStr">
        <is>
          <t>项目风险管理计划</t>
        </is>
      </c>
    </row>
    <row r="2" ht="24" customHeight="1">
      <c r="A2" s="2" t="inlineStr">
        <is>
          <t>定义风险分类、评分、升级、评审和责任规则；本项目同时管理威胁与机会。</t>
        </is>
      </c>
    </row>
    <row r="3"/>
    <row r="4" ht="17" customHeight="1">
      <c r="A4" s="3" t="inlineStr">
        <is>
          <t>项目名称</t>
        </is>
      </c>
      <c r="B4" s="4" t="inlineStr">
        <is>
          <t>华能交易中心港口交易平台</t>
        </is>
      </c>
      <c r="C4" s="5" t="n"/>
      <c r="D4" s="6" t="n"/>
      <c r="F4" s="3" t="inlineStr">
        <is>
          <t>风险管理负责人</t>
        </is>
      </c>
      <c r="G4" s="4" t="inlineStr">
        <is>
          <t>项目经理</t>
        </is>
      </c>
      <c r="H4" s="5" t="n"/>
      <c r="I4" s="5" t="n"/>
      <c r="J4" s="6" t="n"/>
    </row>
    <row r="5" ht="17" customHeight="1">
      <c r="A5" s="3" t="inlineStr">
        <is>
          <t>项目阶段</t>
        </is>
      </c>
      <c r="B5" s="4" t="inlineStr">
        <is>
          <t>开发与集成测试</t>
        </is>
      </c>
      <c r="C5" s="5" t="n"/>
      <c r="D5" s="6" t="n"/>
      <c r="F5" s="3" t="inlineStr">
        <is>
          <t>重大风险批准人</t>
        </is>
      </c>
      <c r="G5" s="4" t="inlineStr">
        <is>
          <t>项目发起人/项目总监</t>
        </is>
      </c>
      <c r="H5" s="5" t="n"/>
      <c r="I5" s="5" t="n"/>
      <c r="J5" s="6" t="n"/>
    </row>
    <row r="6" ht="17" customHeight="1">
      <c r="A6" s="3" t="inlineStr">
        <is>
          <t>统计日期</t>
        </is>
      </c>
      <c r="B6" s="7">
        <f>项目驾驶舱!B3</f>
        <v/>
      </c>
      <c r="C6" s="5" t="n"/>
      <c r="D6" s="6" t="n"/>
      <c r="F6" s="3" t="inlineStr">
        <is>
          <t>常规评审频率</t>
        </is>
      </c>
      <c r="G6" s="4" t="inlineStr">
        <is>
          <t>每周</t>
        </is>
      </c>
      <c r="H6" s="5" t="n"/>
      <c r="I6" s="5" t="n"/>
      <c r="J6" s="6" t="n"/>
    </row>
    <row r="7" ht="17" customHeight="1">
      <c r="A7" s="3" t="inlineStr">
        <is>
          <t>重大风险评审</t>
        </is>
      </c>
      <c r="B7" s="4" t="inlineStr">
        <is>
          <t>触发后立即召集</t>
        </is>
      </c>
      <c r="C7" s="5" t="n"/>
      <c r="D7" s="6" t="n"/>
      <c r="F7" s="3" t="inlineStr">
        <is>
          <t>风险报告周期</t>
        </is>
      </c>
      <c r="G7" s="4" t="inlineStr">
        <is>
          <t>随PMO周报</t>
        </is>
      </c>
      <c r="H7" s="5" t="n"/>
      <c r="I7" s="5" t="n"/>
      <c r="J7" s="6" t="n"/>
    </row>
    <row r="8"/>
    <row r="9" ht="17.6" customHeight="1">
      <c r="A9" s="8" t="inlineStr">
        <is>
          <t>角色与责任</t>
        </is>
      </c>
    </row>
    <row r="10" ht="34" customHeight="1">
      <c r="A10" s="9" t="inlineStr">
        <is>
          <t>角色</t>
        </is>
      </c>
      <c r="B10" s="9" t="inlineStr">
        <is>
          <t>核心责任</t>
        </is>
      </c>
      <c r="C10" s="9" t="inlineStr">
        <is>
          <t>输入</t>
        </is>
      </c>
      <c r="D10" s="9" t="inlineStr">
        <is>
          <t>输出</t>
        </is>
      </c>
      <c r="E10" s="9" t="inlineStr">
        <is>
          <t>升级权限</t>
        </is>
      </c>
    </row>
    <row r="11">
      <c r="A11" s="10" t="inlineStr">
        <is>
          <t>项目发起人</t>
        </is>
      </c>
      <c r="B11" s="10" t="inlineStr">
        <is>
          <t>批准重大风险策略和储备使用</t>
        </is>
      </c>
      <c r="C11" s="10" t="inlineStr">
        <is>
          <t>重大风险专项分析</t>
        </is>
      </c>
      <c r="D11" s="10" t="inlineStr">
        <is>
          <t>批准结论</t>
        </is>
      </c>
      <c r="E11" s="10" t="inlineStr">
        <is>
          <t>最终决策</t>
        </is>
      </c>
    </row>
    <row r="12">
      <c r="A12" s="10" t="inlineStr">
        <is>
          <t>项目经理</t>
        </is>
      </c>
      <c r="B12" s="10" t="inlineStr">
        <is>
          <t>组织识别、分析、应对、监控和升级</t>
        </is>
      </c>
      <c r="C12" s="10" t="inlineStr">
        <is>
          <t>项目信息</t>
        </is>
      </c>
      <c r="D12" s="10" t="inlineStr">
        <is>
          <t>风险报告</t>
        </is>
      </c>
      <c r="E12" s="10" t="inlineStr">
        <is>
          <t>高风险升级</t>
        </is>
      </c>
    </row>
    <row r="13">
      <c r="A13" s="10" t="inlineStr">
        <is>
          <t>风险责任人</t>
        </is>
      </c>
      <c r="B13" s="10" t="inlineStr">
        <is>
          <t>对风险结果及剩余风险负责</t>
        </is>
      </c>
      <c r="C13" s="10" t="inlineStr">
        <is>
          <t>评分和触发信号</t>
        </is>
      </c>
      <c r="D13" s="10" t="inlineStr">
        <is>
          <t>处置决策</t>
        </is>
      </c>
      <c r="E13" s="10" t="inlineStr">
        <is>
          <t>提请升级</t>
        </is>
      </c>
    </row>
    <row r="14">
      <c r="A14" s="10" t="inlineStr">
        <is>
          <t>应对责任人</t>
        </is>
      </c>
      <c r="B14" s="10" t="inlineStr">
        <is>
          <t>按期完成具体应对行动</t>
        </is>
      </c>
      <c r="C14" s="10" t="inlineStr">
        <is>
          <t>应对计划</t>
        </is>
      </c>
      <c r="D14" s="10" t="inlineStr">
        <is>
          <t>完成证据</t>
        </is>
      </c>
      <c r="E14" s="10" t="inlineStr">
        <is>
          <t>报告阻塞</t>
        </is>
      </c>
    </row>
    <row r="15">
      <c r="A15" s="10" t="inlineStr">
        <is>
          <t>PMO</t>
        </is>
      </c>
      <c r="B15" s="10" t="inlineStr">
        <is>
          <t>维护规则、检查逾期和生成报告</t>
        </is>
      </c>
      <c r="C15" s="10" t="inlineStr">
        <is>
          <t>各类台账</t>
        </is>
      </c>
      <c r="D15" s="10" t="inlineStr">
        <is>
          <t>重点风险清单</t>
        </is>
      </c>
      <c r="E15" s="10" t="inlineStr">
        <is>
          <t>治理升级</t>
        </is>
      </c>
    </row>
    <row r="16"/>
    <row r="17" ht="17.6" customHeight="1">
      <c r="A17" s="8" t="inlineStr">
        <is>
          <t>风险分类结构（RBS）</t>
        </is>
      </c>
    </row>
    <row r="18">
      <c r="A18" s="11" t="inlineStr">
        <is>
          <t>业务与需求</t>
        </is>
      </c>
      <c r="B18" s="6" t="n"/>
      <c r="C18" s="11" t="inlineStr">
        <is>
          <t>范围与变更</t>
        </is>
      </c>
      <c r="D18" s="6" t="n"/>
      <c r="E18" s="11" t="inlineStr">
        <is>
          <t>计划与进度</t>
        </is>
      </c>
      <c r="F18" s="6" t="n"/>
      <c r="G18" s="11" t="inlineStr">
        <is>
          <t>资源与关键人员</t>
        </is>
      </c>
      <c r="H18" s="6" t="n"/>
    </row>
    <row r="19">
      <c r="A19" s="11" t="inlineStr">
        <is>
          <t>技术与架构</t>
        </is>
      </c>
      <c r="B19" s="6" t="n"/>
      <c r="C19" s="11" t="inlineStr">
        <is>
          <t>数据与迁移</t>
        </is>
      </c>
      <c r="D19" s="6" t="n"/>
      <c r="E19" s="11" t="inlineStr">
        <is>
          <t>接口与外部依赖</t>
        </is>
      </c>
      <c r="F19" s="6" t="n"/>
      <c r="G19" s="11" t="inlineStr">
        <is>
          <t>测试与质量</t>
        </is>
      </c>
      <c r="H19" s="6" t="n"/>
    </row>
    <row r="20">
      <c r="A20" s="11" t="inlineStr">
        <is>
          <t>安全与合规</t>
        </is>
      </c>
      <c r="B20" s="6" t="n"/>
      <c r="C20" s="11" t="inlineStr">
        <is>
          <t>部署与上线</t>
        </is>
      </c>
      <c r="D20" s="6" t="n"/>
      <c r="E20" s="11" t="inlineStr">
        <is>
          <t>运维与服务</t>
        </is>
      </c>
      <c r="F20" s="6" t="n"/>
      <c r="G20" s="11" t="inlineStr">
        <is>
          <t>采购与供应商</t>
        </is>
      </c>
      <c r="H20" s="6" t="n"/>
    </row>
    <row r="21">
      <c r="A21" s="11" t="inlineStr">
        <is>
          <t>合同与成本</t>
        </is>
      </c>
      <c r="B21" s="6" t="n"/>
      <c r="C21" s="11" t="inlineStr">
        <is>
          <t>相关方与决策</t>
        </is>
      </c>
      <c r="D21" s="6" t="n"/>
      <c r="E21" s="11" t="inlineStr">
        <is>
          <t>外部环境</t>
        </is>
      </c>
      <c r="F21" s="6" t="n"/>
      <c r="G21" s="11" t="inlineStr">
        <is>
          <t>机会类风险</t>
        </is>
      </c>
      <c r="H21" s="6" t="n"/>
    </row>
    <row r="22"/>
    <row r="23" ht="17.6" customHeight="1">
      <c r="A23" s="8" t="inlineStr">
        <is>
          <t>概率与影响评分</t>
        </is>
      </c>
    </row>
    <row r="24" ht="34" customHeight="1">
      <c r="A24" s="9" t="inlineStr">
        <is>
          <t>等级</t>
        </is>
      </c>
      <c r="B24" s="9" t="inlineStr">
        <is>
          <t>概率参考</t>
        </is>
      </c>
      <c r="C24" s="9" t="inlineStr">
        <is>
          <t>影响描述</t>
        </is>
      </c>
      <c r="D24" s="9" t="inlineStr">
        <is>
          <t>分值</t>
        </is>
      </c>
      <c r="E24" s="9" t="inlineStr">
        <is>
          <t>风险等级</t>
        </is>
      </c>
      <c r="F24" s="9" t="inlineStr">
        <is>
          <t>管理要求</t>
        </is>
      </c>
    </row>
    <row r="25">
      <c r="A25" s="10" t="n">
        <v>1</v>
      </c>
      <c r="B25" s="10" t="inlineStr">
        <is>
          <t>≤10%</t>
        </is>
      </c>
      <c r="C25" s="10" t="inlineStr">
        <is>
          <t>极低</t>
        </is>
      </c>
      <c r="D25" s="10" t="inlineStr">
        <is>
          <t>1–4</t>
        </is>
      </c>
      <c r="E25" s="10" t="inlineStr">
        <is>
          <t>低</t>
        </is>
      </c>
      <c r="F25" s="10" t="inlineStr">
        <is>
          <t>月度观察</t>
        </is>
      </c>
    </row>
    <row r="26">
      <c r="A26" s="10" t="n">
        <v>2</v>
      </c>
      <c r="B26" s="10" t="inlineStr">
        <is>
          <t>11%–30%</t>
        </is>
      </c>
      <c r="C26" s="10" t="inlineStr">
        <is>
          <t>较低</t>
        </is>
      </c>
      <c r="D26" s="10" t="inlineStr">
        <is>
          <t>5–9</t>
        </is>
      </c>
      <c r="E26" s="10" t="inlineStr">
        <is>
          <t>中</t>
        </is>
      </c>
      <c r="F26" s="10" t="inlineStr">
        <is>
          <t>每两周检查</t>
        </is>
      </c>
    </row>
    <row r="27">
      <c r="A27" s="10" t="n">
        <v>3</v>
      </c>
      <c r="B27" s="10" t="inlineStr">
        <is>
          <t>31%–50%</t>
        </is>
      </c>
      <c r="C27" s="10" t="inlineStr">
        <is>
          <t>中等</t>
        </is>
      </c>
      <c r="D27" s="10" t="inlineStr">
        <is>
          <t>10–16</t>
        </is>
      </c>
      <c r="E27" s="10" t="inlineStr">
        <is>
          <t>高</t>
        </is>
      </c>
      <c r="F27" s="10" t="inlineStr">
        <is>
          <t>每周检查</t>
        </is>
      </c>
    </row>
    <row r="28">
      <c r="A28" s="10" t="n">
        <v>4</v>
      </c>
      <c r="B28" s="10" t="inlineStr">
        <is>
          <t>51%–70%</t>
        </is>
      </c>
      <c r="C28" s="10" t="inlineStr">
        <is>
          <t>较高</t>
        </is>
      </c>
      <c r="D28" s="10" t="inlineStr">
        <is>
          <t>17–25</t>
        </is>
      </c>
      <c r="E28" s="10" t="inlineStr">
        <is>
          <t>重大</t>
        </is>
      </c>
      <c r="F28" s="10" t="inlineStr">
        <is>
          <t>立即升级</t>
        </is>
      </c>
    </row>
    <row r="29">
      <c r="A29" s="10" t="n">
        <v>5</v>
      </c>
      <c r="B29" s="10" t="inlineStr">
        <is>
          <t>＞70%</t>
        </is>
      </c>
      <c r="C29" s="10" t="inlineStr">
        <is>
          <t>极高</t>
        </is>
      </c>
      <c r="D29" s="10" t="inlineStr">
        <is>
          <t>影响=5</t>
        </is>
      </c>
      <c r="E29" s="10" t="inlineStr">
        <is>
          <t>重大</t>
        </is>
      </c>
      <c r="F29" s="10" t="inlineStr">
        <is>
          <t>可按单项重大处理</t>
        </is>
      </c>
    </row>
  </sheetData>
  <mergeCells count="26">
    <mergeCell ref="G21:H21"/>
    <mergeCell ref="G4:J4"/>
    <mergeCell ref="C18:D18"/>
    <mergeCell ref="C20:D20"/>
    <mergeCell ref="E20:F20"/>
    <mergeCell ref="E19:F19"/>
    <mergeCell ref="G19:H19"/>
    <mergeCell ref="A18:B18"/>
    <mergeCell ref="G18:H18"/>
    <mergeCell ref="B6:D6"/>
    <mergeCell ref="A1:J1"/>
    <mergeCell ref="A21:B21"/>
    <mergeCell ref="B5:D5"/>
    <mergeCell ref="C21:D21"/>
    <mergeCell ref="B4:D4"/>
    <mergeCell ref="G7:J7"/>
    <mergeCell ref="B7:D7"/>
    <mergeCell ref="G6:J6"/>
    <mergeCell ref="A20:B20"/>
    <mergeCell ref="G20:H20"/>
    <mergeCell ref="A19:B19"/>
    <mergeCell ref="C19:D19"/>
    <mergeCell ref="A2:J2"/>
    <mergeCell ref="E18:F18"/>
    <mergeCell ref="G5:J5"/>
    <mergeCell ref="E21:F21"/>
  </mergeCells>
  <pageMargins left="0.75" right="0.75" top="1" bottom="1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ColWidth="9" defaultRowHeight="16.8"/>
  <cols>
    <col width="13" customWidth="1" min="1" max="1"/>
    <col width="24" customWidth="1" min="2" max="2"/>
    <col width="10" customWidth="1" min="3" max="3"/>
    <col width="20" customWidth="1" min="4" max="4"/>
    <col width="16" customWidth="1" min="5" max="5"/>
    <col width="26" customWidth="1" min="6" max="6"/>
    <col width="28" customWidth="1" min="7" max="7"/>
    <col width="30" customWidth="1" min="8" max="8"/>
    <col width="14" customWidth="1" min="9" max="9"/>
    <col width="18" customWidth="1" min="11" max="11"/>
    <col width="9" customWidth="1" min="12" max="12"/>
    <col width="11" customWidth="1" min="13" max="13"/>
    <col width="13" customWidth="1" min="17" max="17"/>
    <col width="15" customWidth="1" min="18" max="18"/>
    <col width="13" customWidth="1" min="19" max="19"/>
    <col width="11" customWidth="1" min="20" max="20"/>
    <col width="13" customWidth="1" min="21" max="21"/>
    <col width="15" customWidth="1" min="23" max="23"/>
    <col width="16" customWidth="1" min="24" max="24"/>
    <col width="13" customWidth="1" min="25" max="25"/>
    <col width="25" customWidth="1" min="26" max="26"/>
    <col width="18" customWidth="1" min="27" max="27"/>
    <col width="14" customWidth="1" min="28" max="28"/>
    <col width="13" customWidth="1" min="29" max="29"/>
    <col width="11" customWidth="1" min="31" max="31"/>
    <col width="13" customWidth="1" min="33" max="33"/>
    <col width="10" customWidth="1" min="35" max="35"/>
    <col width="13" customWidth="1" min="36" max="36"/>
    <col width="15" customWidth="1" min="37" max="37"/>
    <col width="14" customWidth="1" min="38" max="38"/>
    <col width="28" customWidth="1" min="41" max="41"/>
    <col width="11" customWidth="1" min="42" max="42"/>
    <col width="24" customWidth="1" min="43" max="43"/>
    <col hidden="1" width="10" customWidth="1" min="44" max="44"/>
  </cols>
  <sheetData>
    <row r="1" ht="28" customHeight="1">
      <c r="A1" s="1" t="inlineStr">
        <is>
          <t>项目风险登记册</t>
        </is>
      </c>
    </row>
    <row r="2" ht="24" customHeight="1">
      <c r="A2" s="2" t="inlineStr">
        <is>
          <t>用“原因—事件—影响”描述风险；区分固有风险与应对后剩余风险。黄色为人工输入。</t>
        </is>
      </c>
    </row>
    <row r="3"/>
    <row r="4">
      <c r="A4" s="12" t="inlineStr">
        <is>
          <t>风险总数</t>
        </is>
      </c>
      <c r="B4" s="5" t="n"/>
      <c r="C4" s="6" t="n"/>
      <c r="D4" s="12" t="inlineStr">
        <is>
          <t>重大风险</t>
        </is>
      </c>
      <c r="E4" s="5" t="n"/>
      <c r="F4" s="6" t="n"/>
      <c r="G4" s="12" t="inlineStr">
        <is>
          <t>高风险</t>
        </is>
      </c>
      <c r="H4" s="5" t="n"/>
      <c r="I4" s="6" t="n"/>
      <c r="J4" s="12" t="inlineStr">
        <is>
          <t>已发生</t>
        </is>
      </c>
      <c r="K4" s="5" t="n"/>
      <c r="L4" s="6" t="n"/>
      <c r="M4" s="12" t="inlineStr">
        <is>
          <t>应对逾期</t>
        </is>
      </c>
      <c r="N4" s="5" t="n"/>
      <c r="O4" s="6" t="n"/>
      <c r="P4" s="12" t="inlineStr">
        <is>
          <t>无责任人</t>
        </is>
      </c>
      <c r="Q4" s="5" t="n"/>
      <c r="R4" s="6" t="n"/>
      <c r="S4" s="12" t="inlineStr">
        <is>
          <t>剩余暴露值</t>
        </is>
      </c>
      <c r="T4" s="5" t="n"/>
      <c r="U4" s="6" t="n"/>
    </row>
    <row r="5" ht="22" customHeight="1">
      <c r="A5" s="13">
        <f>COUNTIFS($B$9:$B$108,"&lt;&gt;")</f>
        <v/>
      </c>
      <c r="B5" s="5" t="n"/>
      <c r="C5" s="6" t="n"/>
      <c r="D5" s="13">
        <f>COUNTIFS($B$9:$B$108,"&lt;&gt;",$AH$9:$AH$108,"重大")</f>
        <v/>
      </c>
      <c r="E5" s="5" t="n"/>
      <c r="F5" s="6" t="n"/>
      <c r="G5" s="13">
        <f>COUNTIFS($B$9:$B$108,"&lt;&gt;",$AH$9:$AH$108,"高")</f>
        <v/>
      </c>
      <c r="H5" s="5" t="n"/>
      <c r="I5" s="6" t="n"/>
      <c r="J5" s="13">
        <f>COUNTIFS($B$9:$B$108,"&lt;&gt;",$AJ$9:$AJ$108,"是")</f>
        <v/>
      </c>
      <c r="K5" s="5" t="n"/>
      <c r="L5" s="6" t="n"/>
      <c r="M5" s="13">
        <f>COUNTIFS($B$9:$B$108,"&lt;&gt;",$AB$9:$AB$108,"&lt;"&amp;项目驾驶舱!$B$3,$AB$9:$AB$108,"&lt;&gt;",$AC$9:$AC$108,"&lt;&gt;已关闭")</f>
        <v/>
      </c>
      <c r="N5" s="5" t="n"/>
      <c r="O5" s="6" t="n"/>
      <c r="P5" s="13">
        <f>COUNTIFS($B$9:$B$108,"&lt;&gt;",$W$9:$W$108,"")</f>
        <v/>
      </c>
      <c r="Q5" s="5" t="n"/>
      <c r="R5" s="6" t="n"/>
      <c r="S5" s="13">
        <f>SUMIFS($AG$9:$AG$108,$B$9:$B$108,"&lt;&gt;")</f>
        <v/>
      </c>
      <c r="T5" s="5" t="n"/>
      <c r="U5" s="6" t="n"/>
    </row>
    <row r="6"/>
    <row r="7" ht="17.6" customHeight="1">
      <c r="A7" s="8" t="inlineStr">
        <is>
          <t>风险明细</t>
        </is>
      </c>
    </row>
    <row r="8" ht="34" customHeight="1">
      <c r="A8" s="9" t="inlineStr">
        <is>
          <t>风险ID</t>
        </is>
      </c>
      <c r="B8" s="9" t="inlineStr">
        <is>
          <t>风险名称</t>
        </is>
      </c>
      <c r="C8" s="9" t="inlineStr">
        <is>
          <t>类型</t>
        </is>
      </c>
      <c r="D8" s="9" t="inlineStr">
        <is>
          <t>风险类别</t>
        </is>
      </c>
      <c r="E8" s="9" t="inlineStr">
        <is>
          <t>项目阶段</t>
        </is>
      </c>
      <c r="F8" s="9" t="inlineStr">
        <is>
          <t>原因</t>
        </is>
      </c>
      <c r="G8" s="9" t="inlineStr">
        <is>
          <t>风险事件</t>
        </is>
      </c>
      <c r="H8" s="9" t="inlineStr">
        <is>
          <t>可能影响</t>
        </is>
      </c>
      <c r="I8" s="9" t="inlineStr">
        <is>
          <t>识别人</t>
        </is>
      </c>
      <c r="J8" s="9" t="inlineStr">
        <is>
          <t>识别日期</t>
        </is>
      </c>
      <c r="K8" s="9" t="inlineStr">
        <is>
          <t>信息来源</t>
        </is>
      </c>
      <c r="L8" s="9" t="inlineStr">
        <is>
          <t>概率</t>
        </is>
      </c>
      <c r="M8" s="9" t="inlineStr">
        <is>
          <t>进度影响</t>
        </is>
      </c>
      <c r="N8" s="9" t="inlineStr">
        <is>
          <t>成本影响</t>
        </is>
      </c>
      <c r="O8" s="9" t="inlineStr">
        <is>
          <t>范围影响</t>
        </is>
      </c>
      <c r="P8" s="9" t="inlineStr">
        <is>
          <t>质量影响</t>
        </is>
      </c>
      <c r="Q8" s="9" t="inlineStr">
        <is>
          <t>业务价值影响</t>
        </is>
      </c>
      <c r="R8" s="9" t="inlineStr">
        <is>
          <t>安全合规影响</t>
        </is>
      </c>
      <c r="S8" s="9" t="inlineStr">
        <is>
          <t>相关方影响</t>
        </is>
      </c>
      <c r="T8" s="9" t="inlineStr">
        <is>
          <t>综合影响</t>
        </is>
      </c>
      <c r="U8" s="9" t="inlineStr">
        <is>
          <t>固有风险分值</t>
        </is>
      </c>
      <c r="V8" s="9" t="inlineStr">
        <is>
          <t>固有风险等级</t>
        </is>
      </c>
      <c r="W8" s="9" t="inlineStr">
        <is>
          <t>风险责任人</t>
        </is>
      </c>
      <c r="X8" s="9" t="inlineStr">
        <is>
          <t>责任部门</t>
        </is>
      </c>
      <c r="Y8" s="9" t="inlineStr">
        <is>
          <t>应对策略</t>
        </is>
      </c>
      <c r="Z8" s="9" t="inlineStr">
        <is>
          <t>触发条件</t>
        </is>
      </c>
      <c r="AA8" s="9" t="inlineStr">
        <is>
          <t>预警指标</t>
        </is>
      </c>
      <c r="AB8" s="9" t="inlineStr">
        <is>
          <t>最迟应对日期</t>
        </is>
      </c>
      <c r="AC8" s="9" t="inlineStr">
        <is>
          <t>状态</t>
        </is>
      </c>
      <c r="AD8" s="9" t="inlineStr">
        <is>
          <t>应对完成率</t>
        </is>
      </c>
      <c r="AE8" s="9" t="inlineStr">
        <is>
          <t>剩余概率</t>
        </is>
      </c>
      <c r="AF8" s="9" t="inlineStr">
        <is>
          <t>剩余影响</t>
        </is>
      </c>
      <c r="AG8" s="9" t="inlineStr">
        <is>
          <t>剩余风险分值</t>
        </is>
      </c>
      <c r="AH8" s="9" t="inlineStr">
        <is>
          <t>剩余风险等级</t>
        </is>
      </c>
      <c r="AI8" s="9" t="inlineStr">
        <is>
          <t>趋势</t>
        </is>
      </c>
      <c r="AJ8" s="9" t="inlineStr">
        <is>
          <t>是否已发生</t>
        </is>
      </c>
      <c r="AK8" s="9" t="inlineStr">
        <is>
          <t>关联问题ID</t>
        </is>
      </c>
      <c r="AL8" s="9" t="inlineStr">
        <is>
          <t>最近评审日期</t>
        </is>
      </c>
      <c r="AM8" s="9" t="inlineStr">
        <is>
          <t>下次评审日期</t>
        </is>
      </c>
      <c r="AN8" s="9" t="inlineStr">
        <is>
          <t>关闭日期</t>
        </is>
      </c>
      <c r="AO8" s="9" t="inlineStr">
        <is>
          <t>关闭证据</t>
        </is>
      </c>
      <c r="AP8" s="9" t="inlineStr">
        <is>
          <t>是否重点</t>
        </is>
      </c>
      <c r="AQ8" s="9" t="inlineStr">
        <is>
          <t>数据质量提示</t>
        </is>
      </c>
      <c r="AR8" s="9" t="inlineStr">
        <is>
          <t>_key_order</t>
        </is>
      </c>
    </row>
    <row r="9">
      <c r="A9" s="10">
        <f>IF(B9="","","RSK-"&amp;TEXT(ROW()-8,"000"))</f>
        <v/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5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0">
        <f>IF(B9="","",MAX(M9:S9))</f>
        <v/>
      </c>
      <c r="U9" s="10">
        <f>IF(OR(L9="",T9=""),"",L9*T9)</f>
        <v/>
      </c>
      <c r="V9" s="10">
        <f>IF(U9="","",IF(OR(U9&gt;=17,T9=5),"重大",IF(U9&gt;=10,"高",IF(U9&gt;=5,"中","低"))))</f>
        <v/>
      </c>
      <c r="W9" s="14" t="n"/>
      <c r="X9" s="14" t="n"/>
      <c r="Y9" s="14" t="n"/>
      <c r="Z9" s="14" t="n"/>
      <c r="AA9" s="14" t="n"/>
      <c r="AB9" s="15" t="n"/>
      <c r="AC9" s="14" t="n"/>
      <c r="AD9" s="16" t="n"/>
      <c r="AE9" s="14" t="n"/>
      <c r="AF9" s="14" t="n"/>
      <c r="AG9" s="10">
        <f>IF(OR(AE9="",AF9=""),"",AE9*AF9)</f>
        <v/>
      </c>
      <c r="AH9" s="10">
        <f>IF(AG9="","",IF(OR(AG9&gt;=17,AF9=5),"重大",IF(AG9&gt;=10,"高",IF(AG9&gt;=5,"中","低"))))</f>
        <v/>
      </c>
      <c r="AI9" s="14" t="n"/>
      <c r="AJ9" s="14" t="n"/>
      <c r="AK9" s="14" t="n"/>
      <c r="AL9" s="15" t="n"/>
      <c r="AM9" s="15" t="n"/>
      <c r="AN9" s="15" t="n"/>
      <c r="AO9" s="14" t="n"/>
      <c r="AP9" s="10">
        <f>IF(B9="","",IF(OR(V9="重大",AH9="重大",AH9="高",AI9="上升",AJ9="是",AND(AB9&lt;&gt;"",AB9&lt;项目驾驶舱!$B$3,AC9&lt;&gt;"已关闭")),"是","否"))</f>
        <v/>
      </c>
      <c r="AQ9" s="10">
        <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f>
        <v/>
      </c>
      <c r="AR9" s="10">
        <f>IF(AP9="是",COUNTIFS($AP$9:AP9,"是"),"")</f>
        <v/>
      </c>
    </row>
    <row r="10">
      <c r="A10" s="10">
        <f>IF(B10="","","RSK-"&amp;TEXT(ROW()-8,"000"))</f>
        <v/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5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0">
        <f>IF(B10="","",MAX(M10:S10))</f>
        <v/>
      </c>
      <c r="U10" s="10">
        <f>IF(OR(L10="",T10=""),"",L10*T10)</f>
        <v/>
      </c>
      <c r="V10" s="10">
        <f>IF(U10="","",IF(OR(U10&gt;=17,T10=5),"重大",IF(U10&gt;=10,"高",IF(U10&gt;=5,"中","低"))))</f>
        <v/>
      </c>
      <c r="W10" s="14" t="n"/>
      <c r="X10" s="14" t="n"/>
      <c r="Y10" s="14" t="n"/>
      <c r="Z10" s="14" t="n"/>
      <c r="AA10" s="14" t="n"/>
      <c r="AB10" s="15" t="n"/>
      <c r="AC10" s="14" t="n"/>
      <c r="AD10" s="16" t="n"/>
      <c r="AE10" s="14" t="n"/>
      <c r="AF10" s="14" t="n"/>
      <c r="AG10" s="10">
        <f>IF(OR(AE10="",AF10=""),"",AE10*AF10)</f>
        <v/>
      </c>
      <c r="AH10" s="10">
        <f>IF(AG10="","",IF(OR(AG10&gt;=17,AF10=5),"重大",IF(AG10&gt;=10,"高",IF(AG10&gt;=5,"中","低"))))</f>
        <v/>
      </c>
      <c r="AI10" s="14" t="n"/>
      <c r="AJ10" s="14" t="n"/>
      <c r="AK10" s="14" t="n"/>
      <c r="AL10" s="15" t="n"/>
      <c r="AM10" s="15" t="n"/>
      <c r="AN10" s="15" t="n"/>
      <c r="AO10" s="14" t="n"/>
      <c r="AP10" s="10">
        <f>IF(B10="","",IF(OR(V10="重大",AH10="重大",AH10="高",AI10="上升",AJ10="是",AND(AB10&lt;&gt;"",AB10&lt;项目驾驶舱!$B$3,AC10&lt;&gt;"已关闭")),"是","否"))</f>
        <v/>
      </c>
      <c r="AQ10" s="10">
        <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f>
        <v/>
      </c>
      <c r="AR10" s="10">
        <f>IF(AP10="是",COUNTIFS($AP$9:AP10,"是"),"")</f>
        <v/>
      </c>
    </row>
    <row r="11">
      <c r="A11" s="10">
        <f>IF(B11="","","RSK-"&amp;TEXT(ROW()-8,"000"))</f>
        <v/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5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0">
        <f>IF(B11="","",MAX(M11:S11))</f>
        <v/>
      </c>
      <c r="U11" s="10">
        <f>IF(OR(L11="",T11=""),"",L11*T11)</f>
        <v/>
      </c>
      <c r="V11" s="10">
        <f>IF(U11="","",IF(OR(U11&gt;=17,T11=5),"重大",IF(U11&gt;=10,"高",IF(U11&gt;=5,"中","低"))))</f>
        <v/>
      </c>
      <c r="W11" s="14" t="n"/>
      <c r="X11" s="14" t="n"/>
      <c r="Y11" s="14" t="n"/>
      <c r="Z11" s="14" t="n"/>
      <c r="AA11" s="14" t="n"/>
      <c r="AB11" s="15" t="n"/>
      <c r="AC11" s="14" t="n"/>
      <c r="AD11" s="16" t="n"/>
      <c r="AE11" s="14" t="n"/>
      <c r="AF11" s="14" t="n"/>
      <c r="AG11" s="10">
        <f>IF(OR(AE11="",AF11=""),"",AE11*AF11)</f>
        <v/>
      </c>
      <c r="AH11" s="10">
        <f>IF(AG11="","",IF(OR(AG11&gt;=17,AF11=5),"重大",IF(AG11&gt;=10,"高",IF(AG11&gt;=5,"中","低"))))</f>
        <v/>
      </c>
      <c r="AI11" s="14" t="n"/>
      <c r="AJ11" s="14" t="n"/>
      <c r="AK11" s="14" t="n"/>
      <c r="AL11" s="15" t="n"/>
      <c r="AM11" s="15" t="n"/>
      <c r="AN11" s="15" t="n"/>
      <c r="AO11" s="14" t="n"/>
      <c r="AP11" s="10">
        <f>IF(B11="","",IF(OR(V11="重大",AH11="重大",AH11="高",AI11="上升",AJ11="是",AND(AB11&lt;&gt;"",AB11&lt;项目驾驶舱!$B$3,AC11&lt;&gt;"已关闭")),"是","否"))</f>
        <v/>
      </c>
      <c r="AQ11" s="10">
        <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f>
        <v/>
      </c>
      <c r="AR11" s="10">
        <f>IF(AP11="是",COUNTIFS($AP$9:AP11,"是"),"")</f>
        <v/>
      </c>
    </row>
    <row r="12">
      <c r="A12" s="10">
        <f>IF(B12="","","RSK-"&amp;TEXT(ROW()-8,"000"))</f>
        <v/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5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0">
        <f>IF(B12="","",MAX(M12:S12))</f>
        <v/>
      </c>
      <c r="U12" s="10">
        <f>IF(OR(L12="",T12=""),"",L12*T12)</f>
        <v/>
      </c>
      <c r="V12" s="10">
        <f>IF(U12="","",IF(OR(U12&gt;=17,T12=5),"重大",IF(U12&gt;=10,"高",IF(U12&gt;=5,"中","低"))))</f>
        <v/>
      </c>
      <c r="W12" s="14" t="n"/>
      <c r="X12" s="14" t="n"/>
      <c r="Y12" s="14" t="n"/>
      <c r="Z12" s="14" t="n"/>
      <c r="AA12" s="14" t="n"/>
      <c r="AB12" s="15" t="n"/>
      <c r="AC12" s="14" t="n"/>
      <c r="AD12" s="16" t="n"/>
      <c r="AE12" s="14" t="n"/>
      <c r="AF12" s="14" t="n"/>
      <c r="AG12" s="10">
        <f>IF(OR(AE12="",AF12=""),"",AE12*AF12)</f>
        <v/>
      </c>
      <c r="AH12" s="10">
        <f>IF(AG12="","",IF(OR(AG12&gt;=17,AF12=5),"重大",IF(AG12&gt;=10,"高",IF(AG12&gt;=5,"中","低"))))</f>
        <v/>
      </c>
      <c r="AI12" s="14" t="n"/>
      <c r="AJ12" s="14" t="n"/>
      <c r="AK12" s="14" t="n"/>
      <c r="AL12" s="15" t="n"/>
      <c r="AM12" s="15" t="n"/>
      <c r="AN12" s="15" t="n"/>
      <c r="AO12" s="14" t="n"/>
      <c r="AP12" s="10">
        <f>IF(B12="","",IF(OR(V12="重大",AH12="重大",AH12="高",AI12="上升",AJ12="是",AND(AB12&lt;&gt;"",AB12&lt;项目驾驶舱!$B$3,AC12&lt;&gt;"已关闭")),"是","否"))</f>
        <v/>
      </c>
      <c r="AQ12" s="10">
        <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f>
        <v/>
      </c>
      <c r="AR12" s="10">
        <f>IF(AP12="是",COUNTIFS($AP$9:AP12,"是"),"")</f>
        <v/>
      </c>
    </row>
    <row r="13">
      <c r="A13" s="10">
        <f>IF(B13="","","RSK-"&amp;TEXT(ROW()-8,"000"))</f>
        <v/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0">
        <f>IF(B13="","",MAX(M13:S13))</f>
        <v/>
      </c>
      <c r="U13" s="10">
        <f>IF(OR(L13="",T13=""),"",L13*T13)</f>
        <v/>
      </c>
      <c r="V13" s="10">
        <f>IF(U13="","",IF(OR(U13&gt;=17,T13=5),"重大",IF(U13&gt;=10,"高",IF(U13&gt;=5,"中","低"))))</f>
        <v/>
      </c>
      <c r="W13" s="14" t="n"/>
      <c r="X13" s="14" t="n"/>
      <c r="Y13" s="14" t="n"/>
      <c r="Z13" s="14" t="n"/>
      <c r="AA13" s="14" t="n"/>
      <c r="AB13" s="15" t="n"/>
      <c r="AC13" s="14" t="n"/>
      <c r="AD13" s="16" t="n"/>
      <c r="AE13" s="14" t="n"/>
      <c r="AF13" s="14" t="n"/>
      <c r="AG13" s="10">
        <f>IF(OR(AE13="",AF13=""),"",AE13*AF13)</f>
        <v/>
      </c>
      <c r="AH13" s="10">
        <f>IF(AG13="","",IF(OR(AG13&gt;=17,AF13=5),"重大",IF(AG13&gt;=10,"高",IF(AG13&gt;=5,"中","低"))))</f>
        <v/>
      </c>
      <c r="AI13" s="14" t="n"/>
      <c r="AJ13" s="14" t="n"/>
      <c r="AK13" s="14" t="n"/>
      <c r="AL13" s="15" t="n"/>
      <c r="AM13" s="15" t="n"/>
      <c r="AN13" s="15" t="n"/>
      <c r="AO13" s="14" t="n"/>
      <c r="AP13" s="10">
        <f>IF(B13="","",IF(OR(V13="重大",AH13="重大",AH13="高",AI13="上升",AJ13="是",AND(AB13&lt;&gt;"",AB13&lt;项目驾驶舱!$B$3,AC13&lt;&gt;"已关闭")),"是","否"))</f>
        <v/>
      </c>
      <c r="AQ13" s="10">
        <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f>
        <v/>
      </c>
      <c r="AR13" s="10">
        <f>IF(AP13="是",COUNTIFS($AP$9:AP13,"是"),"")</f>
        <v/>
      </c>
    </row>
    <row r="14">
      <c r="A14" s="10">
        <f>IF(B14="","","RSK-"&amp;TEXT(ROW()-8,"000"))</f>
        <v/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5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0">
        <f>IF(B14="","",MAX(M14:S14))</f>
        <v/>
      </c>
      <c r="U14" s="10">
        <f>IF(OR(L14="",T14=""),"",L14*T14)</f>
        <v/>
      </c>
      <c r="V14" s="10">
        <f>IF(U14="","",IF(OR(U14&gt;=17,T14=5),"重大",IF(U14&gt;=10,"高",IF(U14&gt;=5,"中","低"))))</f>
        <v/>
      </c>
      <c r="W14" s="14" t="n"/>
      <c r="X14" s="14" t="n"/>
      <c r="Y14" s="14" t="n"/>
      <c r="Z14" s="14" t="n"/>
      <c r="AA14" s="14" t="n"/>
      <c r="AB14" s="15" t="n"/>
      <c r="AC14" s="14" t="n"/>
      <c r="AD14" s="16" t="n"/>
      <c r="AE14" s="14" t="n"/>
      <c r="AF14" s="14" t="n"/>
      <c r="AG14" s="10">
        <f>IF(OR(AE14="",AF14=""),"",AE14*AF14)</f>
        <v/>
      </c>
      <c r="AH14" s="10">
        <f>IF(AG14="","",IF(OR(AG14&gt;=17,AF14=5),"重大",IF(AG14&gt;=10,"高",IF(AG14&gt;=5,"中","低"))))</f>
        <v/>
      </c>
      <c r="AI14" s="14" t="n"/>
      <c r="AJ14" s="14" t="n"/>
      <c r="AK14" s="14" t="n"/>
      <c r="AL14" s="15" t="n"/>
      <c r="AM14" s="15" t="n"/>
      <c r="AN14" s="15" t="n"/>
      <c r="AO14" s="14" t="n"/>
      <c r="AP14" s="10">
        <f>IF(B14="","",IF(OR(V14="重大",AH14="重大",AH14="高",AI14="上升",AJ14="是",AND(AB14&lt;&gt;"",AB14&lt;项目驾驶舱!$B$3,AC14&lt;&gt;"已关闭")),"是","否"))</f>
        <v/>
      </c>
      <c r="AQ14" s="10">
        <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f>
        <v/>
      </c>
      <c r="AR14" s="10">
        <f>IF(AP14="是",COUNTIFS($AP$9:AP14,"是"),"")</f>
        <v/>
      </c>
    </row>
    <row r="15">
      <c r="A15" s="10">
        <f>IF(B15="","","RSK-"&amp;TEXT(ROW()-8,"000"))</f>
        <v/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5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0">
        <f>IF(B15="","",MAX(M15:S15))</f>
        <v/>
      </c>
      <c r="U15" s="10">
        <f>IF(OR(L15="",T15=""),"",L15*T15)</f>
        <v/>
      </c>
      <c r="V15" s="10">
        <f>IF(U15="","",IF(OR(U15&gt;=17,T15=5),"重大",IF(U15&gt;=10,"高",IF(U15&gt;=5,"中","低"))))</f>
        <v/>
      </c>
      <c r="W15" s="14" t="n"/>
      <c r="X15" s="14" t="n"/>
      <c r="Y15" s="14" t="n"/>
      <c r="Z15" s="14" t="n"/>
      <c r="AA15" s="14" t="n"/>
      <c r="AB15" s="15" t="n"/>
      <c r="AC15" s="14" t="n"/>
      <c r="AD15" s="16" t="n"/>
      <c r="AE15" s="14" t="n"/>
      <c r="AF15" s="14" t="n"/>
      <c r="AG15" s="10">
        <f>IF(OR(AE15="",AF15=""),"",AE15*AF15)</f>
        <v/>
      </c>
      <c r="AH15" s="10">
        <f>IF(AG15="","",IF(OR(AG15&gt;=17,AF15=5),"重大",IF(AG15&gt;=10,"高",IF(AG15&gt;=5,"中","低"))))</f>
        <v/>
      </c>
      <c r="AI15" s="14" t="n"/>
      <c r="AJ15" s="14" t="n"/>
      <c r="AK15" s="14" t="n"/>
      <c r="AL15" s="15" t="n"/>
      <c r="AM15" s="15" t="n"/>
      <c r="AN15" s="15" t="n"/>
      <c r="AO15" s="14" t="n"/>
      <c r="AP15" s="10">
        <f>IF(B15="","",IF(OR(V15="重大",AH15="重大",AH15="高",AI15="上升",AJ15="是",AND(AB15&lt;&gt;"",AB15&lt;项目驾驶舱!$B$3,AC15&lt;&gt;"已关闭")),"是","否"))</f>
        <v/>
      </c>
      <c r="AQ15" s="10">
        <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f>
        <v/>
      </c>
      <c r="AR15" s="10">
        <f>IF(AP15="是",COUNTIFS($AP$9:AP15,"是"),"")</f>
        <v/>
      </c>
    </row>
    <row r="16">
      <c r="A16" s="10">
        <f>IF(B16="","","RSK-"&amp;TEXT(ROW()-8,"000"))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5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0">
        <f>IF(B16="","",MAX(M16:S16))</f>
        <v/>
      </c>
      <c r="U16" s="10">
        <f>IF(OR(L16="",T16=""),"",L16*T16)</f>
        <v/>
      </c>
      <c r="V16" s="10">
        <f>IF(U16="","",IF(OR(U16&gt;=17,T16=5),"重大",IF(U16&gt;=10,"高",IF(U16&gt;=5,"中","低"))))</f>
        <v/>
      </c>
      <c r="W16" s="14" t="n"/>
      <c r="X16" s="14" t="n"/>
      <c r="Y16" s="14" t="n"/>
      <c r="Z16" s="14" t="n"/>
      <c r="AA16" s="14" t="n"/>
      <c r="AB16" s="15" t="n"/>
      <c r="AC16" s="14" t="n"/>
      <c r="AD16" s="16" t="n"/>
      <c r="AE16" s="14" t="n"/>
      <c r="AF16" s="14" t="n"/>
      <c r="AG16" s="10">
        <f>IF(OR(AE16="",AF16=""),"",AE16*AF16)</f>
        <v/>
      </c>
      <c r="AH16" s="10">
        <f>IF(AG16="","",IF(OR(AG16&gt;=17,AF16=5),"重大",IF(AG16&gt;=10,"高",IF(AG16&gt;=5,"中","低"))))</f>
        <v/>
      </c>
      <c r="AI16" s="14" t="n"/>
      <c r="AJ16" s="14" t="n"/>
      <c r="AK16" s="14" t="n"/>
      <c r="AL16" s="15" t="n"/>
      <c r="AM16" s="15" t="n"/>
      <c r="AN16" s="15" t="n"/>
      <c r="AO16" s="14" t="n"/>
      <c r="AP16" s="10">
        <f>IF(B16="","",IF(OR(V16="重大",AH16="重大",AH16="高",AI16="上升",AJ16="是",AND(AB16&lt;&gt;"",AB16&lt;项目驾驶舱!$B$3,AC16&lt;&gt;"已关闭")),"是","否"))</f>
        <v/>
      </c>
      <c r="AQ16" s="10">
        <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f>
        <v/>
      </c>
      <c r="AR16" s="10">
        <f>IF(AP16="是",COUNTIFS($AP$9:AP16,"是"),"")</f>
        <v/>
      </c>
    </row>
    <row r="17">
      <c r="A17" s="10">
        <f>IF(B17="","","RSK-"&amp;TEXT(ROW()-8,"000"))</f>
        <v/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5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0">
        <f>IF(B17="","",MAX(M17:S17))</f>
        <v/>
      </c>
      <c r="U17" s="10">
        <f>IF(OR(L17="",T17=""),"",L17*T17)</f>
        <v/>
      </c>
      <c r="V17" s="10">
        <f>IF(U17="","",IF(OR(U17&gt;=17,T17=5),"重大",IF(U17&gt;=10,"高",IF(U17&gt;=5,"中","低"))))</f>
        <v/>
      </c>
      <c r="W17" s="14" t="n"/>
      <c r="X17" s="14" t="n"/>
      <c r="Y17" s="14" t="n"/>
      <c r="Z17" s="14" t="n"/>
      <c r="AA17" s="14" t="n"/>
      <c r="AB17" s="15" t="n"/>
      <c r="AC17" s="14" t="n"/>
      <c r="AD17" s="16" t="n"/>
      <c r="AE17" s="14" t="n"/>
      <c r="AF17" s="14" t="n"/>
      <c r="AG17" s="10">
        <f>IF(OR(AE17="",AF17=""),"",AE17*AF17)</f>
        <v/>
      </c>
      <c r="AH17" s="10">
        <f>IF(AG17="","",IF(OR(AG17&gt;=17,AF17=5),"重大",IF(AG17&gt;=10,"高",IF(AG17&gt;=5,"中","低"))))</f>
        <v/>
      </c>
      <c r="AI17" s="14" t="n"/>
      <c r="AJ17" s="14" t="n"/>
      <c r="AK17" s="14" t="n"/>
      <c r="AL17" s="15" t="n"/>
      <c r="AM17" s="15" t="n"/>
      <c r="AN17" s="15" t="n"/>
      <c r="AO17" s="14" t="n"/>
      <c r="AP17" s="10">
        <f>IF(B17="","",IF(OR(V17="重大",AH17="重大",AH17="高",AI17="上升",AJ17="是",AND(AB17&lt;&gt;"",AB17&lt;项目驾驶舱!$B$3,AC17&lt;&gt;"已关闭")),"是","否"))</f>
        <v/>
      </c>
      <c r="AQ17" s="10">
        <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f>
        <v/>
      </c>
      <c r="AR17" s="10">
        <f>IF(AP17="是",COUNTIFS($AP$9:AP17,"是"),"")</f>
        <v/>
      </c>
    </row>
    <row r="18">
      <c r="A18" s="10">
        <f>IF(B18="","","RSK-"&amp;TEXT(ROW()-8,"000"))</f>
        <v/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5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0">
        <f>IF(B18="","",MAX(M18:S18))</f>
        <v/>
      </c>
      <c r="U18" s="10">
        <f>IF(OR(L18="",T18=""),"",L18*T18)</f>
        <v/>
      </c>
      <c r="V18" s="10">
        <f>IF(U18="","",IF(OR(U18&gt;=17,T18=5),"重大",IF(U18&gt;=10,"高",IF(U18&gt;=5,"中","低"))))</f>
        <v/>
      </c>
      <c r="W18" s="14" t="n"/>
      <c r="X18" s="14" t="n"/>
      <c r="Y18" s="14" t="n"/>
      <c r="Z18" s="14" t="n"/>
      <c r="AA18" s="14" t="n"/>
      <c r="AB18" s="15" t="n"/>
      <c r="AC18" s="14" t="n"/>
      <c r="AD18" s="16" t="n"/>
      <c r="AE18" s="14" t="n"/>
      <c r="AF18" s="14" t="n"/>
      <c r="AG18" s="10">
        <f>IF(OR(AE18="",AF18=""),"",AE18*AF18)</f>
        <v/>
      </c>
      <c r="AH18" s="10">
        <f>IF(AG18="","",IF(OR(AG18&gt;=17,AF18=5),"重大",IF(AG18&gt;=10,"高",IF(AG18&gt;=5,"中","低"))))</f>
        <v/>
      </c>
      <c r="AI18" s="14" t="n"/>
      <c r="AJ18" s="14" t="n"/>
      <c r="AK18" s="14" t="n"/>
      <c r="AL18" s="15" t="n"/>
      <c r="AM18" s="15" t="n"/>
      <c r="AN18" s="15" t="n"/>
      <c r="AO18" s="14" t="n"/>
      <c r="AP18" s="10">
        <f>IF(B18="","",IF(OR(V18="重大",AH18="重大",AH18="高",AI18="上升",AJ18="是",AND(AB18&lt;&gt;"",AB18&lt;项目驾驶舱!$B$3,AC18&lt;&gt;"已关闭")),"是","否"))</f>
        <v/>
      </c>
      <c r="AQ18" s="10">
        <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f>
        <v/>
      </c>
      <c r="AR18" s="10">
        <f>IF(AP18="是",COUNTIFS($AP$9:AP18,"是"),"")</f>
        <v/>
      </c>
    </row>
    <row r="19">
      <c r="A19" s="10">
        <f>IF(B19="","","RSK-"&amp;TEXT(ROW()-8,"000"))</f>
        <v/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5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0">
        <f>IF(B19="","",MAX(M19:S19))</f>
        <v/>
      </c>
      <c r="U19" s="10">
        <f>IF(OR(L19="",T19=""),"",L19*T19)</f>
        <v/>
      </c>
      <c r="V19" s="10">
        <f>IF(U19="","",IF(OR(U19&gt;=17,T19=5),"重大",IF(U19&gt;=10,"高",IF(U19&gt;=5,"中","低"))))</f>
        <v/>
      </c>
      <c r="W19" s="14" t="n"/>
      <c r="X19" s="14" t="n"/>
      <c r="Y19" s="14" t="n"/>
      <c r="Z19" s="14" t="n"/>
      <c r="AA19" s="14" t="n"/>
      <c r="AB19" s="15" t="n"/>
      <c r="AC19" s="14" t="n"/>
      <c r="AD19" s="16" t="n"/>
      <c r="AE19" s="14" t="n"/>
      <c r="AF19" s="14" t="n"/>
      <c r="AG19" s="10">
        <f>IF(OR(AE19="",AF19=""),"",AE19*AF19)</f>
        <v/>
      </c>
      <c r="AH19" s="10">
        <f>IF(AG19="","",IF(OR(AG19&gt;=17,AF19=5),"重大",IF(AG19&gt;=10,"高",IF(AG19&gt;=5,"中","低"))))</f>
        <v/>
      </c>
      <c r="AI19" s="14" t="n"/>
      <c r="AJ19" s="14" t="n"/>
      <c r="AK19" s="14" t="n"/>
      <c r="AL19" s="15" t="n"/>
      <c r="AM19" s="15" t="n"/>
      <c r="AN19" s="15" t="n"/>
      <c r="AO19" s="14" t="n"/>
      <c r="AP19" s="10">
        <f>IF(B19="","",IF(OR(V19="重大",AH19="重大",AH19="高",AI19="上升",AJ19="是",AND(AB19&lt;&gt;"",AB19&lt;项目驾驶舱!$B$3,AC19&lt;&gt;"已关闭")),"是","否"))</f>
        <v/>
      </c>
      <c r="AQ19" s="10">
        <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f>
        <v/>
      </c>
      <c r="AR19" s="10">
        <f>IF(AP19="是",COUNTIFS($AP$9:AP19,"是"),"")</f>
        <v/>
      </c>
    </row>
    <row r="20">
      <c r="A20" s="10">
        <f>IF(B20="","","RSK-"&amp;TEXT(ROW()-8,"000"))</f>
        <v/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5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0">
        <f>IF(B20="","",MAX(M20:S20))</f>
        <v/>
      </c>
      <c r="U20" s="10">
        <f>IF(OR(L20="",T20=""),"",L20*T20)</f>
        <v/>
      </c>
      <c r="V20" s="10">
        <f>IF(U20="","",IF(OR(U20&gt;=17,T20=5),"重大",IF(U20&gt;=10,"高",IF(U20&gt;=5,"中","低"))))</f>
        <v/>
      </c>
      <c r="W20" s="14" t="n"/>
      <c r="X20" s="14" t="n"/>
      <c r="Y20" s="14" t="n"/>
      <c r="Z20" s="14" t="n"/>
      <c r="AA20" s="14" t="n"/>
      <c r="AB20" s="15" t="n"/>
      <c r="AC20" s="14" t="n"/>
      <c r="AD20" s="16" t="n"/>
      <c r="AE20" s="14" t="n"/>
      <c r="AF20" s="14" t="n"/>
      <c r="AG20" s="10">
        <f>IF(OR(AE20="",AF20=""),"",AE20*AF20)</f>
        <v/>
      </c>
      <c r="AH20" s="10">
        <f>IF(AG20="","",IF(OR(AG20&gt;=17,AF20=5),"重大",IF(AG20&gt;=10,"高",IF(AG20&gt;=5,"中","低"))))</f>
        <v/>
      </c>
      <c r="AI20" s="14" t="n"/>
      <c r="AJ20" s="14" t="n"/>
      <c r="AK20" s="14" t="n"/>
      <c r="AL20" s="15" t="n"/>
      <c r="AM20" s="15" t="n"/>
      <c r="AN20" s="15" t="n"/>
      <c r="AO20" s="14" t="n"/>
      <c r="AP20" s="10">
        <f>IF(B20="","",IF(OR(V20="重大",AH20="重大",AH20="高",AI20="上升",AJ20="是",AND(AB20&lt;&gt;"",AB20&lt;项目驾驶舱!$B$3,AC20&lt;&gt;"已关闭")),"是","否"))</f>
        <v/>
      </c>
      <c r="AQ20" s="10">
        <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f>
        <v/>
      </c>
      <c r="AR20" s="10">
        <f>IF(AP20="是",COUNTIFS($AP$9:AP20,"是"),"")</f>
        <v/>
      </c>
    </row>
    <row r="21">
      <c r="A21" s="10">
        <f>IF(B21="","","RSK-"&amp;TEXT(ROW()-8,"000"))</f>
        <v/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5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0">
        <f>IF(B21="","",MAX(M21:S21))</f>
        <v/>
      </c>
      <c r="U21" s="10">
        <f>IF(OR(L21="",T21=""),"",L21*T21)</f>
        <v/>
      </c>
      <c r="V21" s="10">
        <f>IF(U21="","",IF(OR(U21&gt;=17,T21=5),"重大",IF(U21&gt;=10,"高",IF(U21&gt;=5,"中","低"))))</f>
        <v/>
      </c>
      <c r="W21" s="14" t="n"/>
      <c r="X21" s="14" t="n"/>
      <c r="Y21" s="14" t="n"/>
      <c r="Z21" s="14" t="n"/>
      <c r="AA21" s="14" t="n"/>
      <c r="AB21" s="15" t="n"/>
      <c r="AC21" s="14" t="n"/>
      <c r="AD21" s="16" t="n"/>
      <c r="AE21" s="14" t="n"/>
      <c r="AF21" s="14" t="n"/>
      <c r="AG21" s="10">
        <f>IF(OR(AE21="",AF21=""),"",AE21*AF21)</f>
        <v/>
      </c>
      <c r="AH21" s="10">
        <f>IF(AG21="","",IF(OR(AG21&gt;=17,AF21=5),"重大",IF(AG21&gt;=10,"高",IF(AG21&gt;=5,"中","低"))))</f>
        <v/>
      </c>
      <c r="AI21" s="14" t="n"/>
      <c r="AJ21" s="14" t="n"/>
      <c r="AK21" s="14" t="n"/>
      <c r="AL21" s="15" t="n"/>
      <c r="AM21" s="15" t="n"/>
      <c r="AN21" s="15" t="n"/>
      <c r="AO21" s="14" t="n"/>
      <c r="AP21" s="10">
        <f>IF(B21="","",IF(OR(V21="重大",AH21="重大",AH21="高",AI21="上升",AJ21="是",AND(AB21&lt;&gt;"",AB21&lt;项目驾驶舱!$B$3,AC21&lt;&gt;"已关闭")),"是","否"))</f>
        <v/>
      </c>
      <c r="AQ21" s="10">
        <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f>
        <v/>
      </c>
      <c r="AR21" s="10">
        <f>IF(AP21="是",COUNTIFS($AP$9:AP21,"是"),"")</f>
        <v/>
      </c>
    </row>
    <row r="22">
      <c r="A22" s="10">
        <f>IF(B22="","","RSK-"&amp;TEXT(ROW()-8,"000"))</f>
        <v/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5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0">
        <f>IF(B22="","",MAX(M22:S22))</f>
        <v/>
      </c>
      <c r="U22" s="10">
        <f>IF(OR(L22="",T22=""),"",L22*T22)</f>
        <v/>
      </c>
      <c r="V22" s="10">
        <f>IF(U22="","",IF(OR(U22&gt;=17,T22=5),"重大",IF(U22&gt;=10,"高",IF(U22&gt;=5,"中","低"))))</f>
        <v/>
      </c>
      <c r="W22" s="14" t="n"/>
      <c r="X22" s="14" t="n"/>
      <c r="Y22" s="14" t="n"/>
      <c r="Z22" s="14" t="n"/>
      <c r="AA22" s="14" t="n"/>
      <c r="AB22" s="15" t="n"/>
      <c r="AC22" s="14" t="n"/>
      <c r="AD22" s="16" t="n"/>
      <c r="AE22" s="14" t="n"/>
      <c r="AF22" s="14" t="n"/>
      <c r="AG22" s="10">
        <f>IF(OR(AE22="",AF22=""),"",AE22*AF22)</f>
        <v/>
      </c>
      <c r="AH22" s="10">
        <f>IF(AG22="","",IF(OR(AG22&gt;=17,AF22=5),"重大",IF(AG22&gt;=10,"高",IF(AG22&gt;=5,"中","低"))))</f>
        <v/>
      </c>
      <c r="AI22" s="14" t="n"/>
      <c r="AJ22" s="14" t="n"/>
      <c r="AK22" s="14" t="n"/>
      <c r="AL22" s="15" t="n"/>
      <c r="AM22" s="15" t="n"/>
      <c r="AN22" s="15" t="n"/>
      <c r="AO22" s="14" t="n"/>
      <c r="AP22" s="10">
        <f>IF(B22="","",IF(OR(V22="重大",AH22="重大",AH22="高",AI22="上升",AJ22="是",AND(AB22&lt;&gt;"",AB22&lt;项目驾驶舱!$B$3,AC22&lt;&gt;"已关闭")),"是","否"))</f>
        <v/>
      </c>
      <c r="AQ22" s="10">
        <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f>
        <v/>
      </c>
      <c r="AR22" s="10">
        <f>IF(AP22="是",COUNTIFS($AP$9:AP22,"是"),"")</f>
        <v/>
      </c>
    </row>
    <row r="23">
      <c r="A23" s="10">
        <f>IF(B23="","","RSK-"&amp;TEXT(ROW()-8,"000"))</f>
        <v/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5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0">
        <f>IF(B23="","",MAX(M23:S23))</f>
        <v/>
      </c>
      <c r="U23" s="10">
        <f>IF(OR(L23="",T23=""),"",L23*T23)</f>
        <v/>
      </c>
      <c r="V23" s="10">
        <f>IF(U23="","",IF(OR(U23&gt;=17,T23=5),"重大",IF(U23&gt;=10,"高",IF(U23&gt;=5,"中","低"))))</f>
        <v/>
      </c>
      <c r="W23" s="14" t="n"/>
      <c r="X23" s="14" t="n"/>
      <c r="Y23" s="14" t="n"/>
      <c r="Z23" s="14" t="n"/>
      <c r="AA23" s="14" t="n"/>
      <c r="AB23" s="15" t="n"/>
      <c r="AC23" s="14" t="n"/>
      <c r="AD23" s="16" t="n"/>
      <c r="AE23" s="14" t="n"/>
      <c r="AF23" s="14" t="n"/>
      <c r="AG23" s="10">
        <f>IF(OR(AE23="",AF23=""),"",AE23*AF23)</f>
        <v/>
      </c>
      <c r="AH23" s="10">
        <f>IF(AG23="","",IF(OR(AG23&gt;=17,AF23=5),"重大",IF(AG23&gt;=10,"高",IF(AG23&gt;=5,"中","低"))))</f>
        <v/>
      </c>
      <c r="AI23" s="14" t="n"/>
      <c r="AJ23" s="14" t="n"/>
      <c r="AK23" s="14" t="n"/>
      <c r="AL23" s="15" t="n"/>
      <c r="AM23" s="15" t="n"/>
      <c r="AN23" s="15" t="n"/>
      <c r="AO23" s="14" t="n"/>
      <c r="AP23" s="10">
        <f>IF(B23="","",IF(OR(V23="重大",AH23="重大",AH23="高",AI23="上升",AJ23="是",AND(AB23&lt;&gt;"",AB23&lt;项目驾驶舱!$B$3,AC23&lt;&gt;"已关闭")),"是","否"))</f>
        <v/>
      </c>
      <c r="AQ23" s="10">
        <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f>
        <v/>
      </c>
      <c r="AR23" s="10">
        <f>IF(AP23="是",COUNTIFS($AP$9:AP23,"是"),"")</f>
        <v/>
      </c>
    </row>
    <row r="24">
      <c r="A24" s="10">
        <f>IF(B24="","","RSK-"&amp;TEXT(ROW()-8,"000"))</f>
        <v/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5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0">
        <f>IF(B24="","",MAX(M24:S24))</f>
        <v/>
      </c>
      <c r="U24" s="10">
        <f>IF(OR(L24="",T24=""),"",L24*T24)</f>
        <v/>
      </c>
      <c r="V24" s="10">
        <f>IF(U24="","",IF(OR(U24&gt;=17,T24=5),"重大",IF(U24&gt;=10,"高",IF(U24&gt;=5,"中","低"))))</f>
        <v/>
      </c>
      <c r="W24" s="14" t="n"/>
      <c r="X24" s="14" t="n"/>
      <c r="Y24" s="14" t="n"/>
      <c r="Z24" s="14" t="n"/>
      <c r="AA24" s="14" t="n"/>
      <c r="AB24" s="15" t="n"/>
      <c r="AC24" s="14" t="n"/>
      <c r="AD24" s="16" t="n"/>
      <c r="AE24" s="14" t="n"/>
      <c r="AF24" s="14" t="n"/>
      <c r="AG24" s="10">
        <f>IF(OR(AE24="",AF24=""),"",AE24*AF24)</f>
        <v/>
      </c>
      <c r="AH24" s="10">
        <f>IF(AG24="","",IF(OR(AG24&gt;=17,AF24=5),"重大",IF(AG24&gt;=10,"高",IF(AG24&gt;=5,"中","低"))))</f>
        <v/>
      </c>
      <c r="AI24" s="14" t="n"/>
      <c r="AJ24" s="14" t="n"/>
      <c r="AK24" s="14" t="n"/>
      <c r="AL24" s="15" t="n"/>
      <c r="AM24" s="15" t="n"/>
      <c r="AN24" s="15" t="n"/>
      <c r="AO24" s="14" t="n"/>
      <c r="AP24" s="10">
        <f>IF(B24="","",IF(OR(V24="重大",AH24="重大",AH24="高",AI24="上升",AJ24="是",AND(AB24&lt;&gt;"",AB24&lt;项目驾驶舱!$B$3,AC24&lt;&gt;"已关闭")),"是","否"))</f>
        <v/>
      </c>
      <c r="AQ24" s="10">
        <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f>
        <v/>
      </c>
      <c r="AR24" s="10">
        <f>IF(AP24="是",COUNTIFS($AP$9:AP24,"是"),"")</f>
        <v/>
      </c>
    </row>
    <row r="25">
      <c r="A25" s="10">
        <f>IF(B25="","","RSK-"&amp;TEXT(ROW()-8,"000"))</f>
        <v/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5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0">
        <f>IF(B25="","",MAX(M25:S25))</f>
        <v/>
      </c>
      <c r="U25" s="10">
        <f>IF(OR(L25="",T25=""),"",L25*T25)</f>
        <v/>
      </c>
      <c r="V25" s="10">
        <f>IF(U25="","",IF(OR(U25&gt;=17,T25=5),"重大",IF(U25&gt;=10,"高",IF(U25&gt;=5,"中","低"))))</f>
        <v/>
      </c>
      <c r="W25" s="14" t="n"/>
      <c r="X25" s="14" t="n"/>
      <c r="Y25" s="14" t="n"/>
      <c r="Z25" s="14" t="n"/>
      <c r="AA25" s="14" t="n"/>
      <c r="AB25" s="15" t="n"/>
      <c r="AC25" s="14" t="n"/>
      <c r="AD25" s="16" t="n"/>
      <c r="AE25" s="14" t="n"/>
      <c r="AF25" s="14" t="n"/>
      <c r="AG25" s="10">
        <f>IF(OR(AE25="",AF25=""),"",AE25*AF25)</f>
        <v/>
      </c>
      <c r="AH25" s="10">
        <f>IF(AG25="","",IF(OR(AG25&gt;=17,AF25=5),"重大",IF(AG25&gt;=10,"高",IF(AG25&gt;=5,"中","低"))))</f>
        <v/>
      </c>
      <c r="AI25" s="14" t="n"/>
      <c r="AJ25" s="14" t="n"/>
      <c r="AK25" s="14" t="n"/>
      <c r="AL25" s="15" t="n"/>
      <c r="AM25" s="15" t="n"/>
      <c r="AN25" s="15" t="n"/>
      <c r="AO25" s="14" t="n"/>
      <c r="AP25" s="10">
        <f>IF(B25="","",IF(OR(V25="重大",AH25="重大",AH25="高",AI25="上升",AJ25="是",AND(AB25&lt;&gt;"",AB25&lt;项目驾驶舱!$B$3,AC25&lt;&gt;"已关闭")),"是","否"))</f>
        <v/>
      </c>
      <c r="AQ25" s="10">
        <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f>
        <v/>
      </c>
      <c r="AR25" s="10">
        <f>IF(AP25="是",COUNTIFS($AP$9:AP25,"是"),"")</f>
        <v/>
      </c>
    </row>
    <row r="26">
      <c r="A26" s="10">
        <f>IF(B26="","","RSK-"&amp;TEXT(ROW()-8,"000"))</f>
        <v/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5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0">
        <f>IF(B26="","",MAX(M26:S26))</f>
        <v/>
      </c>
      <c r="U26" s="10">
        <f>IF(OR(L26="",T26=""),"",L26*T26)</f>
        <v/>
      </c>
      <c r="V26" s="10">
        <f>IF(U26="","",IF(OR(U26&gt;=17,T26=5),"重大",IF(U26&gt;=10,"高",IF(U26&gt;=5,"中","低"))))</f>
        <v/>
      </c>
      <c r="W26" s="14" t="n"/>
      <c r="X26" s="14" t="n"/>
      <c r="Y26" s="14" t="n"/>
      <c r="Z26" s="14" t="n"/>
      <c r="AA26" s="14" t="n"/>
      <c r="AB26" s="15" t="n"/>
      <c r="AC26" s="14" t="n"/>
      <c r="AD26" s="16" t="n"/>
      <c r="AE26" s="14" t="n"/>
      <c r="AF26" s="14" t="n"/>
      <c r="AG26" s="10">
        <f>IF(OR(AE26="",AF26=""),"",AE26*AF26)</f>
        <v/>
      </c>
      <c r="AH26" s="10">
        <f>IF(AG26="","",IF(OR(AG26&gt;=17,AF26=5),"重大",IF(AG26&gt;=10,"高",IF(AG26&gt;=5,"中","低"))))</f>
        <v/>
      </c>
      <c r="AI26" s="14" t="n"/>
      <c r="AJ26" s="14" t="n"/>
      <c r="AK26" s="14" t="n"/>
      <c r="AL26" s="15" t="n"/>
      <c r="AM26" s="15" t="n"/>
      <c r="AN26" s="15" t="n"/>
      <c r="AO26" s="14" t="n"/>
      <c r="AP26" s="10">
        <f>IF(B26="","",IF(OR(V26="重大",AH26="重大",AH26="高",AI26="上升",AJ26="是",AND(AB26&lt;&gt;"",AB26&lt;项目驾驶舱!$B$3,AC26&lt;&gt;"已关闭")),"是","否"))</f>
        <v/>
      </c>
      <c r="AQ26" s="10">
        <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f>
        <v/>
      </c>
      <c r="AR26" s="10">
        <f>IF(AP26="是",COUNTIFS($AP$9:AP26,"是"),"")</f>
        <v/>
      </c>
    </row>
    <row r="27">
      <c r="A27" s="10">
        <f>IF(B27="","","RSK-"&amp;TEXT(ROW()-8,"000"))</f>
        <v/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5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0">
        <f>IF(B27="","",MAX(M27:S27))</f>
        <v/>
      </c>
      <c r="U27" s="10">
        <f>IF(OR(L27="",T27=""),"",L27*T27)</f>
        <v/>
      </c>
      <c r="V27" s="10">
        <f>IF(U27="","",IF(OR(U27&gt;=17,T27=5),"重大",IF(U27&gt;=10,"高",IF(U27&gt;=5,"中","低"))))</f>
        <v/>
      </c>
      <c r="W27" s="14" t="n"/>
      <c r="X27" s="14" t="n"/>
      <c r="Y27" s="14" t="n"/>
      <c r="Z27" s="14" t="n"/>
      <c r="AA27" s="14" t="n"/>
      <c r="AB27" s="15" t="n"/>
      <c r="AC27" s="14" t="n"/>
      <c r="AD27" s="16" t="n"/>
      <c r="AE27" s="14" t="n"/>
      <c r="AF27" s="14" t="n"/>
      <c r="AG27" s="10">
        <f>IF(OR(AE27="",AF27=""),"",AE27*AF27)</f>
        <v/>
      </c>
      <c r="AH27" s="10">
        <f>IF(AG27="","",IF(OR(AG27&gt;=17,AF27=5),"重大",IF(AG27&gt;=10,"高",IF(AG27&gt;=5,"中","低"))))</f>
        <v/>
      </c>
      <c r="AI27" s="14" t="n"/>
      <c r="AJ27" s="14" t="n"/>
      <c r="AK27" s="14" t="n"/>
      <c r="AL27" s="15" t="n"/>
      <c r="AM27" s="15" t="n"/>
      <c r="AN27" s="15" t="n"/>
      <c r="AO27" s="14" t="n"/>
      <c r="AP27" s="10">
        <f>IF(B27="","",IF(OR(V27="重大",AH27="重大",AH27="高",AI27="上升",AJ27="是",AND(AB27&lt;&gt;"",AB27&lt;项目驾驶舱!$B$3,AC27&lt;&gt;"已关闭")),"是","否"))</f>
        <v/>
      </c>
      <c r="AQ27" s="10">
        <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f>
        <v/>
      </c>
      <c r="AR27" s="10">
        <f>IF(AP27="是",COUNTIFS($AP$9:AP27,"是"),"")</f>
        <v/>
      </c>
    </row>
    <row r="28">
      <c r="A28" s="10">
        <f>IF(B28="","","RSK-"&amp;TEXT(ROW()-8,"000"))</f>
        <v/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5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0">
        <f>IF(B28="","",MAX(M28:S28))</f>
        <v/>
      </c>
      <c r="U28" s="10">
        <f>IF(OR(L28="",T28=""),"",L28*T28)</f>
        <v/>
      </c>
      <c r="V28" s="10">
        <f>IF(U28="","",IF(OR(U28&gt;=17,T28=5),"重大",IF(U28&gt;=10,"高",IF(U28&gt;=5,"中","低"))))</f>
        <v/>
      </c>
      <c r="W28" s="14" t="n"/>
      <c r="X28" s="14" t="n"/>
      <c r="Y28" s="14" t="n"/>
      <c r="Z28" s="14" t="n"/>
      <c r="AA28" s="14" t="n"/>
      <c r="AB28" s="15" t="n"/>
      <c r="AC28" s="14" t="n"/>
      <c r="AD28" s="16" t="n"/>
      <c r="AE28" s="14" t="n"/>
      <c r="AF28" s="14" t="n"/>
      <c r="AG28" s="10">
        <f>IF(OR(AE28="",AF28=""),"",AE28*AF28)</f>
        <v/>
      </c>
      <c r="AH28" s="10">
        <f>IF(AG28="","",IF(OR(AG28&gt;=17,AF28=5),"重大",IF(AG28&gt;=10,"高",IF(AG28&gt;=5,"中","低"))))</f>
        <v/>
      </c>
      <c r="AI28" s="14" t="n"/>
      <c r="AJ28" s="14" t="n"/>
      <c r="AK28" s="14" t="n"/>
      <c r="AL28" s="15" t="n"/>
      <c r="AM28" s="15" t="n"/>
      <c r="AN28" s="15" t="n"/>
      <c r="AO28" s="14" t="n"/>
      <c r="AP28" s="10">
        <f>IF(B28="","",IF(OR(V28="重大",AH28="重大",AH28="高",AI28="上升",AJ28="是",AND(AB28&lt;&gt;"",AB28&lt;项目驾驶舱!$B$3,AC28&lt;&gt;"已关闭")),"是","否"))</f>
        <v/>
      </c>
      <c r="AQ28" s="10">
        <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f>
        <v/>
      </c>
      <c r="AR28" s="10">
        <f>IF(AP28="是",COUNTIFS($AP$9:AP28,"是"),"")</f>
        <v/>
      </c>
    </row>
    <row r="29">
      <c r="A29" s="10">
        <f>IF(B29="","","RSK-"&amp;TEXT(ROW()-8,"000"))</f>
        <v/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5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0">
        <f>IF(B29="","",MAX(M29:S29))</f>
        <v/>
      </c>
      <c r="U29" s="10">
        <f>IF(OR(L29="",T29=""),"",L29*T29)</f>
        <v/>
      </c>
      <c r="V29" s="10">
        <f>IF(U29="","",IF(OR(U29&gt;=17,T29=5),"重大",IF(U29&gt;=10,"高",IF(U29&gt;=5,"中","低"))))</f>
        <v/>
      </c>
      <c r="W29" s="14" t="n"/>
      <c r="X29" s="14" t="n"/>
      <c r="Y29" s="14" t="n"/>
      <c r="Z29" s="14" t="n"/>
      <c r="AA29" s="14" t="n"/>
      <c r="AB29" s="15" t="n"/>
      <c r="AC29" s="14" t="n"/>
      <c r="AD29" s="16" t="n"/>
      <c r="AE29" s="14" t="n"/>
      <c r="AF29" s="14" t="n"/>
      <c r="AG29" s="10">
        <f>IF(OR(AE29="",AF29=""),"",AE29*AF29)</f>
        <v/>
      </c>
      <c r="AH29" s="10">
        <f>IF(AG29="","",IF(OR(AG29&gt;=17,AF29=5),"重大",IF(AG29&gt;=10,"高",IF(AG29&gt;=5,"中","低"))))</f>
        <v/>
      </c>
      <c r="AI29" s="14" t="n"/>
      <c r="AJ29" s="14" t="n"/>
      <c r="AK29" s="14" t="n"/>
      <c r="AL29" s="15" t="n"/>
      <c r="AM29" s="15" t="n"/>
      <c r="AN29" s="15" t="n"/>
      <c r="AO29" s="14" t="n"/>
      <c r="AP29" s="10">
        <f>IF(B29="","",IF(OR(V29="重大",AH29="重大",AH29="高",AI29="上升",AJ29="是",AND(AB29&lt;&gt;"",AB29&lt;项目驾驶舱!$B$3,AC29&lt;&gt;"已关闭")),"是","否"))</f>
        <v/>
      </c>
      <c r="AQ29" s="10">
        <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f>
        <v/>
      </c>
      <c r="AR29" s="10">
        <f>IF(AP29="是",COUNTIFS($AP$9:AP29,"是"),"")</f>
        <v/>
      </c>
    </row>
    <row r="30">
      <c r="A30" s="10">
        <f>IF(B30="","","RSK-"&amp;TEXT(ROW()-8,"000"))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5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0">
        <f>IF(B30="","",MAX(M30:S30))</f>
        <v/>
      </c>
      <c r="U30" s="10">
        <f>IF(OR(L30="",T30=""),"",L30*T30)</f>
        <v/>
      </c>
      <c r="V30" s="10">
        <f>IF(U30="","",IF(OR(U30&gt;=17,T30=5),"重大",IF(U30&gt;=10,"高",IF(U30&gt;=5,"中","低"))))</f>
        <v/>
      </c>
      <c r="W30" s="14" t="n"/>
      <c r="X30" s="14" t="n"/>
      <c r="Y30" s="14" t="n"/>
      <c r="Z30" s="14" t="n"/>
      <c r="AA30" s="14" t="n"/>
      <c r="AB30" s="15" t="n"/>
      <c r="AC30" s="14" t="n"/>
      <c r="AD30" s="16" t="n"/>
      <c r="AE30" s="14" t="n"/>
      <c r="AF30" s="14" t="n"/>
      <c r="AG30" s="10">
        <f>IF(OR(AE30="",AF30=""),"",AE30*AF30)</f>
        <v/>
      </c>
      <c r="AH30" s="10">
        <f>IF(AG30="","",IF(OR(AG30&gt;=17,AF30=5),"重大",IF(AG30&gt;=10,"高",IF(AG30&gt;=5,"中","低"))))</f>
        <v/>
      </c>
      <c r="AI30" s="14" t="n"/>
      <c r="AJ30" s="14" t="n"/>
      <c r="AK30" s="14" t="n"/>
      <c r="AL30" s="15" t="n"/>
      <c r="AM30" s="15" t="n"/>
      <c r="AN30" s="15" t="n"/>
      <c r="AO30" s="14" t="n"/>
      <c r="AP30" s="10">
        <f>IF(B30="","",IF(OR(V30="重大",AH30="重大",AH30="高",AI30="上升",AJ30="是",AND(AB30&lt;&gt;"",AB30&lt;项目驾驶舱!$B$3,AC30&lt;&gt;"已关闭")),"是","否"))</f>
        <v/>
      </c>
      <c r="AQ30" s="10">
        <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f>
        <v/>
      </c>
      <c r="AR30" s="10">
        <f>IF(AP30="是",COUNTIFS($AP$9:AP30,"是"),"")</f>
        <v/>
      </c>
    </row>
    <row r="31">
      <c r="A31" s="10">
        <f>IF(B31="","","RSK-"&amp;TEXT(ROW()-8,"000"))</f>
        <v/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5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0">
        <f>IF(B31="","",MAX(M31:S31))</f>
        <v/>
      </c>
      <c r="U31" s="10">
        <f>IF(OR(L31="",T31=""),"",L31*T31)</f>
        <v/>
      </c>
      <c r="V31" s="10">
        <f>IF(U31="","",IF(OR(U31&gt;=17,T31=5),"重大",IF(U31&gt;=10,"高",IF(U31&gt;=5,"中","低"))))</f>
        <v/>
      </c>
      <c r="W31" s="14" t="n"/>
      <c r="X31" s="14" t="n"/>
      <c r="Y31" s="14" t="n"/>
      <c r="Z31" s="14" t="n"/>
      <c r="AA31" s="14" t="n"/>
      <c r="AB31" s="15" t="n"/>
      <c r="AC31" s="14" t="n"/>
      <c r="AD31" s="16" t="n"/>
      <c r="AE31" s="14" t="n"/>
      <c r="AF31" s="14" t="n"/>
      <c r="AG31" s="10">
        <f>IF(OR(AE31="",AF31=""),"",AE31*AF31)</f>
        <v/>
      </c>
      <c r="AH31" s="10">
        <f>IF(AG31="","",IF(OR(AG31&gt;=17,AF31=5),"重大",IF(AG31&gt;=10,"高",IF(AG31&gt;=5,"中","低"))))</f>
        <v/>
      </c>
      <c r="AI31" s="14" t="n"/>
      <c r="AJ31" s="14" t="n"/>
      <c r="AK31" s="14" t="n"/>
      <c r="AL31" s="15" t="n"/>
      <c r="AM31" s="15" t="n"/>
      <c r="AN31" s="15" t="n"/>
      <c r="AO31" s="14" t="n"/>
      <c r="AP31" s="10">
        <f>IF(B31="","",IF(OR(V31="重大",AH31="重大",AH31="高",AI31="上升",AJ31="是",AND(AB31&lt;&gt;"",AB31&lt;项目驾驶舱!$B$3,AC31&lt;&gt;"已关闭")),"是","否"))</f>
        <v/>
      </c>
      <c r="AQ31" s="10">
        <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f>
        <v/>
      </c>
      <c r="AR31" s="10">
        <f>IF(AP31="是",COUNTIFS($AP$9:AP31,"是"),"")</f>
        <v/>
      </c>
    </row>
    <row r="32">
      <c r="A32" s="10">
        <f>IF(B32="","","RSK-"&amp;TEXT(ROW()-8,"000"))</f>
        <v/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5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0">
        <f>IF(B32="","",MAX(M32:S32))</f>
        <v/>
      </c>
      <c r="U32" s="10">
        <f>IF(OR(L32="",T32=""),"",L32*T32)</f>
        <v/>
      </c>
      <c r="V32" s="10">
        <f>IF(U32="","",IF(OR(U32&gt;=17,T32=5),"重大",IF(U32&gt;=10,"高",IF(U32&gt;=5,"中","低"))))</f>
        <v/>
      </c>
      <c r="W32" s="14" t="n"/>
      <c r="X32" s="14" t="n"/>
      <c r="Y32" s="14" t="n"/>
      <c r="Z32" s="14" t="n"/>
      <c r="AA32" s="14" t="n"/>
      <c r="AB32" s="15" t="n"/>
      <c r="AC32" s="14" t="n"/>
      <c r="AD32" s="16" t="n"/>
      <c r="AE32" s="14" t="n"/>
      <c r="AF32" s="14" t="n"/>
      <c r="AG32" s="10">
        <f>IF(OR(AE32="",AF32=""),"",AE32*AF32)</f>
        <v/>
      </c>
      <c r="AH32" s="10">
        <f>IF(AG32="","",IF(OR(AG32&gt;=17,AF32=5),"重大",IF(AG32&gt;=10,"高",IF(AG32&gt;=5,"中","低"))))</f>
        <v/>
      </c>
      <c r="AI32" s="14" t="n"/>
      <c r="AJ32" s="14" t="n"/>
      <c r="AK32" s="14" t="n"/>
      <c r="AL32" s="15" t="n"/>
      <c r="AM32" s="15" t="n"/>
      <c r="AN32" s="15" t="n"/>
      <c r="AO32" s="14" t="n"/>
      <c r="AP32" s="10">
        <f>IF(B32="","",IF(OR(V32="重大",AH32="重大",AH32="高",AI32="上升",AJ32="是",AND(AB32&lt;&gt;"",AB32&lt;项目驾驶舱!$B$3,AC32&lt;&gt;"已关闭")),"是","否"))</f>
        <v/>
      </c>
      <c r="AQ32" s="10">
        <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f>
        <v/>
      </c>
      <c r="AR32" s="10">
        <f>IF(AP32="是",COUNTIFS($AP$9:AP32,"是"),"")</f>
        <v/>
      </c>
    </row>
    <row r="33">
      <c r="A33" s="10">
        <f>IF(B33="","","RSK-"&amp;TEXT(ROW()-8,"000"))</f>
        <v/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5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0">
        <f>IF(B33="","",MAX(M33:S33))</f>
        <v/>
      </c>
      <c r="U33" s="10">
        <f>IF(OR(L33="",T33=""),"",L33*T33)</f>
        <v/>
      </c>
      <c r="V33" s="10">
        <f>IF(U33="","",IF(OR(U33&gt;=17,T33=5),"重大",IF(U33&gt;=10,"高",IF(U33&gt;=5,"中","低"))))</f>
        <v/>
      </c>
      <c r="W33" s="14" t="n"/>
      <c r="X33" s="14" t="n"/>
      <c r="Y33" s="14" t="n"/>
      <c r="Z33" s="14" t="n"/>
      <c r="AA33" s="14" t="n"/>
      <c r="AB33" s="15" t="n"/>
      <c r="AC33" s="14" t="n"/>
      <c r="AD33" s="16" t="n"/>
      <c r="AE33" s="14" t="n"/>
      <c r="AF33" s="14" t="n"/>
      <c r="AG33" s="10">
        <f>IF(OR(AE33="",AF33=""),"",AE33*AF33)</f>
        <v/>
      </c>
      <c r="AH33" s="10">
        <f>IF(AG33="","",IF(OR(AG33&gt;=17,AF33=5),"重大",IF(AG33&gt;=10,"高",IF(AG33&gt;=5,"中","低"))))</f>
        <v/>
      </c>
      <c r="AI33" s="14" t="n"/>
      <c r="AJ33" s="14" t="n"/>
      <c r="AK33" s="14" t="n"/>
      <c r="AL33" s="15" t="n"/>
      <c r="AM33" s="15" t="n"/>
      <c r="AN33" s="15" t="n"/>
      <c r="AO33" s="14" t="n"/>
      <c r="AP33" s="10">
        <f>IF(B33="","",IF(OR(V33="重大",AH33="重大",AH33="高",AI33="上升",AJ33="是",AND(AB33&lt;&gt;"",AB33&lt;项目驾驶舱!$B$3,AC33&lt;&gt;"已关闭")),"是","否"))</f>
        <v/>
      </c>
      <c r="AQ33" s="10">
        <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f>
        <v/>
      </c>
      <c r="AR33" s="10">
        <f>IF(AP33="是",COUNTIFS($AP$9:AP33,"是"),"")</f>
        <v/>
      </c>
    </row>
    <row r="34">
      <c r="A34" s="10">
        <f>IF(B34="","","RSK-"&amp;TEXT(ROW()-8,"000"))</f>
        <v/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5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0">
        <f>IF(B34="","",MAX(M34:S34))</f>
        <v/>
      </c>
      <c r="U34" s="10">
        <f>IF(OR(L34="",T34=""),"",L34*T34)</f>
        <v/>
      </c>
      <c r="V34" s="10">
        <f>IF(U34="","",IF(OR(U34&gt;=17,T34=5),"重大",IF(U34&gt;=10,"高",IF(U34&gt;=5,"中","低"))))</f>
        <v/>
      </c>
      <c r="W34" s="14" t="n"/>
      <c r="X34" s="14" t="n"/>
      <c r="Y34" s="14" t="n"/>
      <c r="Z34" s="14" t="n"/>
      <c r="AA34" s="14" t="n"/>
      <c r="AB34" s="15" t="n"/>
      <c r="AC34" s="14" t="n"/>
      <c r="AD34" s="16" t="n"/>
      <c r="AE34" s="14" t="n"/>
      <c r="AF34" s="14" t="n"/>
      <c r="AG34" s="10">
        <f>IF(OR(AE34="",AF34=""),"",AE34*AF34)</f>
        <v/>
      </c>
      <c r="AH34" s="10">
        <f>IF(AG34="","",IF(OR(AG34&gt;=17,AF34=5),"重大",IF(AG34&gt;=10,"高",IF(AG34&gt;=5,"中","低"))))</f>
        <v/>
      </c>
      <c r="AI34" s="14" t="n"/>
      <c r="AJ34" s="14" t="n"/>
      <c r="AK34" s="14" t="n"/>
      <c r="AL34" s="15" t="n"/>
      <c r="AM34" s="15" t="n"/>
      <c r="AN34" s="15" t="n"/>
      <c r="AO34" s="14" t="n"/>
      <c r="AP34" s="10">
        <f>IF(B34="","",IF(OR(V34="重大",AH34="重大",AH34="高",AI34="上升",AJ34="是",AND(AB34&lt;&gt;"",AB34&lt;项目驾驶舱!$B$3,AC34&lt;&gt;"已关闭")),"是","否"))</f>
        <v/>
      </c>
      <c r="AQ34" s="10">
        <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f>
        <v/>
      </c>
      <c r="AR34" s="10">
        <f>IF(AP34="是",COUNTIFS($AP$9:AP34,"是"),"")</f>
        <v/>
      </c>
    </row>
    <row r="35">
      <c r="A35" s="10">
        <f>IF(B35="","","RSK-"&amp;TEXT(ROW()-8,"000"))</f>
        <v/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5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0">
        <f>IF(B35="","",MAX(M35:S35))</f>
        <v/>
      </c>
      <c r="U35" s="10">
        <f>IF(OR(L35="",T35=""),"",L35*T35)</f>
        <v/>
      </c>
      <c r="V35" s="10">
        <f>IF(U35="","",IF(OR(U35&gt;=17,T35=5),"重大",IF(U35&gt;=10,"高",IF(U35&gt;=5,"中","低"))))</f>
        <v/>
      </c>
      <c r="W35" s="14" t="n"/>
      <c r="X35" s="14" t="n"/>
      <c r="Y35" s="14" t="n"/>
      <c r="Z35" s="14" t="n"/>
      <c r="AA35" s="14" t="n"/>
      <c r="AB35" s="15" t="n"/>
      <c r="AC35" s="14" t="n"/>
      <c r="AD35" s="16" t="n"/>
      <c r="AE35" s="14" t="n"/>
      <c r="AF35" s="14" t="n"/>
      <c r="AG35" s="10">
        <f>IF(OR(AE35="",AF35=""),"",AE35*AF35)</f>
        <v/>
      </c>
      <c r="AH35" s="10">
        <f>IF(AG35="","",IF(OR(AG35&gt;=17,AF35=5),"重大",IF(AG35&gt;=10,"高",IF(AG35&gt;=5,"中","低"))))</f>
        <v/>
      </c>
      <c r="AI35" s="14" t="n"/>
      <c r="AJ35" s="14" t="n"/>
      <c r="AK35" s="14" t="n"/>
      <c r="AL35" s="15" t="n"/>
      <c r="AM35" s="15" t="n"/>
      <c r="AN35" s="15" t="n"/>
      <c r="AO35" s="14" t="n"/>
      <c r="AP35" s="10">
        <f>IF(B35="","",IF(OR(V35="重大",AH35="重大",AH35="高",AI35="上升",AJ35="是",AND(AB35&lt;&gt;"",AB35&lt;项目驾驶舱!$B$3,AC35&lt;&gt;"已关闭")),"是","否"))</f>
        <v/>
      </c>
      <c r="AQ35" s="10">
        <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f>
        <v/>
      </c>
      <c r="AR35" s="10">
        <f>IF(AP35="是",COUNTIFS($AP$9:AP35,"是"),"")</f>
        <v/>
      </c>
    </row>
    <row r="36">
      <c r="A36" s="10">
        <f>IF(B36="","","RSK-"&amp;TEXT(ROW()-8,"000"))</f>
        <v/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5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0">
        <f>IF(B36="","",MAX(M36:S36))</f>
        <v/>
      </c>
      <c r="U36" s="10">
        <f>IF(OR(L36="",T36=""),"",L36*T36)</f>
        <v/>
      </c>
      <c r="V36" s="10">
        <f>IF(U36="","",IF(OR(U36&gt;=17,T36=5),"重大",IF(U36&gt;=10,"高",IF(U36&gt;=5,"中","低"))))</f>
        <v/>
      </c>
      <c r="W36" s="14" t="n"/>
      <c r="X36" s="14" t="n"/>
      <c r="Y36" s="14" t="n"/>
      <c r="Z36" s="14" t="n"/>
      <c r="AA36" s="14" t="n"/>
      <c r="AB36" s="15" t="n"/>
      <c r="AC36" s="14" t="n"/>
      <c r="AD36" s="16" t="n"/>
      <c r="AE36" s="14" t="n"/>
      <c r="AF36" s="14" t="n"/>
      <c r="AG36" s="10">
        <f>IF(OR(AE36="",AF36=""),"",AE36*AF36)</f>
        <v/>
      </c>
      <c r="AH36" s="10">
        <f>IF(AG36="","",IF(OR(AG36&gt;=17,AF36=5),"重大",IF(AG36&gt;=10,"高",IF(AG36&gt;=5,"中","低"))))</f>
        <v/>
      </c>
      <c r="AI36" s="14" t="n"/>
      <c r="AJ36" s="14" t="n"/>
      <c r="AK36" s="14" t="n"/>
      <c r="AL36" s="15" t="n"/>
      <c r="AM36" s="15" t="n"/>
      <c r="AN36" s="15" t="n"/>
      <c r="AO36" s="14" t="n"/>
      <c r="AP36" s="10">
        <f>IF(B36="","",IF(OR(V36="重大",AH36="重大",AH36="高",AI36="上升",AJ36="是",AND(AB36&lt;&gt;"",AB36&lt;项目驾驶舱!$B$3,AC36&lt;&gt;"已关闭")),"是","否"))</f>
        <v/>
      </c>
      <c r="AQ36" s="10">
        <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f>
        <v/>
      </c>
      <c r="AR36" s="10">
        <f>IF(AP36="是",COUNTIFS($AP$9:AP36,"是"),"")</f>
        <v/>
      </c>
    </row>
    <row r="37">
      <c r="A37" s="10">
        <f>IF(B37="","","RSK-"&amp;TEXT(ROW()-8,"000"))</f>
        <v/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5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0">
        <f>IF(B37="","",MAX(M37:S37))</f>
        <v/>
      </c>
      <c r="U37" s="10">
        <f>IF(OR(L37="",T37=""),"",L37*T37)</f>
        <v/>
      </c>
      <c r="V37" s="10">
        <f>IF(U37="","",IF(OR(U37&gt;=17,T37=5),"重大",IF(U37&gt;=10,"高",IF(U37&gt;=5,"中","低"))))</f>
        <v/>
      </c>
      <c r="W37" s="14" t="n"/>
      <c r="X37" s="14" t="n"/>
      <c r="Y37" s="14" t="n"/>
      <c r="Z37" s="14" t="n"/>
      <c r="AA37" s="14" t="n"/>
      <c r="AB37" s="15" t="n"/>
      <c r="AC37" s="14" t="n"/>
      <c r="AD37" s="16" t="n"/>
      <c r="AE37" s="14" t="n"/>
      <c r="AF37" s="14" t="n"/>
      <c r="AG37" s="10">
        <f>IF(OR(AE37="",AF37=""),"",AE37*AF37)</f>
        <v/>
      </c>
      <c r="AH37" s="10">
        <f>IF(AG37="","",IF(OR(AG37&gt;=17,AF37=5),"重大",IF(AG37&gt;=10,"高",IF(AG37&gt;=5,"中","低"))))</f>
        <v/>
      </c>
      <c r="AI37" s="14" t="n"/>
      <c r="AJ37" s="14" t="n"/>
      <c r="AK37" s="14" t="n"/>
      <c r="AL37" s="15" t="n"/>
      <c r="AM37" s="15" t="n"/>
      <c r="AN37" s="15" t="n"/>
      <c r="AO37" s="14" t="n"/>
      <c r="AP37" s="10">
        <f>IF(B37="","",IF(OR(V37="重大",AH37="重大",AH37="高",AI37="上升",AJ37="是",AND(AB37&lt;&gt;"",AB37&lt;项目驾驶舱!$B$3,AC37&lt;&gt;"已关闭")),"是","否"))</f>
        <v/>
      </c>
      <c r="AQ37" s="10">
        <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f>
        <v/>
      </c>
      <c r="AR37" s="10">
        <f>IF(AP37="是",COUNTIFS($AP$9:AP37,"是"),"")</f>
        <v/>
      </c>
    </row>
    <row r="38">
      <c r="A38" s="10">
        <f>IF(B38="","","RSK-"&amp;TEXT(ROW()-8,"000"))</f>
        <v/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5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0">
        <f>IF(B38="","",MAX(M38:S38))</f>
        <v/>
      </c>
      <c r="U38" s="10">
        <f>IF(OR(L38="",T38=""),"",L38*T38)</f>
        <v/>
      </c>
      <c r="V38" s="10">
        <f>IF(U38="","",IF(OR(U38&gt;=17,T38=5),"重大",IF(U38&gt;=10,"高",IF(U38&gt;=5,"中","低"))))</f>
        <v/>
      </c>
      <c r="W38" s="14" t="n"/>
      <c r="X38" s="14" t="n"/>
      <c r="Y38" s="14" t="n"/>
      <c r="Z38" s="14" t="n"/>
      <c r="AA38" s="14" t="n"/>
      <c r="AB38" s="15" t="n"/>
      <c r="AC38" s="14" t="n"/>
      <c r="AD38" s="16" t="n"/>
      <c r="AE38" s="14" t="n"/>
      <c r="AF38" s="14" t="n"/>
      <c r="AG38" s="10">
        <f>IF(OR(AE38="",AF38=""),"",AE38*AF38)</f>
        <v/>
      </c>
      <c r="AH38" s="10">
        <f>IF(AG38="","",IF(OR(AG38&gt;=17,AF38=5),"重大",IF(AG38&gt;=10,"高",IF(AG38&gt;=5,"中","低"))))</f>
        <v/>
      </c>
      <c r="AI38" s="14" t="n"/>
      <c r="AJ38" s="14" t="n"/>
      <c r="AK38" s="14" t="n"/>
      <c r="AL38" s="15" t="n"/>
      <c r="AM38" s="15" t="n"/>
      <c r="AN38" s="15" t="n"/>
      <c r="AO38" s="14" t="n"/>
      <c r="AP38" s="10">
        <f>IF(B38="","",IF(OR(V38="重大",AH38="重大",AH38="高",AI38="上升",AJ38="是",AND(AB38&lt;&gt;"",AB38&lt;项目驾驶舱!$B$3,AC38&lt;&gt;"已关闭")),"是","否"))</f>
        <v/>
      </c>
      <c r="AQ38" s="10">
        <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f>
        <v/>
      </c>
      <c r="AR38" s="10">
        <f>IF(AP38="是",COUNTIFS($AP$9:AP38,"是"),"")</f>
        <v/>
      </c>
    </row>
    <row r="39">
      <c r="A39" s="10">
        <f>IF(B39="","","RSK-"&amp;TEXT(ROW()-8,"000"))</f>
        <v/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5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0">
        <f>IF(B39="","",MAX(M39:S39))</f>
        <v/>
      </c>
      <c r="U39" s="10">
        <f>IF(OR(L39="",T39=""),"",L39*T39)</f>
        <v/>
      </c>
      <c r="V39" s="10">
        <f>IF(U39="","",IF(OR(U39&gt;=17,T39=5),"重大",IF(U39&gt;=10,"高",IF(U39&gt;=5,"中","低"))))</f>
        <v/>
      </c>
      <c r="W39" s="14" t="n"/>
      <c r="X39" s="14" t="n"/>
      <c r="Y39" s="14" t="n"/>
      <c r="Z39" s="14" t="n"/>
      <c r="AA39" s="14" t="n"/>
      <c r="AB39" s="15" t="n"/>
      <c r="AC39" s="14" t="n"/>
      <c r="AD39" s="16" t="n"/>
      <c r="AE39" s="14" t="n"/>
      <c r="AF39" s="14" t="n"/>
      <c r="AG39" s="10">
        <f>IF(OR(AE39="",AF39=""),"",AE39*AF39)</f>
        <v/>
      </c>
      <c r="AH39" s="10">
        <f>IF(AG39="","",IF(OR(AG39&gt;=17,AF39=5),"重大",IF(AG39&gt;=10,"高",IF(AG39&gt;=5,"中","低"))))</f>
        <v/>
      </c>
      <c r="AI39" s="14" t="n"/>
      <c r="AJ39" s="14" t="n"/>
      <c r="AK39" s="14" t="n"/>
      <c r="AL39" s="15" t="n"/>
      <c r="AM39" s="15" t="n"/>
      <c r="AN39" s="15" t="n"/>
      <c r="AO39" s="14" t="n"/>
      <c r="AP39" s="10">
        <f>IF(B39="","",IF(OR(V39="重大",AH39="重大",AH39="高",AI39="上升",AJ39="是",AND(AB39&lt;&gt;"",AB39&lt;项目驾驶舱!$B$3,AC39&lt;&gt;"已关闭")),"是","否"))</f>
        <v/>
      </c>
      <c r="AQ39" s="10">
        <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f>
        <v/>
      </c>
      <c r="AR39" s="10">
        <f>IF(AP39="是",COUNTIFS($AP$9:AP39,"是"),"")</f>
        <v/>
      </c>
    </row>
    <row r="40">
      <c r="A40" s="10">
        <f>IF(B40="","","RSK-"&amp;TEXT(ROW()-8,"000"))</f>
        <v/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5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0">
        <f>IF(B40="","",MAX(M40:S40))</f>
        <v/>
      </c>
      <c r="U40" s="10">
        <f>IF(OR(L40="",T40=""),"",L40*T40)</f>
        <v/>
      </c>
      <c r="V40" s="10">
        <f>IF(U40="","",IF(OR(U40&gt;=17,T40=5),"重大",IF(U40&gt;=10,"高",IF(U40&gt;=5,"中","低"))))</f>
        <v/>
      </c>
      <c r="W40" s="14" t="n"/>
      <c r="X40" s="14" t="n"/>
      <c r="Y40" s="14" t="n"/>
      <c r="Z40" s="14" t="n"/>
      <c r="AA40" s="14" t="n"/>
      <c r="AB40" s="15" t="n"/>
      <c r="AC40" s="14" t="n"/>
      <c r="AD40" s="16" t="n"/>
      <c r="AE40" s="14" t="n"/>
      <c r="AF40" s="14" t="n"/>
      <c r="AG40" s="10">
        <f>IF(OR(AE40="",AF40=""),"",AE40*AF40)</f>
        <v/>
      </c>
      <c r="AH40" s="10">
        <f>IF(AG40="","",IF(OR(AG40&gt;=17,AF40=5),"重大",IF(AG40&gt;=10,"高",IF(AG40&gt;=5,"中","低"))))</f>
        <v/>
      </c>
      <c r="AI40" s="14" t="n"/>
      <c r="AJ40" s="14" t="n"/>
      <c r="AK40" s="14" t="n"/>
      <c r="AL40" s="15" t="n"/>
      <c r="AM40" s="15" t="n"/>
      <c r="AN40" s="15" t="n"/>
      <c r="AO40" s="14" t="n"/>
      <c r="AP40" s="10">
        <f>IF(B40="","",IF(OR(V40="重大",AH40="重大",AH40="高",AI40="上升",AJ40="是",AND(AB40&lt;&gt;"",AB40&lt;项目驾驶舱!$B$3,AC40&lt;&gt;"已关闭")),"是","否"))</f>
        <v/>
      </c>
      <c r="AQ40" s="10">
        <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f>
        <v/>
      </c>
      <c r="AR40" s="10">
        <f>IF(AP40="是",COUNTIFS($AP$9:AP40,"是"),"")</f>
        <v/>
      </c>
    </row>
    <row r="41">
      <c r="A41" s="10">
        <f>IF(B41="","","RSK-"&amp;TEXT(ROW()-8,"000"))</f>
        <v/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5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0">
        <f>IF(B41="","",MAX(M41:S41))</f>
        <v/>
      </c>
      <c r="U41" s="10">
        <f>IF(OR(L41="",T41=""),"",L41*T41)</f>
        <v/>
      </c>
      <c r="V41" s="10">
        <f>IF(U41="","",IF(OR(U41&gt;=17,T41=5),"重大",IF(U41&gt;=10,"高",IF(U41&gt;=5,"中","低"))))</f>
        <v/>
      </c>
      <c r="W41" s="14" t="n"/>
      <c r="X41" s="14" t="n"/>
      <c r="Y41" s="14" t="n"/>
      <c r="Z41" s="14" t="n"/>
      <c r="AA41" s="14" t="n"/>
      <c r="AB41" s="15" t="n"/>
      <c r="AC41" s="14" t="n"/>
      <c r="AD41" s="16" t="n"/>
      <c r="AE41" s="14" t="n"/>
      <c r="AF41" s="14" t="n"/>
      <c r="AG41" s="10">
        <f>IF(OR(AE41="",AF41=""),"",AE41*AF41)</f>
        <v/>
      </c>
      <c r="AH41" s="10">
        <f>IF(AG41="","",IF(OR(AG41&gt;=17,AF41=5),"重大",IF(AG41&gt;=10,"高",IF(AG41&gt;=5,"中","低"))))</f>
        <v/>
      </c>
      <c r="AI41" s="14" t="n"/>
      <c r="AJ41" s="14" t="n"/>
      <c r="AK41" s="14" t="n"/>
      <c r="AL41" s="15" t="n"/>
      <c r="AM41" s="15" t="n"/>
      <c r="AN41" s="15" t="n"/>
      <c r="AO41" s="14" t="n"/>
      <c r="AP41" s="10">
        <f>IF(B41="","",IF(OR(V41="重大",AH41="重大",AH41="高",AI41="上升",AJ41="是",AND(AB41&lt;&gt;"",AB41&lt;项目驾驶舱!$B$3,AC41&lt;&gt;"已关闭")),"是","否"))</f>
        <v/>
      </c>
      <c r="AQ41" s="10">
        <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f>
        <v/>
      </c>
      <c r="AR41" s="10">
        <f>IF(AP41="是",COUNTIFS($AP$9:AP41,"是"),"")</f>
        <v/>
      </c>
    </row>
    <row r="42">
      <c r="A42" s="10">
        <f>IF(B42="","","RSK-"&amp;TEXT(ROW()-8,"000"))</f>
        <v/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5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0">
        <f>IF(B42="","",MAX(M42:S42))</f>
        <v/>
      </c>
      <c r="U42" s="10">
        <f>IF(OR(L42="",T42=""),"",L42*T42)</f>
        <v/>
      </c>
      <c r="V42" s="10">
        <f>IF(U42="","",IF(OR(U42&gt;=17,T42=5),"重大",IF(U42&gt;=10,"高",IF(U42&gt;=5,"中","低"))))</f>
        <v/>
      </c>
      <c r="W42" s="14" t="n"/>
      <c r="X42" s="14" t="n"/>
      <c r="Y42" s="14" t="n"/>
      <c r="Z42" s="14" t="n"/>
      <c r="AA42" s="14" t="n"/>
      <c r="AB42" s="15" t="n"/>
      <c r="AC42" s="14" t="n"/>
      <c r="AD42" s="16" t="n"/>
      <c r="AE42" s="14" t="n"/>
      <c r="AF42" s="14" t="n"/>
      <c r="AG42" s="10">
        <f>IF(OR(AE42="",AF42=""),"",AE42*AF42)</f>
        <v/>
      </c>
      <c r="AH42" s="10">
        <f>IF(AG42="","",IF(OR(AG42&gt;=17,AF42=5),"重大",IF(AG42&gt;=10,"高",IF(AG42&gt;=5,"中","低"))))</f>
        <v/>
      </c>
      <c r="AI42" s="14" t="n"/>
      <c r="AJ42" s="14" t="n"/>
      <c r="AK42" s="14" t="n"/>
      <c r="AL42" s="15" t="n"/>
      <c r="AM42" s="15" t="n"/>
      <c r="AN42" s="15" t="n"/>
      <c r="AO42" s="14" t="n"/>
      <c r="AP42" s="10">
        <f>IF(B42="","",IF(OR(V42="重大",AH42="重大",AH42="高",AI42="上升",AJ42="是",AND(AB42&lt;&gt;"",AB42&lt;项目驾驶舱!$B$3,AC42&lt;&gt;"已关闭")),"是","否"))</f>
        <v/>
      </c>
      <c r="AQ42" s="10">
        <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f>
        <v/>
      </c>
      <c r="AR42" s="10">
        <f>IF(AP42="是",COUNTIFS($AP$9:AP42,"是"),"")</f>
        <v/>
      </c>
    </row>
    <row r="43">
      <c r="A43" s="10">
        <f>IF(B43="","","RSK-"&amp;TEXT(ROW()-8,"000"))</f>
        <v/>
      </c>
      <c r="B43" s="14" t="n"/>
      <c r="C43" s="14" t="n"/>
      <c r="D43" s="14" t="n"/>
      <c r="E43" s="14" t="n"/>
      <c r="F43" s="14" t="n"/>
      <c r="G43" s="14" t="n"/>
      <c r="H43" s="14" t="n"/>
      <c r="I43" s="14" t="n"/>
      <c r="J43" s="15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0">
        <f>IF(B43="","",MAX(M43:S43))</f>
        <v/>
      </c>
      <c r="U43" s="10">
        <f>IF(OR(L43="",T43=""),"",L43*T43)</f>
        <v/>
      </c>
      <c r="V43" s="10">
        <f>IF(U43="","",IF(OR(U43&gt;=17,T43=5),"重大",IF(U43&gt;=10,"高",IF(U43&gt;=5,"中","低"))))</f>
        <v/>
      </c>
      <c r="W43" s="14" t="n"/>
      <c r="X43" s="14" t="n"/>
      <c r="Y43" s="14" t="n"/>
      <c r="Z43" s="14" t="n"/>
      <c r="AA43" s="14" t="n"/>
      <c r="AB43" s="15" t="n"/>
      <c r="AC43" s="14" t="n"/>
      <c r="AD43" s="16" t="n"/>
      <c r="AE43" s="14" t="n"/>
      <c r="AF43" s="14" t="n"/>
      <c r="AG43" s="10">
        <f>IF(OR(AE43="",AF43=""),"",AE43*AF43)</f>
        <v/>
      </c>
      <c r="AH43" s="10">
        <f>IF(AG43="","",IF(OR(AG43&gt;=17,AF43=5),"重大",IF(AG43&gt;=10,"高",IF(AG43&gt;=5,"中","低"))))</f>
        <v/>
      </c>
      <c r="AI43" s="14" t="n"/>
      <c r="AJ43" s="14" t="n"/>
      <c r="AK43" s="14" t="n"/>
      <c r="AL43" s="15" t="n"/>
      <c r="AM43" s="15" t="n"/>
      <c r="AN43" s="15" t="n"/>
      <c r="AO43" s="14" t="n"/>
      <c r="AP43" s="10">
        <f>IF(B43="","",IF(OR(V43="重大",AH43="重大",AH43="高",AI43="上升",AJ43="是",AND(AB43&lt;&gt;"",AB43&lt;项目驾驶舱!$B$3,AC43&lt;&gt;"已关闭")),"是","否"))</f>
        <v/>
      </c>
      <c r="AQ43" s="10">
        <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f>
        <v/>
      </c>
      <c r="AR43" s="10">
        <f>IF(AP43="是",COUNTIFS($AP$9:AP43,"是"),"")</f>
        <v/>
      </c>
    </row>
    <row r="44">
      <c r="A44" s="10">
        <f>IF(B44="","","RSK-"&amp;TEXT(ROW()-8,"000"))</f>
        <v/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5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0">
        <f>IF(B44="","",MAX(M44:S44))</f>
        <v/>
      </c>
      <c r="U44" s="10">
        <f>IF(OR(L44="",T44=""),"",L44*T44)</f>
        <v/>
      </c>
      <c r="V44" s="10">
        <f>IF(U44="","",IF(OR(U44&gt;=17,T44=5),"重大",IF(U44&gt;=10,"高",IF(U44&gt;=5,"中","低"))))</f>
        <v/>
      </c>
      <c r="W44" s="14" t="n"/>
      <c r="X44" s="14" t="n"/>
      <c r="Y44" s="14" t="n"/>
      <c r="Z44" s="14" t="n"/>
      <c r="AA44" s="14" t="n"/>
      <c r="AB44" s="15" t="n"/>
      <c r="AC44" s="14" t="n"/>
      <c r="AD44" s="16" t="n"/>
      <c r="AE44" s="14" t="n"/>
      <c r="AF44" s="14" t="n"/>
      <c r="AG44" s="10">
        <f>IF(OR(AE44="",AF44=""),"",AE44*AF44)</f>
        <v/>
      </c>
      <c r="AH44" s="10">
        <f>IF(AG44="","",IF(OR(AG44&gt;=17,AF44=5),"重大",IF(AG44&gt;=10,"高",IF(AG44&gt;=5,"中","低"))))</f>
        <v/>
      </c>
      <c r="AI44" s="14" t="n"/>
      <c r="AJ44" s="14" t="n"/>
      <c r="AK44" s="14" t="n"/>
      <c r="AL44" s="15" t="n"/>
      <c r="AM44" s="15" t="n"/>
      <c r="AN44" s="15" t="n"/>
      <c r="AO44" s="14" t="n"/>
      <c r="AP44" s="10">
        <f>IF(B44="","",IF(OR(V44="重大",AH44="重大",AH44="高",AI44="上升",AJ44="是",AND(AB44&lt;&gt;"",AB44&lt;项目驾驶舱!$B$3,AC44&lt;&gt;"已关闭")),"是","否"))</f>
        <v/>
      </c>
      <c r="AQ44" s="10">
        <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f>
        <v/>
      </c>
      <c r="AR44" s="10">
        <f>IF(AP44="是",COUNTIFS($AP$9:AP44,"是"),"")</f>
        <v/>
      </c>
    </row>
    <row r="45">
      <c r="A45" s="10">
        <f>IF(B45="","","RSK-"&amp;TEXT(ROW()-8,"000"))</f>
        <v/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5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0">
        <f>IF(B45="","",MAX(M45:S45))</f>
        <v/>
      </c>
      <c r="U45" s="10">
        <f>IF(OR(L45="",T45=""),"",L45*T45)</f>
        <v/>
      </c>
      <c r="V45" s="10">
        <f>IF(U45="","",IF(OR(U45&gt;=17,T45=5),"重大",IF(U45&gt;=10,"高",IF(U45&gt;=5,"中","低"))))</f>
        <v/>
      </c>
      <c r="W45" s="14" t="n"/>
      <c r="X45" s="14" t="n"/>
      <c r="Y45" s="14" t="n"/>
      <c r="Z45" s="14" t="n"/>
      <c r="AA45" s="14" t="n"/>
      <c r="AB45" s="15" t="n"/>
      <c r="AC45" s="14" t="n"/>
      <c r="AD45" s="16" t="n"/>
      <c r="AE45" s="14" t="n"/>
      <c r="AF45" s="14" t="n"/>
      <c r="AG45" s="10">
        <f>IF(OR(AE45="",AF45=""),"",AE45*AF45)</f>
        <v/>
      </c>
      <c r="AH45" s="10">
        <f>IF(AG45="","",IF(OR(AG45&gt;=17,AF45=5),"重大",IF(AG45&gt;=10,"高",IF(AG45&gt;=5,"中","低"))))</f>
        <v/>
      </c>
      <c r="AI45" s="14" t="n"/>
      <c r="AJ45" s="14" t="n"/>
      <c r="AK45" s="14" t="n"/>
      <c r="AL45" s="15" t="n"/>
      <c r="AM45" s="15" t="n"/>
      <c r="AN45" s="15" t="n"/>
      <c r="AO45" s="14" t="n"/>
      <c r="AP45" s="10">
        <f>IF(B45="","",IF(OR(V45="重大",AH45="重大",AH45="高",AI45="上升",AJ45="是",AND(AB45&lt;&gt;"",AB45&lt;项目驾驶舱!$B$3,AC45&lt;&gt;"已关闭")),"是","否"))</f>
        <v/>
      </c>
      <c r="AQ45" s="10">
        <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f>
        <v/>
      </c>
      <c r="AR45" s="10">
        <f>IF(AP45="是",COUNTIFS($AP$9:AP45,"是"),"")</f>
        <v/>
      </c>
    </row>
    <row r="46">
      <c r="A46" s="10">
        <f>IF(B46="","","RSK-"&amp;TEXT(ROW()-8,"000"))</f>
        <v/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5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0">
        <f>IF(B46="","",MAX(M46:S46))</f>
        <v/>
      </c>
      <c r="U46" s="10">
        <f>IF(OR(L46="",T46=""),"",L46*T46)</f>
        <v/>
      </c>
      <c r="V46" s="10">
        <f>IF(U46="","",IF(OR(U46&gt;=17,T46=5),"重大",IF(U46&gt;=10,"高",IF(U46&gt;=5,"中","低"))))</f>
        <v/>
      </c>
      <c r="W46" s="14" t="n"/>
      <c r="X46" s="14" t="n"/>
      <c r="Y46" s="14" t="n"/>
      <c r="Z46" s="14" t="n"/>
      <c r="AA46" s="14" t="n"/>
      <c r="AB46" s="15" t="n"/>
      <c r="AC46" s="14" t="n"/>
      <c r="AD46" s="16" t="n"/>
      <c r="AE46" s="14" t="n"/>
      <c r="AF46" s="14" t="n"/>
      <c r="AG46" s="10">
        <f>IF(OR(AE46="",AF46=""),"",AE46*AF46)</f>
        <v/>
      </c>
      <c r="AH46" s="10">
        <f>IF(AG46="","",IF(OR(AG46&gt;=17,AF46=5),"重大",IF(AG46&gt;=10,"高",IF(AG46&gt;=5,"中","低"))))</f>
        <v/>
      </c>
      <c r="AI46" s="14" t="n"/>
      <c r="AJ46" s="14" t="n"/>
      <c r="AK46" s="14" t="n"/>
      <c r="AL46" s="15" t="n"/>
      <c r="AM46" s="15" t="n"/>
      <c r="AN46" s="15" t="n"/>
      <c r="AO46" s="14" t="n"/>
      <c r="AP46" s="10">
        <f>IF(B46="","",IF(OR(V46="重大",AH46="重大",AH46="高",AI46="上升",AJ46="是",AND(AB46&lt;&gt;"",AB46&lt;项目驾驶舱!$B$3,AC46&lt;&gt;"已关闭")),"是","否"))</f>
        <v/>
      </c>
      <c r="AQ46" s="10">
        <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f>
        <v/>
      </c>
      <c r="AR46" s="10">
        <f>IF(AP46="是",COUNTIFS($AP$9:AP46,"是"),"")</f>
        <v/>
      </c>
    </row>
    <row r="47">
      <c r="A47" s="10">
        <f>IF(B47="","","RSK-"&amp;TEXT(ROW()-8,"000"))</f>
        <v/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5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0">
        <f>IF(B47="","",MAX(M47:S47))</f>
        <v/>
      </c>
      <c r="U47" s="10">
        <f>IF(OR(L47="",T47=""),"",L47*T47)</f>
        <v/>
      </c>
      <c r="V47" s="10">
        <f>IF(U47="","",IF(OR(U47&gt;=17,T47=5),"重大",IF(U47&gt;=10,"高",IF(U47&gt;=5,"中","低"))))</f>
        <v/>
      </c>
      <c r="W47" s="14" t="n"/>
      <c r="X47" s="14" t="n"/>
      <c r="Y47" s="14" t="n"/>
      <c r="Z47" s="14" t="n"/>
      <c r="AA47" s="14" t="n"/>
      <c r="AB47" s="15" t="n"/>
      <c r="AC47" s="14" t="n"/>
      <c r="AD47" s="16" t="n"/>
      <c r="AE47" s="14" t="n"/>
      <c r="AF47" s="14" t="n"/>
      <c r="AG47" s="10">
        <f>IF(OR(AE47="",AF47=""),"",AE47*AF47)</f>
        <v/>
      </c>
      <c r="AH47" s="10">
        <f>IF(AG47="","",IF(OR(AG47&gt;=17,AF47=5),"重大",IF(AG47&gt;=10,"高",IF(AG47&gt;=5,"中","低"))))</f>
        <v/>
      </c>
      <c r="AI47" s="14" t="n"/>
      <c r="AJ47" s="14" t="n"/>
      <c r="AK47" s="14" t="n"/>
      <c r="AL47" s="15" t="n"/>
      <c r="AM47" s="15" t="n"/>
      <c r="AN47" s="15" t="n"/>
      <c r="AO47" s="14" t="n"/>
      <c r="AP47" s="10">
        <f>IF(B47="","",IF(OR(V47="重大",AH47="重大",AH47="高",AI47="上升",AJ47="是",AND(AB47&lt;&gt;"",AB47&lt;项目驾驶舱!$B$3,AC47&lt;&gt;"已关闭")),"是","否"))</f>
        <v/>
      </c>
      <c r="AQ47" s="10">
        <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f>
        <v/>
      </c>
      <c r="AR47" s="10">
        <f>IF(AP47="是",COUNTIFS($AP$9:AP47,"是"),"")</f>
        <v/>
      </c>
    </row>
    <row r="48">
      <c r="A48" s="10">
        <f>IF(B48="","","RSK-"&amp;TEXT(ROW()-8,"000"))</f>
        <v/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5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0">
        <f>IF(B48="","",MAX(M48:S48))</f>
        <v/>
      </c>
      <c r="U48" s="10">
        <f>IF(OR(L48="",T48=""),"",L48*T48)</f>
        <v/>
      </c>
      <c r="V48" s="10">
        <f>IF(U48="","",IF(OR(U48&gt;=17,T48=5),"重大",IF(U48&gt;=10,"高",IF(U48&gt;=5,"中","低"))))</f>
        <v/>
      </c>
      <c r="W48" s="14" t="n"/>
      <c r="X48" s="14" t="n"/>
      <c r="Y48" s="14" t="n"/>
      <c r="Z48" s="14" t="n"/>
      <c r="AA48" s="14" t="n"/>
      <c r="AB48" s="15" t="n"/>
      <c r="AC48" s="14" t="n"/>
      <c r="AD48" s="16" t="n"/>
      <c r="AE48" s="14" t="n"/>
      <c r="AF48" s="14" t="n"/>
      <c r="AG48" s="10">
        <f>IF(OR(AE48="",AF48=""),"",AE48*AF48)</f>
        <v/>
      </c>
      <c r="AH48" s="10">
        <f>IF(AG48="","",IF(OR(AG48&gt;=17,AF48=5),"重大",IF(AG48&gt;=10,"高",IF(AG48&gt;=5,"中","低"))))</f>
        <v/>
      </c>
      <c r="AI48" s="14" t="n"/>
      <c r="AJ48" s="14" t="n"/>
      <c r="AK48" s="14" t="n"/>
      <c r="AL48" s="15" t="n"/>
      <c r="AM48" s="15" t="n"/>
      <c r="AN48" s="15" t="n"/>
      <c r="AO48" s="14" t="n"/>
      <c r="AP48" s="10">
        <f>IF(B48="","",IF(OR(V48="重大",AH48="重大",AH48="高",AI48="上升",AJ48="是",AND(AB48&lt;&gt;"",AB48&lt;项目驾驶舱!$B$3,AC48&lt;&gt;"已关闭")),"是","否"))</f>
        <v/>
      </c>
      <c r="AQ48" s="10">
        <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f>
        <v/>
      </c>
      <c r="AR48" s="10">
        <f>IF(AP48="是",COUNTIFS($AP$9:AP48,"是"),"")</f>
        <v/>
      </c>
    </row>
    <row r="49">
      <c r="A49" s="10">
        <f>IF(B49="","","RSK-"&amp;TEXT(ROW()-8,"000"))</f>
        <v/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5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0">
        <f>IF(B49="","",MAX(M49:S49))</f>
        <v/>
      </c>
      <c r="U49" s="10">
        <f>IF(OR(L49="",T49=""),"",L49*T49)</f>
        <v/>
      </c>
      <c r="V49" s="10">
        <f>IF(U49="","",IF(OR(U49&gt;=17,T49=5),"重大",IF(U49&gt;=10,"高",IF(U49&gt;=5,"中","低"))))</f>
        <v/>
      </c>
      <c r="W49" s="14" t="n"/>
      <c r="X49" s="14" t="n"/>
      <c r="Y49" s="14" t="n"/>
      <c r="Z49" s="14" t="n"/>
      <c r="AA49" s="14" t="n"/>
      <c r="AB49" s="15" t="n"/>
      <c r="AC49" s="14" t="n"/>
      <c r="AD49" s="16" t="n"/>
      <c r="AE49" s="14" t="n"/>
      <c r="AF49" s="14" t="n"/>
      <c r="AG49" s="10">
        <f>IF(OR(AE49="",AF49=""),"",AE49*AF49)</f>
        <v/>
      </c>
      <c r="AH49" s="10">
        <f>IF(AG49="","",IF(OR(AG49&gt;=17,AF49=5),"重大",IF(AG49&gt;=10,"高",IF(AG49&gt;=5,"中","低"))))</f>
        <v/>
      </c>
      <c r="AI49" s="14" t="n"/>
      <c r="AJ49" s="14" t="n"/>
      <c r="AK49" s="14" t="n"/>
      <c r="AL49" s="15" t="n"/>
      <c r="AM49" s="15" t="n"/>
      <c r="AN49" s="15" t="n"/>
      <c r="AO49" s="14" t="n"/>
      <c r="AP49" s="10">
        <f>IF(B49="","",IF(OR(V49="重大",AH49="重大",AH49="高",AI49="上升",AJ49="是",AND(AB49&lt;&gt;"",AB49&lt;项目驾驶舱!$B$3,AC49&lt;&gt;"已关闭")),"是","否"))</f>
        <v/>
      </c>
      <c r="AQ49" s="10">
        <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f>
        <v/>
      </c>
      <c r="AR49" s="10">
        <f>IF(AP49="是",COUNTIFS($AP$9:AP49,"是"),"")</f>
        <v/>
      </c>
    </row>
    <row r="50">
      <c r="A50" s="10">
        <f>IF(B50="","","RSK-"&amp;TEXT(ROW()-8,"000"))</f>
        <v/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5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0">
        <f>IF(B50="","",MAX(M50:S50))</f>
        <v/>
      </c>
      <c r="U50" s="10">
        <f>IF(OR(L50="",T50=""),"",L50*T50)</f>
        <v/>
      </c>
      <c r="V50" s="10">
        <f>IF(U50="","",IF(OR(U50&gt;=17,T50=5),"重大",IF(U50&gt;=10,"高",IF(U50&gt;=5,"中","低"))))</f>
        <v/>
      </c>
      <c r="W50" s="14" t="n"/>
      <c r="X50" s="14" t="n"/>
      <c r="Y50" s="14" t="n"/>
      <c r="Z50" s="14" t="n"/>
      <c r="AA50" s="14" t="n"/>
      <c r="AB50" s="15" t="n"/>
      <c r="AC50" s="14" t="n"/>
      <c r="AD50" s="16" t="n"/>
      <c r="AE50" s="14" t="n"/>
      <c r="AF50" s="14" t="n"/>
      <c r="AG50" s="10">
        <f>IF(OR(AE50="",AF50=""),"",AE50*AF50)</f>
        <v/>
      </c>
      <c r="AH50" s="10">
        <f>IF(AG50="","",IF(OR(AG50&gt;=17,AF50=5),"重大",IF(AG50&gt;=10,"高",IF(AG50&gt;=5,"中","低"))))</f>
        <v/>
      </c>
      <c r="AI50" s="14" t="n"/>
      <c r="AJ50" s="14" t="n"/>
      <c r="AK50" s="14" t="n"/>
      <c r="AL50" s="15" t="n"/>
      <c r="AM50" s="15" t="n"/>
      <c r="AN50" s="15" t="n"/>
      <c r="AO50" s="14" t="n"/>
      <c r="AP50" s="10">
        <f>IF(B50="","",IF(OR(V50="重大",AH50="重大",AH50="高",AI50="上升",AJ50="是",AND(AB50&lt;&gt;"",AB50&lt;项目驾驶舱!$B$3,AC50&lt;&gt;"已关闭")),"是","否"))</f>
        <v/>
      </c>
      <c r="AQ50" s="10">
        <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f>
        <v/>
      </c>
      <c r="AR50" s="10">
        <f>IF(AP50="是",COUNTIFS($AP$9:AP50,"是"),"")</f>
        <v/>
      </c>
    </row>
    <row r="51">
      <c r="A51" s="10">
        <f>IF(B51="","","RSK-"&amp;TEXT(ROW()-8,"000"))</f>
        <v/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5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0">
        <f>IF(B51="","",MAX(M51:S51))</f>
        <v/>
      </c>
      <c r="U51" s="10">
        <f>IF(OR(L51="",T51=""),"",L51*T51)</f>
        <v/>
      </c>
      <c r="V51" s="10">
        <f>IF(U51="","",IF(OR(U51&gt;=17,T51=5),"重大",IF(U51&gt;=10,"高",IF(U51&gt;=5,"中","低"))))</f>
        <v/>
      </c>
      <c r="W51" s="14" t="n"/>
      <c r="X51" s="14" t="n"/>
      <c r="Y51" s="14" t="n"/>
      <c r="Z51" s="14" t="n"/>
      <c r="AA51" s="14" t="n"/>
      <c r="AB51" s="15" t="n"/>
      <c r="AC51" s="14" t="n"/>
      <c r="AD51" s="16" t="n"/>
      <c r="AE51" s="14" t="n"/>
      <c r="AF51" s="14" t="n"/>
      <c r="AG51" s="10">
        <f>IF(OR(AE51="",AF51=""),"",AE51*AF51)</f>
        <v/>
      </c>
      <c r="AH51" s="10">
        <f>IF(AG51="","",IF(OR(AG51&gt;=17,AF51=5),"重大",IF(AG51&gt;=10,"高",IF(AG51&gt;=5,"中","低"))))</f>
        <v/>
      </c>
      <c r="AI51" s="14" t="n"/>
      <c r="AJ51" s="14" t="n"/>
      <c r="AK51" s="14" t="n"/>
      <c r="AL51" s="15" t="n"/>
      <c r="AM51" s="15" t="n"/>
      <c r="AN51" s="15" t="n"/>
      <c r="AO51" s="14" t="n"/>
      <c r="AP51" s="10">
        <f>IF(B51="","",IF(OR(V51="重大",AH51="重大",AH51="高",AI51="上升",AJ51="是",AND(AB51&lt;&gt;"",AB51&lt;项目驾驶舱!$B$3,AC51&lt;&gt;"已关闭")),"是","否"))</f>
        <v/>
      </c>
      <c r="AQ51" s="10">
        <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f>
        <v/>
      </c>
      <c r="AR51" s="10">
        <f>IF(AP51="是",COUNTIFS($AP$9:AP51,"是"),"")</f>
        <v/>
      </c>
    </row>
    <row r="52">
      <c r="A52" s="10">
        <f>IF(B52="","","RSK-"&amp;TEXT(ROW()-8,"000"))</f>
        <v/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5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0">
        <f>IF(B52="","",MAX(M52:S52))</f>
        <v/>
      </c>
      <c r="U52" s="10">
        <f>IF(OR(L52="",T52=""),"",L52*T52)</f>
        <v/>
      </c>
      <c r="V52" s="10">
        <f>IF(U52="","",IF(OR(U52&gt;=17,T52=5),"重大",IF(U52&gt;=10,"高",IF(U52&gt;=5,"中","低"))))</f>
        <v/>
      </c>
      <c r="W52" s="14" t="n"/>
      <c r="X52" s="14" t="n"/>
      <c r="Y52" s="14" t="n"/>
      <c r="Z52" s="14" t="n"/>
      <c r="AA52" s="14" t="n"/>
      <c r="AB52" s="15" t="n"/>
      <c r="AC52" s="14" t="n"/>
      <c r="AD52" s="16" t="n"/>
      <c r="AE52" s="14" t="n"/>
      <c r="AF52" s="14" t="n"/>
      <c r="AG52" s="10">
        <f>IF(OR(AE52="",AF52=""),"",AE52*AF52)</f>
        <v/>
      </c>
      <c r="AH52" s="10">
        <f>IF(AG52="","",IF(OR(AG52&gt;=17,AF52=5),"重大",IF(AG52&gt;=10,"高",IF(AG52&gt;=5,"中","低"))))</f>
        <v/>
      </c>
      <c r="AI52" s="14" t="n"/>
      <c r="AJ52" s="14" t="n"/>
      <c r="AK52" s="14" t="n"/>
      <c r="AL52" s="15" t="n"/>
      <c r="AM52" s="15" t="n"/>
      <c r="AN52" s="15" t="n"/>
      <c r="AO52" s="14" t="n"/>
      <c r="AP52" s="10">
        <f>IF(B52="","",IF(OR(V52="重大",AH52="重大",AH52="高",AI52="上升",AJ52="是",AND(AB52&lt;&gt;"",AB52&lt;项目驾驶舱!$B$3,AC52&lt;&gt;"已关闭")),"是","否"))</f>
        <v/>
      </c>
      <c r="AQ52" s="10">
        <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f>
        <v/>
      </c>
      <c r="AR52" s="10">
        <f>IF(AP52="是",COUNTIFS($AP$9:AP52,"是"),"")</f>
        <v/>
      </c>
    </row>
    <row r="53">
      <c r="A53" s="10">
        <f>IF(B53="","","RSK-"&amp;TEXT(ROW()-8,"000"))</f>
        <v/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5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0">
        <f>IF(B53="","",MAX(M53:S53))</f>
        <v/>
      </c>
      <c r="U53" s="10">
        <f>IF(OR(L53="",T53=""),"",L53*T53)</f>
        <v/>
      </c>
      <c r="V53" s="10">
        <f>IF(U53="","",IF(OR(U53&gt;=17,T53=5),"重大",IF(U53&gt;=10,"高",IF(U53&gt;=5,"中","低"))))</f>
        <v/>
      </c>
      <c r="W53" s="14" t="n"/>
      <c r="X53" s="14" t="n"/>
      <c r="Y53" s="14" t="n"/>
      <c r="Z53" s="14" t="n"/>
      <c r="AA53" s="14" t="n"/>
      <c r="AB53" s="15" t="n"/>
      <c r="AC53" s="14" t="n"/>
      <c r="AD53" s="16" t="n"/>
      <c r="AE53" s="14" t="n"/>
      <c r="AF53" s="14" t="n"/>
      <c r="AG53" s="10">
        <f>IF(OR(AE53="",AF53=""),"",AE53*AF53)</f>
        <v/>
      </c>
      <c r="AH53" s="10">
        <f>IF(AG53="","",IF(OR(AG53&gt;=17,AF53=5),"重大",IF(AG53&gt;=10,"高",IF(AG53&gt;=5,"中","低"))))</f>
        <v/>
      </c>
      <c r="AI53" s="14" t="n"/>
      <c r="AJ53" s="14" t="n"/>
      <c r="AK53" s="14" t="n"/>
      <c r="AL53" s="15" t="n"/>
      <c r="AM53" s="15" t="n"/>
      <c r="AN53" s="15" t="n"/>
      <c r="AO53" s="14" t="n"/>
      <c r="AP53" s="10">
        <f>IF(B53="","",IF(OR(V53="重大",AH53="重大",AH53="高",AI53="上升",AJ53="是",AND(AB53&lt;&gt;"",AB53&lt;项目驾驶舱!$B$3,AC53&lt;&gt;"已关闭")),"是","否"))</f>
        <v/>
      </c>
      <c r="AQ53" s="10">
        <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f>
        <v/>
      </c>
      <c r="AR53" s="10">
        <f>IF(AP53="是",COUNTIFS($AP$9:AP53,"是"),"")</f>
        <v/>
      </c>
    </row>
    <row r="54">
      <c r="A54" s="10">
        <f>IF(B54="","","RSK-"&amp;TEXT(ROW()-8,"000"))</f>
        <v/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5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0">
        <f>IF(B54="","",MAX(M54:S54))</f>
        <v/>
      </c>
      <c r="U54" s="10">
        <f>IF(OR(L54="",T54=""),"",L54*T54)</f>
        <v/>
      </c>
      <c r="V54" s="10">
        <f>IF(U54="","",IF(OR(U54&gt;=17,T54=5),"重大",IF(U54&gt;=10,"高",IF(U54&gt;=5,"中","低"))))</f>
        <v/>
      </c>
      <c r="W54" s="14" t="n"/>
      <c r="X54" s="14" t="n"/>
      <c r="Y54" s="14" t="n"/>
      <c r="Z54" s="14" t="n"/>
      <c r="AA54" s="14" t="n"/>
      <c r="AB54" s="15" t="n"/>
      <c r="AC54" s="14" t="n"/>
      <c r="AD54" s="16" t="n"/>
      <c r="AE54" s="14" t="n"/>
      <c r="AF54" s="14" t="n"/>
      <c r="AG54" s="10">
        <f>IF(OR(AE54="",AF54=""),"",AE54*AF54)</f>
        <v/>
      </c>
      <c r="AH54" s="10">
        <f>IF(AG54="","",IF(OR(AG54&gt;=17,AF54=5),"重大",IF(AG54&gt;=10,"高",IF(AG54&gt;=5,"中","低"))))</f>
        <v/>
      </c>
      <c r="AI54" s="14" t="n"/>
      <c r="AJ54" s="14" t="n"/>
      <c r="AK54" s="14" t="n"/>
      <c r="AL54" s="15" t="n"/>
      <c r="AM54" s="15" t="n"/>
      <c r="AN54" s="15" t="n"/>
      <c r="AO54" s="14" t="n"/>
      <c r="AP54" s="10">
        <f>IF(B54="","",IF(OR(V54="重大",AH54="重大",AH54="高",AI54="上升",AJ54="是",AND(AB54&lt;&gt;"",AB54&lt;项目驾驶舱!$B$3,AC54&lt;&gt;"已关闭")),"是","否"))</f>
        <v/>
      </c>
      <c r="AQ54" s="10">
        <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f>
        <v/>
      </c>
      <c r="AR54" s="10">
        <f>IF(AP54="是",COUNTIFS($AP$9:AP54,"是"),"")</f>
        <v/>
      </c>
    </row>
    <row r="55">
      <c r="A55" s="10">
        <f>IF(B55="","","RSK-"&amp;TEXT(ROW()-8,"000"))</f>
        <v/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5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0">
        <f>IF(B55="","",MAX(M55:S55))</f>
        <v/>
      </c>
      <c r="U55" s="10">
        <f>IF(OR(L55="",T55=""),"",L55*T55)</f>
        <v/>
      </c>
      <c r="V55" s="10">
        <f>IF(U55="","",IF(OR(U55&gt;=17,T55=5),"重大",IF(U55&gt;=10,"高",IF(U55&gt;=5,"中","低"))))</f>
        <v/>
      </c>
      <c r="W55" s="14" t="n"/>
      <c r="X55" s="14" t="n"/>
      <c r="Y55" s="14" t="n"/>
      <c r="Z55" s="14" t="n"/>
      <c r="AA55" s="14" t="n"/>
      <c r="AB55" s="15" t="n"/>
      <c r="AC55" s="14" t="n"/>
      <c r="AD55" s="16" t="n"/>
      <c r="AE55" s="14" t="n"/>
      <c r="AF55" s="14" t="n"/>
      <c r="AG55" s="10">
        <f>IF(OR(AE55="",AF55=""),"",AE55*AF55)</f>
        <v/>
      </c>
      <c r="AH55" s="10">
        <f>IF(AG55="","",IF(OR(AG55&gt;=17,AF55=5),"重大",IF(AG55&gt;=10,"高",IF(AG55&gt;=5,"中","低"))))</f>
        <v/>
      </c>
      <c r="AI55" s="14" t="n"/>
      <c r="AJ55" s="14" t="n"/>
      <c r="AK55" s="14" t="n"/>
      <c r="AL55" s="15" t="n"/>
      <c r="AM55" s="15" t="n"/>
      <c r="AN55" s="15" t="n"/>
      <c r="AO55" s="14" t="n"/>
      <c r="AP55" s="10">
        <f>IF(B55="","",IF(OR(V55="重大",AH55="重大",AH55="高",AI55="上升",AJ55="是",AND(AB55&lt;&gt;"",AB55&lt;项目驾驶舱!$B$3,AC55&lt;&gt;"已关闭")),"是","否"))</f>
        <v/>
      </c>
      <c r="AQ55" s="10">
        <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f>
        <v/>
      </c>
      <c r="AR55" s="10">
        <f>IF(AP55="是",COUNTIFS($AP$9:AP55,"是"),"")</f>
        <v/>
      </c>
    </row>
    <row r="56">
      <c r="A56" s="10">
        <f>IF(B56="","","RSK-"&amp;TEXT(ROW()-8,"000"))</f>
        <v/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5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0">
        <f>IF(B56="","",MAX(M56:S56))</f>
        <v/>
      </c>
      <c r="U56" s="10">
        <f>IF(OR(L56="",T56=""),"",L56*T56)</f>
        <v/>
      </c>
      <c r="V56" s="10">
        <f>IF(U56="","",IF(OR(U56&gt;=17,T56=5),"重大",IF(U56&gt;=10,"高",IF(U56&gt;=5,"中","低"))))</f>
        <v/>
      </c>
      <c r="W56" s="14" t="n"/>
      <c r="X56" s="14" t="n"/>
      <c r="Y56" s="14" t="n"/>
      <c r="Z56" s="14" t="n"/>
      <c r="AA56" s="14" t="n"/>
      <c r="AB56" s="15" t="n"/>
      <c r="AC56" s="14" t="n"/>
      <c r="AD56" s="16" t="n"/>
      <c r="AE56" s="14" t="n"/>
      <c r="AF56" s="14" t="n"/>
      <c r="AG56" s="10">
        <f>IF(OR(AE56="",AF56=""),"",AE56*AF56)</f>
        <v/>
      </c>
      <c r="AH56" s="10">
        <f>IF(AG56="","",IF(OR(AG56&gt;=17,AF56=5),"重大",IF(AG56&gt;=10,"高",IF(AG56&gt;=5,"中","低"))))</f>
        <v/>
      </c>
      <c r="AI56" s="14" t="n"/>
      <c r="AJ56" s="14" t="n"/>
      <c r="AK56" s="14" t="n"/>
      <c r="AL56" s="15" t="n"/>
      <c r="AM56" s="15" t="n"/>
      <c r="AN56" s="15" t="n"/>
      <c r="AO56" s="14" t="n"/>
      <c r="AP56" s="10">
        <f>IF(B56="","",IF(OR(V56="重大",AH56="重大",AH56="高",AI56="上升",AJ56="是",AND(AB56&lt;&gt;"",AB56&lt;项目驾驶舱!$B$3,AC56&lt;&gt;"已关闭")),"是","否"))</f>
        <v/>
      </c>
      <c r="AQ56" s="10">
        <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f>
        <v/>
      </c>
      <c r="AR56" s="10">
        <f>IF(AP56="是",COUNTIFS($AP$9:AP56,"是"),"")</f>
        <v/>
      </c>
    </row>
    <row r="57">
      <c r="A57" s="10">
        <f>IF(B57="","","RSK-"&amp;TEXT(ROW()-8,"000"))</f>
        <v/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5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0">
        <f>IF(B57="","",MAX(M57:S57))</f>
        <v/>
      </c>
      <c r="U57" s="10">
        <f>IF(OR(L57="",T57=""),"",L57*T57)</f>
        <v/>
      </c>
      <c r="V57" s="10">
        <f>IF(U57="","",IF(OR(U57&gt;=17,T57=5),"重大",IF(U57&gt;=10,"高",IF(U57&gt;=5,"中","低"))))</f>
        <v/>
      </c>
      <c r="W57" s="14" t="n"/>
      <c r="X57" s="14" t="n"/>
      <c r="Y57" s="14" t="n"/>
      <c r="Z57" s="14" t="n"/>
      <c r="AA57" s="14" t="n"/>
      <c r="AB57" s="15" t="n"/>
      <c r="AC57" s="14" t="n"/>
      <c r="AD57" s="16" t="n"/>
      <c r="AE57" s="14" t="n"/>
      <c r="AF57" s="14" t="n"/>
      <c r="AG57" s="10">
        <f>IF(OR(AE57="",AF57=""),"",AE57*AF57)</f>
        <v/>
      </c>
      <c r="AH57" s="10">
        <f>IF(AG57="","",IF(OR(AG57&gt;=17,AF57=5),"重大",IF(AG57&gt;=10,"高",IF(AG57&gt;=5,"中","低"))))</f>
        <v/>
      </c>
      <c r="AI57" s="14" t="n"/>
      <c r="AJ57" s="14" t="n"/>
      <c r="AK57" s="14" t="n"/>
      <c r="AL57" s="15" t="n"/>
      <c r="AM57" s="15" t="n"/>
      <c r="AN57" s="15" t="n"/>
      <c r="AO57" s="14" t="n"/>
      <c r="AP57" s="10">
        <f>IF(B57="","",IF(OR(V57="重大",AH57="重大",AH57="高",AI57="上升",AJ57="是",AND(AB57&lt;&gt;"",AB57&lt;项目驾驶舱!$B$3,AC57&lt;&gt;"已关闭")),"是","否"))</f>
        <v/>
      </c>
      <c r="AQ57" s="10">
        <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f>
        <v/>
      </c>
      <c r="AR57" s="10">
        <f>IF(AP57="是",COUNTIFS($AP$9:AP57,"是"),"")</f>
        <v/>
      </c>
    </row>
    <row r="58">
      <c r="A58" s="10">
        <f>IF(B58="","","RSK-"&amp;TEXT(ROW()-8,"000"))</f>
        <v/>
      </c>
      <c r="B58" s="14" t="n"/>
      <c r="C58" s="14" t="n"/>
      <c r="D58" s="14" t="n"/>
      <c r="E58" s="14" t="n"/>
      <c r="F58" s="14" t="n"/>
      <c r="G58" s="14" t="n"/>
      <c r="H58" s="14" t="n"/>
      <c r="I58" s="14" t="n"/>
      <c r="J58" s="15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0">
        <f>IF(B58="","",MAX(M58:S58))</f>
        <v/>
      </c>
      <c r="U58" s="10">
        <f>IF(OR(L58="",T58=""),"",L58*T58)</f>
        <v/>
      </c>
      <c r="V58" s="10">
        <f>IF(U58="","",IF(OR(U58&gt;=17,T58=5),"重大",IF(U58&gt;=10,"高",IF(U58&gt;=5,"中","低"))))</f>
        <v/>
      </c>
      <c r="W58" s="14" t="n"/>
      <c r="X58" s="14" t="n"/>
      <c r="Y58" s="14" t="n"/>
      <c r="Z58" s="14" t="n"/>
      <c r="AA58" s="14" t="n"/>
      <c r="AB58" s="15" t="n"/>
      <c r="AC58" s="14" t="n"/>
      <c r="AD58" s="16" t="n"/>
      <c r="AE58" s="14" t="n"/>
      <c r="AF58" s="14" t="n"/>
      <c r="AG58" s="10">
        <f>IF(OR(AE58="",AF58=""),"",AE58*AF58)</f>
        <v/>
      </c>
      <c r="AH58" s="10">
        <f>IF(AG58="","",IF(OR(AG58&gt;=17,AF58=5),"重大",IF(AG58&gt;=10,"高",IF(AG58&gt;=5,"中","低"))))</f>
        <v/>
      </c>
      <c r="AI58" s="14" t="n"/>
      <c r="AJ58" s="14" t="n"/>
      <c r="AK58" s="14" t="n"/>
      <c r="AL58" s="15" t="n"/>
      <c r="AM58" s="15" t="n"/>
      <c r="AN58" s="15" t="n"/>
      <c r="AO58" s="14" t="n"/>
      <c r="AP58" s="10">
        <f>IF(B58="","",IF(OR(V58="重大",AH58="重大",AH58="高",AI58="上升",AJ58="是",AND(AB58&lt;&gt;"",AB58&lt;项目驾驶舱!$B$3,AC58&lt;&gt;"已关闭")),"是","否"))</f>
        <v/>
      </c>
      <c r="AQ58" s="10">
        <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f>
        <v/>
      </c>
      <c r="AR58" s="10">
        <f>IF(AP58="是",COUNTIFS($AP$9:AP58,"是"),"")</f>
        <v/>
      </c>
    </row>
    <row r="59">
      <c r="A59" s="10">
        <f>IF(B59="","","RSK-"&amp;TEXT(ROW()-8,"000"))</f>
        <v/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5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0">
        <f>IF(B59="","",MAX(M59:S59))</f>
        <v/>
      </c>
      <c r="U59" s="10">
        <f>IF(OR(L59="",T59=""),"",L59*T59)</f>
        <v/>
      </c>
      <c r="V59" s="10">
        <f>IF(U59="","",IF(OR(U59&gt;=17,T59=5),"重大",IF(U59&gt;=10,"高",IF(U59&gt;=5,"中","低"))))</f>
        <v/>
      </c>
      <c r="W59" s="14" t="n"/>
      <c r="X59" s="14" t="n"/>
      <c r="Y59" s="14" t="n"/>
      <c r="Z59" s="14" t="n"/>
      <c r="AA59" s="14" t="n"/>
      <c r="AB59" s="15" t="n"/>
      <c r="AC59" s="14" t="n"/>
      <c r="AD59" s="16" t="n"/>
      <c r="AE59" s="14" t="n"/>
      <c r="AF59" s="14" t="n"/>
      <c r="AG59" s="10">
        <f>IF(OR(AE59="",AF59=""),"",AE59*AF59)</f>
        <v/>
      </c>
      <c r="AH59" s="10">
        <f>IF(AG59="","",IF(OR(AG59&gt;=17,AF59=5),"重大",IF(AG59&gt;=10,"高",IF(AG59&gt;=5,"中","低"))))</f>
        <v/>
      </c>
      <c r="AI59" s="14" t="n"/>
      <c r="AJ59" s="14" t="n"/>
      <c r="AK59" s="14" t="n"/>
      <c r="AL59" s="15" t="n"/>
      <c r="AM59" s="15" t="n"/>
      <c r="AN59" s="15" t="n"/>
      <c r="AO59" s="14" t="n"/>
      <c r="AP59" s="10">
        <f>IF(B59="","",IF(OR(V59="重大",AH59="重大",AH59="高",AI59="上升",AJ59="是",AND(AB59&lt;&gt;"",AB59&lt;项目驾驶舱!$B$3,AC59&lt;&gt;"已关闭")),"是","否"))</f>
        <v/>
      </c>
      <c r="AQ59" s="10">
        <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f>
        <v/>
      </c>
      <c r="AR59" s="10">
        <f>IF(AP59="是",COUNTIFS($AP$9:AP59,"是"),"")</f>
        <v/>
      </c>
    </row>
    <row r="60">
      <c r="A60" s="10">
        <f>IF(B60="","","RSK-"&amp;TEXT(ROW()-8,"000"))</f>
        <v/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5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0">
        <f>IF(B60="","",MAX(M60:S60))</f>
        <v/>
      </c>
      <c r="U60" s="10">
        <f>IF(OR(L60="",T60=""),"",L60*T60)</f>
        <v/>
      </c>
      <c r="V60" s="10">
        <f>IF(U60="","",IF(OR(U60&gt;=17,T60=5),"重大",IF(U60&gt;=10,"高",IF(U60&gt;=5,"中","低"))))</f>
        <v/>
      </c>
      <c r="W60" s="14" t="n"/>
      <c r="X60" s="14" t="n"/>
      <c r="Y60" s="14" t="n"/>
      <c r="Z60" s="14" t="n"/>
      <c r="AA60" s="14" t="n"/>
      <c r="AB60" s="15" t="n"/>
      <c r="AC60" s="14" t="n"/>
      <c r="AD60" s="16" t="n"/>
      <c r="AE60" s="14" t="n"/>
      <c r="AF60" s="14" t="n"/>
      <c r="AG60" s="10">
        <f>IF(OR(AE60="",AF60=""),"",AE60*AF60)</f>
        <v/>
      </c>
      <c r="AH60" s="10">
        <f>IF(AG60="","",IF(OR(AG60&gt;=17,AF60=5),"重大",IF(AG60&gt;=10,"高",IF(AG60&gt;=5,"中","低"))))</f>
        <v/>
      </c>
      <c r="AI60" s="14" t="n"/>
      <c r="AJ60" s="14" t="n"/>
      <c r="AK60" s="14" t="n"/>
      <c r="AL60" s="15" t="n"/>
      <c r="AM60" s="15" t="n"/>
      <c r="AN60" s="15" t="n"/>
      <c r="AO60" s="14" t="n"/>
      <c r="AP60" s="10">
        <f>IF(B60="","",IF(OR(V60="重大",AH60="重大",AH60="高",AI60="上升",AJ60="是",AND(AB60&lt;&gt;"",AB60&lt;项目驾驶舱!$B$3,AC60&lt;&gt;"已关闭")),"是","否"))</f>
        <v/>
      </c>
      <c r="AQ60" s="10">
        <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f>
        <v/>
      </c>
      <c r="AR60" s="10">
        <f>IF(AP60="是",COUNTIFS($AP$9:AP60,"是"),"")</f>
        <v/>
      </c>
    </row>
    <row r="61">
      <c r="A61" s="10">
        <f>IF(B61="","","RSK-"&amp;TEXT(ROW()-8,"000"))</f>
        <v/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5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0">
        <f>IF(B61="","",MAX(M61:S61))</f>
        <v/>
      </c>
      <c r="U61" s="10">
        <f>IF(OR(L61="",T61=""),"",L61*T61)</f>
        <v/>
      </c>
      <c r="V61" s="10">
        <f>IF(U61="","",IF(OR(U61&gt;=17,T61=5),"重大",IF(U61&gt;=10,"高",IF(U61&gt;=5,"中","低"))))</f>
        <v/>
      </c>
      <c r="W61" s="14" t="n"/>
      <c r="X61" s="14" t="n"/>
      <c r="Y61" s="14" t="n"/>
      <c r="Z61" s="14" t="n"/>
      <c r="AA61" s="14" t="n"/>
      <c r="AB61" s="15" t="n"/>
      <c r="AC61" s="14" t="n"/>
      <c r="AD61" s="16" t="n"/>
      <c r="AE61" s="14" t="n"/>
      <c r="AF61" s="14" t="n"/>
      <c r="AG61" s="10">
        <f>IF(OR(AE61="",AF61=""),"",AE61*AF61)</f>
        <v/>
      </c>
      <c r="AH61" s="10">
        <f>IF(AG61="","",IF(OR(AG61&gt;=17,AF61=5),"重大",IF(AG61&gt;=10,"高",IF(AG61&gt;=5,"中","低"))))</f>
        <v/>
      </c>
      <c r="AI61" s="14" t="n"/>
      <c r="AJ61" s="14" t="n"/>
      <c r="AK61" s="14" t="n"/>
      <c r="AL61" s="15" t="n"/>
      <c r="AM61" s="15" t="n"/>
      <c r="AN61" s="15" t="n"/>
      <c r="AO61" s="14" t="n"/>
      <c r="AP61" s="10">
        <f>IF(B61="","",IF(OR(V61="重大",AH61="重大",AH61="高",AI61="上升",AJ61="是",AND(AB61&lt;&gt;"",AB61&lt;项目驾驶舱!$B$3,AC61&lt;&gt;"已关闭")),"是","否"))</f>
        <v/>
      </c>
      <c r="AQ61" s="10">
        <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f>
        <v/>
      </c>
      <c r="AR61" s="10">
        <f>IF(AP61="是",COUNTIFS($AP$9:AP61,"是"),"")</f>
        <v/>
      </c>
    </row>
    <row r="62">
      <c r="A62" s="10">
        <f>IF(B62="","","RSK-"&amp;TEXT(ROW()-8,"000"))</f>
        <v/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5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0">
        <f>IF(B62="","",MAX(M62:S62))</f>
        <v/>
      </c>
      <c r="U62" s="10">
        <f>IF(OR(L62="",T62=""),"",L62*T62)</f>
        <v/>
      </c>
      <c r="V62" s="10">
        <f>IF(U62="","",IF(OR(U62&gt;=17,T62=5),"重大",IF(U62&gt;=10,"高",IF(U62&gt;=5,"中","低"))))</f>
        <v/>
      </c>
      <c r="W62" s="14" t="n"/>
      <c r="X62" s="14" t="n"/>
      <c r="Y62" s="14" t="n"/>
      <c r="Z62" s="14" t="n"/>
      <c r="AA62" s="14" t="n"/>
      <c r="AB62" s="15" t="n"/>
      <c r="AC62" s="14" t="n"/>
      <c r="AD62" s="16" t="n"/>
      <c r="AE62" s="14" t="n"/>
      <c r="AF62" s="14" t="n"/>
      <c r="AG62" s="10">
        <f>IF(OR(AE62="",AF62=""),"",AE62*AF62)</f>
        <v/>
      </c>
      <c r="AH62" s="10">
        <f>IF(AG62="","",IF(OR(AG62&gt;=17,AF62=5),"重大",IF(AG62&gt;=10,"高",IF(AG62&gt;=5,"中","低"))))</f>
        <v/>
      </c>
      <c r="AI62" s="14" t="n"/>
      <c r="AJ62" s="14" t="n"/>
      <c r="AK62" s="14" t="n"/>
      <c r="AL62" s="15" t="n"/>
      <c r="AM62" s="15" t="n"/>
      <c r="AN62" s="15" t="n"/>
      <c r="AO62" s="14" t="n"/>
      <c r="AP62" s="10">
        <f>IF(B62="","",IF(OR(V62="重大",AH62="重大",AH62="高",AI62="上升",AJ62="是",AND(AB62&lt;&gt;"",AB62&lt;项目驾驶舱!$B$3,AC62&lt;&gt;"已关闭")),"是","否"))</f>
        <v/>
      </c>
      <c r="AQ62" s="10">
        <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f>
        <v/>
      </c>
      <c r="AR62" s="10">
        <f>IF(AP62="是",COUNTIFS($AP$9:AP62,"是"),"")</f>
        <v/>
      </c>
    </row>
    <row r="63">
      <c r="A63" s="10">
        <f>IF(B63="","","RSK-"&amp;TEXT(ROW()-8,"000"))</f>
        <v/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5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0">
        <f>IF(B63="","",MAX(M63:S63))</f>
        <v/>
      </c>
      <c r="U63" s="10">
        <f>IF(OR(L63="",T63=""),"",L63*T63)</f>
        <v/>
      </c>
      <c r="V63" s="10">
        <f>IF(U63="","",IF(OR(U63&gt;=17,T63=5),"重大",IF(U63&gt;=10,"高",IF(U63&gt;=5,"中","低"))))</f>
        <v/>
      </c>
      <c r="W63" s="14" t="n"/>
      <c r="X63" s="14" t="n"/>
      <c r="Y63" s="14" t="n"/>
      <c r="Z63" s="14" t="n"/>
      <c r="AA63" s="14" t="n"/>
      <c r="AB63" s="15" t="n"/>
      <c r="AC63" s="14" t="n"/>
      <c r="AD63" s="16" t="n"/>
      <c r="AE63" s="14" t="n"/>
      <c r="AF63" s="14" t="n"/>
      <c r="AG63" s="10">
        <f>IF(OR(AE63="",AF63=""),"",AE63*AF63)</f>
        <v/>
      </c>
      <c r="AH63" s="10">
        <f>IF(AG63="","",IF(OR(AG63&gt;=17,AF63=5),"重大",IF(AG63&gt;=10,"高",IF(AG63&gt;=5,"中","低"))))</f>
        <v/>
      </c>
      <c r="AI63" s="14" t="n"/>
      <c r="AJ63" s="14" t="n"/>
      <c r="AK63" s="14" t="n"/>
      <c r="AL63" s="15" t="n"/>
      <c r="AM63" s="15" t="n"/>
      <c r="AN63" s="15" t="n"/>
      <c r="AO63" s="14" t="n"/>
      <c r="AP63" s="10">
        <f>IF(B63="","",IF(OR(V63="重大",AH63="重大",AH63="高",AI63="上升",AJ63="是",AND(AB63&lt;&gt;"",AB63&lt;项目驾驶舱!$B$3,AC63&lt;&gt;"已关闭")),"是","否"))</f>
        <v/>
      </c>
      <c r="AQ63" s="10">
        <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f>
        <v/>
      </c>
      <c r="AR63" s="10">
        <f>IF(AP63="是",COUNTIFS($AP$9:AP63,"是"),"")</f>
        <v/>
      </c>
    </row>
    <row r="64">
      <c r="A64" s="10">
        <f>IF(B64="","","RSK-"&amp;TEXT(ROW()-8,"000"))</f>
        <v/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5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0">
        <f>IF(B64="","",MAX(M64:S64))</f>
        <v/>
      </c>
      <c r="U64" s="10">
        <f>IF(OR(L64="",T64=""),"",L64*T64)</f>
        <v/>
      </c>
      <c r="V64" s="10">
        <f>IF(U64="","",IF(OR(U64&gt;=17,T64=5),"重大",IF(U64&gt;=10,"高",IF(U64&gt;=5,"中","低"))))</f>
        <v/>
      </c>
      <c r="W64" s="14" t="n"/>
      <c r="X64" s="14" t="n"/>
      <c r="Y64" s="14" t="n"/>
      <c r="Z64" s="14" t="n"/>
      <c r="AA64" s="14" t="n"/>
      <c r="AB64" s="15" t="n"/>
      <c r="AC64" s="14" t="n"/>
      <c r="AD64" s="16" t="n"/>
      <c r="AE64" s="14" t="n"/>
      <c r="AF64" s="14" t="n"/>
      <c r="AG64" s="10">
        <f>IF(OR(AE64="",AF64=""),"",AE64*AF64)</f>
        <v/>
      </c>
      <c r="AH64" s="10">
        <f>IF(AG64="","",IF(OR(AG64&gt;=17,AF64=5),"重大",IF(AG64&gt;=10,"高",IF(AG64&gt;=5,"中","低"))))</f>
        <v/>
      </c>
      <c r="AI64" s="14" t="n"/>
      <c r="AJ64" s="14" t="n"/>
      <c r="AK64" s="14" t="n"/>
      <c r="AL64" s="15" t="n"/>
      <c r="AM64" s="15" t="n"/>
      <c r="AN64" s="15" t="n"/>
      <c r="AO64" s="14" t="n"/>
      <c r="AP64" s="10">
        <f>IF(B64="","",IF(OR(V64="重大",AH64="重大",AH64="高",AI64="上升",AJ64="是",AND(AB64&lt;&gt;"",AB64&lt;项目驾驶舱!$B$3,AC64&lt;&gt;"已关闭")),"是","否"))</f>
        <v/>
      </c>
      <c r="AQ64" s="10">
        <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f>
        <v/>
      </c>
      <c r="AR64" s="10">
        <f>IF(AP64="是",COUNTIFS($AP$9:AP64,"是"),"")</f>
        <v/>
      </c>
    </row>
    <row r="65">
      <c r="A65" s="10">
        <f>IF(B65="","","RSK-"&amp;TEXT(ROW()-8,"000"))</f>
        <v/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5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0">
        <f>IF(B65="","",MAX(M65:S65))</f>
        <v/>
      </c>
      <c r="U65" s="10">
        <f>IF(OR(L65="",T65=""),"",L65*T65)</f>
        <v/>
      </c>
      <c r="V65" s="10">
        <f>IF(U65="","",IF(OR(U65&gt;=17,T65=5),"重大",IF(U65&gt;=10,"高",IF(U65&gt;=5,"中","低"))))</f>
        <v/>
      </c>
      <c r="W65" s="14" t="n"/>
      <c r="X65" s="14" t="n"/>
      <c r="Y65" s="14" t="n"/>
      <c r="Z65" s="14" t="n"/>
      <c r="AA65" s="14" t="n"/>
      <c r="AB65" s="15" t="n"/>
      <c r="AC65" s="14" t="n"/>
      <c r="AD65" s="16" t="n"/>
      <c r="AE65" s="14" t="n"/>
      <c r="AF65" s="14" t="n"/>
      <c r="AG65" s="10">
        <f>IF(OR(AE65="",AF65=""),"",AE65*AF65)</f>
        <v/>
      </c>
      <c r="AH65" s="10">
        <f>IF(AG65="","",IF(OR(AG65&gt;=17,AF65=5),"重大",IF(AG65&gt;=10,"高",IF(AG65&gt;=5,"中","低"))))</f>
        <v/>
      </c>
      <c r="AI65" s="14" t="n"/>
      <c r="AJ65" s="14" t="n"/>
      <c r="AK65" s="14" t="n"/>
      <c r="AL65" s="15" t="n"/>
      <c r="AM65" s="15" t="n"/>
      <c r="AN65" s="15" t="n"/>
      <c r="AO65" s="14" t="n"/>
      <c r="AP65" s="10">
        <f>IF(B65="","",IF(OR(V65="重大",AH65="重大",AH65="高",AI65="上升",AJ65="是",AND(AB65&lt;&gt;"",AB65&lt;项目驾驶舱!$B$3,AC65&lt;&gt;"已关闭")),"是","否"))</f>
        <v/>
      </c>
      <c r="AQ65" s="10">
        <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f>
        <v/>
      </c>
      <c r="AR65" s="10">
        <f>IF(AP65="是",COUNTIFS($AP$9:AP65,"是"),"")</f>
        <v/>
      </c>
    </row>
    <row r="66">
      <c r="A66" s="10">
        <f>IF(B66="","","RSK-"&amp;TEXT(ROW()-8,"000"))</f>
        <v/>
      </c>
      <c r="B66" s="14" t="n"/>
      <c r="C66" s="14" t="n"/>
      <c r="D66" s="14" t="n"/>
      <c r="E66" s="14" t="n"/>
      <c r="F66" s="14" t="n"/>
      <c r="G66" s="14" t="n"/>
      <c r="H66" s="14" t="n"/>
      <c r="I66" s="14" t="n"/>
      <c r="J66" s="15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0">
        <f>IF(B66="","",MAX(M66:S66))</f>
        <v/>
      </c>
      <c r="U66" s="10">
        <f>IF(OR(L66="",T66=""),"",L66*T66)</f>
        <v/>
      </c>
      <c r="V66" s="10">
        <f>IF(U66="","",IF(OR(U66&gt;=17,T66=5),"重大",IF(U66&gt;=10,"高",IF(U66&gt;=5,"中","低"))))</f>
        <v/>
      </c>
      <c r="W66" s="14" t="n"/>
      <c r="X66" s="14" t="n"/>
      <c r="Y66" s="14" t="n"/>
      <c r="Z66" s="14" t="n"/>
      <c r="AA66" s="14" t="n"/>
      <c r="AB66" s="15" t="n"/>
      <c r="AC66" s="14" t="n"/>
      <c r="AD66" s="16" t="n"/>
      <c r="AE66" s="14" t="n"/>
      <c r="AF66" s="14" t="n"/>
      <c r="AG66" s="10">
        <f>IF(OR(AE66="",AF66=""),"",AE66*AF66)</f>
        <v/>
      </c>
      <c r="AH66" s="10">
        <f>IF(AG66="","",IF(OR(AG66&gt;=17,AF66=5),"重大",IF(AG66&gt;=10,"高",IF(AG66&gt;=5,"中","低"))))</f>
        <v/>
      </c>
      <c r="AI66" s="14" t="n"/>
      <c r="AJ66" s="14" t="n"/>
      <c r="AK66" s="14" t="n"/>
      <c r="AL66" s="15" t="n"/>
      <c r="AM66" s="15" t="n"/>
      <c r="AN66" s="15" t="n"/>
      <c r="AO66" s="14" t="n"/>
      <c r="AP66" s="10">
        <f>IF(B66="","",IF(OR(V66="重大",AH66="重大",AH66="高",AI66="上升",AJ66="是",AND(AB66&lt;&gt;"",AB66&lt;项目驾驶舱!$B$3,AC66&lt;&gt;"已关闭")),"是","否"))</f>
        <v/>
      </c>
      <c r="AQ66" s="10">
        <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f>
        <v/>
      </c>
      <c r="AR66" s="10">
        <f>IF(AP66="是",COUNTIFS($AP$9:AP66,"是"),"")</f>
        <v/>
      </c>
    </row>
    <row r="67">
      <c r="A67" s="10">
        <f>IF(B67="","","RSK-"&amp;TEXT(ROW()-8,"000"))</f>
        <v/>
      </c>
      <c r="B67" s="14" t="n"/>
      <c r="C67" s="14" t="n"/>
      <c r="D67" s="14" t="n"/>
      <c r="E67" s="14" t="n"/>
      <c r="F67" s="14" t="n"/>
      <c r="G67" s="14" t="n"/>
      <c r="H67" s="14" t="n"/>
      <c r="I67" s="14" t="n"/>
      <c r="J67" s="15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0">
        <f>IF(B67="","",MAX(M67:S67))</f>
        <v/>
      </c>
      <c r="U67" s="10">
        <f>IF(OR(L67="",T67=""),"",L67*T67)</f>
        <v/>
      </c>
      <c r="V67" s="10">
        <f>IF(U67="","",IF(OR(U67&gt;=17,T67=5),"重大",IF(U67&gt;=10,"高",IF(U67&gt;=5,"中","低"))))</f>
        <v/>
      </c>
      <c r="W67" s="14" t="n"/>
      <c r="X67" s="14" t="n"/>
      <c r="Y67" s="14" t="n"/>
      <c r="Z67" s="14" t="n"/>
      <c r="AA67" s="14" t="n"/>
      <c r="AB67" s="15" t="n"/>
      <c r="AC67" s="14" t="n"/>
      <c r="AD67" s="16" t="n"/>
      <c r="AE67" s="14" t="n"/>
      <c r="AF67" s="14" t="n"/>
      <c r="AG67" s="10">
        <f>IF(OR(AE67="",AF67=""),"",AE67*AF67)</f>
        <v/>
      </c>
      <c r="AH67" s="10">
        <f>IF(AG67="","",IF(OR(AG67&gt;=17,AF67=5),"重大",IF(AG67&gt;=10,"高",IF(AG67&gt;=5,"中","低"))))</f>
        <v/>
      </c>
      <c r="AI67" s="14" t="n"/>
      <c r="AJ67" s="14" t="n"/>
      <c r="AK67" s="14" t="n"/>
      <c r="AL67" s="15" t="n"/>
      <c r="AM67" s="15" t="n"/>
      <c r="AN67" s="15" t="n"/>
      <c r="AO67" s="14" t="n"/>
      <c r="AP67" s="10">
        <f>IF(B67="","",IF(OR(V67="重大",AH67="重大",AH67="高",AI67="上升",AJ67="是",AND(AB67&lt;&gt;"",AB67&lt;项目驾驶舱!$B$3,AC67&lt;&gt;"已关闭")),"是","否"))</f>
        <v/>
      </c>
      <c r="AQ67" s="10">
        <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f>
        <v/>
      </c>
      <c r="AR67" s="10">
        <f>IF(AP67="是",COUNTIFS($AP$9:AP67,"是"),"")</f>
        <v/>
      </c>
    </row>
    <row r="68">
      <c r="A68" s="10">
        <f>IF(B68="","","RSK-"&amp;TEXT(ROW()-8,"000"))</f>
        <v/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5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0">
        <f>IF(B68="","",MAX(M68:S68))</f>
        <v/>
      </c>
      <c r="U68" s="10">
        <f>IF(OR(L68="",T68=""),"",L68*T68)</f>
        <v/>
      </c>
      <c r="V68" s="10">
        <f>IF(U68="","",IF(OR(U68&gt;=17,T68=5),"重大",IF(U68&gt;=10,"高",IF(U68&gt;=5,"中","低"))))</f>
        <v/>
      </c>
      <c r="W68" s="14" t="n"/>
      <c r="X68" s="14" t="n"/>
      <c r="Y68" s="14" t="n"/>
      <c r="Z68" s="14" t="n"/>
      <c r="AA68" s="14" t="n"/>
      <c r="AB68" s="15" t="n"/>
      <c r="AC68" s="14" t="n"/>
      <c r="AD68" s="16" t="n"/>
      <c r="AE68" s="14" t="n"/>
      <c r="AF68" s="14" t="n"/>
      <c r="AG68" s="10">
        <f>IF(OR(AE68="",AF68=""),"",AE68*AF68)</f>
        <v/>
      </c>
      <c r="AH68" s="10">
        <f>IF(AG68="","",IF(OR(AG68&gt;=17,AF68=5),"重大",IF(AG68&gt;=10,"高",IF(AG68&gt;=5,"中","低"))))</f>
        <v/>
      </c>
      <c r="AI68" s="14" t="n"/>
      <c r="AJ68" s="14" t="n"/>
      <c r="AK68" s="14" t="n"/>
      <c r="AL68" s="15" t="n"/>
      <c r="AM68" s="15" t="n"/>
      <c r="AN68" s="15" t="n"/>
      <c r="AO68" s="14" t="n"/>
      <c r="AP68" s="10">
        <f>IF(B68="","",IF(OR(V68="重大",AH68="重大",AH68="高",AI68="上升",AJ68="是",AND(AB68&lt;&gt;"",AB68&lt;项目驾驶舱!$B$3,AC68&lt;&gt;"已关闭")),"是","否"))</f>
        <v/>
      </c>
      <c r="AQ68" s="10">
        <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f>
        <v/>
      </c>
      <c r="AR68" s="10">
        <f>IF(AP68="是",COUNTIFS($AP$9:AP68,"是"),"")</f>
        <v/>
      </c>
    </row>
    <row r="69">
      <c r="A69" s="10">
        <f>IF(B69="","","RSK-"&amp;TEXT(ROW()-8,"000"))</f>
        <v/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5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0">
        <f>IF(B69="","",MAX(M69:S69))</f>
        <v/>
      </c>
      <c r="U69" s="10">
        <f>IF(OR(L69="",T69=""),"",L69*T69)</f>
        <v/>
      </c>
      <c r="V69" s="10">
        <f>IF(U69="","",IF(OR(U69&gt;=17,T69=5),"重大",IF(U69&gt;=10,"高",IF(U69&gt;=5,"中","低"))))</f>
        <v/>
      </c>
      <c r="W69" s="14" t="n"/>
      <c r="X69" s="14" t="n"/>
      <c r="Y69" s="14" t="n"/>
      <c r="Z69" s="14" t="n"/>
      <c r="AA69" s="14" t="n"/>
      <c r="AB69" s="15" t="n"/>
      <c r="AC69" s="14" t="n"/>
      <c r="AD69" s="16" t="n"/>
      <c r="AE69" s="14" t="n"/>
      <c r="AF69" s="14" t="n"/>
      <c r="AG69" s="10">
        <f>IF(OR(AE69="",AF69=""),"",AE69*AF69)</f>
        <v/>
      </c>
      <c r="AH69" s="10">
        <f>IF(AG69="","",IF(OR(AG69&gt;=17,AF69=5),"重大",IF(AG69&gt;=10,"高",IF(AG69&gt;=5,"中","低"))))</f>
        <v/>
      </c>
      <c r="AI69" s="14" t="n"/>
      <c r="AJ69" s="14" t="n"/>
      <c r="AK69" s="14" t="n"/>
      <c r="AL69" s="15" t="n"/>
      <c r="AM69" s="15" t="n"/>
      <c r="AN69" s="15" t="n"/>
      <c r="AO69" s="14" t="n"/>
      <c r="AP69" s="10">
        <f>IF(B69="","",IF(OR(V69="重大",AH69="重大",AH69="高",AI69="上升",AJ69="是",AND(AB69&lt;&gt;"",AB69&lt;项目驾驶舱!$B$3,AC69&lt;&gt;"已关闭")),"是","否"))</f>
        <v/>
      </c>
      <c r="AQ69" s="10">
        <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f>
        <v/>
      </c>
      <c r="AR69" s="10">
        <f>IF(AP69="是",COUNTIFS($AP$9:AP69,"是"),"")</f>
        <v/>
      </c>
    </row>
    <row r="70">
      <c r="A70" s="10">
        <f>IF(B70="","","RSK-"&amp;TEXT(ROW()-8,"000"))</f>
        <v/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5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0">
        <f>IF(B70="","",MAX(M70:S70))</f>
        <v/>
      </c>
      <c r="U70" s="10">
        <f>IF(OR(L70="",T70=""),"",L70*T70)</f>
        <v/>
      </c>
      <c r="V70" s="10">
        <f>IF(U70="","",IF(OR(U70&gt;=17,T70=5),"重大",IF(U70&gt;=10,"高",IF(U70&gt;=5,"中","低"))))</f>
        <v/>
      </c>
      <c r="W70" s="14" t="n"/>
      <c r="X70" s="14" t="n"/>
      <c r="Y70" s="14" t="n"/>
      <c r="Z70" s="14" t="n"/>
      <c r="AA70" s="14" t="n"/>
      <c r="AB70" s="15" t="n"/>
      <c r="AC70" s="14" t="n"/>
      <c r="AD70" s="16" t="n"/>
      <c r="AE70" s="14" t="n"/>
      <c r="AF70" s="14" t="n"/>
      <c r="AG70" s="10">
        <f>IF(OR(AE70="",AF70=""),"",AE70*AF70)</f>
        <v/>
      </c>
      <c r="AH70" s="10">
        <f>IF(AG70="","",IF(OR(AG70&gt;=17,AF70=5),"重大",IF(AG70&gt;=10,"高",IF(AG70&gt;=5,"中","低"))))</f>
        <v/>
      </c>
      <c r="AI70" s="14" t="n"/>
      <c r="AJ70" s="14" t="n"/>
      <c r="AK70" s="14" t="n"/>
      <c r="AL70" s="15" t="n"/>
      <c r="AM70" s="15" t="n"/>
      <c r="AN70" s="15" t="n"/>
      <c r="AO70" s="14" t="n"/>
      <c r="AP70" s="10">
        <f>IF(B70="","",IF(OR(V70="重大",AH70="重大",AH70="高",AI70="上升",AJ70="是",AND(AB70&lt;&gt;"",AB70&lt;项目驾驶舱!$B$3,AC70&lt;&gt;"已关闭")),"是","否"))</f>
        <v/>
      </c>
      <c r="AQ70" s="10">
        <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f>
        <v/>
      </c>
      <c r="AR70" s="10">
        <f>IF(AP70="是",COUNTIFS($AP$9:AP70,"是"),"")</f>
        <v/>
      </c>
    </row>
    <row r="71">
      <c r="A71" s="10">
        <f>IF(B71="","","RSK-"&amp;TEXT(ROW()-8,"000"))</f>
        <v/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5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0">
        <f>IF(B71="","",MAX(M71:S71))</f>
        <v/>
      </c>
      <c r="U71" s="10">
        <f>IF(OR(L71="",T71=""),"",L71*T71)</f>
        <v/>
      </c>
      <c r="V71" s="10">
        <f>IF(U71="","",IF(OR(U71&gt;=17,T71=5),"重大",IF(U71&gt;=10,"高",IF(U71&gt;=5,"中","低"))))</f>
        <v/>
      </c>
      <c r="W71" s="14" t="n"/>
      <c r="X71" s="14" t="n"/>
      <c r="Y71" s="14" t="n"/>
      <c r="Z71" s="14" t="n"/>
      <c r="AA71" s="14" t="n"/>
      <c r="AB71" s="15" t="n"/>
      <c r="AC71" s="14" t="n"/>
      <c r="AD71" s="16" t="n"/>
      <c r="AE71" s="14" t="n"/>
      <c r="AF71" s="14" t="n"/>
      <c r="AG71" s="10">
        <f>IF(OR(AE71="",AF71=""),"",AE71*AF71)</f>
        <v/>
      </c>
      <c r="AH71" s="10">
        <f>IF(AG71="","",IF(OR(AG71&gt;=17,AF71=5),"重大",IF(AG71&gt;=10,"高",IF(AG71&gt;=5,"中","低"))))</f>
        <v/>
      </c>
      <c r="AI71" s="14" t="n"/>
      <c r="AJ71" s="14" t="n"/>
      <c r="AK71" s="14" t="n"/>
      <c r="AL71" s="15" t="n"/>
      <c r="AM71" s="15" t="n"/>
      <c r="AN71" s="15" t="n"/>
      <c r="AO71" s="14" t="n"/>
      <c r="AP71" s="10">
        <f>IF(B71="","",IF(OR(V71="重大",AH71="重大",AH71="高",AI71="上升",AJ71="是",AND(AB71&lt;&gt;"",AB71&lt;项目驾驶舱!$B$3,AC71&lt;&gt;"已关闭")),"是","否"))</f>
        <v/>
      </c>
      <c r="AQ71" s="10">
        <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f>
        <v/>
      </c>
      <c r="AR71" s="10">
        <f>IF(AP71="是",COUNTIFS($AP$9:AP71,"是"),"")</f>
        <v/>
      </c>
    </row>
    <row r="72">
      <c r="A72" s="10">
        <f>IF(B72="","","RSK-"&amp;TEXT(ROW()-8,"000"))</f>
        <v/>
      </c>
      <c r="B72" s="14" t="n"/>
      <c r="C72" s="14" t="n"/>
      <c r="D72" s="14" t="n"/>
      <c r="E72" s="14" t="n"/>
      <c r="F72" s="14" t="n"/>
      <c r="G72" s="14" t="n"/>
      <c r="H72" s="14" t="n"/>
      <c r="I72" s="14" t="n"/>
      <c r="J72" s="15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0">
        <f>IF(B72="","",MAX(M72:S72))</f>
        <v/>
      </c>
      <c r="U72" s="10">
        <f>IF(OR(L72="",T72=""),"",L72*T72)</f>
        <v/>
      </c>
      <c r="V72" s="10">
        <f>IF(U72="","",IF(OR(U72&gt;=17,T72=5),"重大",IF(U72&gt;=10,"高",IF(U72&gt;=5,"中","低"))))</f>
        <v/>
      </c>
      <c r="W72" s="14" t="n"/>
      <c r="X72" s="14" t="n"/>
      <c r="Y72" s="14" t="n"/>
      <c r="Z72" s="14" t="n"/>
      <c r="AA72" s="14" t="n"/>
      <c r="AB72" s="15" t="n"/>
      <c r="AC72" s="14" t="n"/>
      <c r="AD72" s="16" t="n"/>
      <c r="AE72" s="14" t="n"/>
      <c r="AF72" s="14" t="n"/>
      <c r="AG72" s="10">
        <f>IF(OR(AE72="",AF72=""),"",AE72*AF72)</f>
        <v/>
      </c>
      <c r="AH72" s="10">
        <f>IF(AG72="","",IF(OR(AG72&gt;=17,AF72=5),"重大",IF(AG72&gt;=10,"高",IF(AG72&gt;=5,"中","低"))))</f>
        <v/>
      </c>
      <c r="AI72" s="14" t="n"/>
      <c r="AJ72" s="14" t="n"/>
      <c r="AK72" s="14" t="n"/>
      <c r="AL72" s="15" t="n"/>
      <c r="AM72" s="15" t="n"/>
      <c r="AN72" s="15" t="n"/>
      <c r="AO72" s="14" t="n"/>
      <c r="AP72" s="10">
        <f>IF(B72="","",IF(OR(V72="重大",AH72="重大",AH72="高",AI72="上升",AJ72="是",AND(AB72&lt;&gt;"",AB72&lt;项目驾驶舱!$B$3,AC72&lt;&gt;"已关闭")),"是","否"))</f>
        <v/>
      </c>
      <c r="AQ72" s="10">
        <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f>
        <v/>
      </c>
      <c r="AR72" s="10">
        <f>IF(AP72="是",COUNTIFS($AP$9:AP72,"是"),"")</f>
        <v/>
      </c>
    </row>
    <row r="73">
      <c r="A73" s="10">
        <f>IF(B73="","","RSK-"&amp;TEXT(ROW()-8,"000"))</f>
        <v/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5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0">
        <f>IF(B73="","",MAX(M73:S73))</f>
        <v/>
      </c>
      <c r="U73" s="10">
        <f>IF(OR(L73="",T73=""),"",L73*T73)</f>
        <v/>
      </c>
      <c r="V73" s="10">
        <f>IF(U73="","",IF(OR(U73&gt;=17,T73=5),"重大",IF(U73&gt;=10,"高",IF(U73&gt;=5,"中","低"))))</f>
        <v/>
      </c>
      <c r="W73" s="14" t="n"/>
      <c r="X73" s="14" t="n"/>
      <c r="Y73" s="14" t="n"/>
      <c r="Z73" s="14" t="n"/>
      <c r="AA73" s="14" t="n"/>
      <c r="AB73" s="15" t="n"/>
      <c r="AC73" s="14" t="n"/>
      <c r="AD73" s="16" t="n"/>
      <c r="AE73" s="14" t="n"/>
      <c r="AF73" s="14" t="n"/>
      <c r="AG73" s="10">
        <f>IF(OR(AE73="",AF73=""),"",AE73*AF73)</f>
        <v/>
      </c>
      <c r="AH73" s="10">
        <f>IF(AG73="","",IF(OR(AG73&gt;=17,AF73=5),"重大",IF(AG73&gt;=10,"高",IF(AG73&gt;=5,"中","低"))))</f>
        <v/>
      </c>
      <c r="AI73" s="14" t="n"/>
      <c r="AJ73" s="14" t="n"/>
      <c r="AK73" s="14" t="n"/>
      <c r="AL73" s="15" t="n"/>
      <c r="AM73" s="15" t="n"/>
      <c r="AN73" s="15" t="n"/>
      <c r="AO73" s="14" t="n"/>
      <c r="AP73" s="10">
        <f>IF(B73="","",IF(OR(V73="重大",AH73="重大",AH73="高",AI73="上升",AJ73="是",AND(AB73&lt;&gt;"",AB73&lt;项目驾驶舱!$B$3,AC73&lt;&gt;"已关闭")),"是","否"))</f>
        <v/>
      </c>
      <c r="AQ73" s="10">
        <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f>
        <v/>
      </c>
      <c r="AR73" s="10">
        <f>IF(AP73="是",COUNTIFS($AP$9:AP73,"是"),"")</f>
        <v/>
      </c>
    </row>
    <row r="74">
      <c r="A74" s="10">
        <f>IF(B74="","","RSK-"&amp;TEXT(ROW()-8,"000"))</f>
        <v/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5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0">
        <f>IF(B74="","",MAX(M74:S74))</f>
        <v/>
      </c>
      <c r="U74" s="10">
        <f>IF(OR(L74="",T74=""),"",L74*T74)</f>
        <v/>
      </c>
      <c r="V74" s="10">
        <f>IF(U74="","",IF(OR(U74&gt;=17,T74=5),"重大",IF(U74&gt;=10,"高",IF(U74&gt;=5,"中","低"))))</f>
        <v/>
      </c>
      <c r="W74" s="14" t="n"/>
      <c r="X74" s="14" t="n"/>
      <c r="Y74" s="14" t="n"/>
      <c r="Z74" s="14" t="n"/>
      <c r="AA74" s="14" t="n"/>
      <c r="AB74" s="15" t="n"/>
      <c r="AC74" s="14" t="n"/>
      <c r="AD74" s="16" t="n"/>
      <c r="AE74" s="14" t="n"/>
      <c r="AF74" s="14" t="n"/>
      <c r="AG74" s="10">
        <f>IF(OR(AE74="",AF74=""),"",AE74*AF74)</f>
        <v/>
      </c>
      <c r="AH74" s="10">
        <f>IF(AG74="","",IF(OR(AG74&gt;=17,AF74=5),"重大",IF(AG74&gt;=10,"高",IF(AG74&gt;=5,"中","低"))))</f>
        <v/>
      </c>
      <c r="AI74" s="14" t="n"/>
      <c r="AJ74" s="14" t="n"/>
      <c r="AK74" s="14" t="n"/>
      <c r="AL74" s="15" t="n"/>
      <c r="AM74" s="15" t="n"/>
      <c r="AN74" s="15" t="n"/>
      <c r="AO74" s="14" t="n"/>
      <c r="AP74" s="10">
        <f>IF(B74="","",IF(OR(V74="重大",AH74="重大",AH74="高",AI74="上升",AJ74="是",AND(AB74&lt;&gt;"",AB74&lt;项目驾驶舱!$B$3,AC74&lt;&gt;"已关闭")),"是","否"))</f>
        <v/>
      </c>
      <c r="AQ74" s="10">
        <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f>
        <v/>
      </c>
      <c r="AR74" s="10">
        <f>IF(AP74="是",COUNTIFS($AP$9:AP74,"是"),"")</f>
        <v/>
      </c>
    </row>
    <row r="75">
      <c r="A75" s="10">
        <f>IF(B75="","","RSK-"&amp;TEXT(ROW()-8,"000"))</f>
        <v/>
      </c>
      <c r="B75" s="14" t="n"/>
      <c r="C75" s="14" t="n"/>
      <c r="D75" s="14" t="n"/>
      <c r="E75" s="14" t="n"/>
      <c r="F75" s="14" t="n"/>
      <c r="G75" s="14" t="n"/>
      <c r="H75" s="14" t="n"/>
      <c r="I75" s="14" t="n"/>
      <c r="J75" s="15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0">
        <f>IF(B75="","",MAX(M75:S75))</f>
        <v/>
      </c>
      <c r="U75" s="10">
        <f>IF(OR(L75="",T75=""),"",L75*T75)</f>
        <v/>
      </c>
      <c r="V75" s="10">
        <f>IF(U75="","",IF(OR(U75&gt;=17,T75=5),"重大",IF(U75&gt;=10,"高",IF(U75&gt;=5,"中","低"))))</f>
        <v/>
      </c>
      <c r="W75" s="14" t="n"/>
      <c r="X75" s="14" t="n"/>
      <c r="Y75" s="14" t="n"/>
      <c r="Z75" s="14" t="n"/>
      <c r="AA75" s="14" t="n"/>
      <c r="AB75" s="15" t="n"/>
      <c r="AC75" s="14" t="n"/>
      <c r="AD75" s="16" t="n"/>
      <c r="AE75" s="14" t="n"/>
      <c r="AF75" s="14" t="n"/>
      <c r="AG75" s="10">
        <f>IF(OR(AE75="",AF75=""),"",AE75*AF75)</f>
        <v/>
      </c>
      <c r="AH75" s="10">
        <f>IF(AG75="","",IF(OR(AG75&gt;=17,AF75=5),"重大",IF(AG75&gt;=10,"高",IF(AG75&gt;=5,"中","低"))))</f>
        <v/>
      </c>
      <c r="AI75" s="14" t="n"/>
      <c r="AJ75" s="14" t="n"/>
      <c r="AK75" s="14" t="n"/>
      <c r="AL75" s="15" t="n"/>
      <c r="AM75" s="15" t="n"/>
      <c r="AN75" s="15" t="n"/>
      <c r="AO75" s="14" t="n"/>
      <c r="AP75" s="10">
        <f>IF(B75="","",IF(OR(V75="重大",AH75="重大",AH75="高",AI75="上升",AJ75="是",AND(AB75&lt;&gt;"",AB75&lt;项目驾驶舱!$B$3,AC75&lt;&gt;"已关闭")),"是","否"))</f>
        <v/>
      </c>
      <c r="AQ75" s="10">
        <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f>
        <v/>
      </c>
      <c r="AR75" s="10">
        <f>IF(AP75="是",COUNTIFS($AP$9:AP75,"是"),"")</f>
        <v/>
      </c>
    </row>
    <row r="76">
      <c r="A76" s="10">
        <f>IF(B76="","","RSK-"&amp;TEXT(ROW()-8,"000"))</f>
        <v/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5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0">
        <f>IF(B76="","",MAX(M76:S76))</f>
        <v/>
      </c>
      <c r="U76" s="10">
        <f>IF(OR(L76="",T76=""),"",L76*T76)</f>
        <v/>
      </c>
      <c r="V76" s="10">
        <f>IF(U76="","",IF(OR(U76&gt;=17,T76=5),"重大",IF(U76&gt;=10,"高",IF(U76&gt;=5,"中","低"))))</f>
        <v/>
      </c>
      <c r="W76" s="14" t="n"/>
      <c r="X76" s="14" t="n"/>
      <c r="Y76" s="14" t="n"/>
      <c r="Z76" s="14" t="n"/>
      <c r="AA76" s="14" t="n"/>
      <c r="AB76" s="15" t="n"/>
      <c r="AC76" s="14" t="n"/>
      <c r="AD76" s="16" t="n"/>
      <c r="AE76" s="14" t="n"/>
      <c r="AF76" s="14" t="n"/>
      <c r="AG76" s="10">
        <f>IF(OR(AE76="",AF76=""),"",AE76*AF76)</f>
        <v/>
      </c>
      <c r="AH76" s="10">
        <f>IF(AG76="","",IF(OR(AG76&gt;=17,AF76=5),"重大",IF(AG76&gt;=10,"高",IF(AG76&gt;=5,"中","低"))))</f>
        <v/>
      </c>
      <c r="AI76" s="14" t="n"/>
      <c r="AJ76" s="14" t="n"/>
      <c r="AK76" s="14" t="n"/>
      <c r="AL76" s="15" t="n"/>
      <c r="AM76" s="15" t="n"/>
      <c r="AN76" s="15" t="n"/>
      <c r="AO76" s="14" t="n"/>
      <c r="AP76" s="10">
        <f>IF(B76="","",IF(OR(V76="重大",AH76="重大",AH76="高",AI76="上升",AJ76="是",AND(AB76&lt;&gt;"",AB76&lt;项目驾驶舱!$B$3,AC76&lt;&gt;"已关闭")),"是","否"))</f>
        <v/>
      </c>
      <c r="AQ76" s="10">
        <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f>
        <v/>
      </c>
      <c r="AR76" s="10">
        <f>IF(AP76="是",COUNTIFS($AP$9:AP76,"是"),"")</f>
        <v/>
      </c>
    </row>
    <row r="77">
      <c r="A77" s="10">
        <f>IF(B77="","","RSK-"&amp;TEXT(ROW()-8,"000"))</f>
        <v/>
      </c>
      <c r="B77" s="14" t="n"/>
      <c r="C77" s="14" t="n"/>
      <c r="D77" s="14" t="n"/>
      <c r="E77" s="14" t="n"/>
      <c r="F77" s="14" t="n"/>
      <c r="G77" s="14" t="n"/>
      <c r="H77" s="14" t="n"/>
      <c r="I77" s="14" t="n"/>
      <c r="J77" s="15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0">
        <f>IF(B77="","",MAX(M77:S77))</f>
        <v/>
      </c>
      <c r="U77" s="10">
        <f>IF(OR(L77="",T77=""),"",L77*T77)</f>
        <v/>
      </c>
      <c r="V77" s="10">
        <f>IF(U77="","",IF(OR(U77&gt;=17,T77=5),"重大",IF(U77&gt;=10,"高",IF(U77&gt;=5,"中","低"))))</f>
        <v/>
      </c>
      <c r="W77" s="14" t="n"/>
      <c r="X77" s="14" t="n"/>
      <c r="Y77" s="14" t="n"/>
      <c r="Z77" s="14" t="n"/>
      <c r="AA77" s="14" t="n"/>
      <c r="AB77" s="15" t="n"/>
      <c r="AC77" s="14" t="n"/>
      <c r="AD77" s="16" t="n"/>
      <c r="AE77" s="14" t="n"/>
      <c r="AF77" s="14" t="n"/>
      <c r="AG77" s="10">
        <f>IF(OR(AE77="",AF77=""),"",AE77*AF77)</f>
        <v/>
      </c>
      <c r="AH77" s="10">
        <f>IF(AG77="","",IF(OR(AG77&gt;=17,AF77=5),"重大",IF(AG77&gt;=10,"高",IF(AG77&gt;=5,"中","低"))))</f>
        <v/>
      </c>
      <c r="AI77" s="14" t="n"/>
      <c r="AJ77" s="14" t="n"/>
      <c r="AK77" s="14" t="n"/>
      <c r="AL77" s="15" t="n"/>
      <c r="AM77" s="15" t="n"/>
      <c r="AN77" s="15" t="n"/>
      <c r="AO77" s="14" t="n"/>
      <c r="AP77" s="10">
        <f>IF(B77="","",IF(OR(V77="重大",AH77="重大",AH77="高",AI77="上升",AJ77="是",AND(AB77&lt;&gt;"",AB77&lt;项目驾驶舱!$B$3,AC77&lt;&gt;"已关闭")),"是","否"))</f>
        <v/>
      </c>
      <c r="AQ77" s="10">
        <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f>
        <v/>
      </c>
      <c r="AR77" s="10">
        <f>IF(AP77="是",COUNTIFS($AP$9:AP77,"是"),"")</f>
        <v/>
      </c>
    </row>
    <row r="78">
      <c r="A78" s="10">
        <f>IF(B78="","","RSK-"&amp;TEXT(ROW()-8,"000"))</f>
        <v/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5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0">
        <f>IF(B78="","",MAX(M78:S78))</f>
        <v/>
      </c>
      <c r="U78" s="10">
        <f>IF(OR(L78="",T78=""),"",L78*T78)</f>
        <v/>
      </c>
      <c r="V78" s="10">
        <f>IF(U78="","",IF(OR(U78&gt;=17,T78=5),"重大",IF(U78&gt;=10,"高",IF(U78&gt;=5,"中","低"))))</f>
        <v/>
      </c>
      <c r="W78" s="14" t="n"/>
      <c r="X78" s="14" t="n"/>
      <c r="Y78" s="14" t="n"/>
      <c r="Z78" s="14" t="n"/>
      <c r="AA78" s="14" t="n"/>
      <c r="AB78" s="15" t="n"/>
      <c r="AC78" s="14" t="n"/>
      <c r="AD78" s="16" t="n"/>
      <c r="AE78" s="14" t="n"/>
      <c r="AF78" s="14" t="n"/>
      <c r="AG78" s="10">
        <f>IF(OR(AE78="",AF78=""),"",AE78*AF78)</f>
        <v/>
      </c>
      <c r="AH78" s="10">
        <f>IF(AG78="","",IF(OR(AG78&gt;=17,AF78=5),"重大",IF(AG78&gt;=10,"高",IF(AG78&gt;=5,"中","低"))))</f>
        <v/>
      </c>
      <c r="AI78" s="14" t="n"/>
      <c r="AJ78" s="14" t="n"/>
      <c r="AK78" s="14" t="n"/>
      <c r="AL78" s="15" t="n"/>
      <c r="AM78" s="15" t="n"/>
      <c r="AN78" s="15" t="n"/>
      <c r="AO78" s="14" t="n"/>
      <c r="AP78" s="10">
        <f>IF(B78="","",IF(OR(V78="重大",AH78="重大",AH78="高",AI78="上升",AJ78="是",AND(AB78&lt;&gt;"",AB78&lt;项目驾驶舱!$B$3,AC78&lt;&gt;"已关闭")),"是","否"))</f>
        <v/>
      </c>
      <c r="AQ78" s="10">
        <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f>
        <v/>
      </c>
      <c r="AR78" s="10">
        <f>IF(AP78="是",COUNTIFS($AP$9:AP78,"是"),"")</f>
        <v/>
      </c>
    </row>
    <row r="79">
      <c r="A79" s="10">
        <f>IF(B79="","","RSK-"&amp;TEXT(ROW()-8,"000"))</f>
        <v/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5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0">
        <f>IF(B79="","",MAX(M79:S79))</f>
        <v/>
      </c>
      <c r="U79" s="10">
        <f>IF(OR(L79="",T79=""),"",L79*T79)</f>
        <v/>
      </c>
      <c r="V79" s="10">
        <f>IF(U79="","",IF(OR(U79&gt;=17,T79=5),"重大",IF(U79&gt;=10,"高",IF(U79&gt;=5,"中","低"))))</f>
        <v/>
      </c>
      <c r="W79" s="14" t="n"/>
      <c r="X79" s="14" t="n"/>
      <c r="Y79" s="14" t="n"/>
      <c r="Z79" s="14" t="n"/>
      <c r="AA79" s="14" t="n"/>
      <c r="AB79" s="15" t="n"/>
      <c r="AC79" s="14" t="n"/>
      <c r="AD79" s="16" t="n"/>
      <c r="AE79" s="14" t="n"/>
      <c r="AF79" s="14" t="n"/>
      <c r="AG79" s="10">
        <f>IF(OR(AE79="",AF79=""),"",AE79*AF79)</f>
        <v/>
      </c>
      <c r="AH79" s="10">
        <f>IF(AG79="","",IF(OR(AG79&gt;=17,AF79=5),"重大",IF(AG79&gt;=10,"高",IF(AG79&gt;=5,"中","低"))))</f>
        <v/>
      </c>
      <c r="AI79" s="14" t="n"/>
      <c r="AJ79" s="14" t="n"/>
      <c r="AK79" s="14" t="n"/>
      <c r="AL79" s="15" t="n"/>
      <c r="AM79" s="15" t="n"/>
      <c r="AN79" s="15" t="n"/>
      <c r="AO79" s="14" t="n"/>
      <c r="AP79" s="10">
        <f>IF(B79="","",IF(OR(V79="重大",AH79="重大",AH79="高",AI79="上升",AJ79="是",AND(AB79&lt;&gt;"",AB79&lt;项目驾驶舱!$B$3,AC79&lt;&gt;"已关闭")),"是","否"))</f>
        <v/>
      </c>
      <c r="AQ79" s="10">
        <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f>
        <v/>
      </c>
      <c r="AR79" s="10">
        <f>IF(AP79="是",COUNTIFS($AP$9:AP79,"是"),"")</f>
        <v/>
      </c>
    </row>
    <row r="80">
      <c r="A80" s="10">
        <f>IF(B80="","","RSK-"&amp;TEXT(ROW()-8,"000"))</f>
        <v/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5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0">
        <f>IF(B80="","",MAX(M80:S80))</f>
        <v/>
      </c>
      <c r="U80" s="10">
        <f>IF(OR(L80="",T80=""),"",L80*T80)</f>
        <v/>
      </c>
      <c r="V80" s="10">
        <f>IF(U80="","",IF(OR(U80&gt;=17,T80=5),"重大",IF(U80&gt;=10,"高",IF(U80&gt;=5,"中","低"))))</f>
        <v/>
      </c>
      <c r="W80" s="14" t="n"/>
      <c r="X80" s="14" t="n"/>
      <c r="Y80" s="14" t="n"/>
      <c r="Z80" s="14" t="n"/>
      <c r="AA80" s="14" t="n"/>
      <c r="AB80" s="15" t="n"/>
      <c r="AC80" s="14" t="n"/>
      <c r="AD80" s="16" t="n"/>
      <c r="AE80" s="14" t="n"/>
      <c r="AF80" s="14" t="n"/>
      <c r="AG80" s="10">
        <f>IF(OR(AE80="",AF80=""),"",AE80*AF80)</f>
        <v/>
      </c>
      <c r="AH80" s="10">
        <f>IF(AG80="","",IF(OR(AG80&gt;=17,AF80=5),"重大",IF(AG80&gt;=10,"高",IF(AG80&gt;=5,"中","低"))))</f>
        <v/>
      </c>
      <c r="AI80" s="14" t="n"/>
      <c r="AJ80" s="14" t="n"/>
      <c r="AK80" s="14" t="n"/>
      <c r="AL80" s="15" t="n"/>
      <c r="AM80" s="15" t="n"/>
      <c r="AN80" s="15" t="n"/>
      <c r="AO80" s="14" t="n"/>
      <c r="AP80" s="10">
        <f>IF(B80="","",IF(OR(V80="重大",AH80="重大",AH80="高",AI80="上升",AJ80="是",AND(AB80&lt;&gt;"",AB80&lt;项目驾驶舱!$B$3,AC80&lt;&gt;"已关闭")),"是","否"))</f>
        <v/>
      </c>
      <c r="AQ80" s="10">
        <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f>
        <v/>
      </c>
      <c r="AR80" s="10">
        <f>IF(AP80="是",COUNTIFS($AP$9:AP80,"是"),"")</f>
        <v/>
      </c>
    </row>
    <row r="81">
      <c r="A81" s="10">
        <f>IF(B81="","","RSK-"&amp;TEXT(ROW()-8,"000"))</f>
        <v/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5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0">
        <f>IF(B81="","",MAX(M81:S81))</f>
        <v/>
      </c>
      <c r="U81" s="10">
        <f>IF(OR(L81="",T81=""),"",L81*T81)</f>
        <v/>
      </c>
      <c r="V81" s="10">
        <f>IF(U81="","",IF(OR(U81&gt;=17,T81=5),"重大",IF(U81&gt;=10,"高",IF(U81&gt;=5,"中","低"))))</f>
        <v/>
      </c>
      <c r="W81" s="14" t="n"/>
      <c r="X81" s="14" t="n"/>
      <c r="Y81" s="14" t="n"/>
      <c r="Z81" s="14" t="n"/>
      <c r="AA81" s="14" t="n"/>
      <c r="AB81" s="15" t="n"/>
      <c r="AC81" s="14" t="n"/>
      <c r="AD81" s="16" t="n"/>
      <c r="AE81" s="14" t="n"/>
      <c r="AF81" s="14" t="n"/>
      <c r="AG81" s="10">
        <f>IF(OR(AE81="",AF81=""),"",AE81*AF81)</f>
        <v/>
      </c>
      <c r="AH81" s="10">
        <f>IF(AG81="","",IF(OR(AG81&gt;=17,AF81=5),"重大",IF(AG81&gt;=10,"高",IF(AG81&gt;=5,"中","低"))))</f>
        <v/>
      </c>
      <c r="AI81" s="14" t="n"/>
      <c r="AJ81" s="14" t="n"/>
      <c r="AK81" s="14" t="n"/>
      <c r="AL81" s="15" t="n"/>
      <c r="AM81" s="15" t="n"/>
      <c r="AN81" s="15" t="n"/>
      <c r="AO81" s="14" t="n"/>
      <c r="AP81" s="10">
        <f>IF(B81="","",IF(OR(V81="重大",AH81="重大",AH81="高",AI81="上升",AJ81="是",AND(AB81&lt;&gt;"",AB81&lt;项目驾驶舱!$B$3,AC81&lt;&gt;"已关闭")),"是","否"))</f>
        <v/>
      </c>
      <c r="AQ81" s="10">
        <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f>
        <v/>
      </c>
      <c r="AR81" s="10">
        <f>IF(AP81="是",COUNTIFS($AP$9:AP81,"是"),"")</f>
        <v/>
      </c>
    </row>
    <row r="82">
      <c r="A82" s="10">
        <f>IF(B82="","","RSK-"&amp;TEXT(ROW()-8,"000"))</f>
        <v/>
      </c>
      <c r="B82" s="14" t="n"/>
      <c r="C82" s="14" t="n"/>
      <c r="D82" s="14" t="n"/>
      <c r="E82" s="14" t="n"/>
      <c r="F82" s="14" t="n"/>
      <c r="G82" s="14" t="n"/>
      <c r="H82" s="14" t="n"/>
      <c r="I82" s="14" t="n"/>
      <c r="J82" s="15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0">
        <f>IF(B82="","",MAX(M82:S82))</f>
        <v/>
      </c>
      <c r="U82" s="10">
        <f>IF(OR(L82="",T82=""),"",L82*T82)</f>
        <v/>
      </c>
      <c r="V82" s="10">
        <f>IF(U82="","",IF(OR(U82&gt;=17,T82=5),"重大",IF(U82&gt;=10,"高",IF(U82&gt;=5,"中","低"))))</f>
        <v/>
      </c>
      <c r="W82" s="14" t="n"/>
      <c r="X82" s="14" t="n"/>
      <c r="Y82" s="14" t="n"/>
      <c r="Z82" s="14" t="n"/>
      <c r="AA82" s="14" t="n"/>
      <c r="AB82" s="15" t="n"/>
      <c r="AC82" s="14" t="n"/>
      <c r="AD82" s="16" t="n"/>
      <c r="AE82" s="14" t="n"/>
      <c r="AF82" s="14" t="n"/>
      <c r="AG82" s="10">
        <f>IF(OR(AE82="",AF82=""),"",AE82*AF82)</f>
        <v/>
      </c>
      <c r="AH82" s="10">
        <f>IF(AG82="","",IF(OR(AG82&gt;=17,AF82=5),"重大",IF(AG82&gt;=10,"高",IF(AG82&gt;=5,"中","低"))))</f>
        <v/>
      </c>
      <c r="AI82" s="14" t="n"/>
      <c r="AJ82" s="14" t="n"/>
      <c r="AK82" s="14" t="n"/>
      <c r="AL82" s="15" t="n"/>
      <c r="AM82" s="15" t="n"/>
      <c r="AN82" s="15" t="n"/>
      <c r="AO82" s="14" t="n"/>
      <c r="AP82" s="10">
        <f>IF(B82="","",IF(OR(V82="重大",AH82="重大",AH82="高",AI82="上升",AJ82="是",AND(AB82&lt;&gt;"",AB82&lt;项目驾驶舱!$B$3,AC82&lt;&gt;"已关闭")),"是","否"))</f>
        <v/>
      </c>
      <c r="AQ82" s="10">
        <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f>
        <v/>
      </c>
      <c r="AR82" s="10">
        <f>IF(AP82="是",COUNTIFS($AP$9:AP82,"是"),"")</f>
        <v/>
      </c>
    </row>
    <row r="83">
      <c r="A83" s="10">
        <f>IF(B83="","","RSK-"&amp;TEXT(ROW()-8,"000"))</f>
        <v/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5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0">
        <f>IF(B83="","",MAX(M83:S83))</f>
        <v/>
      </c>
      <c r="U83" s="10">
        <f>IF(OR(L83="",T83=""),"",L83*T83)</f>
        <v/>
      </c>
      <c r="V83" s="10">
        <f>IF(U83="","",IF(OR(U83&gt;=17,T83=5),"重大",IF(U83&gt;=10,"高",IF(U83&gt;=5,"中","低"))))</f>
        <v/>
      </c>
      <c r="W83" s="14" t="n"/>
      <c r="X83" s="14" t="n"/>
      <c r="Y83" s="14" t="n"/>
      <c r="Z83" s="14" t="n"/>
      <c r="AA83" s="14" t="n"/>
      <c r="AB83" s="15" t="n"/>
      <c r="AC83" s="14" t="n"/>
      <c r="AD83" s="16" t="n"/>
      <c r="AE83" s="14" t="n"/>
      <c r="AF83" s="14" t="n"/>
      <c r="AG83" s="10">
        <f>IF(OR(AE83="",AF83=""),"",AE83*AF83)</f>
        <v/>
      </c>
      <c r="AH83" s="10">
        <f>IF(AG83="","",IF(OR(AG83&gt;=17,AF83=5),"重大",IF(AG83&gt;=10,"高",IF(AG83&gt;=5,"中","低"))))</f>
        <v/>
      </c>
      <c r="AI83" s="14" t="n"/>
      <c r="AJ83" s="14" t="n"/>
      <c r="AK83" s="14" t="n"/>
      <c r="AL83" s="15" t="n"/>
      <c r="AM83" s="15" t="n"/>
      <c r="AN83" s="15" t="n"/>
      <c r="AO83" s="14" t="n"/>
      <c r="AP83" s="10">
        <f>IF(B83="","",IF(OR(V83="重大",AH83="重大",AH83="高",AI83="上升",AJ83="是",AND(AB83&lt;&gt;"",AB83&lt;项目驾驶舱!$B$3,AC83&lt;&gt;"已关闭")),"是","否"))</f>
        <v/>
      </c>
      <c r="AQ83" s="10">
        <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f>
        <v/>
      </c>
      <c r="AR83" s="10">
        <f>IF(AP83="是",COUNTIFS($AP$9:AP83,"是"),"")</f>
        <v/>
      </c>
    </row>
    <row r="84">
      <c r="A84" s="10">
        <f>IF(B84="","","RSK-"&amp;TEXT(ROW()-8,"000"))</f>
        <v/>
      </c>
      <c r="B84" s="14" t="n"/>
      <c r="C84" s="14" t="n"/>
      <c r="D84" s="14" t="n"/>
      <c r="E84" s="14" t="n"/>
      <c r="F84" s="14" t="n"/>
      <c r="G84" s="14" t="n"/>
      <c r="H84" s="14" t="n"/>
      <c r="I84" s="14" t="n"/>
      <c r="J84" s="15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0">
        <f>IF(B84="","",MAX(M84:S84))</f>
        <v/>
      </c>
      <c r="U84" s="10">
        <f>IF(OR(L84="",T84=""),"",L84*T84)</f>
        <v/>
      </c>
      <c r="V84" s="10">
        <f>IF(U84="","",IF(OR(U84&gt;=17,T84=5),"重大",IF(U84&gt;=10,"高",IF(U84&gt;=5,"中","低"))))</f>
        <v/>
      </c>
      <c r="W84" s="14" t="n"/>
      <c r="X84" s="14" t="n"/>
      <c r="Y84" s="14" t="n"/>
      <c r="Z84" s="14" t="n"/>
      <c r="AA84" s="14" t="n"/>
      <c r="AB84" s="15" t="n"/>
      <c r="AC84" s="14" t="n"/>
      <c r="AD84" s="16" t="n"/>
      <c r="AE84" s="14" t="n"/>
      <c r="AF84" s="14" t="n"/>
      <c r="AG84" s="10">
        <f>IF(OR(AE84="",AF84=""),"",AE84*AF84)</f>
        <v/>
      </c>
      <c r="AH84" s="10">
        <f>IF(AG84="","",IF(OR(AG84&gt;=17,AF84=5),"重大",IF(AG84&gt;=10,"高",IF(AG84&gt;=5,"中","低"))))</f>
        <v/>
      </c>
      <c r="AI84" s="14" t="n"/>
      <c r="AJ84" s="14" t="n"/>
      <c r="AK84" s="14" t="n"/>
      <c r="AL84" s="15" t="n"/>
      <c r="AM84" s="15" t="n"/>
      <c r="AN84" s="15" t="n"/>
      <c r="AO84" s="14" t="n"/>
      <c r="AP84" s="10">
        <f>IF(B84="","",IF(OR(V84="重大",AH84="重大",AH84="高",AI84="上升",AJ84="是",AND(AB84&lt;&gt;"",AB84&lt;项目驾驶舱!$B$3,AC84&lt;&gt;"已关闭")),"是","否"))</f>
        <v/>
      </c>
      <c r="AQ84" s="10">
        <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f>
        <v/>
      </c>
      <c r="AR84" s="10">
        <f>IF(AP84="是",COUNTIFS($AP$9:AP84,"是"),"")</f>
        <v/>
      </c>
    </row>
    <row r="85">
      <c r="A85" s="10">
        <f>IF(B85="","","RSK-"&amp;TEXT(ROW()-8,"000"))</f>
        <v/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5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0">
        <f>IF(B85="","",MAX(M85:S85))</f>
        <v/>
      </c>
      <c r="U85" s="10">
        <f>IF(OR(L85="",T85=""),"",L85*T85)</f>
        <v/>
      </c>
      <c r="V85" s="10">
        <f>IF(U85="","",IF(OR(U85&gt;=17,T85=5),"重大",IF(U85&gt;=10,"高",IF(U85&gt;=5,"中","低"))))</f>
        <v/>
      </c>
      <c r="W85" s="14" t="n"/>
      <c r="X85" s="14" t="n"/>
      <c r="Y85" s="14" t="n"/>
      <c r="Z85" s="14" t="n"/>
      <c r="AA85" s="14" t="n"/>
      <c r="AB85" s="15" t="n"/>
      <c r="AC85" s="14" t="n"/>
      <c r="AD85" s="16" t="n"/>
      <c r="AE85" s="14" t="n"/>
      <c r="AF85" s="14" t="n"/>
      <c r="AG85" s="10">
        <f>IF(OR(AE85="",AF85=""),"",AE85*AF85)</f>
        <v/>
      </c>
      <c r="AH85" s="10">
        <f>IF(AG85="","",IF(OR(AG85&gt;=17,AF85=5),"重大",IF(AG85&gt;=10,"高",IF(AG85&gt;=5,"中","低"))))</f>
        <v/>
      </c>
      <c r="AI85" s="14" t="n"/>
      <c r="AJ85" s="14" t="n"/>
      <c r="AK85" s="14" t="n"/>
      <c r="AL85" s="15" t="n"/>
      <c r="AM85" s="15" t="n"/>
      <c r="AN85" s="15" t="n"/>
      <c r="AO85" s="14" t="n"/>
      <c r="AP85" s="10">
        <f>IF(B85="","",IF(OR(V85="重大",AH85="重大",AH85="高",AI85="上升",AJ85="是",AND(AB85&lt;&gt;"",AB85&lt;项目驾驶舱!$B$3,AC85&lt;&gt;"已关闭")),"是","否"))</f>
        <v/>
      </c>
      <c r="AQ85" s="10">
        <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f>
        <v/>
      </c>
      <c r="AR85" s="10">
        <f>IF(AP85="是",COUNTIFS($AP$9:AP85,"是"),"")</f>
        <v/>
      </c>
    </row>
    <row r="86">
      <c r="A86" s="10">
        <f>IF(B86="","","RSK-"&amp;TEXT(ROW()-8,"000"))</f>
        <v/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5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0">
        <f>IF(B86="","",MAX(M86:S86))</f>
        <v/>
      </c>
      <c r="U86" s="10">
        <f>IF(OR(L86="",T86=""),"",L86*T86)</f>
        <v/>
      </c>
      <c r="V86" s="10">
        <f>IF(U86="","",IF(OR(U86&gt;=17,T86=5),"重大",IF(U86&gt;=10,"高",IF(U86&gt;=5,"中","低"))))</f>
        <v/>
      </c>
      <c r="W86" s="14" t="n"/>
      <c r="X86" s="14" t="n"/>
      <c r="Y86" s="14" t="n"/>
      <c r="Z86" s="14" t="n"/>
      <c r="AA86" s="14" t="n"/>
      <c r="AB86" s="15" t="n"/>
      <c r="AC86" s="14" t="n"/>
      <c r="AD86" s="16" t="n"/>
      <c r="AE86" s="14" t="n"/>
      <c r="AF86" s="14" t="n"/>
      <c r="AG86" s="10">
        <f>IF(OR(AE86="",AF86=""),"",AE86*AF86)</f>
        <v/>
      </c>
      <c r="AH86" s="10">
        <f>IF(AG86="","",IF(OR(AG86&gt;=17,AF86=5),"重大",IF(AG86&gt;=10,"高",IF(AG86&gt;=5,"中","低"))))</f>
        <v/>
      </c>
      <c r="AI86" s="14" t="n"/>
      <c r="AJ86" s="14" t="n"/>
      <c r="AK86" s="14" t="n"/>
      <c r="AL86" s="15" t="n"/>
      <c r="AM86" s="15" t="n"/>
      <c r="AN86" s="15" t="n"/>
      <c r="AO86" s="14" t="n"/>
      <c r="AP86" s="10">
        <f>IF(B86="","",IF(OR(V86="重大",AH86="重大",AH86="高",AI86="上升",AJ86="是",AND(AB86&lt;&gt;"",AB86&lt;项目驾驶舱!$B$3,AC86&lt;&gt;"已关闭")),"是","否"))</f>
        <v/>
      </c>
      <c r="AQ86" s="10">
        <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f>
        <v/>
      </c>
      <c r="AR86" s="10">
        <f>IF(AP86="是",COUNTIFS($AP$9:AP86,"是"),"")</f>
        <v/>
      </c>
    </row>
    <row r="87">
      <c r="A87" s="10">
        <f>IF(B87="","","RSK-"&amp;TEXT(ROW()-8,"000"))</f>
        <v/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5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0">
        <f>IF(B87="","",MAX(M87:S87))</f>
        <v/>
      </c>
      <c r="U87" s="10">
        <f>IF(OR(L87="",T87=""),"",L87*T87)</f>
        <v/>
      </c>
      <c r="V87" s="10">
        <f>IF(U87="","",IF(OR(U87&gt;=17,T87=5),"重大",IF(U87&gt;=10,"高",IF(U87&gt;=5,"中","低"))))</f>
        <v/>
      </c>
      <c r="W87" s="14" t="n"/>
      <c r="X87" s="14" t="n"/>
      <c r="Y87" s="14" t="n"/>
      <c r="Z87" s="14" t="n"/>
      <c r="AA87" s="14" t="n"/>
      <c r="AB87" s="15" t="n"/>
      <c r="AC87" s="14" t="n"/>
      <c r="AD87" s="16" t="n"/>
      <c r="AE87" s="14" t="n"/>
      <c r="AF87" s="14" t="n"/>
      <c r="AG87" s="10">
        <f>IF(OR(AE87="",AF87=""),"",AE87*AF87)</f>
        <v/>
      </c>
      <c r="AH87" s="10">
        <f>IF(AG87="","",IF(OR(AG87&gt;=17,AF87=5),"重大",IF(AG87&gt;=10,"高",IF(AG87&gt;=5,"中","低"))))</f>
        <v/>
      </c>
      <c r="AI87" s="14" t="n"/>
      <c r="AJ87" s="14" t="n"/>
      <c r="AK87" s="14" t="n"/>
      <c r="AL87" s="15" t="n"/>
      <c r="AM87" s="15" t="n"/>
      <c r="AN87" s="15" t="n"/>
      <c r="AO87" s="14" t="n"/>
      <c r="AP87" s="10">
        <f>IF(B87="","",IF(OR(V87="重大",AH87="重大",AH87="高",AI87="上升",AJ87="是",AND(AB87&lt;&gt;"",AB87&lt;项目驾驶舱!$B$3,AC87&lt;&gt;"已关闭")),"是","否"))</f>
        <v/>
      </c>
      <c r="AQ87" s="10">
        <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f>
        <v/>
      </c>
      <c r="AR87" s="10">
        <f>IF(AP87="是",COUNTIFS($AP$9:AP87,"是"),"")</f>
        <v/>
      </c>
    </row>
    <row r="88">
      <c r="A88" s="10">
        <f>IF(B88="","","RSK-"&amp;TEXT(ROW()-8,"000"))</f>
        <v/>
      </c>
      <c r="B88" s="14" t="n"/>
      <c r="C88" s="14" t="n"/>
      <c r="D88" s="14" t="n"/>
      <c r="E88" s="14" t="n"/>
      <c r="F88" s="14" t="n"/>
      <c r="G88" s="14" t="n"/>
      <c r="H88" s="14" t="n"/>
      <c r="I88" s="14" t="n"/>
      <c r="J88" s="15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0">
        <f>IF(B88="","",MAX(M88:S88))</f>
        <v/>
      </c>
      <c r="U88" s="10">
        <f>IF(OR(L88="",T88=""),"",L88*T88)</f>
        <v/>
      </c>
      <c r="V88" s="10">
        <f>IF(U88="","",IF(OR(U88&gt;=17,T88=5),"重大",IF(U88&gt;=10,"高",IF(U88&gt;=5,"中","低"))))</f>
        <v/>
      </c>
      <c r="W88" s="14" t="n"/>
      <c r="X88" s="14" t="n"/>
      <c r="Y88" s="14" t="n"/>
      <c r="Z88" s="14" t="n"/>
      <c r="AA88" s="14" t="n"/>
      <c r="AB88" s="15" t="n"/>
      <c r="AC88" s="14" t="n"/>
      <c r="AD88" s="16" t="n"/>
      <c r="AE88" s="14" t="n"/>
      <c r="AF88" s="14" t="n"/>
      <c r="AG88" s="10">
        <f>IF(OR(AE88="",AF88=""),"",AE88*AF88)</f>
        <v/>
      </c>
      <c r="AH88" s="10">
        <f>IF(AG88="","",IF(OR(AG88&gt;=17,AF88=5),"重大",IF(AG88&gt;=10,"高",IF(AG88&gt;=5,"中","低"))))</f>
        <v/>
      </c>
      <c r="AI88" s="14" t="n"/>
      <c r="AJ88" s="14" t="n"/>
      <c r="AK88" s="14" t="n"/>
      <c r="AL88" s="15" t="n"/>
      <c r="AM88" s="15" t="n"/>
      <c r="AN88" s="15" t="n"/>
      <c r="AO88" s="14" t="n"/>
      <c r="AP88" s="10">
        <f>IF(B88="","",IF(OR(V88="重大",AH88="重大",AH88="高",AI88="上升",AJ88="是",AND(AB88&lt;&gt;"",AB88&lt;项目驾驶舱!$B$3,AC88&lt;&gt;"已关闭")),"是","否"))</f>
        <v/>
      </c>
      <c r="AQ88" s="10">
        <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f>
        <v/>
      </c>
      <c r="AR88" s="10">
        <f>IF(AP88="是",COUNTIFS($AP$9:AP88,"是"),"")</f>
        <v/>
      </c>
    </row>
    <row r="89">
      <c r="A89" s="10">
        <f>IF(B89="","","RSK-"&amp;TEXT(ROW()-8,"000"))</f>
        <v/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5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0">
        <f>IF(B89="","",MAX(M89:S89))</f>
        <v/>
      </c>
      <c r="U89" s="10">
        <f>IF(OR(L89="",T89=""),"",L89*T89)</f>
        <v/>
      </c>
      <c r="V89" s="10">
        <f>IF(U89="","",IF(OR(U89&gt;=17,T89=5),"重大",IF(U89&gt;=10,"高",IF(U89&gt;=5,"中","低"))))</f>
        <v/>
      </c>
      <c r="W89" s="14" t="n"/>
      <c r="X89" s="14" t="n"/>
      <c r="Y89" s="14" t="n"/>
      <c r="Z89" s="14" t="n"/>
      <c r="AA89" s="14" t="n"/>
      <c r="AB89" s="15" t="n"/>
      <c r="AC89" s="14" t="n"/>
      <c r="AD89" s="16" t="n"/>
      <c r="AE89" s="14" t="n"/>
      <c r="AF89" s="14" t="n"/>
      <c r="AG89" s="10">
        <f>IF(OR(AE89="",AF89=""),"",AE89*AF89)</f>
        <v/>
      </c>
      <c r="AH89" s="10">
        <f>IF(AG89="","",IF(OR(AG89&gt;=17,AF89=5),"重大",IF(AG89&gt;=10,"高",IF(AG89&gt;=5,"中","低"))))</f>
        <v/>
      </c>
      <c r="AI89" s="14" t="n"/>
      <c r="AJ89" s="14" t="n"/>
      <c r="AK89" s="14" t="n"/>
      <c r="AL89" s="15" t="n"/>
      <c r="AM89" s="15" t="n"/>
      <c r="AN89" s="15" t="n"/>
      <c r="AO89" s="14" t="n"/>
      <c r="AP89" s="10">
        <f>IF(B89="","",IF(OR(V89="重大",AH89="重大",AH89="高",AI89="上升",AJ89="是",AND(AB89&lt;&gt;"",AB89&lt;项目驾驶舱!$B$3,AC89&lt;&gt;"已关闭")),"是","否"))</f>
        <v/>
      </c>
      <c r="AQ89" s="10">
        <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f>
        <v/>
      </c>
      <c r="AR89" s="10">
        <f>IF(AP89="是",COUNTIFS($AP$9:AP89,"是"),"")</f>
        <v/>
      </c>
    </row>
    <row r="90">
      <c r="A90" s="10">
        <f>IF(B90="","","RSK-"&amp;TEXT(ROW()-8,"000"))</f>
        <v/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5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0">
        <f>IF(B90="","",MAX(M90:S90))</f>
        <v/>
      </c>
      <c r="U90" s="10">
        <f>IF(OR(L90="",T90=""),"",L90*T90)</f>
        <v/>
      </c>
      <c r="V90" s="10">
        <f>IF(U90="","",IF(OR(U90&gt;=17,T90=5),"重大",IF(U90&gt;=10,"高",IF(U90&gt;=5,"中","低"))))</f>
        <v/>
      </c>
      <c r="W90" s="14" t="n"/>
      <c r="X90" s="14" t="n"/>
      <c r="Y90" s="14" t="n"/>
      <c r="Z90" s="14" t="n"/>
      <c r="AA90" s="14" t="n"/>
      <c r="AB90" s="15" t="n"/>
      <c r="AC90" s="14" t="n"/>
      <c r="AD90" s="16" t="n"/>
      <c r="AE90" s="14" t="n"/>
      <c r="AF90" s="14" t="n"/>
      <c r="AG90" s="10">
        <f>IF(OR(AE90="",AF90=""),"",AE90*AF90)</f>
        <v/>
      </c>
      <c r="AH90" s="10">
        <f>IF(AG90="","",IF(OR(AG90&gt;=17,AF90=5),"重大",IF(AG90&gt;=10,"高",IF(AG90&gt;=5,"中","低"))))</f>
        <v/>
      </c>
      <c r="AI90" s="14" t="n"/>
      <c r="AJ90" s="14" t="n"/>
      <c r="AK90" s="14" t="n"/>
      <c r="AL90" s="15" t="n"/>
      <c r="AM90" s="15" t="n"/>
      <c r="AN90" s="15" t="n"/>
      <c r="AO90" s="14" t="n"/>
      <c r="AP90" s="10">
        <f>IF(B90="","",IF(OR(V90="重大",AH90="重大",AH90="高",AI90="上升",AJ90="是",AND(AB90&lt;&gt;"",AB90&lt;项目驾驶舱!$B$3,AC90&lt;&gt;"已关闭")),"是","否"))</f>
        <v/>
      </c>
      <c r="AQ90" s="10">
        <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f>
        <v/>
      </c>
      <c r="AR90" s="10">
        <f>IF(AP90="是",COUNTIFS($AP$9:AP90,"是"),"")</f>
        <v/>
      </c>
    </row>
    <row r="91">
      <c r="A91" s="10">
        <f>IF(B91="","","RSK-"&amp;TEXT(ROW()-8,"000"))</f>
        <v/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5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0">
        <f>IF(B91="","",MAX(M91:S91))</f>
        <v/>
      </c>
      <c r="U91" s="10">
        <f>IF(OR(L91="",T91=""),"",L91*T91)</f>
        <v/>
      </c>
      <c r="V91" s="10">
        <f>IF(U91="","",IF(OR(U91&gt;=17,T91=5),"重大",IF(U91&gt;=10,"高",IF(U91&gt;=5,"中","低"))))</f>
        <v/>
      </c>
      <c r="W91" s="14" t="n"/>
      <c r="X91" s="14" t="n"/>
      <c r="Y91" s="14" t="n"/>
      <c r="Z91" s="14" t="n"/>
      <c r="AA91" s="14" t="n"/>
      <c r="AB91" s="15" t="n"/>
      <c r="AC91" s="14" t="n"/>
      <c r="AD91" s="16" t="n"/>
      <c r="AE91" s="14" t="n"/>
      <c r="AF91" s="14" t="n"/>
      <c r="AG91" s="10">
        <f>IF(OR(AE91="",AF91=""),"",AE91*AF91)</f>
        <v/>
      </c>
      <c r="AH91" s="10">
        <f>IF(AG91="","",IF(OR(AG91&gt;=17,AF91=5),"重大",IF(AG91&gt;=10,"高",IF(AG91&gt;=5,"中","低"))))</f>
        <v/>
      </c>
      <c r="AI91" s="14" t="n"/>
      <c r="AJ91" s="14" t="n"/>
      <c r="AK91" s="14" t="n"/>
      <c r="AL91" s="15" t="n"/>
      <c r="AM91" s="15" t="n"/>
      <c r="AN91" s="15" t="n"/>
      <c r="AO91" s="14" t="n"/>
      <c r="AP91" s="10">
        <f>IF(B91="","",IF(OR(V91="重大",AH91="重大",AH91="高",AI91="上升",AJ91="是",AND(AB91&lt;&gt;"",AB91&lt;项目驾驶舱!$B$3,AC91&lt;&gt;"已关闭")),"是","否"))</f>
        <v/>
      </c>
      <c r="AQ91" s="10">
        <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f>
        <v/>
      </c>
      <c r="AR91" s="10">
        <f>IF(AP91="是",COUNTIFS($AP$9:AP91,"是"),"")</f>
        <v/>
      </c>
    </row>
    <row r="92">
      <c r="A92" s="10">
        <f>IF(B92="","","RSK-"&amp;TEXT(ROW()-8,"000"))</f>
        <v/>
      </c>
      <c r="B92" s="14" t="n"/>
      <c r="C92" s="14" t="n"/>
      <c r="D92" s="14" t="n"/>
      <c r="E92" s="14" t="n"/>
      <c r="F92" s="14" t="n"/>
      <c r="G92" s="14" t="n"/>
      <c r="H92" s="14" t="n"/>
      <c r="I92" s="14" t="n"/>
      <c r="J92" s="15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0">
        <f>IF(B92="","",MAX(M92:S92))</f>
        <v/>
      </c>
      <c r="U92" s="10">
        <f>IF(OR(L92="",T92=""),"",L92*T92)</f>
        <v/>
      </c>
      <c r="V92" s="10">
        <f>IF(U92="","",IF(OR(U92&gt;=17,T92=5),"重大",IF(U92&gt;=10,"高",IF(U92&gt;=5,"中","低"))))</f>
        <v/>
      </c>
      <c r="W92" s="14" t="n"/>
      <c r="X92" s="14" t="n"/>
      <c r="Y92" s="14" t="n"/>
      <c r="Z92" s="14" t="n"/>
      <c r="AA92" s="14" t="n"/>
      <c r="AB92" s="15" t="n"/>
      <c r="AC92" s="14" t="n"/>
      <c r="AD92" s="16" t="n"/>
      <c r="AE92" s="14" t="n"/>
      <c r="AF92" s="14" t="n"/>
      <c r="AG92" s="10">
        <f>IF(OR(AE92="",AF92=""),"",AE92*AF92)</f>
        <v/>
      </c>
      <c r="AH92" s="10">
        <f>IF(AG92="","",IF(OR(AG92&gt;=17,AF92=5),"重大",IF(AG92&gt;=10,"高",IF(AG92&gt;=5,"中","低"))))</f>
        <v/>
      </c>
      <c r="AI92" s="14" t="n"/>
      <c r="AJ92" s="14" t="n"/>
      <c r="AK92" s="14" t="n"/>
      <c r="AL92" s="15" t="n"/>
      <c r="AM92" s="15" t="n"/>
      <c r="AN92" s="15" t="n"/>
      <c r="AO92" s="14" t="n"/>
      <c r="AP92" s="10">
        <f>IF(B92="","",IF(OR(V92="重大",AH92="重大",AH92="高",AI92="上升",AJ92="是",AND(AB92&lt;&gt;"",AB92&lt;项目驾驶舱!$B$3,AC92&lt;&gt;"已关闭")),"是","否"))</f>
        <v/>
      </c>
      <c r="AQ92" s="10">
        <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f>
        <v/>
      </c>
      <c r="AR92" s="10">
        <f>IF(AP92="是",COUNTIFS($AP$9:AP92,"是"),"")</f>
        <v/>
      </c>
    </row>
    <row r="93">
      <c r="A93" s="10">
        <f>IF(B93="","","RSK-"&amp;TEXT(ROW()-8,"000"))</f>
        <v/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5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0">
        <f>IF(B93="","",MAX(M93:S93))</f>
        <v/>
      </c>
      <c r="U93" s="10">
        <f>IF(OR(L93="",T93=""),"",L93*T93)</f>
        <v/>
      </c>
      <c r="V93" s="10">
        <f>IF(U93="","",IF(OR(U93&gt;=17,T93=5),"重大",IF(U93&gt;=10,"高",IF(U93&gt;=5,"中","低"))))</f>
        <v/>
      </c>
      <c r="W93" s="14" t="n"/>
      <c r="X93" s="14" t="n"/>
      <c r="Y93" s="14" t="n"/>
      <c r="Z93" s="14" t="n"/>
      <c r="AA93" s="14" t="n"/>
      <c r="AB93" s="15" t="n"/>
      <c r="AC93" s="14" t="n"/>
      <c r="AD93" s="16" t="n"/>
      <c r="AE93" s="14" t="n"/>
      <c r="AF93" s="14" t="n"/>
      <c r="AG93" s="10">
        <f>IF(OR(AE93="",AF93=""),"",AE93*AF93)</f>
        <v/>
      </c>
      <c r="AH93" s="10">
        <f>IF(AG93="","",IF(OR(AG93&gt;=17,AF93=5),"重大",IF(AG93&gt;=10,"高",IF(AG93&gt;=5,"中","低"))))</f>
        <v/>
      </c>
      <c r="AI93" s="14" t="n"/>
      <c r="AJ93" s="14" t="n"/>
      <c r="AK93" s="14" t="n"/>
      <c r="AL93" s="15" t="n"/>
      <c r="AM93" s="15" t="n"/>
      <c r="AN93" s="15" t="n"/>
      <c r="AO93" s="14" t="n"/>
      <c r="AP93" s="10">
        <f>IF(B93="","",IF(OR(V93="重大",AH93="重大",AH93="高",AI93="上升",AJ93="是",AND(AB93&lt;&gt;"",AB93&lt;项目驾驶舱!$B$3,AC93&lt;&gt;"已关闭")),"是","否"))</f>
        <v/>
      </c>
      <c r="AQ93" s="10">
        <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f>
        <v/>
      </c>
      <c r="AR93" s="10">
        <f>IF(AP93="是",COUNTIFS($AP$9:AP93,"是"),"")</f>
        <v/>
      </c>
    </row>
    <row r="94">
      <c r="A94" s="10">
        <f>IF(B94="","","RSK-"&amp;TEXT(ROW()-8,"000"))</f>
        <v/>
      </c>
      <c r="B94" s="14" t="n"/>
      <c r="C94" s="14" t="n"/>
      <c r="D94" s="14" t="n"/>
      <c r="E94" s="14" t="n"/>
      <c r="F94" s="14" t="n"/>
      <c r="G94" s="14" t="n"/>
      <c r="H94" s="14" t="n"/>
      <c r="I94" s="14" t="n"/>
      <c r="J94" s="15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0">
        <f>IF(B94="","",MAX(M94:S94))</f>
        <v/>
      </c>
      <c r="U94" s="10">
        <f>IF(OR(L94="",T94=""),"",L94*T94)</f>
        <v/>
      </c>
      <c r="V94" s="10">
        <f>IF(U94="","",IF(OR(U94&gt;=17,T94=5),"重大",IF(U94&gt;=10,"高",IF(U94&gt;=5,"中","低"))))</f>
        <v/>
      </c>
      <c r="W94" s="14" t="n"/>
      <c r="X94" s="14" t="n"/>
      <c r="Y94" s="14" t="n"/>
      <c r="Z94" s="14" t="n"/>
      <c r="AA94" s="14" t="n"/>
      <c r="AB94" s="15" t="n"/>
      <c r="AC94" s="14" t="n"/>
      <c r="AD94" s="16" t="n"/>
      <c r="AE94" s="14" t="n"/>
      <c r="AF94" s="14" t="n"/>
      <c r="AG94" s="10">
        <f>IF(OR(AE94="",AF94=""),"",AE94*AF94)</f>
        <v/>
      </c>
      <c r="AH94" s="10">
        <f>IF(AG94="","",IF(OR(AG94&gt;=17,AF94=5),"重大",IF(AG94&gt;=10,"高",IF(AG94&gt;=5,"中","低"))))</f>
        <v/>
      </c>
      <c r="AI94" s="14" t="n"/>
      <c r="AJ94" s="14" t="n"/>
      <c r="AK94" s="14" t="n"/>
      <c r="AL94" s="15" t="n"/>
      <c r="AM94" s="15" t="n"/>
      <c r="AN94" s="15" t="n"/>
      <c r="AO94" s="14" t="n"/>
      <c r="AP94" s="10">
        <f>IF(B94="","",IF(OR(V94="重大",AH94="重大",AH94="高",AI94="上升",AJ94="是",AND(AB94&lt;&gt;"",AB94&lt;项目驾驶舱!$B$3,AC94&lt;&gt;"已关闭")),"是","否"))</f>
        <v/>
      </c>
      <c r="AQ94" s="10">
        <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f>
        <v/>
      </c>
      <c r="AR94" s="10">
        <f>IF(AP94="是",COUNTIFS($AP$9:AP94,"是"),"")</f>
        <v/>
      </c>
    </row>
    <row r="95">
      <c r="A95" s="10">
        <f>IF(B95="","","RSK-"&amp;TEXT(ROW()-8,"000"))</f>
        <v/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5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0">
        <f>IF(B95="","",MAX(M95:S95))</f>
        <v/>
      </c>
      <c r="U95" s="10">
        <f>IF(OR(L95="",T95=""),"",L95*T95)</f>
        <v/>
      </c>
      <c r="V95" s="10">
        <f>IF(U95="","",IF(OR(U95&gt;=17,T95=5),"重大",IF(U95&gt;=10,"高",IF(U95&gt;=5,"中","低"))))</f>
        <v/>
      </c>
      <c r="W95" s="14" t="n"/>
      <c r="X95" s="14" t="n"/>
      <c r="Y95" s="14" t="n"/>
      <c r="Z95" s="14" t="n"/>
      <c r="AA95" s="14" t="n"/>
      <c r="AB95" s="15" t="n"/>
      <c r="AC95" s="14" t="n"/>
      <c r="AD95" s="16" t="n"/>
      <c r="AE95" s="14" t="n"/>
      <c r="AF95" s="14" t="n"/>
      <c r="AG95" s="10">
        <f>IF(OR(AE95="",AF95=""),"",AE95*AF95)</f>
        <v/>
      </c>
      <c r="AH95" s="10">
        <f>IF(AG95="","",IF(OR(AG95&gt;=17,AF95=5),"重大",IF(AG95&gt;=10,"高",IF(AG95&gt;=5,"中","低"))))</f>
        <v/>
      </c>
      <c r="AI95" s="14" t="n"/>
      <c r="AJ95" s="14" t="n"/>
      <c r="AK95" s="14" t="n"/>
      <c r="AL95" s="15" t="n"/>
      <c r="AM95" s="15" t="n"/>
      <c r="AN95" s="15" t="n"/>
      <c r="AO95" s="14" t="n"/>
      <c r="AP95" s="10">
        <f>IF(B95="","",IF(OR(V95="重大",AH95="重大",AH95="高",AI95="上升",AJ95="是",AND(AB95&lt;&gt;"",AB95&lt;项目驾驶舱!$B$3,AC95&lt;&gt;"已关闭")),"是","否"))</f>
        <v/>
      </c>
      <c r="AQ95" s="10">
        <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f>
        <v/>
      </c>
      <c r="AR95" s="10">
        <f>IF(AP95="是",COUNTIFS($AP$9:AP95,"是"),"")</f>
        <v/>
      </c>
    </row>
    <row r="96">
      <c r="A96" s="10">
        <f>IF(B96="","","RSK-"&amp;TEXT(ROW()-8,"000"))</f>
        <v/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5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0">
        <f>IF(B96="","",MAX(M96:S96))</f>
        <v/>
      </c>
      <c r="U96" s="10">
        <f>IF(OR(L96="",T96=""),"",L96*T96)</f>
        <v/>
      </c>
      <c r="V96" s="10">
        <f>IF(U96="","",IF(OR(U96&gt;=17,T96=5),"重大",IF(U96&gt;=10,"高",IF(U96&gt;=5,"中","低"))))</f>
        <v/>
      </c>
      <c r="W96" s="14" t="n"/>
      <c r="X96" s="14" t="n"/>
      <c r="Y96" s="14" t="n"/>
      <c r="Z96" s="14" t="n"/>
      <c r="AA96" s="14" t="n"/>
      <c r="AB96" s="15" t="n"/>
      <c r="AC96" s="14" t="n"/>
      <c r="AD96" s="16" t="n"/>
      <c r="AE96" s="14" t="n"/>
      <c r="AF96" s="14" t="n"/>
      <c r="AG96" s="10">
        <f>IF(OR(AE96="",AF96=""),"",AE96*AF96)</f>
        <v/>
      </c>
      <c r="AH96" s="10">
        <f>IF(AG96="","",IF(OR(AG96&gt;=17,AF96=5),"重大",IF(AG96&gt;=10,"高",IF(AG96&gt;=5,"中","低"))))</f>
        <v/>
      </c>
      <c r="AI96" s="14" t="n"/>
      <c r="AJ96" s="14" t="n"/>
      <c r="AK96" s="14" t="n"/>
      <c r="AL96" s="15" t="n"/>
      <c r="AM96" s="15" t="n"/>
      <c r="AN96" s="15" t="n"/>
      <c r="AO96" s="14" t="n"/>
      <c r="AP96" s="10">
        <f>IF(B96="","",IF(OR(V96="重大",AH96="重大",AH96="高",AI96="上升",AJ96="是",AND(AB96&lt;&gt;"",AB96&lt;项目驾驶舱!$B$3,AC96&lt;&gt;"已关闭")),"是","否"))</f>
        <v/>
      </c>
      <c r="AQ96" s="10">
        <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f>
        <v/>
      </c>
      <c r="AR96" s="10">
        <f>IF(AP96="是",COUNTIFS($AP$9:AP96,"是"),"")</f>
        <v/>
      </c>
    </row>
    <row r="97">
      <c r="A97" s="10">
        <f>IF(B97="","","RSK-"&amp;TEXT(ROW()-8,"000"))</f>
        <v/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5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0">
        <f>IF(B97="","",MAX(M97:S97))</f>
        <v/>
      </c>
      <c r="U97" s="10">
        <f>IF(OR(L97="",T97=""),"",L97*T97)</f>
        <v/>
      </c>
      <c r="V97" s="10">
        <f>IF(U97="","",IF(OR(U97&gt;=17,T97=5),"重大",IF(U97&gt;=10,"高",IF(U97&gt;=5,"中","低"))))</f>
        <v/>
      </c>
      <c r="W97" s="14" t="n"/>
      <c r="X97" s="14" t="n"/>
      <c r="Y97" s="14" t="n"/>
      <c r="Z97" s="14" t="n"/>
      <c r="AA97" s="14" t="n"/>
      <c r="AB97" s="15" t="n"/>
      <c r="AC97" s="14" t="n"/>
      <c r="AD97" s="16" t="n"/>
      <c r="AE97" s="14" t="n"/>
      <c r="AF97" s="14" t="n"/>
      <c r="AG97" s="10">
        <f>IF(OR(AE97="",AF97=""),"",AE97*AF97)</f>
        <v/>
      </c>
      <c r="AH97" s="10">
        <f>IF(AG97="","",IF(OR(AG97&gt;=17,AF97=5),"重大",IF(AG97&gt;=10,"高",IF(AG97&gt;=5,"中","低"))))</f>
        <v/>
      </c>
      <c r="AI97" s="14" t="n"/>
      <c r="AJ97" s="14" t="n"/>
      <c r="AK97" s="14" t="n"/>
      <c r="AL97" s="15" t="n"/>
      <c r="AM97" s="15" t="n"/>
      <c r="AN97" s="15" t="n"/>
      <c r="AO97" s="14" t="n"/>
      <c r="AP97" s="10">
        <f>IF(B97="","",IF(OR(V97="重大",AH97="重大",AH97="高",AI97="上升",AJ97="是",AND(AB97&lt;&gt;"",AB97&lt;项目驾驶舱!$B$3,AC97&lt;&gt;"已关闭")),"是","否"))</f>
        <v/>
      </c>
      <c r="AQ97" s="10">
        <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f>
        <v/>
      </c>
      <c r="AR97" s="10">
        <f>IF(AP97="是",COUNTIFS($AP$9:AP97,"是"),"")</f>
        <v/>
      </c>
    </row>
    <row r="98">
      <c r="A98" s="10">
        <f>IF(B98="","","RSK-"&amp;TEXT(ROW()-8,"000"))</f>
        <v/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5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0">
        <f>IF(B98="","",MAX(M98:S98))</f>
        <v/>
      </c>
      <c r="U98" s="10">
        <f>IF(OR(L98="",T98=""),"",L98*T98)</f>
        <v/>
      </c>
      <c r="V98" s="10">
        <f>IF(U98="","",IF(OR(U98&gt;=17,T98=5),"重大",IF(U98&gt;=10,"高",IF(U98&gt;=5,"中","低"))))</f>
        <v/>
      </c>
      <c r="W98" s="14" t="n"/>
      <c r="X98" s="14" t="n"/>
      <c r="Y98" s="14" t="n"/>
      <c r="Z98" s="14" t="n"/>
      <c r="AA98" s="14" t="n"/>
      <c r="AB98" s="15" t="n"/>
      <c r="AC98" s="14" t="n"/>
      <c r="AD98" s="16" t="n"/>
      <c r="AE98" s="14" t="n"/>
      <c r="AF98" s="14" t="n"/>
      <c r="AG98" s="10">
        <f>IF(OR(AE98="",AF98=""),"",AE98*AF98)</f>
        <v/>
      </c>
      <c r="AH98" s="10">
        <f>IF(AG98="","",IF(OR(AG98&gt;=17,AF98=5),"重大",IF(AG98&gt;=10,"高",IF(AG98&gt;=5,"中","低"))))</f>
        <v/>
      </c>
      <c r="AI98" s="14" t="n"/>
      <c r="AJ98" s="14" t="n"/>
      <c r="AK98" s="14" t="n"/>
      <c r="AL98" s="15" t="n"/>
      <c r="AM98" s="15" t="n"/>
      <c r="AN98" s="15" t="n"/>
      <c r="AO98" s="14" t="n"/>
      <c r="AP98" s="10">
        <f>IF(B98="","",IF(OR(V98="重大",AH98="重大",AH98="高",AI98="上升",AJ98="是",AND(AB98&lt;&gt;"",AB98&lt;项目驾驶舱!$B$3,AC98&lt;&gt;"已关闭")),"是","否"))</f>
        <v/>
      </c>
      <c r="AQ98" s="10">
        <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f>
        <v/>
      </c>
      <c r="AR98" s="10">
        <f>IF(AP98="是",COUNTIFS($AP$9:AP98,"是"),"")</f>
        <v/>
      </c>
    </row>
    <row r="99">
      <c r="A99" s="10">
        <f>IF(B99="","","RSK-"&amp;TEXT(ROW()-8,"000"))</f>
        <v/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5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0">
        <f>IF(B99="","",MAX(M99:S99))</f>
        <v/>
      </c>
      <c r="U99" s="10">
        <f>IF(OR(L99="",T99=""),"",L99*T99)</f>
        <v/>
      </c>
      <c r="V99" s="10">
        <f>IF(U99="","",IF(OR(U99&gt;=17,T99=5),"重大",IF(U99&gt;=10,"高",IF(U99&gt;=5,"中","低"))))</f>
        <v/>
      </c>
      <c r="W99" s="14" t="n"/>
      <c r="X99" s="14" t="n"/>
      <c r="Y99" s="14" t="n"/>
      <c r="Z99" s="14" t="n"/>
      <c r="AA99" s="14" t="n"/>
      <c r="AB99" s="15" t="n"/>
      <c r="AC99" s="14" t="n"/>
      <c r="AD99" s="16" t="n"/>
      <c r="AE99" s="14" t="n"/>
      <c r="AF99" s="14" t="n"/>
      <c r="AG99" s="10">
        <f>IF(OR(AE99="",AF99=""),"",AE99*AF99)</f>
        <v/>
      </c>
      <c r="AH99" s="10">
        <f>IF(AG99="","",IF(OR(AG99&gt;=17,AF99=5),"重大",IF(AG99&gt;=10,"高",IF(AG99&gt;=5,"中","低"))))</f>
        <v/>
      </c>
      <c r="AI99" s="14" t="n"/>
      <c r="AJ99" s="14" t="n"/>
      <c r="AK99" s="14" t="n"/>
      <c r="AL99" s="15" t="n"/>
      <c r="AM99" s="15" t="n"/>
      <c r="AN99" s="15" t="n"/>
      <c r="AO99" s="14" t="n"/>
      <c r="AP99" s="10">
        <f>IF(B99="","",IF(OR(V99="重大",AH99="重大",AH99="高",AI99="上升",AJ99="是",AND(AB99&lt;&gt;"",AB99&lt;项目驾驶舱!$B$3,AC99&lt;&gt;"已关闭")),"是","否"))</f>
        <v/>
      </c>
      <c r="AQ99" s="10">
        <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f>
        <v/>
      </c>
      <c r="AR99" s="10">
        <f>IF(AP99="是",COUNTIFS($AP$9:AP99,"是"),"")</f>
        <v/>
      </c>
    </row>
    <row r="100">
      <c r="A100" s="10">
        <f>IF(B100="","","RSK-"&amp;TEXT(ROW()-8,"000"))</f>
        <v/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5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0">
        <f>IF(B100="","",MAX(M100:S100))</f>
        <v/>
      </c>
      <c r="U100" s="10">
        <f>IF(OR(L100="",T100=""),"",L100*T100)</f>
        <v/>
      </c>
      <c r="V100" s="10">
        <f>IF(U100="","",IF(OR(U100&gt;=17,T100=5),"重大",IF(U100&gt;=10,"高",IF(U100&gt;=5,"中","低"))))</f>
        <v/>
      </c>
      <c r="W100" s="14" t="n"/>
      <c r="X100" s="14" t="n"/>
      <c r="Y100" s="14" t="n"/>
      <c r="Z100" s="14" t="n"/>
      <c r="AA100" s="14" t="n"/>
      <c r="AB100" s="15" t="n"/>
      <c r="AC100" s="14" t="n"/>
      <c r="AD100" s="16" t="n"/>
      <c r="AE100" s="14" t="n"/>
      <c r="AF100" s="14" t="n"/>
      <c r="AG100" s="10">
        <f>IF(OR(AE100="",AF100=""),"",AE100*AF100)</f>
        <v/>
      </c>
      <c r="AH100" s="10">
        <f>IF(AG100="","",IF(OR(AG100&gt;=17,AF100=5),"重大",IF(AG100&gt;=10,"高",IF(AG100&gt;=5,"中","低"))))</f>
        <v/>
      </c>
      <c r="AI100" s="14" t="n"/>
      <c r="AJ100" s="14" t="n"/>
      <c r="AK100" s="14" t="n"/>
      <c r="AL100" s="15" t="n"/>
      <c r="AM100" s="15" t="n"/>
      <c r="AN100" s="15" t="n"/>
      <c r="AO100" s="14" t="n"/>
      <c r="AP100" s="10">
        <f>IF(B100="","",IF(OR(V100="重大",AH100="重大",AH100="高",AI100="上升",AJ100="是",AND(AB100&lt;&gt;"",AB100&lt;项目驾驶舱!$B$3,AC100&lt;&gt;"已关闭")),"是","否"))</f>
        <v/>
      </c>
      <c r="AQ100" s="10">
        <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f>
        <v/>
      </c>
      <c r="AR100" s="10">
        <f>IF(AP100="是",COUNTIFS($AP$9:AP100,"是"),"")</f>
        <v/>
      </c>
    </row>
    <row r="101">
      <c r="A101" s="10">
        <f>IF(B101="","","RSK-"&amp;TEXT(ROW()-8,"000"))</f>
        <v/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5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0">
        <f>IF(B101="","",MAX(M101:S101))</f>
        <v/>
      </c>
      <c r="U101" s="10">
        <f>IF(OR(L101="",T101=""),"",L101*T101)</f>
        <v/>
      </c>
      <c r="V101" s="10">
        <f>IF(U101="","",IF(OR(U101&gt;=17,T101=5),"重大",IF(U101&gt;=10,"高",IF(U101&gt;=5,"中","低"))))</f>
        <v/>
      </c>
      <c r="W101" s="14" t="n"/>
      <c r="X101" s="14" t="n"/>
      <c r="Y101" s="14" t="n"/>
      <c r="Z101" s="14" t="n"/>
      <c r="AA101" s="14" t="n"/>
      <c r="AB101" s="15" t="n"/>
      <c r="AC101" s="14" t="n"/>
      <c r="AD101" s="16" t="n"/>
      <c r="AE101" s="14" t="n"/>
      <c r="AF101" s="14" t="n"/>
      <c r="AG101" s="10">
        <f>IF(OR(AE101="",AF101=""),"",AE101*AF101)</f>
        <v/>
      </c>
      <c r="AH101" s="10">
        <f>IF(AG101="","",IF(OR(AG101&gt;=17,AF101=5),"重大",IF(AG101&gt;=10,"高",IF(AG101&gt;=5,"中","低"))))</f>
        <v/>
      </c>
      <c r="AI101" s="14" t="n"/>
      <c r="AJ101" s="14" t="n"/>
      <c r="AK101" s="14" t="n"/>
      <c r="AL101" s="15" t="n"/>
      <c r="AM101" s="15" t="n"/>
      <c r="AN101" s="15" t="n"/>
      <c r="AO101" s="14" t="n"/>
      <c r="AP101" s="10">
        <f>IF(B101="","",IF(OR(V101="重大",AH101="重大",AH101="高",AI101="上升",AJ101="是",AND(AB101&lt;&gt;"",AB101&lt;项目驾驶舱!$B$3,AC101&lt;&gt;"已关闭")),"是","否"))</f>
        <v/>
      </c>
      <c r="AQ101" s="10">
        <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f>
        <v/>
      </c>
      <c r="AR101" s="10">
        <f>IF(AP101="是",COUNTIFS($AP$9:AP101,"是"),"")</f>
        <v/>
      </c>
    </row>
    <row r="102">
      <c r="A102" s="10">
        <f>IF(B102="","","RSK-"&amp;TEXT(ROW()-8,"000"))</f>
        <v/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5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0">
        <f>IF(B102="","",MAX(M102:S102))</f>
        <v/>
      </c>
      <c r="U102" s="10">
        <f>IF(OR(L102="",T102=""),"",L102*T102)</f>
        <v/>
      </c>
      <c r="V102" s="10">
        <f>IF(U102="","",IF(OR(U102&gt;=17,T102=5),"重大",IF(U102&gt;=10,"高",IF(U102&gt;=5,"中","低"))))</f>
        <v/>
      </c>
      <c r="W102" s="14" t="n"/>
      <c r="X102" s="14" t="n"/>
      <c r="Y102" s="14" t="n"/>
      <c r="Z102" s="14" t="n"/>
      <c r="AA102" s="14" t="n"/>
      <c r="AB102" s="15" t="n"/>
      <c r="AC102" s="14" t="n"/>
      <c r="AD102" s="16" t="n"/>
      <c r="AE102" s="14" t="n"/>
      <c r="AF102" s="14" t="n"/>
      <c r="AG102" s="10">
        <f>IF(OR(AE102="",AF102=""),"",AE102*AF102)</f>
        <v/>
      </c>
      <c r="AH102" s="10">
        <f>IF(AG102="","",IF(OR(AG102&gt;=17,AF102=5),"重大",IF(AG102&gt;=10,"高",IF(AG102&gt;=5,"中","低"))))</f>
        <v/>
      </c>
      <c r="AI102" s="14" t="n"/>
      <c r="AJ102" s="14" t="n"/>
      <c r="AK102" s="14" t="n"/>
      <c r="AL102" s="15" t="n"/>
      <c r="AM102" s="15" t="n"/>
      <c r="AN102" s="15" t="n"/>
      <c r="AO102" s="14" t="n"/>
      <c r="AP102" s="10">
        <f>IF(B102="","",IF(OR(V102="重大",AH102="重大",AH102="高",AI102="上升",AJ102="是",AND(AB102&lt;&gt;"",AB102&lt;项目驾驶舱!$B$3,AC102&lt;&gt;"已关闭")),"是","否"))</f>
        <v/>
      </c>
      <c r="AQ102" s="10">
        <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f>
        <v/>
      </c>
      <c r="AR102" s="10">
        <f>IF(AP102="是",COUNTIFS($AP$9:AP102,"是"),"")</f>
        <v/>
      </c>
    </row>
    <row r="103">
      <c r="A103" s="10">
        <f>IF(B103="","","RSK-"&amp;TEXT(ROW()-8,"000"))</f>
        <v/>
      </c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5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0">
        <f>IF(B103="","",MAX(M103:S103))</f>
        <v/>
      </c>
      <c r="U103" s="10">
        <f>IF(OR(L103="",T103=""),"",L103*T103)</f>
        <v/>
      </c>
      <c r="V103" s="10">
        <f>IF(U103="","",IF(OR(U103&gt;=17,T103=5),"重大",IF(U103&gt;=10,"高",IF(U103&gt;=5,"中","低"))))</f>
        <v/>
      </c>
      <c r="W103" s="14" t="n"/>
      <c r="X103" s="14" t="n"/>
      <c r="Y103" s="14" t="n"/>
      <c r="Z103" s="14" t="n"/>
      <c r="AA103" s="14" t="n"/>
      <c r="AB103" s="15" t="n"/>
      <c r="AC103" s="14" t="n"/>
      <c r="AD103" s="16" t="n"/>
      <c r="AE103" s="14" t="n"/>
      <c r="AF103" s="14" t="n"/>
      <c r="AG103" s="10">
        <f>IF(OR(AE103="",AF103=""),"",AE103*AF103)</f>
        <v/>
      </c>
      <c r="AH103" s="10">
        <f>IF(AG103="","",IF(OR(AG103&gt;=17,AF103=5),"重大",IF(AG103&gt;=10,"高",IF(AG103&gt;=5,"中","低"))))</f>
        <v/>
      </c>
      <c r="AI103" s="14" t="n"/>
      <c r="AJ103" s="14" t="n"/>
      <c r="AK103" s="14" t="n"/>
      <c r="AL103" s="15" t="n"/>
      <c r="AM103" s="15" t="n"/>
      <c r="AN103" s="15" t="n"/>
      <c r="AO103" s="14" t="n"/>
      <c r="AP103" s="10">
        <f>IF(B103="","",IF(OR(V103="重大",AH103="重大",AH103="高",AI103="上升",AJ103="是",AND(AB103&lt;&gt;"",AB103&lt;项目驾驶舱!$B$3,AC103&lt;&gt;"已关闭")),"是","否"))</f>
        <v/>
      </c>
      <c r="AQ103" s="10">
        <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f>
        <v/>
      </c>
      <c r="AR103" s="10">
        <f>IF(AP103="是",COUNTIFS($AP$9:AP103,"是"),"")</f>
        <v/>
      </c>
    </row>
    <row r="104">
      <c r="A104" s="10">
        <f>IF(B104="","","RSK-"&amp;TEXT(ROW()-8,"000"))</f>
        <v/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5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0">
        <f>IF(B104="","",MAX(M104:S104))</f>
        <v/>
      </c>
      <c r="U104" s="10">
        <f>IF(OR(L104="",T104=""),"",L104*T104)</f>
        <v/>
      </c>
      <c r="V104" s="10">
        <f>IF(U104="","",IF(OR(U104&gt;=17,T104=5),"重大",IF(U104&gt;=10,"高",IF(U104&gt;=5,"中","低"))))</f>
        <v/>
      </c>
      <c r="W104" s="14" t="n"/>
      <c r="X104" s="14" t="n"/>
      <c r="Y104" s="14" t="n"/>
      <c r="Z104" s="14" t="n"/>
      <c r="AA104" s="14" t="n"/>
      <c r="AB104" s="15" t="n"/>
      <c r="AC104" s="14" t="n"/>
      <c r="AD104" s="16" t="n"/>
      <c r="AE104" s="14" t="n"/>
      <c r="AF104" s="14" t="n"/>
      <c r="AG104" s="10">
        <f>IF(OR(AE104="",AF104=""),"",AE104*AF104)</f>
        <v/>
      </c>
      <c r="AH104" s="10">
        <f>IF(AG104="","",IF(OR(AG104&gt;=17,AF104=5),"重大",IF(AG104&gt;=10,"高",IF(AG104&gt;=5,"中","低"))))</f>
        <v/>
      </c>
      <c r="AI104" s="14" t="n"/>
      <c r="AJ104" s="14" t="n"/>
      <c r="AK104" s="14" t="n"/>
      <c r="AL104" s="15" t="n"/>
      <c r="AM104" s="15" t="n"/>
      <c r="AN104" s="15" t="n"/>
      <c r="AO104" s="14" t="n"/>
      <c r="AP104" s="10">
        <f>IF(B104="","",IF(OR(V104="重大",AH104="重大",AH104="高",AI104="上升",AJ104="是",AND(AB104&lt;&gt;"",AB104&lt;项目驾驶舱!$B$3,AC104&lt;&gt;"已关闭")),"是","否"))</f>
        <v/>
      </c>
      <c r="AQ104" s="10">
        <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f>
        <v/>
      </c>
      <c r="AR104" s="10">
        <f>IF(AP104="是",COUNTIFS($AP$9:AP104,"是"),"")</f>
        <v/>
      </c>
    </row>
    <row r="105">
      <c r="A105" s="10">
        <f>IF(B105="","","RSK-"&amp;TEXT(ROW()-8,"000"))</f>
        <v/>
      </c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5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0">
        <f>IF(B105="","",MAX(M105:S105))</f>
        <v/>
      </c>
      <c r="U105" s="10">
        <f>IF(OR(L105="",T105=""),"",L105*T105)</f>
        <v/>
      </c>
      <c r="V105" s="10">
        <f>IF(U105="","",IF(OR(U105&gt;=17,T105=5),"重大",IF(U105&gt;=10,"高",IF(U105&gt;=5,"中","低"))))</f>
        <v/>
      </c>
      <c r="W105" s="14" t="n"/>
      <c r="X105" s="14" t="n"/>
      <c r="Y105" s="14" t="n"/>
      <c r="Z105" s="14" t="n"/>
      <c r="AA105" s="14" t="n"/>
      <c r="AB105" s="15" t="n"/>
      <c r="AC105" s="14" t="n"/>
      <c r="AD105" s="16" t="n"/>
      <c r="AE105" s="14" t="n"/>
      <c r="AF105" s="14" t="n"/>
      <c r="AG105" s="10">
        <f>IF(OR(AE105="",AF105=""),"",AE105*AF105)</f>
        <v/>
      </c>
      <c r="AH105" s="10">
        <f>IF(AG105="","",IF(OR(AG105&gt;=17,AF105=5),"重大",IF(AG105&gt;=10,"高",IF(AG105&gt;=5,"中","低"))))</f>
        <v/>
      </c>
      <c r="AI105" s="14" t="n"/>
      <c r="AJ105" s="14" t="n"/>
      <c r="AK105" s="14" t="n"/>
      <c r="AL105" s="15" t="n"/>
      <c r="AM105" s="15" t="n"/>
      <c r="AN105" s="15" t="n"/>
      <c r="AO105" s="14" t="n"/>
      <c r="AP105" s="10">
        <f>IF(B105="","",IF(OR(V105="重大",AH105="重大",AH105="高",AI105="上升",AJ105="是",AND(AB105&lt;&gt;"",AB105&lt;项目驾驶舱!$B$3,AC105&lt;&gt;"已关闭")),"是","否"))</f>
        <v/>
      </c>
      <c r="AQ105" s="10">
        <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f>
        <v/>
      </c>
      <c r="AR105" s="10">
        <f>IF(AP105="是",COUNTIFS($AP$9:AP105,"是"),"")</f>
        <v/>
      </c>
    </row>
    <row r="106">
      <c r="A106" s="10">
        <f>IF(B106="","","RSK-"&amp;TEXT(ROW()-8,"000"))</f>
        <v/>
      </c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5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0">
        <f>IF(B106="","",MAX(M106:S106))</f>
        <v/>
      </c>
      <c r="U106" s="10">
        <f>IF(OR(L106="",T106=""),"",L106*T106)</f>
        <v/>
      </c>
      <c r="V106" s="10">
        <f>IF(U106="","",IF(OR(U106&gt;=17,T106=5),"重大",IF(U106&gt;=10,"高",IF(U106&gt;=5,"中","低"))))</f>
        <v/>
      </c>
      <c r="W106" s="14" t="n"/>
      <c r="X106" s="14" t="n"/>
      <c r="Y106" s="14" t="n"/>
      <c r="Z106" s="14" t="n"/>
      <c r="AA106" s="14" t="n"/>
      <c r="AB106" s="15" t="n"/>
      <c r="AC106" s="14" t="n"/>
      <c r="AD106" s="16" t="n"/>
      <c r="AE106" s="14" t="n"/>
      <c r="AF106" s="14" t="n"/>
      <c r="AG106" s="10">
        <f>IF(OR(AE106="",AF106=""),"",AE106*AF106)</f>
        <v/>
      </c>
      <c r="AH106" s="10">
        <f>IF(AG106="","",IF(OR(AG106&gt;=17,AF106=5),"重大",IF(AG106&gt;=10,"高",IF(AG106&gt;=5,"中","低"))))</f>
        <v/>
      </c>
      <c r="AI106" s="14" t="n"/>
      <c r="AJ106" s="14" t="n"/>
      <c r="AK106" s="14" t="n"/>
      <c r="AL106" s="15" t="n"/>
      <c r="AM106" s="15" t="n"/>
      <c r="AN106" s="15" t="n"/>
      <c r="AO106" s="14" t="n"/>
      <c r="AP106" s="10">
        <f>IF(B106="","",IF(OR(V106="重大",AH106="重大",AH106="高",AI106="上升",AJ106="是",AND(AB106&lt;&gt;"",AB106&lt;项目驾驶舱!$B$3,AC106&lt;&gt;"已关闭")),"是","否"))</f>
        <v/>
      </c>
      <c r="AQ106" s="10">
        <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f>
        <v/>
      </c>
      <c r="AR106" s="10">
        <f>IF(AP106="是",COUNTIFS($AP$9:AP106,"是"),"")</f>
        <v/>
      </c>
    </row>
    <row r="107">
      <c r="A107" s="10">
        <f>IF(B107="","","RSK-"&amp;TEXT(ROW()-8,"000"))</f>
        <v/>
      </c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5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0">
        <f>IF(B107="","",MAX(M107:S107))</f>
        <v/>
      </c>
      <c r="U107" s="10">
        <f>IF(OR(L107="",T107=""),"",L107*T107)</f>
        <v/>
      </c>
      <c r="V107" s="10">
        <f>IF(U107="","",IF(OR(U107&gt;=17,T107=5),"重大",IF(U107&gt;=10,"高",IF(U107&gt;=5,"中","低"))))</f>
        <v/>
      </c>
      <c r="W107" s="14" t="n"/>
      <c r="X107" s="14" t="n"/>
      <c r="Y107" s="14" t="n"/>
      <c r="Z107" s="14" t="n"/>
      <c r="AA107" s="14" t="n"/>
      <c r="AB107" s="15" t="n"/>
      <c r="AC107" s="14" t="n"/>
      <c r="AD107" s="16" t="n"/>
      <c r="AE107" s="14" t="n"/>
      <c r="AF107" s="14" t="n"/>
      <c r="AG107" s="10">
        <f>IF(OR(AE107="",AF107=""),"",AE107*AF107)</f>
        <v/>
      </c>
      <c r="AH107" s="10">
        <f>IF(AG107="","",IF(OR(AG107&gt;=17,AF107=5),"重大",IF(AG107&gt;=10,"高",IF(AG107&gt;=5,"中","低"))))</f>
        <v/>
      </c>
      <c r="AI107" s="14" t="n"/>
      <c r="AJ107" s="14" t="n"/>
      <c r="AK107" s="14" t="n"/>
      <c r="AL107" s="15" t="n"/>
      <c r="AM107" s="15" t="n"/>
      <c r="AN107" s="15" t="n"/>
      <c r="AO107" s="14" t="n"/>
      <c r="AP107" s="10">
        <f>IF(B107="","",IF(OR(V107="重大",AH107="重大",AH107="高",AI107="上升",AJ107="是",AND(AB107&lt;&gt;"",AB107&lt;项目驾驶舱!$B$3,AC107&lt;&gt;"已关闭")),"是","否"))</f>
        <v/>
      </c>
      <c r="AQ107" s="10">
        <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f>
        <v/>
      </c>
      <c r="AR107" s="10">
        <f>IF(AP107="是",COUNTIFS($AP$9:AP107,"是"),"")</f>
        <v/>
      </c>
    </row>
    <row r="108">
      <c r="A108" s="10">
        <f>IF(B108="","","RSK-"&amp;TEXT(ROW()-8,"000"))</f>
        <v/>
      </c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5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0">
        <f>IF(B108="","",MAX(M108:S108))</f>
        <v/>
      </c>
      <c r="U108" s="10">
        <f>IF(OR(L108="",T108=""),"",L108*T108)</f>
        <v/>
      </c>
      <c r="V108" s="10">
        <f>IF(U108="","",IF(OR(U108&gt;=17,T108=5),"重大",IF(U108&gt;=10,"高",IF(U108&gt;=5,"中","低"))))</f>
        <v/>
      </c>
      <c r="W108" s="14" t="n"/>
      <c r="X108" s="14" t="n"/>
      <c r="Y108" s="14" t="n"/>
      <c r="Z108" s="14" t="n"/>
      <c r="AA108" s="14" t="n"/>
      <c r="AB108" s="15" t="n"/>
      <c r="AC108" s="14" t="n"/>
      <c r="AD108" s="16" t="n"/>
      <c r="AE108" s="14" t="n"/>
      <c r="AF108" s="14" t="n"/>
      <c r="AG108" s="10">
        <f>IF(OR(AE108="",AF108=""),"",AE108*AF108)</f>
        <v/>
      </c>
      <c r="AH108" s="10">
        <f>IF(AG108="","",IF(OR(AG108&gt;=17,AF108=5),"重大",IF(AG108&gt;=10,"高",IF(AG108&gt;=5,"中","低"))))</f>
        <v/>
      </c>
      <c r="AI108" s="14" t="n"/>
      <c r="AJ108" s="14" t="n"/>
      <c r="AK108" s="14" t="n"/>
      <c r="AL108" s="15" t="n"/>
      <c r="AM108" s="15" t="n"/>
      <c r="AN108" s="15" t="n"/>
      <c r="AO108" s="14" t="n"/>
      <c r="AP108" s="10">
        <f>IF(B108="","",IF(OR(V108="重大",AH108="重大",AH108="高",AI108="上升",AJ108="是",AND(AB108&lt;&gt;"",AB108&lt;项目驾驶舱!$B$3,AC108&lt;&gt;"已关闭")),"是","否"))</f>
        <v/>
      </c>
      <c r="AQ108" s="10">
        <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f>
        <v/>
      </c>
      <c r="AR108" s="10">
        <f>IF(AP108="是",COUNTIFS($AP$9:AP108,"是"),"")</f>
        <v/>
      </c>
    </row>
  </sheetData>
  <autoFilter ref="A8:AQ108"/>
  <mergeCells count="16">
    <mergeCell ref="J5:L5"/>
    <mergeCell ref="S5:U5"/>
    <mergeCell ref="A2:AR2"/>
    <mergeCell ref="A5:C5"/>
    <mergeCell ref="D5:F5"/>
    <mergeCell ref="G5:I5"/>
    <mergeCell ref="P5:R5"/>
    <mergeCell ref="D4:F4"/>
    <mergeCell ref="M4:O4"/>
    <mergeCell ref="S4:U4"/>
    <mergeCell ref="M5:O5"/>
    <mergeCell ref="A1:AR1"/>
    <mergeCell ref="G4:I4"/>
    <mergeCell ref="J4:L4"/>
    <mergeCell ref="A4:C4"/>
    <mergeCell ref="P4:R4"/>
  </mergeCells>
  <dataValidations count="7">
    <dataValidation sqref="C9:C108" showDropDown="0" showInputMessage="0" showErrorMessage="0" allowBlank="1" type="list">
      <formula1>"威胁,机会"</formula1>
    </dataValidation>
    <dataValidation sqref="D9:D108" showDropDown="0" showInputMessage="0" showErrorMessage="0" allowBlank="1" type="list">
      <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formula1>
    </dataValidation>
    <dataValidation sqref="Y9:Y108" showDropDown="0" showInputMessage="0" showErrorMessage="0" allowBlank="1" type="list">
      <formula1>"规避,减轻,转移,接受,上报,开拓,提高,分享"</formula1>
    </dataValidation>
    <dataValidation sqref="AC9:AC108" showDropDown="0" showInputMessage="0" showErrorMessage="0" allowBlank="1" type="list">
      <formula1>"已识别,分析中,应对中,监控中,已发生,已关闭"</formula1>
    </dataValidation>
    <dataValidation sqref="AI9:AI108" showDropDown="0" showInputMessage="0" showErrorMessage="0" allowBlank="1" type="list">
      <formula1>"上升,稳定,下降"</formula1>
    </dataValidation>
    <dataValidation sqref="AJ9:AJ108" showDropDown="0" showInputMessage="0" showErrorMessage="0" allowBlank="1" type="list">
      <formula1>"是,否"</formula1>
    </dataValidation>
    <dataValidation sqref="L9:S108 AE9:AF108" showDropDown="0" showInputMessage="0" showErrorMessage="0" allowBlank="1" type="list">
      <formula1>"1,2,3,4,5"</formula1>
    </dataValidation>
  </dataValidations>
  <pageMargins left="0.75" right="0.75" top="1" bottom="1" header="0.5" footer="0.5"/>
  <pageSetup orientation="landscape" paperSiz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ColWidth="9" defaultRowHeight="16.8"/>
  <cols>
    <col width="15" customWidth="1" min="1" max="1"/>
  </cols>
  <sheetData>
    <row r="1" ht="28" customHeight="1">
      <c r="A1" s="1" t="inlineStr">
        <is>
          <t>项目风险热力图</t>
        </is>
      </c>
    </row>
    <row r="2" ht="24" customHeight="1">
      <c r="A2" s="2" t="inlineStr">
        <is>
          <t>左侧展示固有风险，右侧展示应对后剩余风险；数字为对应概率和影响组合中的风险数量。</t>
        </is>
      </c>
    </row>
    <row r="3"/>
    <row r="4">
      <c r="A4" s="17" t="inlineStr">
        <is>
          <t>风险总数</t>
        </is>
      </c>
      <c r="D4" s="17" t="inlineStr">
        <is>
          <t>重大风险</t>
        </is>
      </c>
      <c r="G4" s="17" t="inlineStr">
        <is>
          <t>高风险</t>
        </is>
      </c>
      <c r="J4" s="17" t="inlineStr">
        <is>
          <t>应对逾期</t>
        </is>
      </c>
    </row>
    <row r="5" ht="22" customHeight="1">
      <c r="A5" s="18">
        <f>COUNTIFS(风险登记册!$B$9:$B$108,"&lt;&gt;")</f>
        <v/>
      </c>
      <c r="D5" s="18">
        <f>COUNTIFS(风险登记册!$AH$9:$AH$108,"重大")</f>
        <v/>
      </c>
      <c r="G5" s="18">
        <f>COUNTIFS(风险登记册!$AH$9:$AH$108,"高")</f>
        <v/>
      </c>
      <c r="J5" s="18">
        <f>COUNTIFS(风险登记册!$AB$9:$AB$108,"&lt;"&amp;项目驾驶舱!$B$3,风险登记册!$AB$9:$AB$108,"&lt;&gt;",风险登记册!$AC$9:$AC$108,"&lt;&gt;已关闭")</f>
        <v/>
      </c>
    </row>
    <row r="6"/>
    <row r="7"/>
    <row r="8" ht="17.6" customHeight="1">
      <c r="A8" s="8" t="inlineStr">
        <is>
          <t>固有风险</t>
        </is>
      </c>
      <c r="I8" s="8" t="inlineStr">
        <is>
          <t>剩余风险</t>
        </is>
      </c>
    </row>
    <row r="9">
      <c r="A9" s="19" t="inlineStr">
        <is>
          <t>影响\概率</t>
        </is>
      </c>
      <c r="B9" s="19" t="n">
        <v>1</v>
      </c>
      <c r="C9" s="19" t="n">
        <v>2</v>
      </c>
      <c r="D9" s="19" t="n">
        <v>3</v>
      </c>
      <c r="E9" s="19" t="n">
        <v>4</v>
      </c>
      <c r="F9" s="19" t="n">
        <v>5</v>
      </c>
      <c r="I9" s="19" t="inlineStr">
        <is>
          <t>影响\概率</t>
        </is>
      </c>
      <c r="J9" s="19" t="n">
        <v>1</v>
      </c>
      <c r="K9" s="19" t="n">
        <v>2</v>
      </c>
      <c r="L9" s="19" t="n">
        <v>3</v>
      </c>
      <c r="M9" s="19" t="n">
        <v>4</v>
      </c>
      <c r="N9" s="19" t="n">
        <v>5</v>
      </c>
    </row>
    <row r="10">
      <c r="A10" s="19" t="n">
        <v>5</v>
      </c>
      <c r="B10" s="20">
        <f>COUNTIFS(风险登记册!$L$9:$L$108,1,风险登记册!$T$9:$T$108,5,风险登记册!$B$9:$B$108,"&lt;&gt;")</f>
        <v/>
      </c>
      <c r="C10" s="21">
        <f>COUNTIFS(风险登记册!$L$9:$L$108,2,风险登记册!$T$9:$T$108,5,风险登记册!$B$9:$B$108,"&lt;&gt;")</f>
        <v/>
      </c>
      <c r="D10" s="21">
        <f>COUNTIFS(风险登记册!$L$9:$L$108,3,风险登记册!$T$9:$T$108,5,风险登记册!$B$9:$B$108,"&lt;&gt;")</f>
        <v/>
      </c>
      <c r="E10" s="22">
        <f>COUNTIFS(风险登记册!$L$9:$L$108,4,风险登记册!$T$9:$T$108,5,风险登记册!$B$9:$B$108,"&lt;&gt;")</f>
        <v/>
      </c>
      <c r="F10" s="22">
        <f>COUNTIFS(风险登记册!$L$9:$L$108,5,风险登记册!$T$9:$T$108,5,风险登记册!$B$9:$B$108,"&lt;&gt;")</f>
        <v/>
      </c>
      <c r="I10" s="19" t="n">
        <v>5</v>
      </c>
      <c r="J10" s="20">
        <f>COUNTIFS(风险登记册!$AE$9:$AE$108,1,风险登记册!$AF$9:$AF$108,5,风险登记册!$B$9:$B$108,"&lt;&gt;")</f>
        <v/>
      </c>
      <c r="K10" s="21">
        <f>COUNTIFS(风险登记册!$AE$9:$AE$108,2,风险登记册!$AF$9:$AF$108,5,风险登记册!$B$9:$B$108,"&lt;&gt;")</f>
        <v/>
      </c>
      <c r="L10" s="21">
        <f>COUNTIFS(风险登记册!$AE$9:$AE$108,3,风险登记册!$AF$9:$AF$108,5,风险登记册!$B$9:$B$108,"&lt;&gt;")</f>
        <v/>
      </c>
      <c r="M10" s="22">
        <f>COUNTIFS(风险登记册!$AE$9:$AE$108,4,风险登记册!$AF$9:$AF$108,5,风险登记册!$B$9:$B$108,"&lt;&gt;")</f>
        <v/>
      </c>
      <c r="N10" s="22">
        <f>COUNTIFS(风险登记册!$AE$9:$AE$108,5,风险登记册!$AF$9:$AF$108,5,风险登记册!$B$9:$B$108,"&lt;&gt;")</f>
        <v/>
      </c>
    </row>
    <row r="11">
      <c r="A11" s="19" t="n">
        <v>4</v>
      </c>
      <c r="B11" s="23">
        <f>COUNTIFS(风险登记册!$L$9:$L$108,1,风险登记册!$T$9:$T$108,4,风险登记册!$B$9:$B$108,"&lt;&gt;")</f>
        <v/>
      </c>
      <c r="C11" s="20">
        <f>COUNTIFS(风险登记册!$L$9:$L$108,2,风险登记册!$T$9:$T$108,4,风险登记册!$B$9:$B$108,"&lt;&gt;")</f>
        <v/>
      </c>
      <c r="D11" s="21">
        <f>COUNTIFS(风险登记册!$L$9:$L$108,3,风险登记册!$T$9:$T$108,4,风险登记册!$B$9:$B$108,"&lt;&gt;")</f>
        <v/>
      </c>
      <c r="E11" s="21">
        <f>COUNTIFS(风险登记册!$L$9:$L$108,4,风险登记册!$T$9:$T$108,4,风险登记册!$B$9:$B$108,"&lt;&gt;")</f>
        <v/>
      </c>
      <c r="F11" s="22">
        <f>COUNTIFS(风险登记册!$L$9:$L$108,5,风险登记册!$T$9:$T$108,4,风险登记册!$B$9:$B$108,"&lt;&gt;")</f>
        <v/>
      </c>
      <c r="I11" s="19" t="n">
        <v>4</v>
      </c>
      <c r="J11" s="23">
        <f>COUNTIFS(风险登记册!$AE$9:$AE$108,1,风险登记册!$AF$9:$AF$108,4,风险登记册!$B$9:$B$108,"&lt;&gt;")</f>
        <v/>
      </c>
      <c r="K11" s="20">
        <f>COUNTIFS(风险登记册!$AE$9:$AE$108,2,风险登记册!$AF$9:$AF$108,4,风险登记册!$B$9:$B$108,"&lt;&gt;")</f>
        <v/>
      </c>
      <c r="L11" s="21">
        <f>COUNTIFS(风险登记册!$AE$9:$AE$108,3,风险登记册!$AF$9:$AF$108,4,风险登记册!$B$9:$B$108,"&lt;&gt;")</f>
        <v/>
      </c>
      <c r="M11" s="21">
        <f>COUNTIFS(风险登记册!$AE$9:$AE$108,4,风险登记册!$AF$9:$AF$108,4,风险登记册!$B$9:$B$108,"&lt;&gt;")</f>
        <v/>
      </c>
      <c r="N11" s="22">
        <f>COUNTIFS(风险登记册!$AE$9:$AE$108,5,风险登记册!$AF$9:$AF$108,4,风险登记册!$B$9:$B$108,"&lt;&gt;")</f>
        <v/>
      </c>
    </row>
    <row r="12">
      <c r="A12" s="19" t="n">
        <v>3</v>
      </c>
      <c r="B12" s="23">
        <f>COUNTIFS(风险登记册!$L$9:$L$108,1,风险登记册!$T$9:$T$108,3,风险登记册!$B$9:$B$108,"&lt;&gt;")</f>
        <v/>
      </c>
      <c r="C12" s="20">
        <f>COUNTIFS(风险登记册!$L$9:$L$108,2,风险登记册!$T$9:$T$108,3,风险登记册!$B$9:$B$108,"&lt;&gt;")</f>
        <v/>
      </c>
      <c r="D12" s="20">
        <f>COUNTIFS(风险登记册!$L$9:$L$108,3,风险登记册!$T$9:$T$108,3,风险登记册!$B$9:$B$108,"&lt;&gt;")</f>
        <v/>
      </c>
      <c r="E12" s="21">
        <f>COUNTIFS(风险登记册!$L$9:$L$108,4,风险登记册!$T$9:$T$108,3,风险登记册!$B$9:$B$108,"&lt;&gt;")</f>
        <v/>
      </c>
      <c r="F12" s="21">
        <f>COUNTIFS(风险登记册!$L$9:$L$108,5,风险登记册!$T$9:$T$108,3,风险登记册!$B$9:$B$108,"&lt;&gt;")</f>
        <v/>
      </c>
      <c r="I12" s="19" t="n">
        <v>3</v>
      </c>
      <c r="J12" s="23">
        <f>COUNTIFS(风险登记册!$AE$9:$AE$108,1,风险登记册!$AF$9:$AF$108,3,风险登记册!$B$9:$B$108,"&lt;&gt;")</f>
        <v/>
      </c>
      <c r="K12" s="20">
        <f>COUNTIFS(风险登记册!$AE$9:$AE$108,2,风险登记册!$AF$9:$AF$108,3,风险登记册!$B$9:$B$108,"&lt;&gt;")</f>
        <v/>
      </c>
      <c r="L12" s="20">
        <f>COUNTIFS(风险登记册!$AE$9:$AE$108,3,风险登记册!$AF$9:$AF$108,3,风险登记册!$B$9:$B$108,"&lt;&gt;")</f>
        <v/>
      </c>
      <c r="M12" s="21">
        <f>COUNTIFS(风险登记册!$AE$9:$AE$108,4,风险登记册!$AF$9:$AF$108,3,风险登记册!$B$9:$B$108,"&lt;&gt;")</f>
        <v/>
      </c>
      <c r="N12" s="21">
        <f>COUNTIFS(风险登记册!$AE$9:$AE$108,5,风险登记册!$AF$9:$AF$108,3,风险登记册!$B$9:$B$108,"&lt;&gt;")</f>
        <v/>
      </c>
    </row>
    <row r="13">
      <c r="A13" s="19" t="n">
        <v>2</v>
      </c>
      <c r="B13" s="23">
        <f>COUNTIFS(风险登记册!$L$9:$L$108,1,风险登记册!$T$9:$T$108,2,风险登记册!$B$9:$B$108,"&lt;&gt;")</f>
        <v/>
      </c>
      <c r="C13" s="23">
        <f>COUNTIFS(风险登记册!$L$9:$L$108,2,风险登记册!$T$9:$T$108,2,风险登记册!$B$9:$B$108,"&lt;&gt;")</f>
        <v/>
      </c>
      <c r="D13" s="20">
        <f>COUNTIFS(风险登记册!$L$9:$L$108,3,风险登记册!$T$9:$T$108,2,风险登记册!$B$9:$B$108,"&lt;&gt;")</f>
        <v/>
      </c>
      <c r="E13" s="20">
        <f>COUNTIFS(风险登记册!$L$9:$L$108,4,风险登记册!$T$9:$T$108,2,风险登记册!$B$9:$B$108,"&lt;&gt;")</f>
        <v/>
      </c>
      <c r="F13" s="21">
        <f>COUNTIFS(风险登记册!$L$9:$L$108,5,风险登记册!$T$9:$T$108,2,风险登记册!$B$9:$B$108,"&lt;&gt;")</f>
        <v/>
      </c>
      <c r="I13" s="19" t="n">
        <v>2</v>
      </c>
      <c r="J13" s="23">
        <f>COUNTIFS(风险登记册!$AE$9:$AE$108,1,风险登记册!$AF$9:$AF$108,2,风险登记册!$B$9:$B$108,"&lt;&gt;")</f>
        <v/>
      </c>
      <c r="K13" s="23">
        <f>COUNTIFS(风险登记册!$AE$9:$AE$108,2,风险登记册!$AF$9:$AF$108,2,风险登记册!$B$9:$B$108,"&lt;&gt;")</f>
        <v/>
      </c>
      <c r="L13" s="20">
        <f>COUNTIFS(风险登记册!$AE$9:$AE$108,3,风险登记册!$AF$9:$AF$108,2,风险登记册!$B$9:$B$108,"&lt;&gt;")</f>
        <v/>
      </c>
      <c r="M13" s="20">
        <f>COUNTIFS(风险登记册!$AE$9:$AE$108,4,风险登记册!$AF$9:$AF$108,2,风险登记册!$B$9:$B$108,"&lt;&gt;")</f>
        <v/>
      </c>
      <c r="N13" s="21">
        <f>COUNTIFS(风险登记册!$AE$9:$AE$108,5,风险登记册!$AF$9:$AF$108,2,风险登记册!$B$9:$B$108,"&lt;&gt;")</f>
        <v/>
      </c>
    </row>
    <row r="14">
      <c r="A14" s="19" t="n">
        <v>1</v>
      </c>
      <c r="B14" s="23">
        <f>COUNTIFS(风险登记册!$L$9:$L$108,1,风险登记册!$T$9:$T$108,1,风险登记册!$B$9:$B$108,"&lt;&gt;")</f>
        <v/>
      </c>
      <c r="C14" s="23">
        <f>COUNTIFS(风险登记册!$L$9:$L$108,2,风险登记册!$T$9:$T$108,1,风险登记册!$B$9:$B$108,"&lt;&gt;")</f>
        <v/>
      </c>
      <c r="D14" s="23">
        <f>COUNTIFS(风险登记册!$L$9:$L$108,3,风险登记册!$T$9:$T$108,1,风险登记册!$B$9:$B$108,"&lt;&gt;")</f>
        <v/>
      </c>
      <c r="E14" s="23">
        <f>COUNTIFS(风险登记册!$L$9:$L$108,4,风险登记册!$T$9:$T$108,1,风险登记册!$B$9:$B$108,"&lt;&gt;")</f>
        <v/>
      </c>
      <c r="F14" s="20">
        <f>COUNTIFS(风险登记册!$L$9:$L$108,5,风险登记册!$T$9:$T$108,1,风险登记册!$B$9:$B$108,"&lt;&gt;")</f>
        <v/>
      </c>
      <c r="I14" s="19" t="n">
        <v>1</v>
      </c>
      <c r="J14" s="23">
        <f>COUNTIFS(风险登记册!$AE$9:$AE$108,1,风险登记册!$AF$9:$AF$108,1,风险登记册!$B$9:$B$108,"&lt;&gt;")</f>
        <v/>
      </c>
      <c r="K14" s="23">
        <f>COUNTIFS(风险登记册!$AE$9:$AE$108,2,风险登记册!$AF$9:$AF$108,1,风险登记册!$B$9:$B$108,"&lt;&gt;")</f>
        <v/>
      </c>
      <c r="L14" s="23">
        <f>COUNTIFS(风险登记册!$AE$9:$AE$108,3,风险登记册!$AF$9:$AF$108,1,风险登记册!$B$9:$B$108,"&lt;&gt;")</f>
        <v/>
      </c>
      <c r="M14" s="23">
        <f>COUNTIFS(风险登记册!$AE$9:$AE$108,4,风险登记册!$AF$9:$AF$108,1,风险登记册!$B$9:$B$108,"&lt;&gt;")</f>
        <v/>
      </c>
      <c r="N14" s="20">
        <f>COUNTIFS(风险登记册!$AE$9:$AE$108,5,风险登记册!$AF$9:$AF$108,1,风险登记册!$B$9:$B$108,"&lt;&gt;")</f>
        <v/>
      </c>
    </row>
    <row r="15"/>
    <row r="16"/>
    <row r="17" ht="17.6" customHeight="1">
      <c r="A17" s="8" t="inlineStr">
        <is>
          <t>等级说明</t>
        </is>
      </c>
    </row>
    <row r="18">
      <c r="A18" s="24" t="inlineStr">
        <is>
          <t>低（1–4）</t>
        </is>
      </c>
    </row>
    <row r="19">
      <c r="A19" s="25" t="inlineStr">
        <is>
          <t>中（5–9）</t>
        </is>
      </c>
    </row>
    <row r="20">
      <c r="A20" s="26" t="inlineStr">
        <is>
          <t>高（10–16）</t>
        </is>
      </c>
    </row>
    <row r="21">
      <c r="A21" s="27" t="inlineStr">
        <is>
          <t>重大（17–25或影响=5）</t>
        </is>
      </c>
    </row>
  </sheetData>
  <mergeCells count="12">
    <mergeCell ref="J5:L5"/>
    <mergeCell ref="A2:O2"/>
    <mergeCell ref="D5:F5"/>
    <mergeCell ref="A5:C5"/>
    <mergeCell ref="G5:I5"/>
    <mergeCell ref="D4:F4"/>
    <mergeCell ref="A8:F8"/>
    <mergeCell ref="A1:O1"/>
    <mergeCell ref="G4:I4"/>
    <mergeCell ref="I8:N8"/>
    <mergeCell ref="J4:L4"/>
    <mergeCell ref="A4:C4"/>
  </mergeCells>
  <pageMargins left="0.75" right="0.75" top="1" bottom="1" header="0.5" footer="0.5"/>
  <pageSetup orientation="landscape" paperSiz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8" customWidth="1" min="1" max="1"/>
    <col width="13" customWidth="1" min="2" max="2"/>
    <col width="28" customWidth="1" min="3" max="3"/>
    <col width="20" customWidth="1" min="4" max="4"/>
    <col width="10" customWidth="1" min="5" max="5"/>
    <col width="14" customWidth="1" min="6" max="6"/>
    <col width="10" customWidth="1" min="7" max="7"/>
    <col width="28" customWidth="1" min="8" max="8"/>
    <col width="14" customWidth="1" min="9" max="9"/>
    <col width="15" customWidth="1" min="10" max="10"/>
    <col width="14" customWidth="1" min="11" max="11"/>
    <col width="32" customWidth="1" min="12" max="12"/>
    <col width="28" customWidth="1" min="13" max="13"/>
    <col hidden="1" width="13" customWidth="1" min="15" max="15"/>
  </cols>
  <sheetData>
    <row r="1" ht="28" customHeight="1">
      <c r="A1" s="1" t="inlineStr">
        <is>
          <t>重点风险清单</t>
        </is>
      </c>
    </row>
    <row r="2" ht="24" customHeight="1">
      <c r="A2" s="2" t="inlineStr">
        <is>
          <t>自动纳入重大/高剩余风险、趋势上升、已发生或应对逾期的风险。</t>
        </is>
      </c>
    </row>
    <row r="3"/>
    <row r="4" ht="34" customHeight="1">
      <c r="A4" s="9" t="inlineStr">
        <is>
          <t>序号</t>
        </is>
      </c>
      <c r="B4" s="9" t="inlineStr">
        <is>
          <t>风险ID</t>
        </is>
      </c>
      <c r="C4" s="9" t="inlineStr">
        <is>
          <t>风险名称</t>
        </is>
      </c>
      <c r="D4" s="9" t="inlineStr">
        <is>
          <t>类别</t>
        </is>
      </c>
      <c r="E4" s="9" t="inlineStr">
        <is>
          <t>类型</t>
        </is>
      </c>
      <c r="F4" s="9" t="inlineStr">
        <is>
          <t>剩余等级</t>
        </is>
      </c>
      <c r="G4" s="9" t="inlineStr">
        <is>
          <t>趋势</t>
        </is>
      </c>
      <c r="H4" s="9" t="inlineStr">
        <is>
          <t>触发条件</t>
        </is>
      </c>
      <c r="I4" s="9" t="inlineStr">
        <is>
          <t>当前状态</t>
        </is>
      </c>
      <c r="J4" s="9" t="inlineStr">
        <is>
          <t>风险责任人</t>
        </is>
      </c>
      <c r="K4" s="9" t="inlineStr">
        <is>
          <t>最迟应对日期</t>
        </is>
      </c>
      <c r="L4" s="9" t="inlineStr">
        <is>
          <t>下一步行动</t>
        </is>
      </c>
      <c r="M4" s="9" t="inlineStr">
        <is>
          <t>需要支持</t>
        </is>
      </c>
      <c r="N4" s="9" t="inlineStr">
        <is>
          <t>管理层结论</t>
        </is>
      </c>
      <c r="O4" s="9" t="inlineStr">
        <is>
          <t>_source_index</t>
        </is>
      </c>
    </row>
    <row r="5">
      <c r="A5" s="10">
        <f>IF(O5="","",ROWS($A$5:A5))</f>
        <v/>
      </c>
      <c r="B5" s="10">
        <f>IF($O5="","",INDEX(风险登记册!$A$9:$A$108,$O5))</f>
        <v/>
      </c>
      <c r="C5" s="10">
        <f>IF($O5="","",INDEX(风险登记册!$B$9:$B$108,$O5))</f>
        <v/>
      </c>
      <c r="D5" s="10">
        <f>IF($O5="","",INDEX(风险登记册!$D$9:$D$108,$O5))</f>
        <v/>
      </c>
      <c r="E5" s="10">
        <f>IF($O5="","",INDEX(风险登记册!$C$9:$C$108,$O5))</f>
        <v/>
      </c>
      <c r="F5" s="10">
        <f>IF($O5="","",INDEX(风险登记册!$AH$9:$AH$108,$O5))</f>
        <v/>
      </c>
      <c r="G5" s="10">
        <f>IF($O5="","",INDEX(风险登记册!$AI$9:$AI$108,$O5))</f>
        <v/>
      </c>
      <c r="H5" s="10">
        <f>IF($O5="","",INDEX(风险登记册!$Z$9:$Z$108,$O5))</f>
        <v/>
      </c>
      <c r="I5" s="10">
        <f>IF($O5="","",INDEX(风险登记册!$AC$9:$AC$108,$O5))</f>
        <v/>
      </c>
      <c r="J5" s="10">
        <f>IF($O5="","",INDEX(风险登记册!$W$9:$W$108,$O5))</f>
        <v/>
      </c>
      <c r="K5" s="28">
        <f>IF($O5="","",INDEX(风险登记册!$AB$9:$AB$108,$O5))</f>
        <v/>
      </c>
      <c r="L5" s="10">
        <f>IF($B5="","",IFERROR(INDEX(风险应对计划!$E$9:$E$108,MATCH($B5,风险应对计划!$B$9:$B$108,0)),""))</f>
        <v/>
      </c>
      <c r="M5" s="14" t="n"/>
      <c r="N5" s="14" t="n"/>
      <c r="O5" s="10">
        <f>IFERROR(MATCH(ROWS($A$5:A5),风险登记册!$AR$9:$AR$108,0),"")</f>
        <v/>
      </c>
    </row>
    <row r="6">
      <c r="A6" s="10">
        <f>IF(O6="","",ROWS($A$5:A6))</f>
        <v/>
      </c>
      <c r="B6" s="10">
        <f>IF($O6="","",INDEX(风险登记册!$A$9:$A$108,$O6))</f>
        <v/>
      </c>
      <c r="C6" s="10">
        <f>IF($O6="","",INDEX(风险登记册!$B$9:$B$108,$O6))</f>
        <v/>
      </c>
      <c r="D6" s="10">
        <f>IF($O6="","",INDEX(风险登记册!$D$9:$D$108,$O6))</f>
        <v/>
      </c>
      <c r="E6" s="10">
        <f>IF($O6="","",INDEX(风险登记册!$C$9:$C$108,$O6))</f>
        <v/>
      </c>
      <c r="F6" s="10">
        <f>IF($O6="","",INDEX(风险登记册!$AH$9:$AH$108,$O6))</f>
        <v/>
      </c>
      <c r="G6" s="10">
        <f>IF($O6="","",INDEX(风险登记册!$AI$9:$AI$108,$O6))</f>
        <v/>
      </c>
      <c r="H6" s="10">
        <f>IF($O6="","",INDEX(风险登记册!$Z$9:$Z$108,$O6))</f>
        <v/>
      </c>
      <c r="I6" s="10">
        <f>IF($O6="","",INDEX(风险登记册!$AC$9:$AC$108,$O6))</f>
        <v/>
      </c>
      <c r="J6" s="10">
        <f>IF($O6="","",INDEX(风险登记册!$W$9:$W$108,$O6))</f>
        <v/>
      </c>
      <c r="K6" s="28">
        <f>IF($O6="","",INDEX(风险登记册!$AB$9:$AB$108,$O6))</f>
        <v/>
      </c>
      <c r="L6" s="10">
        <f>IF($B6="","",IFERROR(INDEX(风险应对计划!$E$9:$E$108,MATCH($B6,风险应对计划!$B$9:$B$108,0)),""))</f>
        <v/>
      </c>
      <c r="M6" s="14" t="n"/>
      <c r="N6" s="14" t="n"/>
      <c r="O6" s="10">
        <f>IFERROR(MATCH(ROWS($A$5:A6),风险登记册!$AR$9:$AR$108,0),"")</f>
        <v/>
      </c>
    </row>
    <row r="7">
      <c r="A7" s="10">
        <f>IF(O7="","",ROWS($A$5:A7))</f>
        <v/>
      </c>
      <c r="B7" s="10">
        <f>IF($O7="","",INDEX(风险登记册!$A$9:$A$108,$O7))</f>
        <v/>
      </c>
      <c r="C7" s="10">
        <f>IF($O7="","",INDEX(风险登记册!$B$9:$B$108,$O7))</f>
        <v/>
      </c>
      <c r="D7" s="10">
        <f>IF($O7="","",INDEX(风险登记册!$D$9:$D$108,$O7))</f>
        <v/>
      </c>
      <c r="E7" s="10">
        <f>IF($O7="","",INDEX(风险登记册!$C$9:$C$108,$O7))</f>
        <v/>
      </c>
      <c r="F7" s="10">
        <f>IF($O7="","",INDEX(风险登记册!$AH$9:$AH$108,$O7))</f>
        <v/>
      </c>
      <c r="G7" s="10">
        <f>IF($O7="","",INDEX(风险登记册!$AI$9:$AI$108,$O7))</f>
        <v/>
      </c>
      <c r="H7" s="10">
        <f>IF($O7="","",INDEX(风险登记册!$Z$9:$Z$108,$O7))</f>
        <v/>
      </c>
      <c r="I7" s="10">
        <f>IF($O7="","",INDEX(风险登记册!$AC$9:$AC$108,$O7))</f>
        <v/>
      </c>
      <c r="J7" s="10">
        <f>IF($O7="","",INDEX(风险登记册!$W$9:$W$108,$O7))</f>
        <v/>
      </c>
      <c r="K7" s="28">
        <f>IF($O7="","",INDEX(风险登记册!$AB$9:$AB$108,$O7))</f>
        <v/>
      </c>
      <c r="L7" s="10">
        <f>IF($B7="","",IFERROR(INDEX(风险应对计划!$E$9:$E$108,MATCH($B7,风险应对计划!$B$9:$B$108,0)),""))</f>
        <v/>
      </c>
      <c r="M7" s="14" t="n"/>
      <c r="N7" s="14" t="n"/>
      <c r="O7" s="10">
        <f>IFERROR(MATCH(ROWS($A$5:A7),风险登记册!$AR$9:$AR$108,0),"")</f>
        <v/>
      </c>
    </row>
    <row r="8">
      <c r="A8" s="10">
        <f>IF(O8="","",ROWS($A$5:A8))</f>
        <v/>
      </c>
      <c r="B8" s="10">
        <f>IF($O8="","",INDEX(风险登记册!$A$9:$A$108,$O8))</f>
        <v/>
      </c>
      <c r="C8" s="10">
        <f>IF($O8="","",INDEX(风险登记册!$B$9:$B$108,$O8))</f>
        <v/>
      </c>
      <c r="D8" s="10">
        <f>IF($O8="","",INDEX(风险登记册!$D$9:$D$108,$O8))</f>
        <v/>
      </c>
      <c r="E8" s="10">
        <f>IF($O8="","",INDEX(风险登记册!$C$9:$C$108,$O8))</f>
        <v/>
      </c>
      <c r="F8" s="10">
        <f>IF($O8="","",INDEX(风险登记册!$AH$9:$AH$108,$O8))</f>
        <v/>
      </c>
      <c r="G8" s="10">
        <f>IF($O8="","",INDEX(风险登记册!$AI$9:$AI$108,$O8))</f>
        <v/>
      </c>
      <c r="H8" s="10">
        <f>IF($O8="","",INDEX(风险登记册!$Z$9:$Z$108,$O8))</f>
        <v/>
      </c>
      <c r="I8" s="10">
        <f>IF($O8="","",INDEX(风险登记册!$AC$9:$AC$108,$O8))</f>
        <v/>
      </c>
      <c r="J8" s="10">
        <f>IF($O8="","",INDEX(风险登记册!$W$9:$W$108,$O8))</f>
        <v/>
      </c>
      <c r="K8" s="28">
        <f>IF($O8="","",INDEX(风险登记册!$AB$9:$AB$108,$O8))</f>
        <v/>
      </c>
      <c r="L8" s="10">
        <f>IF($B8="","",IFERROR(INDEX(风险应对计划!$E$9:$E$108,MATCH($B8,风险应对计划!$B$9:$B$108,0)),""))</f>
        <v/>
      </c>
      <c r="M8" s="14" t="n"/>
      <c r="N8" s="14" t="n"/>
      <c r="O8" s="10">
        <f>IFERROR(MATCH(ROWS($A$5:A8),风险登记册!$AR$9:$AR$108,0),"")</f>
        <v/>
      </c>
    </row>
    <row r="9">
      <c r="A9" s="10">
        <f>IF(O9="","",ROWS($A$5:A9))</f>
        <v/>
      </c>
      <c r="B9" s="10">
        <f>IF($O9="","",INDEX(风险登记册!$A$9:$A$108,$O9))</f>
        <v/>
      </c>
      <c r="C9" s="10">
        <f>IF($O9="","",INDEX(风险登记册!$B$9:$B$108,$O9))</f>
        <v/>
      </c>
      <c r="D9" s="10">
        <f>IF($O9="","",INDEX(风险登记册!$D$9:$D$108,$O9))</f>
        <v/>
      </c>
      <c r="E9" s="10">
        <f>IF($O9="","",INDEX(风险登记册!$C$9:$C$108,$O9))</f>
        <v/>
      </c>
      <c r="F9" s="10">
        <f>IF($O9="","",INDEX(风险登记册!$AH$9:$AH$108,$O9))</f>
        <v/>
      </c>
      <c r="G9" s="10">
        <f>IF($O9="","",INDEX(风险登记册!$AI$9:$AI$108,$O9))</f>
        <v/>
      </c>
      <c r="H9" s="10">
        <f>IF($O9="","",INDEX(风险登记册!$Z$9:$Z$108,$O9))</f>
        <v/>
      </c>
      <c r="I9" s="10">
        <f>IF($O9="","",INDEX(风险登记册!$AC$9:$AC$108,$O9))</f>
        <v/>
      </c>
      <c r="J9" s="10">
        <f>IF($O9="","",INDEX(风险登记册!$W$9:$W$108,$O9))</f>
        <v/>
      </c>
      <c r="K9" s="28">
        <f>IF($O9="","",INDEX(风险登记册!$AB$9:$AB$108,$O9))</f>
        <v/>
      </c>
      <c r="L9" s="10">
        <f>IF($B9="","",IFERROR(INDEX(风险应对计划!$E$9:$E$108,MATCH($B9,风险应对计划!$B$9:$B$108,0)),""))</f>
        <v/>
      </c>
      <c r="M9" s="14" t="n"/>
      <c r="N9" s="14" t="n"/>
      <c r="O9" s="10">
        <f>IFERROR(MATCH(ROWS($A$5:A9),风险登记册!$AR$9:$AR$108,0),"")</f>
        <v/>
      </c>
    </row>
    <row r="10">
      <c r="A10" s="10">
        <f>IF(O10="","",ROWS($A$5:A10))</f>
        <v/>
      </c>
      <c r="B10" s="10">
        <f>IF($O10="","",INDEX(风险登记册!$A$9:$A$108,$O10))</f>
        <v/>
      </c>
      <c r="C10" s="10">
        <f>IF($O10="","",INDEX(风险登记册!$B$9:$B$108,$O10))</f>
        <v/>
      </c>
      <c r="D10" s="10">
        <f>IF($O10="","",INDEX(风险登记册!$D$9:$D$108,$O10))</f>
        <v/>
      </c>
      <c r="E10" s="10">
        <f>IF($O10="","",INDEX(风险登记册!$C$9:$C$108,$O10))</f>
        <v/>
      </c>
      <c r="F10" s="10">
        <f>IF($O10="","",INDEX(风险登记册!$AH$9:$AH$108,$O10))</f>
        <v/>
      </c>
      <c r="G10" s="10">
        <f>IF($O10="","",INDEX(风险登记册!$AI$9:$AI$108,$O10))</f>
        <v/>
      </c>
      <c r="H10" s="10">
        <f>IF($O10="","",INDEX(风险登记册!$Z$9:$Z$108,$O10))</f>
        <v/>
      </c>
      <c r="I10" s="10">
        <f>IF($O10="","",INDEX(风险登记册!$AC$9:$AC$108,$O10))</f>
        <v/>
      </c>
      <c r="J10" s="10">
        <f>IF($O10="","",INDEX(风险登记册!$W$9:$W$108,$O10))</f>
        <v/>
      </c>
      <c r="K10" s="28">
        <f>IF($O10="","",INDEX(风险登记册!$AB$9:$AB$108,$O10))</f>
        <v/>
      </c>
      <c r="L10" s="10">
        <f>IF($B10="","",IFERROR(INDEX(风险应对计划!$E$9:$E$108,MATCH($B10,风险应对计划!$B$9:$B$108,0)),""))</f>
        <v/>
      </c>
      <c r="M10" s="14" t="n"/>
      <c r="N10" s="14" t="n"/>
      <c r="O10" s="10">
        <f>IFERROR(MATCH(ROWS($A$5:A10),风险登记册!$AR$9:$AR$108,0),"")</f>
        <v/>
      </c>
    </row>
    <row r="11">
      <c r="A11" s="10">
        <f>IF(O11="","",ROWS($A$5:A11))</f>
        <v/>
      </c>
      <c r="B11" s="10">
        <f>IF($O11="","",INDEX(风险登记册!$A$9:$A$108,$O11))</f>
        <v/>
      </c>
      <c r="C11" s="10">
        <f>IF($O11="","",INDEX(风险登记册!$B$9:$B$108,$O11))</f>
        <v/>
      </c>
      <c r="D11" s="10">
        <f>IF($O11="","",INDEX(风险登记册!$D$9:$D$108,$O11))</f>
        <v/>
      </c>
      <c r="E11" s="10">
        <f>IF($O11="","",INDEX(风险登记册!$C$9:$C$108,$O11))</f>
        <v/>
      </c>
      <c r="F11" s="10">
        <f>IF($O11="","",INDEX(风险登记册!$AH$9:$AH$108,$O11))</f>
        <v/>
      </c>
      <c r="G11" s="10">
        <f>IF($O11="","",INDEX(风险登记册!$AI$9:$AI$108,$O11))</f>
        <v/>
      </c>
      <c r="H11" s="10">
        <f>IF($O11="","",INDEX(风险登记册!$Z$9:$Z$108,$O11))</f>
        <v/>
      </c>
      <c r="I11" s="10">
        <f>IF($O11="","",INDEX(风险登记册!$AC$9:$AC$108,$O11))</f>
        <v/>
      </c>
      <c r="J11" s="10">
        <f>IF($O11="","",INDEX(风险登记册!$W$9:$W$108,$O11))</f>
        <v/>
      </c>
      <c r="K11" s="28">
        <f>IF($O11="","",INDEX(风险登记册!$AB$9:$AB$108,$O11))</f>
        <v/>
      </c>
      <c r="L11" s="10">
        <f>IF($B11="","",IFERROR(INDEX(风险应对计划!$E$9:$E$108,MATCH($B11,风险应对计划!$B$9:$B$108,0)),""))</f>
        <v/>
      </c>
      <c r="M11" s="14" t="n"/>
      <c r="N11" s="14" t="n"/>
      <c r="O11" s="10">
        <f>IFERROR(MATCH(ROWS($A$5:A11),风险登记册!$AR$9:$AR$108,0),"")</f>
        <v/>
      </c>
    </row>
    <row r="12">
      <c r="A12" s="10">
        <f>IF(O12="","",ROWS($A$5:A12))</f>
        <v/>
      </c>
      <c r="B12" s="10">
        <f>IF($O12="","",INDEX(风险登记册!$A$9:$A$108,$O12))</f>
        <v/>
      </c>
      <c r="C12" s="10">
        <f>IF($O12="","",INDEX(风险登记册!$B$9:$B$108,$O12))</f>
        <v/>
      </c>
      <c r="D12" s="10">
        <f>IF($O12="","",INDEX(风险登记册!$D$9:$D$108,$O12))</f>
        <v/>
      </c>
      <c r="E12" s="10">
        <f>IF($O12="","",INDEX(风险登记册!$C$9:$C$108,$O12))</f>
        <v/>
      </c>
      <c r="F12" s="10">
        <f>IF($O12="","",INDEX(风险登记册!$AH$9:$AH$108,$O12))</f>
        <v/>
      </c>
      <c r="G12" s="10">
        <f>IF($O12="","",INDEX(风险登记册!$AI$9:$AI$108,$O12))</f>
        <v/>
      </c>
      <c r="H12" s="10">
        <f>IF($O12="","",INDEX(风险登记册!$Z$9:$Z$108,$O12))</f>
        <v/>
      </c>
      <c r="I12" s="10">
        <f>IF($O12="","",INDEX(风险登记册!$AC$9:$AC$108,$O12))</f>
        <v/>
      </c>
      <c r="J12" s="10">
        <f>IF($O12="","",INDEX(风险登记册!$W$9:$W$108,$O12))</f>
        <v/>
      </c>
      <c r="K12" s="28">
        <f>IF($O12="","",INDEX(风险登记册!$AB$9:$AB$108,$O12))</f>
        <v/>
      </c>
      <c r="L12" s="10">
        <f>IF($B12="","",IFERROR(INDEX(风险应对计划!$E$9:$E$108,MATCH($B12,风险应对计划!$B$9:$B$108,0)),""))</f>
        <v/>
      </c>
      <c r="M12" s="14" t="n"/>
      <c r="N12" s="14" t="n"/>
      <c r="O12" s="10">
        <f>IFERROR(MATCH(ROWS($A$5:A12),风险登记册!$AR$9:$AR$108,0),"")</f>
        <v/>
      </c>
    </row>
    <row r="13">
      <c r="A13" s="10">
        <f>IF(O13="","",ROWS($A$5:A13))</f>
        <v/>
      </c>
      <c r="B13" s="10">
        <f>IF($O13="","",INDEX(风险登记册!$A$9:$A$108,$O13))</f>
        <v/>
      </c>
      <c r="C13" s="10">
        <f>IF($O13="","",INDEX(风险登记册!$B$9:$B$108,$O13))</f>
        <v/>
      </c>
      <c r="D13" s="10">
        <f>IF($O13="","",INDEX(风险登记册!$D$9:$D$108,$O13))</f>
        <v/>
      </c>
      <c r="E13" s="10">
        <f>IF($O13="","",INDEX(风险登记册!$C$9:$C$108,$O13))</f>
        <v/>
      </c>
      <c r="F13" s="10">
        <f>IF($O13="","",INDEX(风险登记册!$AH$9:$AH$108,$O13))</f>
        <v/>
      </c>
      <c r="G13" s="10">
        <f>IF($O13="","",INDEX(风险登记册!$AI$9:$AI$108,$O13))</f>
        <v/>
      </c>
      <c r="H13" s="10">
        <f>IF($O13="","",INDEX(风险登记册!$Z$9:$Z$108,$O13))</f>
        <v/>
      </c>
      <c r="I13" s="10">
        <f>IF($O13="","",INDEX(风险登记册!$AC$9:$AC$108,$O13))</f>
        <v/>
      </c>
      <c r="J13" s="10">
        <f>IF($O13="","",INDEX(风险登记册!$W$9:$W$108,$O13))</f>
        <v/>
      </c>
      <c r="K13" s="28">
        <f>IF($O13="","",INDEX(风险登记册!$AB$9:$AB$108,$O13))</f>
        <v/>
      </c>
      <c r="L13" s="10">
        <f>IF($B13="","",IFERROR(INDEX(风险应对计划!$E$9:$E$108,MATCH($B13,风险应对计划!$B$9:$B$108,0)),""))</f>
        <v/>
      </c>
      <c r="M13" s="14" t="n"/>
      <c r="N13" s="14" t="n"/>
      <c r="O13" s="10">
        <f>IFERROR(MATCH(ROWS($A$5:A13),风险登记册!$AR$9:$AR$108,0),"")</f>
        <v/>
      </c>
    </row>
    <row r="14">
      <c r="A14" s="10">
        <f>IF(O14="","",ROWS($A$5:A14))</f>
        <v/>
      </c>
      <c r="B14" s="10">
        <f>IF($O14="","",INDEX(风险登记册!$A$9:$A$108,$O14))</f>
        <v/>
      </c>
      <c r="C14" s="10">
        <f>IF($O14="","",INDEX(风险登记册!$B$9:$B$108,$O14))</f>
        <v/>
      </c>
      <c r="D14" s="10">
        <f>IF($O14="","",INDEX(风险登记册!$D$9:$D$108,$O14))</f>
        <v/>
      </c>
      <c r="E14" s="10">
        <f>IF($O14="","",INDEX(风险登记册!$C$9:$C$108,$O14))</f>
        <v/>
      </c>
      <c r="F14" s="10">
        <f>IF($O14="","",INDEX(风险登记册!$AH$9:$AH$108,$O14))</f>
        <v/>
      </c>
      <c r="G14" s="10">
        <f>IF($O14="","",INDEX(风险登记册!$AI$9:$AI$108,$O14))</f>
        <v/>
      </c>
      <c r="H14" s="10">
        <f>IF($O14="","",INDEX(风险登记册!$Z$9:$Z$108,$O14))</f>
        <v/>
      </c>
      <c r="I14" s="10">
        <f>IF($O14="","",INDEX(风险登记册!$AC$9:$AC$108,$O14))</f>
        <v/>
      </c>
      <c r="J14" s="10">
        <f>IF($O14="","",INDEX(风险登记册!$W$9:$W$108,$O14))</f>
        <v/>
      </c>
      <c r="K14" s="28">
        <f>IF($O14="","",INDEX(风险登记册!$AB$9:$AB$108,$O14))</f>
        <v/>
      </c>
      <c r="L14" s="10">
        <f>IF($B14="","",IFERROR(INDEX(风险应对计划!$E$9:$E$108,MATCH($B14,风险应对计划!$B$9:$B$108,0)),""))</f>
        <v/>
      </c>
      <c r="M14" s="14" t="n"/>
      <c r="N14" s="14" t="n"/>
      <c r="O14" s="10">
        <f>IFERROR(MATCH(ROWS($A$5:A14),风险登记册!$AR$9:$AR$108,0),"")</f>
        <v/>
      </c>
    </row>
    <row r="15">
      <c r="A15" s="10">
        <f>IF(O15="","",ROWS($A$5:A15))</f>
        <v/>
      </c>
      <c r="B15" s="10">
        <f>IF($O15="","",INDEX(风险登记册!$A$9:$A$108,$O15))</f>
        <v/>
      </c>
      <c r="C15" s="10">
        <f>IF($O15="","",INDEX(风险登记册!$B$9:$B$108,$O15))</f>
        <v/>
      </c>
      <c r="D15" s="10">
        <f>IF($O15="","",INDEX(风险登记册!$D$9:$D$108,$O15))</f>
        <v/>
      </c>
      <c r="E15" s="10">
        <f>IF($O15="","",INDEX(风险登记册!$C$9:$C$108,$O15))</f>
        <v/>
      </c>
      <c r="F15" s="10">
        <f>IF($O15="","",INDEX(风险登记册!$AH$9:$AH$108,$O15))</f>
        <v/>
      </c>
      <c r="G15" s="10">
        <f>IF($O15="","",INDEX(风险登记册!$AI$9:$AI$108,$O15))</f>
        <v/>
      </c>
      <c r="H15" s="10">
        <f>IF($O15="","",INDEX(风险登记册!$Z$9:$Z$108,$O15))</f>
        <v/>
      </c>
      <c r="I15" s="10">
        <f>IF($O15="","",INDEX(风险登记册!$AC$9:$AC$108,$O15))</f>
        <v/>
      </c>
      <c r="J15" s="10">
        <f>IF($O15="","",INDEX(风险登记册!$W$9:$W$108,$O15))</f>
        <v/>
      </c>
      <c r="K15" s="28">
        <f>IF($O15="","",INDEX(风险登记册!$AB$9:$AB$108,$O15))</f>
        <v/>
      </c>
      <c r="L15" s="10">
        <f>IF($B15="","",IFERROR(INDEX(风险应对计划!$E$9:$E$108,MATCH($B15,风险应对计划!$B$9:$B$108,0)),""))</f>
        <v/>
      </c>
      <c r="M15" s="14" t="n"/>
      <c r="N15" s="14" t="n"/>
      <c r="O15" s="10">
        <f>IFERROR(MATCH(ROWS($A$5:A15),风险登记册!$AR$9:$AR$108,0),"")</f>
        <v/>
      </c>
    </row>
    <row r="16">
      <c r="A16" s="10">
        <f>IF(O16="","",ROWS($A$5:A16))</f>
        <v/>
      </c>
      <c r="B16" s="10">
        <f>IF($O16="","",INDEX(风险登记册!$A$9:$A$108,$O16))</f>
        <v/>
      </c>
      <c r="C16" s="10">
        <f>IF($O16="","",INDEX(风险登记册!$B$9:$B$108,$O16))</f>
        <v/>
      </c>
      <c r="D16" s="10">
        <f>IF($O16="","",INDEX(风险登记册!$D$9:$D$108,$O16))</f>
        <v/>
      </c>
      <c r="E16" s="10">
        <f>IF($O16="","",INDEX(风险登记册!$C$9:$C$108,$O16))</f>
        <v/>
      </c>
      <c r="F16" s="10">
        <f>IF($O16="","",INDEX(风险登记册!$AH$9:$AH$108,$O16))</f>
        <v/>
      </c>
      <c r="G16" s="10">
        <f>IF($O16="","",INDEX(风险登记册!$AI$9:$AI$108,$O16))</f>
        <v/>
      </c>
      <c r="H16" s="10">
        <f>IF($O16="","",INDEX(风险登记册!$Z$9:$Z$108,$O16))</f>
        <v/>
      </c>
      <c r="I16" s="10">
        <f>IF($O16="","",INDEX(风险登记册!$AC$9:$AC$108,$O16))</f>
        <v/>
      </c>
      <c r="J16" s="10">
        <f>IF($O16="","",INDEX(风险登记册!$W$9:$W$108,$O16))</f>
        <v/>
      </c>
      <c r="K16" s="28">
        <f>IF($O16="","",INDEX(风险登记册!$AB$9:$AB$108,$O16))</f>
        <v/>
      </c>
      <c r="L16" s="10">
        <f>IF($B16="","",IFERROR(INDEX(风险应对计划!$E$9:$E$108,MATCH($B16,风险应对计划!$B$9:$B$108,0)),""))</f>
        <v/>
      </c>
      <c r="M16" s="14" t="n"/>
      <c r="N16" s="14" t="n"/>
      <c r="O16" s="10">
        <f>IFERROR(MATCH(ROWS($A$5:A16),风险登记册!$AR$9:$AR$108,0),"")</f>
        <v/>
      </c>
    </row>
    <row r="17">
      <c r="A17" s="10">
        <f>IF(O17="","",ROWS($A$5:A17))</f>
        <v/>
      </c>
      <c r="B17" s="10">
        <f>IF($O17="","",INDEX(风险登记册!$A$9:$A$108,$O17))</f>
        <v/>
      </c>
      <c r="C17" s="10">
        <f>IF($O17="","",INDEX(风险登记册!$B$9:$B$108,$O17))</f>
        <v/>
      </c>
      <c r="D17" s="10">
        <f>IF($O17="","",INDEX(风险登记册!$D$9:$D$108,$O17))</f>
        <v/>
      </c>
      <c r="E17" s="10">
        <f>IF($O17="","",INDEX(风险登记册!$C$9:$C$108,$O17))</f>
        <v/>
      </c>
      <c r="F17" s="10">
        <f>IF($O17="","",INDEX(风险登记册!$AH$9:$AH$108,$O17))</f>
        <v/>
      </c>
      <c r="G17" s="10">
        <f>IF($O17="","",INDEX(风险登记册!$AI$9:$AI$108,$O17))</f>
        <v/>
      </c>
      <c r="H17" s="10">
        <f>IF($O17="","",INDEX(风险登记册!$Z$9:$Z$108,$O17))</f>
        <v/>
      </c>
      <c r="I17" s="10">
        <f>IF($O17="","",INDEX(风险登记册!$AC$9:$AC$108,$O17))</f>
        <v/>
      </c>
      <c r="J17" s="10">
        <f>IF($O17="","",INDEX(风险登记册!$W$9:$W$108,$O17))</f>
        <v/>
      </c>
      <c r="K17" s="28">
        <f>IF($O17="","",INDEX(风险登记册!$AB$9:$AB$108,$O17))</f>
        <v/>
      </c>
      <c r="L17" s="10">
        <f>IF($B17="","",IFERROR(INDEX(风险应对计划!$E$9:$E$108,MATCH($B17,风险应对计划!$B$9:$B$108,0)),""))</f>
        <v/>
      </c>
      <c r="M17" s="14" t="n"/>
      <c r="N17" s="14" t="n"/>
      <c r="O17" s="10">
        <f>IFERROR(MATCH(ROWS($A$5:A17),风险登记册!$AR$9:$AR$108,0),"")</f>
        <v/>
      </c>
    </row>
    <row r="18">
      <c r="A18" s="10">
        <f>IF(O18="","",ROWS($A$5:A18))</f>
        <v/>
      </c>
      <c r="B18" s="10">
        <f>IF($O18="","",INDEX(风险登记册!$A$9:$A$108,$O18))</f>
        <v/>
      </c>
      <c r="C18" s="10">
        <f>IF($O18="","",INDEX(风险登记册!$B$9:$B$108,$O18))</f>
        <v/>
      </c>
      <c r="D18" s="10">
        <f>IF($O18="","",INDEX(风险登记册!$D$9:$D$108,$O18))</f>
        <v/>
      </c>
      <c r="E18" s="10">
        <f>IF($O18="","",INDEX(风险登记册!$C$9:$C$108,$O18))</f>
        <v/>
      </c>
      <c r="F18" s="10">
        <f>IF($O18="","",INDEX(风险登记册!$AH$9:$AH$108,$O18))</f>
        <v/>
      </c>
      <c r="G18" s="10">
        <f>IF($O18="","",INDEX(风险登记册!$AI$9:$AI$108,$O18))</f>
        <v/>
      </c>
      <c r="H18" s="10">
        <f>IF($O18="","",INDEX(风险登记册!$Z$9:$Z$108,$O18))</f>
        <v/>
      </c>
      <c r="I18" s="10">
        <f>IF($O18="","",INDEX(风险登记册!$AC$9:$AC$108,$O18))</f>
        <v/>
      </c>
      <c r="J18" s="10">
        <f>IF($O18="","",INDEX(风险登记册!$W$9:$W$108,$O18))</f>
        <v/>
      </c>
      <c r="K18" s="28">
        <f>IF($O18="","",INDEX(风险登记册!$AB$9:$AB$108,$O18))</f>
        <v/>
      </c>
      <c r="L18" s="10">
        <f>IF($B18="","",IFERROR(INDEX(风险应对计划!$E$9:$E$108,MATCH($B18,风险应对计划!$B$9:$B$108,0)),""))</f>
        <v/>
      </c>
      <c r="M18" s="14" t="n"/>
      <c r="N18" s="14" t="n"/>
      <c r="O18" s="10">
        <f>IFERROR(MATCH(ROWS($A$5:A18),风险登记册!$AR$9:$AR$108,0),"")</f>
        <v/>
      </c>
    </row>
    <row r="19">
      <c r="A19" s="10">
        <f>IF(O19="","",ROWS($A$5:A19))</f>
        <v/>
      </c>
      <c r="B19" s="10">
        <f>IF($O19="","",INDEX(风险登记册!$A$9:$A$108,$O19))</f>
        <v/>
      </c>
      <c r="C19" s="10">
        <f>IF($O19="","",INDEX(风险登记册!$B$9:$B$108,$O19))</f>
        <v/>
      </c>
      <c r="D19" s="10">
        <f>IF($O19="","",INDEX(风险登记册!$D$9:$D$108,$O19))</f>
        <v/>
      </c>
      <c r="E19" s="10">
        <f>IF($O19="","",INDEX(风险登记册!$C$9:$C$108,$O19))</f>
        <v/>
      </c>
      <c r="F19" s="10">
        <f>IF($O19="","",INDEX(风险登记册!$AH$9:$AH$108,$O19))</f>
        <v/>
      </c>
      <c r="G19" s="10">
        <f>IF($O19="","",INDEX(风险登记册!$AI$9:$AI$108,$O19))</f>
        <v/>
      </c>
      <c r="H19" s="10">
        <f>IF($O19="","",INDEX(风险登记册!$Z$9:$Z$108,$O19))</f>
        <v/>
      </c>
      <c r="I19" s="10">
        <f>IF($O19="","",INDEX(风险登记册!$AC$9:$AC$108,$O19))</f>
        <v/>
      </c>
      <c r="J19" s="10">
        <f>IF($O19="","",INDEX(风险登记册!$W$9:$W$108,$O19))</f>
        <v/>
      </c>
      <c r="K19" s="28">
        <f>IF($O19="","",INDEX(风险登记册!$AB$9:$AB$108,$O19))</f>
        <v/>
      </c>
      <c r="L19" s="10">
        <f>IF($B19="","",IFERROR(INDEX(风险应对计划!$E$9:$E$108,MATCH($B19,风险应对计划!$B$9:$B$108,0)),""))</f>
        <v/>
      </c>
      <c r="M19" s="14" t="n"/>
      <c r="N19" s="14" t="n"/>
      <c r="O19" s="10">
        <f>IFERROR(MATCH(ROWS($A$5:A19),风险登记册!$AR$9:$AR$108,0),"")</f>
        <v/>
      </c>
    </row>
    <row r="20">
      <c r="A20" s="10">
        <f>IF(O20="","",ROWS($A$5:A20))</f>
        <v/>
      </c>
      <c r="B20" s="10">
        <f>IF($O20="","",INDEX(风险登记册!$A$9:$A$108,$O20))</f>
        <v/>
      </c>
      <c r="C20" s="10">
        <f>IF($O20="","",INDEX(风险登记册!$B$9:$B$108,$O20))</f>
        <v/>
      </c>
      <c r="D20" s="10">
        <f>IF($O20="","",INDEX(风险登记册!$D$9:$D$108,$O20))</f>
        <v/>
      </c>
      <c r="E20" s="10">
        <f>IF($O20="","",INDEX(风险登记册!$C$9:$C$108,$O20))</f>
        <v/>
      </c>
      <c r="F20" s="10">
        <f>IF($O20="","",INDEX(风险登记册!$AH$9:$AH$108,$O20))</f>
        <v/>
      </c>
      <c r="G20" s="10">
        <f>IF($O20="","",INDEX(风险登记册!$AI$9:$AI$108,$O20))</f>
        <v/>
      </c>
      <c r="H20" s="10">
        <f>IF($O20="","",INDEX(风险登记册!$Z$9:$Z$108,$O20))</f>
        <v/>
      </c>
      <c r="I20" s="10">
        <f>IF($O20="","",INDEX(风险登记册!$AC$9:$AC$108,$O20))</f>
        <v/>
      </c>
      <c r="J20" s="10">
        <f>IF($O20="","",INDEX(风险登记册!$W$9:$W$108,$O20))</f>
        <v/>
      </c>
      <c r="K20" s="28">
        <f>IF($O20="","",INDEX(风险登记册!$AB$9:$AB$108,$O20))</f>
        <v/>
      </c>
      <c r="L20" s="10">
        <f>IF($B20="","",IFERROR(INDEX(风险应对计划!$E$9:$E$108,MATCH($B20,风险应对计划!$B$9:$B$108,0)),""))</f>
        <v/>
      </c>
      <c r="M20" s="14" t="n"/>
      <c r="N20" s="14" t="n"/>
      <c r="O20" s="10">
        <f>IFERROR(MATCH(ROWS($A$5:A20),风险登记册!$AR$9:$AR$108,0),"")</f>
        <v/>
      </c>
    </row>
    <row r="21">
      <c r="A21" s="10">
        <f>IF(O21="","",ROWS($A$5:A21))</f>
        <v/>
      </c>
      <c r="B21" s="10">
        <f>IF($O21="","",INDEX(风险登记册!$A$9:$A$108,$O21))</f>
        <v/>
      </c>
      <c r="C21" s="10">
        <f>IF($O21="","",INDEX(风险登记册!$B$9:$B$108,$O21))</f>
        <v/>
      </c>
      <c r="D21" s="10">
        <f>IF($O21="","",INDEX(风险登记册!$D$9:$D$108,$O21))</f>
        <v/>
      </c>
      <c r="E21" s="10">
        <f>IF($O21="","",INDEX(风险登记册!$C$9:$C$108,$O21))</f>
        <v/>
      </c>
      <c r="F21" s="10">
        <f>IF($O21="","",INDEX(风险登记册!$AH$9:$AH$108,$O21))</f>
        <v/>
      </c>
      <c r="G21" s="10">
        <f>IF($O21="","",INDEX(风险登记册!$AI$9:$AI$108,$O21))</f>
        <v/>
      </c>
      <c r="H21" s="10">
        <f>IF($O21="","",INDEX(风险登记册!$Z$9:$Z$108,$O21))</f>
        <v/>
      </c>
      <c r="I21" s="10">
        <f>IF($O21="","",INDEX(风险登记册!$AC$9:$AC$108,$O21))</f>
        <v/>
      </c>
      <c r="J21" s="10">
        <f>IF($O21="","",INDEX(风险登记册!$W$9:$W$108,$O21))</f>
        <v/>
      </c>
      <c r="K21" s="28">
        <f>IF($O21="","",INDEX(风险登记册!$AB$9:$AB$108,$O21))</f>
        <v/>
      </c>
      <c r="L21" s="10">
        <f>IF($B21="","",IFERROR(INDEX(风险应对计划!$E$9:$E$108,MATCH($B21,风险应对计划!$B$9:$B$108,0)),""))</f>
        <v/>
      </c>
      <c r="M21" s="14" t="n"/>
      <c r="N21" s="14" t="n"/>
      <c r="O21" s="10">
        <f>IFERROR(MATCH(ROWS($A$5:A21),风险登记册!$AR$9:$AR$108,0),"")</f>
        <v/>
      </c>
    </row>
    <row r="22">
      <c r="A22" s="10">
        <f>IF(O22="","",ROWS($A$5:A22))</f>
        <v/>
      </c>
      <c r="B22" s="10">
        <f>IF($O22="","",INDEX(风险登记册!$A$9:$A$108,$O22))</f>
        <v/>
      </c>
      <c r="C22" s="10">
        <f>IF($O22="","",INDEX(风险登记册!$B$9:$B$108,$O22))</f>
        <v/>
      </c>
      <c r="D22" s="10">
        <f>IF($O22="","",INDEX(风险登记册!$D$9:$D$108,$O22))</f>
        <v/>
      </c>
      <c r="E22" s="10">
        <f>IF($O22="","",INDEX(风险登记册!$C$9:$C$108,$O22))</f>
        <v/>
      </c>
      <c r="F22" s="10">
        <f>IF($O22="","",INDEX(风险登记册!$AH$9:$AH$108,$O22))</f>
        <v/>
      </c>
      <c r="G22" s="10">
        <f>IF($O22="","",INDEX(风险登记册!$AI$9:$AI$108,$O22))</f>
        <v/>
      </c>
      <c r="H22" s="10">
        <f>IF($O22="","",INDEX(风险登记册!$Z$9:$Z$108,$O22))</f>
        <v/>
      </c>
      <c r="I22" s="10">
        <f>IF($O22="","",INDEX(风险登记册!$AC$9:$AC$108,$O22))</f>
        <v/>
      </c>
      <c r="J22" s="10">
        <f>IF($O22="","",INDEX(风险登记册!$W$9:$W$108,$O22))</f>
        <v/>
      </c>
      <c r="K22" s="28">
        <f>IF($O22="","",INDEX(风险登记册!$AB$9:$AB$108,$O22))</f>
        <v/>
      </c>
      <c r="L22" s="10">
        <f>IF($B22="","",IFERROR(INDEX(风险应对计划!$E$9:$E$108,MATCH($B22,风险应对计划!$B$9:$B$108,0)),""))</f>
        <v/>
      </c>
      <c r="M22" s="14" t="n"/>
      <c r="N22" s="14" t="n"/>
      <c r="O22" s="10">
        <f>IFERROR(MATCH(ROWS($A$5:A22),风险登记册!$AR$9:$AR$108,0),"")</f>
        <v/>
      </c>
    </row>
    <row r="23">
      <c r="A23" s="10">
        <f>IF(O23="","",ROWS($A$5:A23))</f>
        <v/>
      </c>
      <c r="B23" s="10">
        <f>IF($O23="","",INDEX(风险登记册!$A$9:$A$108,$O23))</f>
        <v/>
      </c>
      <c r="C23" s="10">
        <f>IF($O23="","",INDEX(风险登记册!$B$9:$B$108,$O23))</f>
        <v/>
      </c>
      <c r="D23" s="10">
        <f>IF($O23="","",INDEX(风险登记册!$D$9:$D$108,$O23))</f>
        <v/>
      </c>
      <c r="E23" s="10">
        <f>IF($O23="","",INDEX(风险登记册!$C$9:$C$108,$O23))</f>
        <v/>
      </c>
      <c r="F23" s="10">
        <f>IF($O23="","",INDEX(风险登记册!$AH$9:$AH$108,$O23))</f>
        <v/>
      </c>
      <c r="G23" s="10">
        <f>IF($O23="","",INDEX(风险登记册!$AI$9:$AI$108,$O23))</f>
        <v/>
      </c>
      <c r="H23" s="10">
        <f>IF($O23="","",INDEX(风险登记册!$Z$9:$Z$108,$O23))</f>
        <v/>
      </c>
      <c r="I23" s="10">
        <f>IF($O23="","",INDEX(风险登记册!$AC$9:$AC$108,$O23))</f>
        <v/>
      </c>
      <c r="J23" s="10">
        <f>IF($O23="","",INDEX(风险登记册!$W$9:$W$108,$O23))</f>
        <v/>
      </c>
      <c r="K23" s="28">
        <f>IF($O23="","",INDEX(风险登记册!$AB$9:$AB$108,$O23))</f>
        <v/>
      </c>
      <c r="L23" s="10">
        <f>IF($B23="","",IFERROR(INDEX(风险应对计划!$E$9:$E$108,MATCH($B23,风险应对计划!$B$9:$B$108,0)),""))</f>
        <v/>
      </c>
      <c r="M23" s="14" t="n"/>
      <c r="N23" s="14" t="n"/>
      <c r="O23" s="10">
        <f>IFERROR(MATCH(ROWS($A$5:A23),风险登记册!$AR$9:$AR$108,0),"")</f>
        <v/>
      </c>
    </row>
    <row r="24">
      <c r="A24" s="10">
        <f>IF(O24="","",ROWS($A$5:A24))</f>
        <v/>
      </c>
      <c r="B24" s="10">
        <f>IF($O24="","",INDEX(风险登记册!$A$9:$A$108,$O24))</f>
        <v/>
      </c>
      <c r="C24" s="10">
        <f>IF($O24="","",INDEX(风险登记册!$B$9:$B$108,$O24))</f>
        <v/>
      </c>
      <c r="D24" s="10">
        <f>IF($O24="","",INDEX(风险登记册!$D$9:$D$108,$O24))</f>
        <v/>
      </c>
      <c r="E24" s="10">
        <f>IF($O24="","",INDEX(风险登记册!$C$9:$C$108,$O24))</f>
        <v/>
      </c>
      <c r="F24" s="10">
        <f>IF($O24="","",INDEX(风险登记册!$AH$9:$AH$108,$O24))</f>
        <v/>
      </c>
      <c r="G24" s="10">
        <f>IF($O24="","",INDEX(风险登记册!$AI$9:$AI$108,$O24))</f>
        <v/>
      </c>
      <c r="H24" s="10">
        <f>IF($O24="","",INDEX(风险登记册!$Z$9:$Z$108,$O24))</f>
        <v/>
      </c>
      <c r="I24" s="10">
        <f>IF($O24="","",INDEX(风险登记册!$AC$9:$AC$108,$O24))</f>
        <v/>
      </c>
      <c r="J24" s="10">
        <f>IF($O24="","",INDEX(风险登记册!$W$9:$W$108,$O24))</f>
        <v/>
      </c>
      <c r="K24" s="28">
        <f>IF($O24="","",INDEX(风险登记册!$AB$9:$AB$108,$O24))</f>
        <v/>
      </c>
      <c r="L24" s="10">
        <f>IF($B24="","",IFERROR(INDEX(风险应对计划!$E$9:$E$108,MATCH($B24,风险应对计划!$B$9:$B$108,0)),""))</f>
        <v/>
      </c>
      <c r="M24" s="14" t="n"/>
      <c r="N24" s="14" t="n"/>
      <c r="O24" s="10">
        <f>IFERROR(MATCH(ROWS($A$5:A24),风险登记册!$AR$9:$AR$108,0),"")</f>
        <v/>
      </c>
    </row>
    <row r="25">
      <c r="A25" s="10">
        <f>IF(O25="","",ROWS($A$5:A25))</f>
        <v/>
      </c>
      <c r="B25" s="10">
        <f>IF($O25="","",INDEX(风险登记册!$A$9:$A$108,$O25))</f>
        <v/>
      </c>
      <c r="C25" s="10">
        <f>IF($O25="","",INDEX(风险登记册!$B$9:$B$108,$O25))</f>
        <v/>
      </c>
      <c r="D25" s="10">
        <f>IF($O25="","",INDEX(风险登记册!$D$9:$D$108,$O25))</f>
        <v/>
      </c>
      <c r="E25" s="10">
        <f>IF($O25="","",INDEX(风险登记册!$C$9:$C$108,$O25))</f>
        <v/>
      </c>
      <c r="F25" s="10">
        <f>IF($O25="","",INDEX(风险登记册!$AH$9:$AH$108,$O25))</f>
        <v/>
      </c>
      <c r="G25" s="10">
        <f>IF($O25="","",INDEX(风险登记册!$AI$9:$AI$108,$O25))</f>
        <v/>
      </c>
      <c r="H25" s="10">
        <f>IF($O25="","",INDEX(风险登记册!$Z$9:$Z$108,$O25))</f>
        <v/>
      </c>
      <c r="I25" s="10">
        <f>IF($O25="","",INDEX(风险登记册!$AC$9:$AC$108,$O25))</f>
        <v/>
      </c>
      <c r="J25" s="10">
        <f>IF($O25="","",INDEX(风险登记册!$W$9:$W$108,$O25))</f>
        <v/>
      </c>
      <c r="K25" s="28">
        <f>IF($O25="","",INDEX(风险登记册!$AB$9:$AB$108,$O25))</f>
        <v/>
      </c>
      <c r="L25" s="10">
        <f>IF($B25="","",IFERROR(INDEX(风险应对计划!$E$9:$E$108,MATCH($B25,风险应对计划!$B$9:$B$108,0)),""))</f>
        <v/>
      </c>
      <c r="M25" s="14" t="n"/>
      <c r="N25" s="14" t="n"/>
      <c r="O25" s="10">
        <f>IFERROR(MATCH(ROWS($A$5:A25),风险登记册!$AR$9:$AR$108,0),"")</f>
        <v/>
      </c>
    </row>
    <row r="26">
      <c r="A26" s="10">
        <f>IF(O26="","",ROWS($A$5:A26))</f>
        <v/>
      </c>
      <c r="B26" s="10">
        <f>IF($O26="","",INDEX(风险登记册!$A$9:$A$108,$O26))</f>
        <v/>
      </c>
      <c r="C26" s="10">
        <f>IF($O26="","",INDEX(风险登记册!$B$9:$B$108,$O26))</f>
        <v/>
      </c>
      <c r="D26" s="10">
        <f>IF($O26="","",INDEX(风险登记册!$D$9:$D$108,$O26))</f>
        <v/>
      </c>
      <c r="E26" s="10">
        <f>IF($O26="","",INDEX(风险登记册!$C$9:$C$108,$O26))</f>
        <v/>
      </c>
      <c r="F26" s="10">
        <f>IF($O26="","",INDEX(风险登记册!$AH$9:$AH$108,$O26))</f>
        <v/>
      </c>
      <c r="G26" s="10">
        <f>IF($O26="","",INDEX(风险登记册!$AI$9:$AI$108,$O26))</f>
        <v/>
      </c>
      <c r="H26" s="10">
        <f>IF($O26="","",INDEX(风险登记册!$Z$9:$Z$108,$O26))</f>
        <v/>
      </c>
      <c r="I26" s="10">
        <f>IF($O26="","",INDEX(风险登记册!$AC$9:$AC$108,$O26))</f>
        <v/>
      </c>
      <c r="J26" s="10">
        <f>IF($O26="","",INDEX(风险登记册!$W$9:$W$108,$O26))</f>
        <v/>
      </c>
      <c r="K26" s="28">
        <f>IF($O26="","",INDEX(风险登记册!$AB$9:$AB$108,$O26))</f>
        <v/>
      </c>
      <c r="L26" s="10">
        <f>IF($B26="","",IFERROR(INDEX(风险应对计划!$E$9:$E$108,MATCH($B26,风险应对计划!$B$9:$B$108,0)),""))</f>
        <v/>
      </c>
      <c r="M26" s="14" t="n"/>
      <c r="N26" s="14" t="n"/>
      <c r="O26" s="10">
        <f>IFERROR(MATCH(ROWS($A$5:A26),风险登记册!$AR$9:$AR$108,0),"")</f>
        <v/>
      </c>
    </row>
    <row r="27">
      <c r="A27" s="10">
        <f>IF(O27="","",ROWS($A$5:A27))</f>
        <v/>
      </c>
      <c r="B27" s="10">
        <f>IF($O27="","",INDEX(风险登记册!$A$9:$A$108,$O27))</f>
        <v/>
      </c>
      <c r="C27" s="10">
        <f>IF($O27="","",INDEX(风险登记册!$B$9:$B$108,$O27))</f>
        <v/>
      </c>
      <c r="D27" s="10">
        <f>IF($O27="","",INDEX(风险登记册!$D$9:$D$108,$O27))</f>
        <v/>
      </c>
      <c r="E27" s="10">
        <f>IF($O27="","",INDEX(风险登记册!$C$9:$C$108,$O27))</f>
        <v/>
      </c>
      <c r="F27" s="10">
        <f>IF($O27="","",INDEX(风险登记册!$AH$9:$AH$108,$O27))</f>
        <v/>
      </c>
      <c r="G27" s="10">
        <f>IF($O27="","",INDEX(风险登记册!$AI$9:$AI$108,$O27))</f>
        <v/>
      </c>
      <c r="H27" s="10">
        <f>IF($O27="","",INDEX(风险登记册!$Z$9:$Z$108,$O27))</f>
        <v/>
      </c>
      <c r="I27" s="10">
        <f>IF($O27="","",INDEX(风险登记册!$AC$9:$AC$108,$O27))</f>
        <v/>
      </c>
      <c r="J27" s="10">
        <f>IF($O27="","",INDEX(风险登记册!$W$9:$W$108,$O27))</f>
        <v/>
      </c>
      <c r="K27" s="28">
        <f>IF($O27="","",INDEX(风险登记册!$AB$9:$AB$108,$O27))</f>
        <v/>
      </c>
      <c r="L27" s="10">
        <f>IF($B27="","",IFERROR(INDEX(风险应对计划!$E$9:$E$108,MATCH($B27,风险应对计划!$B$9:$B$108,0)),""))</f>
        <v/>
      </c>
      <c r="M27" s="14" t="n"/>
      <c r="N27" s="14" t="n"/>
      <c r="O27" s="10">
        <f>IFERROR(MATCH(ROWS($A$5:A27),风险登记册!$AR$9:$AR$108,0),"")</f>
        <v/>
      </c>
    </row>
    <row r="28">
      <c r="A28" s="10">
        <f>IF(O28="","",ROWS($A$5:A28))</f>
        <v/>
      </c>
      <c r="B28" s="10">
        <f>IF($O28="","",INDEX(风险登记册!$A$9:$A$108,$O28))</f>
        <v/>
      </c>
      <c r="C28" s="10">
        <f>IF($O28="","",INDEX(风险登记册!$B$9:$B$108,$O28))</f>
        <v/>
      </c>
      <c r="D28" s="10">
        <f>IF($O28="","",INDEX(风险登记册!$D$9:$D$108,$O28))</f>
        <v/>
      </c>
      <c r="E28" s="10">
        <f>IF($O28="","",INDEX(风险登记册!$C$9:$C$108,$O28))</f>
        <v/>
      </c>
      <c r="F28" s="10">
        <f>IF($O28="","",INDEX(风险登记册!$AH$9:$AH$108,$O28))</f>
        <v/>
      </c>
      <c r="G28" s="10">
        <f>IF($O28="","",INDEX(风险登记册!$AI$9:$AI$108,$O28))</f>
        <v/>
      </c>
      <c r="H28" s="10">
        <f>IF($O28="","",INDEX(风险登记册!$Z$9:$Z$108,$O28))</f>
        <v/>
      </c>
      <c r="I28" s="10">
        <f>IF($O28="","",INDEX(风险登记册!$AC$9:$AC$108,$O28))</f>
        <v/>
      </c>
      <c r="J28" s="10">
        <f>IF($O28="","",INDEX(风险登记册!$W$9:$W$108,$O28))</f>
        <v/>
      </c>
      <c r="K28" s="28">
        <f>IF($O28="","",INDEX(风险登记册!$AB$9:$AB$108,$O28))</f>
        <v/>
      </c>
      <c r="L28" s="10">
        <f>IF($B28="","",IFERROR(INDEX(风险应对计划!$E$9:$E$108,MATCH($B28,风险应对计划!$B$9:$B$108,0)),""))</f>
        <v/>
      </c>
      <c r="M28" s="14" t="n"/>
      <c r="N28" s="14" t="n"/>
      <c r="O28" s="10">
        <f>IFERROR(MATCH(ROWS($A$5:A28),风险登记册!$AR$9:$AR$108,0),"")</f>
        <v/>
      </c>
    </row>
    <row r="29">
      <c r="A29" s="10">
        <f>IF(O29="","",ROWS($A$5:A29))</f>
        <v/>
      </c>
      <c r="B29" s="10">
        <f>IF($O29="","",INDEX(风险登记册!$A$9:$A$108,$O29))</f>
        <v/>
      </c>
      <c r="C29" s="10">
        <f>IF($O29="","",INDEX(风险登记册!$B$9:$B$108,$O29))</f>
        <v/>
      </c>
      <c r="D29" s="10">
        <f>IF($O29="","",INDEX(风险登记册!$D$9:$D$108,$O29))</f>
        <v/>
      </c>
      <c r="E29" s="10">
        <f>IF($O29="","",INDEX(风险登记册!$C$9:$C$108,$O29))</f>
        <v/>
      </c>
      <c r="F29" s="10">
        <f>IF($O29="","",INDEX(风险登记册!$AH$9:$AH$108,$O29))</f>
        <v/>
      </c>
      <c r="G29" s="10">
        <f>IF($O29="","",INDEX(风险登记册!$AI$9:$AI$108,$O29))</f>
        <v/>
      </c>
      <c r="H29" s="10">
        <f>IF($O29="","",INDEX(风险登记册!$Z$9:$Z$108,$O29))</f>
        <v/>
      </c>
      <c r="I29" s="10">
        <f>IF($O29="","",INDEX(风险登记册!$AC$9:$AC$108,$O29))</f>
        <v/>
      </c>
      <c r="J29" s="10">
        <f>IF($O29="","",INDEX(风险登记册!$W$9:$W$108,$O29))</f>
        <v/>
      </c>
      <c r="K29" s="28">
        <f>IF($O29="","",INDEX(风险登记册!$AB$9:$AB$108,$O29))</f>
        <v/>
      </c>
      <c r="L29" s="10">
        <f>IF($B29="","",IFERROR(INDEX(风险应对计划!$E$9:$E$108,MATCH($B29,风险应对计划!$B$9:$B$108,0)),""))</f>
        <v/>
      </c>
      <c r="M29" s="14" t="n"/>
      <c r="N29" s="14" t="n"/>
      <c r="O29" s="10">
        <f>IFERROR(MATCH(ROWS($A$5:A29),风险登记册!$AR$9:$AR$108,0),"")</f>
        <v/>
      </c>
    </row>
    <row r="30">
      <c r="A30" s="10">
        <f>IF(O30="","",ROWS($A$5:A30))</f>
        <v/>
      </c>
      <c r="B30" s="10">
        <f>IF($O30="","",INDEX(风险登记册!$A$9:$A$108,$O30))</f>
        <v/>
      </c>
      <c r="C30" s="10">
        <f>IF($O30="","",INDEX(风险登记册!$B$9:$B$108,$O30))</f>
        <v/>
      </c>
      <c r="D30" s="10">
        <f>IF($O30="","",INDEX(风险登记册!$D$9:$D$108,$O30))</f>
        <v/>
      </c>
      <c r="E30" s="10">
        <f>IF($O30="","",INDEX(风险登记册!$C$9:$C$108,$O30))</f>
        <v/>
      </c>
      <c r="F30" s="10">
        <f>IF($O30="","",INDEX(风险登记册!$AH$9:$AH$108,$O30))</f>
        <v/>
      </c>
      <c r="G30" s="10">
        <f>IF($O30="","",INDEX(风险登记册!$AI$9:$AI$108,$O30))</f>
        <v/>
      </c>
      <c r="H30" s="10">
        <f>IF($O30="","",INDEX(风险登记册!$Z$9:$Z$108,$O30))</f>
        <v/>
      </c>
      <c r="I30" s="10">
        <f>IF($O30="","",INDEX(风险登记册!$AC$9:$AC$108,$O30))</f>
        <v/>
      </c>
      <c r="J30" s="10">
        <f>IF($O30="","",INDEX(风险登记册!$W$9:$W$108,$O30))</f>
        <v/>
      </c>
      <c r="K30" s="28">
        <f>IF($O30="","",INDEX(风险登记册!$AB$9:$AB$108,$O30))</f>
        <v/>
      </c>
      <c r="L30" s="10">
        <f>IF($B30="","",IFERROR(INDEX(风险应对计划!$E$9:$E$108,MATCH($B30,风险应对计划!$B$9:$B$108,0)),""))</f>
        <v/>
      </c>
      <c r="M30" s="14" t="n"/>
      <c r="N30" s="14" t="n"/>
      <c r="O30" s="10">
        <f>IFERROR(MATCH(ROWS($A$5:A30),风险登记册!$AR$9:$AR$108,0),"")</f>
        <v/>
      </c>
    </row>
    <row r="31">
      <c r="A31" s="10">
        <f>IF(O31="","",ROWS($A$5:A31))</f>
        <v/>
      </c>
      <c r="B31" s="10">
        <f>IF($O31="","",INDEX(风险登记册!$A$9:$A$108,$O31))</f>
        <v/>
      </c>
      <c r="C31" s="10">
        <f>IF($O31="","",INDEX(风险登记册!$B$9:$B$108,$O31))</f>
        <v/>
      </c>
      <c r="D31" s="10">
        <f>IF($O31="","",INDEX(风险登记册!$D$9:$D$108,$O31))</f>
        <v/>
      </c>
      <c r="E31" s="10">
        <f>IF($O31="","",INDEX(风险登记册!$C$9:$C$108,$O31))</f>
        <v/>
      </c>
      <c r="F31" s="10">
        <f>IF($O31="","",INDEX(风险登记册!$AH$9:$AH$108,$O31))</f>
        <v/>
      </c>
      <c r="G31" s="10">
        <f>IF($O31="","",INDEX(风险登记册!$AI$9:$AI$108,$O31))</f>
        <v/>
      </c>
      <c r="H31" s="10">
        <f>IF($O31="","",INDEX(风险登记册!$Z$9:$Z$108,$O31))</f>
        <v/>
      </c>
      <c r="I31" s="10">
        <f>IF($O31="","",INDEX(风险登记册!$AC$9:$AC$108,$O31))</f>
        <v/>
      </c>
      <c r="J31" s="10">
        <f>IF($O31="","",INDEX(风险登记册!$W$9:$W$108,$O31))</f>
        <v/>
      </c>
      <c r="K31" s="28">
        <f>IF($O31="","",INDEX(风险登记册!$AB$9:$AB$108,$O31))</f>
        <v/>
      </c>
      <c r="L31" s="10">
        <f>IF($B31="","",IFERROR(INDEX(风险应对计划!$E$9:$E$108,MATCH($B31,风险应对计划!$B$9:$B$108,0)),""))</f>
        <v/>
      </c>
      <c r="M31" s="14" t="n"/>
      <c r="N31" s="14" t="n"/>
      <c r="O31" s="10">
        <f>IFERROR(MATCH(ROWS($A$5:A31),风险登记册!$AR$9:$AR$108,0),"")</f>
        <v/>
      </c>
    </row>
    <row r="32">
      <c r="A32" s="10">
        <f>IF(O32="","",ROWS($A$5:A32))</f>
        <v/>
      </c>
      <c r="B32" s="10">
        <f>IF($O32="","",INDEX(风险登记册!$A$9:$A$108,$O32))</f>
        <v/>
      </c>
      <c r="C32" s="10">
        <f>IF($O32="","",INDEX(风险登记册!$B$9:$B$108,$O32))</f>
        <v/>
      </c>
      <c r="D32" s="10">
        <f>IF($O32="","",INDEX(风险登记册!$D$9:$D$108,$O32))</f>
        <v/>
      </c>
      <c r="E32" s="10">
        <f>IF($O32="","",INDEX(风险登记册!$C$9:$C$108,$O32))</f>
        <v/>
      </c>
      <c r="F32" s="10">
        <f>IF($O32="","",INDEX(风险登记册!$AH$9:$AH$108,$O32))</f>
        <v/>
      </c>
      <c r="G32" s="10">
        <f>IF($O32="","",INDEX(风险登记册!$AI$9:$AI$108,$O32))</f>
        <v/>
      </c>
      <c r="H32" s="10">
        <f>IF($O32="","",INDEX(风险登记册!$Z$9:$Z$108,$O32))</f>
        <v/>
      </c>
      <c r="I32" s="10">
        <f>IF($O32="","",INDEX(风险登记册!$AC$9:$AC$108,$O32))</f>
        <v/>
      </c>
      <c r="J32" s="10">
        <f>IF($O32="","",INDEX(风险登记册!$W$9:$W$108,$O32))</f>
        <v/>
      </c>
      <c r="K32" s="28">
        <f>IF($O32="","",INDEX(风险登记册!$AB$9:$AB$108,$O32))</f>
        <v/>
      </c>
      <c r="L32" s="10">
        <f>IF($B32="","",IFERROR(INDEX(风险应对计划!$E$9:$E$108,MATCH($B32,风险应对计划!$B$9:$B$108,0)),""))</f>
        <v/>
      </c>
      <c r="M32" s="14" t="n"/>
      <c r="N32" s="14" t="n"/>
      <c r="O32" s="10">
        <f>IFERROR(MATCH(ROWS($A$5:A32),风险登记册!$AR$9:$AR$108,0),"")</f>
        <v/>
      </c>
    </row>
    <row r="33">
      <c r="A33" s="10">
        <f>IF(O33="","",ROWS($A$5:A33))</f>
        <v/>
      </c>
      <c r="B33" s="10">
        <f>IF($O33="","",INDEX(风险登记册!$A$9:$A$108,$O33))</f>
        <v/>
      </c>
      <c r="C33" s="10">
        <f>IF($O33="","",INDEX(风险登记册!$B$9:$B$108,$O33))</f>
        <v/>
      </c>
      <c r="D33" s="10">
        <f>IF($O33="","",INDEX(风险登记册!$D$9:$D$108,$O33))</f>
        <v/>
      </c>
      <c r="E33" s="10">
        <f>IF($O33="","",INDEX(风险登记册!$C$9:$C$108,$O33))</f>
        <v/>
      </c>
      <c r="F33" s="10">
        <f>IF($O33="","",INDEX(风险登记册!$AH$9:$AH$108,$O33))</f>
        <v/>
      </c>
      <c r="G33" s="10">
        <f>IF($O33="","",INDEX(风险登记册!$AI$9:$AI$108,$O33))</f>
        <v/>
      </c>
      <c r="H33" s="10">
        <f>IF($O33="","",INDEX(风险登记册!$Z$9:$Z$108,$O33))</f>
        <v/>
      </c>
      <c r="I33" s="10">
        <f>IF($O33="","",INDEX(风险登记册!$AC$9:$AC$108,$O33))</f>
        <v/>
      </c>
      <c r="J33" s="10">
        <f>IF($O33="","",INDEX(风险登记册!$W$9:$W$108,$O33))</f>
        <v/>
      </c>
      <c r="K33" s="28">
        <f>IF($O33="","",INDEX(风险登记册!$AB$9:$AB$108,$O33))</f>
        <v/>
      </c>
      <c r="L33" s="10">
        <f>IF($B33="","",IFERROR(INDEX(风险应对计划!$E$9:$E$108,MATCH($B33,风险应对计划!$B$9:$B$108,0)),""))</f>
        <v/>
      </c>
      <c r="M33" s="14" t="n"/>
      <c r="N33" s="14" t="n"/>
      <c r="O33" s="10">
        <f>IFERROR(MATCH(ROWS($A$5:A33),风险登记册!$AR$9:$AR$108,0),"")</f>
        <v/>
      </c>
    </row>
    <row r="34">
      <c r="A34" s="10">
        <f>IF(O34="","",ROWS($A$5:A34))</f>
        <v/>
      </c>
      <c r="B34" s="10">
        <f>IF($O34="","",INDEX(风险登记册!$A$9:$A$108,$O34))</f>
        <v/>
      </c>
      <c r="C34" s="10">
        <f>IF($O34="","",INDEX(风险登记册!$B$9:$B$108,$O34))</f>
        <v/>
      </c>
      <c r="D34" s="10">
        <f>IF($O34="","",INDEX(风险登记册!$D$9:$D$108,$O34))</f>
        <v/>
      </c>
      <c r="E34" s="10">
        <f>IF($O34="","",INDEX(风险登记册!$C$9:$C$108,$O34))</f>
        <v/>
      </c>
      <c r="F34" s="10">
        <f>IF($O34="","",INDEX(风险登记册!$AH$9:$AH$108,$O34))</f>
        <v/>
      </c>
      <c r="G34" s="10">
        <f>IF($O34="","",INDEX(风险登记册!$AI$9:$AI$108,$O34))</f>
        <v/>
      </c>
      <c r="H34" s="10">
        <f>IF($O34="","",INDEX(风险登记册!$Z$9:$Z$108,$O34))</f>
        <v/>
      </c>
      <c r="I34" s="10">
        <f>IF($O34="","",INDEX(风险登记册!$AC$9:$AC$108,$O34))</f>
        <v/>
      </c>
      <c r="J34" s="10">
        <f>IF($O34="","",INDEX(风险登记册!$W$9:$W$108,$O34))</f>
        <v/>
      </c>
      <c r="K34" s="28">
        <f>IF($O34="","",INDEX(风险登记册!$AB$9:$AB$108,$O34))</f>
        <v/>
      </c>
      <c r="L34" s="10">
        <f>IF($B34="","",IFERROR(INDEX(风险应对计划!$E$9:$E$108,MATCH($B34,风险应对计划!$B$9:$B$108,0)),""))</f>
        <v/>
      </c>
      <c r="M34" s="14" t="n"/>
      <c r="N34" s="14" t="n"/>
      <c r="O34" s="10">
        <f>IFERROR(MATCH(ROWS($A$5:A34),风险登记册!$AR$9:$AR$108,0),"")</f>
        <v/>
      </c>
    </row>
  </sheetData>
  <autoFilter ref="A4:N34"/>
  <mergeCells count="2">
    <mergeCell ref="A1:O1"/>
    <mergeCell ref="A2:O2"/>
  </mergeCells>
  <pageMargins left="0.75" right="0.75" top="1" bottom="1" header="0.5" footer="0.5"/>
  <pageSetup orientation="landscape" paperSiz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6" customWidth="1" min="1" max="1"/>
    <col width="28" customWidth="1" min="6" max="6"/>
    <col width="16" customWidth="1" min="9" max="9"/>
    <col width="28" customWidth="1" min="13" max="13"/>
    <col width="16" customWidth="1" min="14" max="14"/>
    <col width="28" customWidth="1" min="15" max="15"/>
    <col width="16" customWidth="1" min="17" max="17"/>
    <col width="28" customWidth="1" min="19" max="19"/>
    <col width="16" customWidth="1" min="21" max="21"/>
    <col width="28" customWidth="1" min="24" max="24"/>
    <col width="16" customWidth="1" min="25" max="25"/>
  </cols>
  <sheetData>
    <row r="1" ht="28" customHeight="1">
      <c r="A1" s="1" t="inlineStr">
        <is>
          <t>重大风险专项应对</t>
        </is>
      </c>
    </row>
    <row r="2" ht="24" customHeight="1">
      <c r="A2" s="2" t="inlineStr">
        <is>
          <t>用于重大风险的场景分析、应急计划、备用计划、储备和正式批准。</t>
        </is>
      </c>
    </row>
    <row r="3"/>
    <row r="4" ht="34" customHeight="1">
      <c r="A4" s="9" t="inlineStr">
        <is>
          <t>专项ID</t>
        </is>
      </c>
      <c r="B4" s="9" t="inlineStr">
        <is>
          <t>风险ID</t>
        </is>
      </c>
      <c r="C4" s="9" t="inlineStr">
        <is>
          <t>风险名称</t>
        </is>
      </c>
      <c r="D4" s="9" t="inlineStr">
        <is>
          <t>影响目标</t>
        </is>
      </c>
      <c r="E4" s="9" t="inlineStr">
        <is>
          <t>关联里程碑/交付物</t>
        </is>
      </c>
      <c r="F4" s="9" t="inlineStr">
        <is>
          <t>最坏情景</t>
        </is>
      </c>
      <c r="G4" s="9" t="inlineStr">
        <is>
          <t>较可能情景</t>
        </is>
      </c>
      <c r="H4" s="9" t="inlineStr">
        <is>
          <t>最好情景</t>
        </is>
      </c>
      <c r="I4" s="9" t="inlineStr">
        <is>
          <t>发生窗口</t>
        </is>
      </c>
      <c r="J4" s="9" t="inlineStr">
        <is>
          <t>关键假设</t>
        </is>
      </c>
      <c r="K4" s="9" t="inlineStr">
        <is>
          <t>依赖事项</t>
        </is>
      </c>
      <c r="L4" s="9" t="inlineStr">
        <is>
          <t>应对策略</t>
        </is>
      </c>
      <c r="M4" s="9" t="inlineStr">
        <is>
          <t>主应对方案</t>
        </is>
      </c>
      <c r="N4" s="9" t="inlineStr">
        <is>
          <t>触发条件</t>
        </is>
      </c>
      <c r="O4" s="9" t="inlineStr">
        <is>
          <t>应急计划</t>
        </is>
      </c>
      <c r="P4" s="9" t="inlineStr">
        <is>
          <t>备用计划</t>
        </is>
      </c>
      <c r="Q4" s="9" t="inlineStr">
        <is>
          <t>应急储备</t>
        </is>
      </c>
      <c r="R4" s="9" t="inlineStr">
        <is>
          <t>决策权限</t>
        </is>
      </c>
      <c r="S4" s="9" t="inlineStr">
        <is>
          <t>升级路径</t>
        </is>
      </c>
      <c r="T4" s="9" t="inlineStr">
        <is>
          <t>基准影响</t>
        </is>
      </c>
      <c r="U4" s="9" t="inlineStr">
        <is>
          <t>批准人</t>
        </is>
      </c>
      <c r="V4" s="9" t="inlineStr">
        <is>
          <t>决策日期</t>
        </is>
      </c>
      <c r="W4" s="9" t="inlineStr">
        <is>
          <t>决策结论</t>
        </is>
      </c>
      <c r="X4" s="9" t="inlineStr">
        <is>
          <t>接受的剩余风险</t>
        </is>
      </c>
      <c r="Y4" s="9" t="inlineStr">
        <is>
          <t>下次专项评审日期</t>
        </is>
      </c>
    </row>
    <row r="5">
      <c r="A5" s="10">
        <f>IF(B5="","","MR-"&amp;TEXT(ROW()-4,"000"))</f>
        <v/>
      </c>
      <c r="B5" s="14" t="n"/>
      <c r="C5" s="10">
        <f>IF(B5="","",IFERROR(INDEX(风险登记册!$B$9:$B$108,MATCH(B5,风险登记册!$A$9:$A$108,0)),""))</f>
        <v/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5" t="n"/>
      <c r="W5" s="14" t="n"/>
      <c r="X5" s="14" t="n"/>
      <c r="Y5" s="15" t="n"/>
    </row>
    <row r="6">
      <c r="A6" s="10">
        <f>IF(B6="","","MR-"&amp;TEXT(ROW()-4,"000"))</f>
        <v/>
      </c>
      <c r="B6" s="14" t="n"/>
      <c r="C6" s="10">
        <f>IF(B6="","",IFERROR(INDEX(风险登记册!$B$9:$B$108,MATCH(B6,风险登记册!$A$9:$A$108,0)),""))</f>
        <v/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5" t="n"/>
      <c r="W6" s="14" t="n"/>
      <c r="X6" s="14" t="n"/>
      <c r="Y6" s="15" t="n"/>
    </row>
    <row r="7">
      <c r="A7" s="10">
        <f>IF(B7="","","MR-"&amp;TEXT(ROW()-4,"000"))</f>
        <v/>
      </c>
      <c r="B7" s="14" t="n"/>
      <c r="C7" s="10">
        <f>IF(B7="","",IFERROR(INDEX(风险登记册!$B$9:$B$108,MATCH(B7,风险登记册!$A$9:$A$108,0)),""))</f>
        <v/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5" t="n"/>
      <c r="W7" s="14" t="n"/>
      <c r="X7" s="14" t="n"/>
      <c r="Y7" s="15" t="n"/>
    </row>
    <row r="8">
      <c r="A8" s="10">
        <f>IF(B8="","","MR-"&amp;TEXT(ROW()-4,"000"))</f>
        <v/>
      </c>
      <c r="B8" s="14" t="n"/>
      <c r="C8" s="10">
        <f>IF(B8="","",IFERROR(INDEX(风险登记册!$B$9:$B$108,MATCH(B8,风险登记册!$A$9:$A$108,0)),""))</f>
        <v/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5" t="n"/>
      <c r="W8" s="14" t="n"/>
      <c r="X8" s="14" t="n"/>
      <c r="Y8" s="15" t="n"/>
    </row>
    <row r="9">
      <c r="A9" s="10">
        <f>IF(B9="","","MR-"&amp;TEXT(ROW()-4,"000"))</f>
        <v/>
      </c>
      <c r="B9" s="14" t="n"/>
      <c r="C9" s="10">
        <f>IF(B9="","",IFERROR(INDEX(风险登记册!$B$9:$B$108,MATCH(B9,风险登记册!$A$9:$A$108,0)),""))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5" t="n"/>
      <c r="W9" s="14" t="n"/>
      <c r="X9" s="14" t="n"/>
      <c r="Y9" s="15" t="n"/>
    </row>
    <row r="10">
      <c r="A10" s="10">
        <f>IF(B10="","","MR-"&amp;TEXT(ROW()-4,"000"))</f>
        <v/>
      </c>
      <c r="B10" s="14" t="n"/>
      <c r="C10" s="10">
        <f>IF(B10="","",IFERROR(INDEX(风险登记册!$B$9:$B$108,MATCH(B10,风险登记册!$A$9:$A$108,0)),""))</f>
        <v/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5" t="n"/>
      <c r="W10" s="14" t="n"/>
      <c r="X10" s="14" t="n"/>
      <c r="Y10" s="15" t="n"/>
    </row>
    <row r="11">
      <c r="A11" s="10">
        <f>IF(B11="","","MR-"&amp;TEXT(ROW()-4,"000"))</f>
        <v/>
      </c>
      <c r="B11" s="14" t="n"/>
      <c r="C11" s="10">
        <f>IF(B11="","",IFERROR(INDEX(风险登记册!$B$9:$B$108,MATCH(B11,风险登记册!$A$9:$A$108,0)),""))</f>
        <v/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5" t="n"/>
      <c r="W11" s="14" t="n"/>
      <c r="X11" s="14" t="n"/>
      <c r="Y11" s="15" t="n"/>
    </row>
    <row r="12">
      <c r="A12" s="10">
        <f>IF(B12="","","MR-"&amp;TEXT(ROW()-4,"000"))</f>
        <v/>
      </c>
      <c r="B12" s="14" t="n"/>
      <c r="C12" s="10">
        <f>IF(B12="","",IFERROR(INDEX(风险登记册!$B$9:$B$108,MATCH(B12,风险登记册!$A$9:$A$108,0)),""))</f>
        <v/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5" t="n"/>
      <c r="W12" s="14" t="n"/>
      <c r="X12" s="14" t="n"/>
      <c r="Y12" s="15" t="n"/>
    </row>
    <row r="13">
      <c r="A13" s="10">
        <f>IF(B13="","","MR-"&amp;TEXT(ROW()-4,"000"))</f>
        <v/>
      </c>
      <c r="B13" s="14" t="n"/>
      <c r="C13" s="10">
        <f>IF(B13="","",IFERROR(INDEX(风险登记册!$B$9:$B$108,MATCH(B13,风险登记册!$A$9:$A$108,0)),""))</f>
        <v/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5" t="n"/>
      <c r="W13" s="14" t="n"/>
      <c r="X13" s="14" t="n"/>
      <c r="Y13" s="15" t="n"/>
    </row>
    <row r="14">
      <c r="A14" s="10">
        <f>IF(B14="","","MR-"&amp;TEXT(ROW()-4,"000"))</f>
        <v/>
      </c>
      <c r="B14" s="14" t="n"/>
      <c r="C14" s="10">
        <f>IF(B14="","",IFERROR(INDEX(风险登记册!$B$9:$B$108,MATCH(B14,风险登记册!$A$9:$A$108,0)),""))</f>
        <v/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5" t="n"/>
      <c r="W14" s="14" t="n"/>
      <c r="X14" s="14" t="n"/>
      <c r="Y14" s="15" t="n"/>
    </row>
    <row r="15">
      <c r="A15" s="10">
        <f>IF(B15="","","MR-"&amp;TEXT(ROW()-4,"000"))</f>
        <v/>
      </c>
      <c r="B15" s="14" t="n"/>
      <c r="C15" s="10">
        <f>IF(B15="","",IFERROR(INDEX(风险登记册!$B$9:$B$108,MATCH(B15,风险登记册!$A$9:$A$108,0)),""))</f>
        <v/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5" t="n"/>
      <c r="W15" s="14" t="n"/>
      <c r="X15" s="14" t="n"/>
      <c r="Y15" s="15" t="n"/>
    </row>
    <row r="16">
      <c r="A16" s="10">
        <f>IF(B16="","","MR-"&amp;TEXT(ROW()-4,"000"))</f>
        <v/>
      </c>
      <c r="B16" s="14" t="n"/>
      <c r="C16" s="10">
        <f>IF(B16="","",IFERROR(INDEX(风险登记册!$B$9:$B$108,MATCH(B16,风险登记册!$A$9:$A$108,0)),""))</f>
        <v/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5" t="n"/>
      <c r="W16" s="14" t="n"/>
      <c r="X16" s="14" t="n"/>
      <c r="Y16" s="15" t="n"/>
    </row>
    <row r="17">
      <c r="A17" s="10">
        <f>IF(B17="","","MR-"&amp;TEXT(ROW()-4,"000"))</f>
        <v/>
      </c>
      <c r="B17" s="14" t="n"/>
      <c r="C17" s="10">
        <f>IF(B17="","",IFERROR(INDEX(风险登记册!$B$9:$B$108,MATCH(B17,风险登记册!$A$9:$A$108,0)),""))</f>
        <v/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5" t="n"/>
      <c r="W17" s="14" t="n"/>
      <c r="X17" s="14" t="n"/>
      <c r="Y17" s="15" t="n"/>
    </row>
    <row r="18">
      <c r="A18" s="10">
        <f>IF(B18="","","MR-"&amp;TEXT(ROW()-4,"000"))</f>
        <v/>
      </c>
      <c r="B18" s="14" t="n"/>
      <c r="C18" s="10">
        <f>IF(B18="","",IFERROR(INDEX(风险登记册!$B$9:$B$108,MATCH(B18,风险登记册!$A$9:$A$108,0)),""))</f>
        <v/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5" t="n"/>
      <c r="W18" s="14" t="n"/>
      <c r="X18" s="14" t="n"/>
      <c r="Y18" s="15" t="n"/>
    </row>
    <row r="19">
      <c r="A19" s="10">
        <f>IF(B19="","","MR-"&amp;TEXT(ROW()-4,"000"))</f>
        <v/>
      </c>
      <c r="B19" s="14" t="n"/>
      <c r="C19" s="10">
        <f>IF(B19="","",IFERROR(INDEX(风险登记册!$B$9:$B$108,MATCH(B19,风险登记册!$A$9:$A$108,0)),""))</f>
        <v/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5" t="n"/>
      <c r="W19" s="14" t="n"/>
      <c r="X19" s="14" t="n"/>
      <c r="Y19" s="15" t="n"/>
    </row>
    <row r="20">
      <c r="A20" s="10">
        <f>IF(B20="","","MR-"&amp;TEXT(ROW()-4,"000"))</f>
        <v/>
      </c>
      <c r="B20" s="14" t="n"/>
      <c r="C20" s="10">
        <f>IF(B20="","",IFERROR(INDEX(风险登记册!$B$9:$B$108,MATCH(B20,风险登记册!$A$9:$A$108,0)),""))</f>
        <v/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14" t="n"/>
      <c r="X20" s="14" t="n"/>
      <c r="Y20" s="15" t="n"/>
    </row>
    <row r="21">
      <c r="A21" s="10">
        <f>IF(B21="","","MR-"&amp;TEXT(ROW()-4,"000"))</f>
        <v/>
      </c>
      <c r="B21" s="14" t="n"/>
      <c r="C21" s="10">
        <f>IF(B21="","",IFERROR(INDEX(风险登记册!$B$9:$B$108,MATCH(B21,风险登记册!$A$9:$A$108,0)),""))</f>
        <v/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14" t="n"/>
      <c r="X21" s="14" t="n"/>
      <c r="Y21" s="15" t="n"/>
    </row>
    <row r="22">
      <c r="A22" s="10">
        <f>IF(B22="","","MR-"&amp;TEXT(ROW()-4,"000"))</f>
        <v/>
      </c>
      <c r="B22" s="14" t="n"/>
      <c r="C22" s="10">
        <f>IF(B22="","",IFERROR(INDEX(风险登记册!$B$9:$B$108,MATCH(B22,风险登记册!$A$9:$A$108,0)),""))</f>
        <v/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5" t="n"/>
      <c r="W22" s="14" t="n"/>
      <c r="X22" s="14" t="n"/>
      <c r="Y22" s="15" t="n"/>
    </row>
    <row r="23">
      <c r="A23" s="10">
        <f>IF(B23="","","MR-"&amp;TEXT(ROW()-4,"000"))</f>
        <v/>
      </c>
      <c r="B23" s="14" t="n"/>
      <c r="C23" s="10">
        <f>IF(B23="","",IFERROR(INDEX(风险登记册!$B$9:$B$108,MATCH(B23,风险登记册!$A$9:$A$108,0)),""))</f>
        <v/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14" t="n"/>
      <c r="X23" s="14" t="n"/>
      <c r="Y23" s="15" t="n"/>
    </row>
    <row r="24">
      <c r="A24" s="10">
        <f>IF(B24="","","MR-"&amp;TEXT(ROW()-4,"000"))</f>
        <v/>
      </c>
      <c r="B24" s="14" t="n"/>
      <c r="C24" s="10">
        <f>IF(B24="","",IFERROR(INDEX(风险登记册!$B$9:$B$108,MATCH(B24,风险登记册!$A$9:$A$108,0)),""))</f>
        <v/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14" t="n"/>
      <c r="X24" s="14" t="n"/>
      <c r="Y24" s="15" t="n"/>
    </row>
  </sheetData>
  <autoFilter ref="A4:Y24"/>
  <mergeCells count="2">
    <mergeCell ref="A2:Y2"/>
    <mergeCell ref="A1:Y1"/>
  </mergeCells>
  <dataValidations count="2">
    <dataValidation sqref="L5:L24" showDropDown="0" showInputMessage="0" showErrorMessage="0" allowBlank="1" type="list">
      <formula1>"规避,减轻,转移,接受,上报,开拓,提高,分享"</formula1>
    </dataValidation>
    <dataValidation sqref="W5:W24" showDropDown="0" showInputMessage="0" showErrorMessage="0" allowBlank="1" type="list">
      <formula1>"批准,调整,暂缓,接受"</formula1>
    </dataValidation>
  </dataValidations>
  <pageMargins left="0.75" right="0.75" top="1" bottom="1" header="0.5" footer="0.5"/>
  <pageSetup orientation="landscape" paperSize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3" customWidth="1" min="1" max="1"/>
    <col width="25" customWidth="1" min="3" max="3"/>
    <col width="13" customWidth="1" min="4" max="4"/>
    <col width="32" customWidth="1" min="5" max="5"/>
    <col width="12" customWidth="1" min="6" max="6"/>
    <col width="15" customWidth="1" min="7" max="7"/>
    <col width="18" customWidth="1" min="8" max="8"/>
    <col width="14" customWidth="1" min="9" max="9"/>
    <col width="12" customWidth="1" min="12" max="12"/>
    <col width="14" customWidth="1" min="13" max="13"/>
    <col width="26" customWidth="1" min="14" max="14"/>
    <col width="13" customWidth="1" min="15" max="15"/>
    <col width="11" customWidth="1" min="17" max="17"/>
    <col width="14" customWidth="1" min="18" max="18"/>
    <col width="24" customWidth="1" min="19" max="19"/>
  </cols>
  <sheetData>
    <row r="1" ht="28" customHeight="1">
      <c r="A1" s="1" t="inlineStr">
        <is>
          <t>风险应对计划</t>
        </is>
      </c>
    </row>
    <row r="2" ht="24" customHeight="1">
      <c r="A2" s="2" t="inlineStr">
        <is>
          <t>将风险应对策略拆解为可执行、可验收、可追踪的行动。</t>
        </is>
      </c>
    </row>
    <row r="3"/>
    <row r="4" ht="34" customHeight="1">
      <c r="A4" s="9" t="inlineStr">
        <is>
          <t>行动ID</t>
        </is>
      </c>
      <c r="B4" s="9" t="inlineStr">
        <is>
          <t>风险ID</t>
        </is>
      </c>
      <c r="C4" s="9" t="inlineStr">
        <is>
          <t>风险名称</t>
        </is>
      </c>
      <c r="D4" s="9" t="inlineStr">
        <is>
          <t>应对策略</t>
        </is>
      </c>
      <c r="E4" s="9" t="inlineStr">
        <is>
          <t>应对措施</t>
        </is>
      </c>
      <c r="F4" s="9" t="inlineStr">
        <is>
          <t>行动类型</t>
        </is>
      </c>
      <c r="G4" s="9" t="inlineStr">
        <is>
          <t>行动责任人</t>
        </is>
      </c>
      <c r="H4" s="9" t="inlineStr">
        <is>
          <t>配合部门</t>
        </is>
      </c>
      <c r="I4" s="9" t="inlineStr">
        <is>
          <t>计划开始日期</t>
        </is>
      </c>
      <c r="J4" s="9" t="inlineStr">
        <is>
          <t>计划完成日期</t>
        </is>
      </c>
      <c r="K4" s="9" t="inlineStr">
        <is>
          <t>实际完成日期</t>
        </is>
      </c>
      <c r="L4" s="9" t="inlineStr">
        <is>
          <t>所需工时</t>
        </is>
      </c>
      <c r="M4" s="9" t="inlineStr">
        <is>
          <t>预算</t>
        </is>
      </c>
      <c r="N4" s="9" t="inlineStr">
        <is>
          <t>交付证据</t>
        </is>
      </c>
      <c r="O4" s="9" t="inlineStr">
        <is>
          <t>完成百分比</t>
        </is>
      </c>
      <c r="P4" s="9" t="inlineStr">
        <is>
          <t>行动状态</t>
        </is>
      </c>
      <c r="Q4" s="9" t="inlineStr">
        <is>
          <t>是否逾期</t>
        </is>
      </c>
      <c r="R4" s="9" t="inlineStr">
        <is>
          <t>实施效果</t>
        </is>
      </c>
      <c r="S4" s="9" t="inlineStr">
        <is>
          <t>剩余风险评价</t>
        </is>
      </c>
      <c r="T4" s="9" t="inlineStr">
        <is>
          <t>备注</t>
        </is>
      </c>
    </row>
    <row r="5">
      <c r="A5" s="10">
        <f>IF(B5="","","RA-"&amp;TEXT(ROW()-4,"000"))</f>
        <v/>
      </c>
      <c r="B5" s="14" t="n"/>
      <c r="C5" s="10">
        <f>IF(B5="","",IFERROR(INDEX(风险登记册!$B$9:$B$108,MATCH(B5,风险登记册!$A$9:$A$108,0)),""))</f>
        <v/>
      </c>
      <c r="D5" s="14" t="n"/>
      <c r="E5" s="14" t="n"/>
      <c r="F5" s="14" t="n"/>
      <c r="G5" s="14" t="n"/>
      <c r="H5" s="14" t="n"/>
      <c r="I5" s="15" t="n"/>
      <c r="J5" s="15" t="n"/>
      <c r="K5" s="15" t="n"/>
      <c r="L5" s="14" t="n"/>
      <c r="M5" s="29" t="n"/>
      <c r="N5" s="14" t="n"/>
      <c r="O5" s="16" t="n"/>
      <c r="P5" s="14" t="n"/>
      <c r="Q5" s="10">
        <f>IF(B5="","",IF(AND(J5&lt;项目驾驶舱!$B$3,P5&lt;&gt;"已完成"),"是","否"))</f>
        <v/>
      </c>
      <c r="R5" s="14" t="n"/>
      <c r="S5" s="14" t="n"/>
      <c r="T5" s="14" t="n"/>
    </row>
    <row r="6">
      <c r="A6" s="10">
        <f>IF(B6="","","RA-"&amp;TEXT(ROW()-4,"000"))</f>
        <v/>
      </c>
      <c r="B6" s="14" t="n"/>
      <c r="C6" s="10">
        <f>IF(B6="","",IFERROR(INDEX(风险登记册!$B$9:$B$108,MATCH(B6,风险登记册!$A$9:$A$108,0)),""))</f>
        <v/>
      </c>
      <c r="D6" s="14" t="n"/>
      <c r="E6" s="14" t="n"/>
      <c r="F6" s="14" t="n"/>
      <c r="G6" s="14" t="n"/>
      <c r="H6" s="14" t="n"/>
      <c r="I6" s="15" t="n"/>
      <c r="J6" s="15" t="n"/>
      <c r="K6" s="15" t="n"/>
      <c r="L6" s="14" t="n"/>
      <c r="M6" s="29" t="n"/>
      <c r="N6" s="14" t="n"/>
      <c r="O6" s="16" t="n"/>
      <c r="P6" s="14" t="n"/>
      <c r="Q6" s="10">
        <f>IF(B6="","",IF(AND(J6&lt;项目驾驶舱!$B$3,P6&lt;&gt;"已完成"),"是","否"))</f>
        <v/>
      </c>
      <c r="R6" s="14" t="n"/>
      <c r="S6" s="14" t="n"/>
      <c r="T6" s="14" t="n"/>
    </row>
    <row r="7">
      <c r="A7" s="10">
        <f>IF(B7="","","RA-"&amp;TEXT(ROW()-4,"000"))</f>
        <v/>
      </c>
      <c r="B7" s="14" t="n"/>
      <c r="C7" s="10">
        <f>IF(B7="","",IFERROR(INDEX(风险登记册!$B$9:$B$108,MATCH(B7,风险登记册!$A$9:$A$108,0)),""))</f>
        <v/>
      </c>
      <c r="D7" s="14" t="n"/>
      <c r="E7" s="14" t="n"/>
      <c r="F7" s="14" t="n"/>
      <c r="G7" s="14" t="n"/>
      <c r="H7" s="14" t="n"/>
      <c r="I7" s="15" t="n"/>
      <c r="J7" s="15" t="n"/>
      <c r="K7" s="15" t="n"/>
      <c r="L7" s="14" t="n"/>
      <c r="M7" s="29" t="n"/>
      <c r="N7" s="14" t="n"/>
      <c r="O7" s="16" t="n"/>
      <c r="P7" s="14" t="n"/>
      <c r="Q7" s="10">
        <f>IF(B7="","",IF(AND(J7&lt;项目驾驶舱!$B$3,P7&lt;&gt;"已完成"),"是","否"))</f>
        <v/>
      </c>
      <c r="R7" s="14" t="n"/>
      <c r="S7" s="14" t="n"/>
      <c r="T7" s="14" t="n"/>
    </row>
    <row r="8">
      <c r="A8" s="10">
        <f>IF(B8="","","RA-"&amp;TEXT(ROW()-4,"000"))</f>
        <v/>
      </c>
      <c r="B8" s="14" t="n"/>
      <c r="C8" s="10">
        <f>IF(B8="","",IFERROR(INDEX(风险登记册!$B$9:$B$108,MATCH(B8,风险登记册!$A$9:$A$108,0)),""))</f>
        <v/>
      </c>
      <c r="D8" s="14" t="n"/>
      <c r="E8" s="14" t="n"/>
      <c r="F8" s="14" t="n"/>
      <c r="G8" s="14" t="n"/>
      <c r="H8" s="14" t="n"/>
      <c r="I8" s="15" t="n"/>
      <c r="J8" s="15" t="n"/>
      <c r="K8" s="15" t="n"/>
      <c r="L8" s="14" t="n"/>
      <c r="M8" s="29" t="n"/>
      <c r="N8" s="14" t="n"/>
      <c r="O8" s="16" t="n"/>
      <c r="P8" s="14" t="n"/>
      <c r="Q8" s="10">
        <f>IF(B8="","",IF(AND(J8&lt;项目驾驶舱!$B$3,P8&lt;&gt;"已完成"),"是","否"))</f>
        <v/>
      </c>
      <c r="R8" s="14" t="n"/>
      <c r="S8" s="14" t="n"/>
      <c r="T8" s="14" t="n"/>
    </row>
    <row r="9">
      <c r="A9" s="10">
        <f>IF(B9="","","RA-"&amp;TEXT(ROW()-4,"000"))</f>
        <v/>
      </c>
      <c r="B9" s="14" t="n"/>
      <c r="C9" s="10">
        <f>IF(B9="","",IFERROR(INDEX(风险登记册!$B$9:$B$108,MATCH(B9,风险登记册!$A$9:$A$108,0)),""))</f>
        <v/>
      </c>
      <c r="D9" s="14" t="n"/>
      <c r="E9" s="14" t="n"/>
      <c r="F9" s="14" t="n"/>
      <c r="G9" s="14" t="n"/>
      <c r="H9" s="14" t="n"/>
      <c r="I9" s="15" t="n"/>
      <c r="J9" s="15" t="n"/>
      <c r="K9" s="15" t="n"/>
      <c r="L9" s="14" t="n"/>
      <c r="M9" s="29" t="n"/>
      <c r="N9" s="14" t="n"/>
      <c r="O9" s="16" t="n"/>
      <c r="P9" s="14" t="n"/>
      <c r="Q9" s="10">
        <f>IF(B9="","",IF(AND(J9&lt;项目驾驶舱!$B$3,P9&lt;&gt;"已完成"),"是","否"))</f>
        <v/>
      </c>
      <c r="R9" s="14" t="n"/>
      <c r="S9" s="14" t="n"/>
      <c r="T9" s="14" t="n"/>
    </row>
    <row r="10">
      <c r="A10" s="10">
        <f>IF(B10="","","RA-"&amp;TEXT(ROW()-4,"000"))</f>
        <v/>
      </c>
      <c r="B10" s="14" t="n"/>
      <c r="C10" s="10">
        <f>IF(B10="","",IFERROR(INDEX(风险登记册!$B$9:$B$108,MATCH(B10,风险登记册!$A$9:$A$108,0)),""))</f>
        <v/>
      </c>
      <c r="D10" s="14" t="n"/>
      <c r="E10" s="14" t="n"/>
      <c r="F10" s="14" t="n"/>
      <c r="G10" s="14" t="n"/>
      <c r="H10" s="14" t="n"/>
      <c r="I10" s="15" t="n"/>
      <c r="J10" s="15" t="n"/>
      <c r="K10" s="15" t="n"/>
      <c r="L10" s="14" t="n"/>
      <c r="M10" s="29" t="n"/>
      <c r="N10" s="14" t="n"/>
      <c r="O10" s="16" t="n"/>
      <c r="P10" s="14" t="n"/>
      <c r="Q10" s="10">
        <f>IF(B10="","",IF(AND(J10&lt;项目驾驶舱!$B$3,P10&lt;&gt;"已完成"),"是","否"))</f>
        <v/>
      </c>
      <c r="R10" s="14" t="n"/>
      <c r="S10" s="14" t="n"/>
      <c r="T10" s="14" t="n"/>
    </row>
    <row r="11">
      <c r="A11" s="10">
        <f>IF(B11="","","RA-"&amp;TEXT(ROW()-4,"000"))</f>
        <v/>
      </c>
      <c r="B11" s="14" t="n"/>
      <c r="C11" s="10">
        <f>IF(B11="","",IFERROR(INDEX(风险登记册!$B$9:$B$108,MATCH(B11,风险登记册!$A$9:$A$108,0)),""))</f>
        <v/>
      </c>
      <c r="D11" s="14" t="n"/>
      <c r="E11" s="14" t="n"/>
      <c r="F11" s="14" t="n"/>
      <c r="G11" s="14" t="n"/>
      <c r="H11" s="14" t="n"/>
      <c r="I11" s="15" t="n"/>
      <c r="J11" s="15" t="n"/>
      <c r="K11" s="15" t="n"/>
      <c r="L11" s="14" t="n"/>
      <c r="M11" s="29" t="n"/>
      <c r="N11" s="14" t="n"/>
      <c r="O11" s="16" t="n"/>
      <c r="P11" s="14" t="n"/>
      <c r="Q11" s="10">
        <f>IF(B11="","",IF(AND(J11&lt;项目驾驶舱!$B$3,P11&lt;&gt;"已完成"),"是","否"))</f>
        <v/>
      </c>
      <c r="R11" s="14" t="n"/>
      <c r="S11" s="14" t="n"/>
      <c r="T11" s="14" t="n"/>
    </row>
    <row r="12">
      <c r="A12" s="10">
        <f>IF(B12="","","RA-"&amp;TEXT(ROW()-4,"000"))</f>
        <v/>
      </c>
      <c r="B12" s="14" t="n"/>
      <c r="C12" s="10">
        <f>IF(B12="","",IFERROR(INDEX(风险登记册!$B$9:$B$108,MATCH(B12,风险登记册!$A$9:$A$108,0)),""))</f>
        <v/>
      </c>
      <c r="D12" s="14" t="n"/>
      <c r="E12" s="14" t="n"/>
      <c r="F12" s="14" t="n"/>
      <c r="G12" s="14" t="n"/>
      <c r="H12" s="14" t="n"/>
      <c r="I12" s="15" t="n"/>
      <c r="J12" s="15" t="n"/>
      <c r="K12" s="15" t="n"/>
      <c r="L12" s="14" t="n"/>
      <c r="M12" s="29" t="n"/>
      <c r="N12" s="14" t="n"/>
      <c r="O12" s="16" t="n"/>
      <c r="P12" s="14" t="n"/>
      <c r="Q12" s="10">
        <f>IF(B12="","",IF(AND(J12&lt;项目驾驶舱!$B$3,P12&lt;&gt;"已完成"),"是","否"))</f>
        <v/>
      </c>
      <c r="R12" s="14" t="n"/>
      <c r="S12" s="14" t="n"/>
      <c r="T12" s="14" t="n"/>
    </row>
    <row r="13">
      <c r="A13" s="10">
        <f>IF(B13="","","RA-"&amp;TEXT(ROW()-4,"000"))</f>
        <v/>
      </c>
      <c r="B13" s="14" t="n"/>
      <c r="C13" s="10">
        <f>IF(B13="","",IFERROR(INDEX(风险登记册!$B$9:$B$108,MATCH(B13,风险登记册!$A$9:$A$108,0)),""))</f>
        <v/>
      </c>
      <c r="D13" s="14" t="n"/>
      <c r="E13" s="14" t="n"/>
      <c r="F13" s="14" t="n"/>
      <c r="G13" s="14" t="n"/>
      <c r="H13" s="14" t="n"/>
      <c r="I13" s="15" t="n"/>
      <c r="J13" s="15" t="n"/>
      <c r="K13" s="15" t="n"/>
      <c r="L13" s="14" t="n"/>
      <c r="M13" s="29" t="n"/>
      <c r="N13" s="14" t="n"/>
      <c r="O13" s="16" t="n"/>
      <c r="P13" s="14" t="n"/>
      <c r="Q13" s="10">
        <f>IF(B13="","",IF(AND(J13&lt;项目驾驶舱!$B$3,P13&lt;&gt;"已完成"),"是","否"))</f>
        <v/>
      </c>
      <c r="R13" s="14" t="n"/>
      <c r="S13" s="14" t="n"/>
      <c r="T13" s="14" t="n"/>
    </row>
    <row r="14">
      <c r="A14" s="10">
        <f>IF(B14="","","RA-"&amp;TEXT(ROW()-4,"000"))</f>
        <v/>
      </c>
      <c r="B14" s="14" t="n"/>
      <c r="C14" s="10">
        <f>IF(B14="","",IFERROR(INDEX(风险登记册!$B$9:$B$108,MATCH(B14,风险登记册!$A$9:$A$108,0)),""))</f>
        <v/>
      </c>
      <c r="D14" s="14" t="n"/>
      <c r="E14" s="14" t="n"/>
      <c r="F14" s="14" t="n"/>
      <c r="G14" s="14" t="n"/>
      <c r="H14" s="14" t="n"/>
      <c r="I14" s="15" t="n"/>
      <c r="J14" s="15" t="n"/>
      <c r="K14" s="15" t="n"/>
      <c r="L14" s="14" t="n"/>
      <c r="M14" s="29" t="n"/>
      <c r="N14" s="14" t="n"/>
      <c r="O14" s="16" t="n"/>
      <c r="P14" s="14" t="n"/>
      <c r="Q14" s="10">
        <f>IF(B14="","",IF(AND(J14&lt;项目驾驶舱!$B$3,P14&lt;&gt;"已完成"),"是","否"))</f>
        <v/>
      </c>
      <c r="R14" s="14" t="n"/>
      <c r="S14" s="14" t="n"/>
      <c r="T14" s="14" t="n"/>
    </row>
    <row r="15">
      <c r="A15" s="10">
        <f>IF(B15="","","RA-"&amp;TEXT(ROW()-4,"000"))</f>
        <v/>
      </c>
      <c r="B15" s="14" t="n"/>
      <c r="C15" s="10">
        <f>IF(B15="","",IFERROR(INDEX(风险登记册!$B$9:$B$108,MATCH(B15,风险登记册!$A$9:$A$108,0)),""))</f>
        <v/>
      </c>
      <c r="D15" s="14" t="n"/>
      <c r="E15" s="14" t="n"/>
      <c r="F15" s="14" t="n"/>
      <c r="G15" s="14" t="n"/>
      <c r="H15" s="14" t="n"/>
      <c r="I15" s="15" t="n"/>
      <c r="J15" s="15" t="n"/>
      <c r="K15" s="15" t="n"/>
      <c r="L15" s="14" t="n"/>
      <c r="M15" s="29" t="n"/>
      <c r="N15" s="14" t="n"/>
      <c r="O15" s="16" t="n"/>
      <c r="P15" s="14" t="n"/>
      <c r="Q15" s="10">
        <f>IF(B15="","",IF(AND(J15&lt;项目驾驶舱!$B$3,P15&lt;&gt;"已完成"),"是","否"))</f>
        <v/>
      </c>
      <c r="R15" s="14" t="n"/>
      <c r="S15" s="14" t="n"/>
      <c r="T15" s="14" t="n"/>
    </row>
    <row r="16">
      <c r="A16" s="10">
        <f>IF(B16="","","RA-"&amp;TEXT(ROW()-4,"000"))</f>
        <v/>
      </c>
      <c r="B16" s="14" t="n"/>
      <c r="C16" s="10">
        <f>IF(B16="","",IFERROR(INDEX(风险登记册!$B$9:$B$108,MATCH(B16,风险登记册!$A$9:$A$108,0)),""))</f>
        <v/>
      </c>
      <c r="D16" s="14" t="n"/>
      <c r="E16" s="14" t="n"/>
      <c r="F16" s="14" t="n"/>
      <c r="G16" s="14" t="n"/>
      <c r="H16" s="14" t="n"/>
      <c r="I16" s="15" t="n"/>
      <c r="J16" s="15" t="n"/>
      <c r="K16" s="15" t="n"/>
      <c r="L16" s="14" t="n"/>
      <c r="M16" s="29" t="n"/>
      <c r="N16" s="14" t="n"/>
      <c r="O16" s="16" t="n"/>
      <c r="P16" s="14" t="n"/>
      <c r="Q16" s="10">
        <f>IF(B16="","",IF(AND(J16&lt;项目驾驶舱!$B$3,P16&lt;&gt;"已完成"),"是","否"))</f>
        <v/>
      </c>
      <c r="R16" s="14" t="n"/>
      <c r="S16" s="14" t="n"/>
      <c r="T16" s="14" t="n"/>
    </row>
    <row r="17">
      <c r="A17" s="10">
        <f>IF(B17="","","RA-"&amp;TEXT(ROW()-4,"000"))</f>
        <v/>
      </c>
      <c r="B17" s="14" t="n"/>
      <c r="C17" s="10">
        <f>IF(B17="","",IFERROR(INDEX(风险登记册!$B$9:$B$108,MATCH(B17,风险登记册!$A$9:$A$108,0)),""))</f>
        <v/>
      </c>
      <c r="D17" s="14" t="n"/>
      <c r="E17" s="14" t="n"/>
      <c r="F17" s="14" t="n"/>
      <c r="G17" s="14" t="n"/>
      <c r="H17" s="14" t="n"/>
      <c r="I17" s="15" t="n"/>
      <c r="J17" s="15" t="n"/>
      <c r="K17" s="15" t="n"/>
      <c r="L17" s="14" t="n"/>
      <c r="M17" s="29" t="n"/>
      <c r="N17" s="14" t="n"/>
      <c r="O17" s="16" t="n"/>
      <c r="P17" s="14" t="n"/>
      <c r="Q17" s="10">
        <f>IF(B17="","",IF(AND(J17&lt;项目驾驶舱!$B$3,P17&lt;&gt;"已完成"),"是","否"))</f>
        <v/>
      </c>
      <c r="R17" s="14" t="n"/>
      <c r="S17" s="14" t="n"/>
      <c r="T17" s="14" t="n"/>
    </row>
    <row r="18">
      <c r="A18" s="10">
        <f>IF(B18="","","RA-"&amp;TEXT(ROW()-4,"000"))</f>
        <v/>
      </c>
      <c r="B18" s="14" t="n"/>
      <c r="C18" s="10">
        <f>IF(B18="","",IFERROR(INDEX(风险登记册!$B$9:$B$108,MATCH(B18,风险登记册!$A$9:$A$108,0)),""))</f>
        <v/>
      </c>
      <c r="D18" s="14" t="n"/>
      <c r="E18" s="14" t="n"/>
      <c r="F18" s="14" t="n"/>
      <c r="G18" s="14" t="n"/>
      <c r="H18" s="14" t="n"/>
      <c r="I18" s="15" t="n"/>
      <c r="J18" s="15" t="n"/>
      <c r="K18" s="15" t="n"/>
      <c r="L18" s="14" t="n"/>
      <c r="M18" s="29" t="n"/>
      <c r="N18" s="14" t="n"/>
      <c r="O18" s="16" t="n"/>
      <c r="P18" s="14" t="n"/>
      <c r="Q18" s="10">
        <f>IF(B18="","",IF(AND(J18&lt;项目驾驶舱!$B$3,P18&lt;&gt;"已完成"),"是","否"))</f>
        <v/>
      </c>
      <c r="R18" s="14" t="n"/>
      <c r="S18" s="14" t="n"/>
      <c r="T18" s="14" t="n"/>
    </row>
    <row r="19">
      <c r="A19" s="10">
        <f>IF(B19="","","RA-"&amp;TEXT(ROW()-4,"000"))</f>
        <v/>
      </c>
      <c r="B19" s="14" t="n"/>
      <c r="C19" s="10">
        <f>IF(B19="","",IFERROR(INDEX(风险登记册!$B$9:$B$108,MATCH(B19,风险登记册!$A$9:$A$108,0)),""))</f>
        <v/>
      </c>
      <c r="D19" s="14" t="n"/>
      <c r="E19" s="14" t="n"/>
      <c r="F19" s="14" t="n"/>
      <c r="G19" s="14" t="n"/>
      <c r="H19" s="14" t="n"/>
      <c r="I19" s="15" t="n"/>
      <c r="J19" s="15" t="n"/>
      <c r="K19" s="15" t="n"/>
      <c r="L19" s="14" t="n"/>
      <c r="M19" s="29" t="n"/>
      <c r="N19" s="14" t="n"/>
      <c r="O19" s="16" t="n"/>
      <c r="P19" s="14" t="n"/>
      <c r="Q19" s="10">
        <f>IF(B19="","",IF(AND(J19&lt;项目驾驶舱!$B$3,P19&lt;&gt;"已完成"),"是","否"))</f>
        <v/>
      </c>
      <c r="R19" s="14" t="n"/>
      <c r="S19" s="14" t="n"/>
      <c r="T19" s="14" t="n"/>
    </row>
    <row r="20">
      <c r="A20" s="10">
        <f>IF(B20="","","RA-"&amp;TEXT(ROW()-4,"000"))</f>
        <v/>
      </c>
      <c r="B20" s="14" t="n"/>
      <c r="C20" s="10">
        <f>IF(B20="","",IFERROR(INDEX(风险登记册!$B$9:$B$108,MATCH(B20,风险登记册!$A$9:$A$108,0)),""))</f>
        <v/>
      </c>
      <c r="D20" s="14" t="n"/>
      <c r="E20" s="14" t="n"/>
      <c r="F20" s="14" t="n"/>
      <c r="G20" s="14" t="n"/>
      <c r="H20" s="14" t="n"/>
      <c r="I20" s="15" t="n"/>
      <c r="J20" s="15" t="n"/>
      <c r="K20" s="15" t="n"/>
      <c r="L20" s="14" t="n"/>
      <c r="M20" s="29" t="n"/>
      <c r="N20" s="14" t="n"/>
      <c r="O20" s="16" t="n"/>
      <c r="P20" s="14" t="n"/>
      <c r="Q20" s="10">
        <f>IF(B20="","",IF(AND(J20&lt;项目驾驶舱!$B$3,P20&lt;&gt;"已完成"),"是","否"))</f>
        <v/>
      </c>
      <c r="R20" s="14" t="n"/>
      <c r="S20" s="14" t="n"/>
      <c r="T20" s="14" t="n"/>
    </row>
    <row r="21">
      <c r="A21" s="10">
        <f>IF(B21="","","RA-"&amp;TEXT(ROW()-4,"000"))</f>
        <v/>
      </c>
      <c r="B21" s="14" t="n"/>
      <c r="C21" s="10">
        <f>IF(B21="","",IFERROR(INDEX(风险登记册!$B$9:$B$108,MATCH(B21,风险登记册!$A$9:$A$108,0)),""))</f>
        <v/>
      </c>
      <c r="D21" s="14" t="n"/>
      <c r="E21" s="14" t="n"/>
      <c r="F21" s="14" t="n"/>
      <c r="G21" s="14" t="n"/>
      <c r="H21" s="14" t="n"/>
      <c r="I21" s="15" t="n"/>
      <c r="J21" s="15" t="n"/>
      <c r="K21" s="15" t="n"/>
      <c r="L21" s="14" t="n"/>
      <c r="M21" s="29" t="n"/>
      <c r="N21" s="14" t="n"/>
      <c r="O21" s="16" t="n"/>
      <c r="P21" s="14" t="n"/>
      <c r="Q21" s="10">
        <f>IF(B21="","",IF(AND(J21&lt;项目驾驶舱!$B$3,P21&lt;&gt;"已完成"),"是","否"))</f>
        <v/>
      </c>
      <c r="R21" s="14" t="n"/>
      <c r="S21" s="14" t="n"/>
      <c r="T21" s="14" t="n"/>
    </row>
    <row r="22">
      <c r="A22" s="10">
        <f>IF(B22="","","RA-"&amp;TEXT(ROW()-4,"000"))</f>
        <v/>
      </c>
      <c r="B22" s="14" t="n"/>
      <c r="C22" s="10">
        <f>IF(B22="","",IFERROR(INDEX(风险登记册!$B$9:$B$108,MATCH(B22,风险登记册!$A$9:$A$108,0)),""))</f>
        <v/>
      </c>
      <c r="D22" s="14" t="n"/>
      <c r="E22" s="14" t="n"/>
      <c r="F22" s="14" t="n"/>
      <c r="G22" s="14" t="n"/>
      <c r="H22" s="14" t="n"/>
      <c r="I22" s="15" t="n"/>
      <c r="J22" s="15" t="n"/>
      <c r="K22" s="15" t="n"/>
      <c r="L22" s="14" t="n"/>
      <c r="M22" s="29" t="n"/>
      <c r="N22" s="14" t="n"/>
      <c r="O22" s="16" t="n"/>
      <c r="P22" s="14" t="n"/>
      <c r="Q22" s="10">
        <f>IF(B22="","",IF(AND(J22&lt;项目驾驶舱!$B$3,P22&lt;&gt;"已完成"),"是","否"))</f>
        <v/>
      </c>
      <c r="R22" s="14" t="n"/>
      <c r="S22" s="14" t="n"/>
      <c r="T22" s="14" t="n"/>
    </row>
    <row r="23">
      <c r="A23" s="10">
        <f>IF(B23="","","RA-"&amp;TEXT(ROW()-4,"000"))</f>
        <v/>
      </c>
      <c r="B23" s="14" t="n"/>
      <c r="C23" s="10">
        <f>IF(B23="","",IFERROR(INDEX(风险登记册!$B$9:$B$108,MATCH(B23,风险登记册!$A$9:$A$108,0)),""))</f>
        <v/>
      </c>
      <c r="D23" s="14" t="n"/>
      <c r="E23" s="14" t="n"/>
      <c r="F23" s="14" t="n"/>
      <c r="G23" s="14" t="n"/>
      <c r="H23" s="14" t="n"/>
      <c r="I23" s="15" t="n"/>
      <c r="J23" s="15" t="n"/>
      <c r="K23" s="15" t="n"/>
      <c r="L23" s="14" t="n"/>
      <c r="M23" s="29" t="n"/>
      <c r="N23" s="14" t="n"/>
      <c r="O23" s="16" t="n"/>
      <c r="P23" s="14" t="n"/>
      <c r="Q23" s="10">
        <f>IF(B23="","",IF(AND(J23&lt;项目驾驶舱!$B$3,P23&lt;&gt;"已完成"),"是","否"))</f>
        <v/>
      </c>
      <c r="R23" s="14" t="n"/>
      <c r="S23" s="14" t="n"/>
      <c r="T23" s="14" t="n"/>
    </row>
    <row r="24">
      <c r="A24" s="10">
        <f>IF(B24="","","RA-"&amp;TEXT(ROW()-4,"000"))</f>
        <v/>
      </c>
      <c r="B24" s="14" t="n"/>
      <c r="C24" s="10">
        <f>IF(B24="","",IFERROR(INDEX(风险登记册!$B$9:$B$108,MATCH(B24,风险登记册!$A$9:$A$108,0)),""))</f>
        <v/>
      </c>
      <c r="D24" s="14" t="n"/>
      <c r="E24" s="14" t="n"/>
      <c r="F24" s="14" t="n"/>
      <c r="G24" s="14" t="n"/>
      <c r="H24" s="14" t="n"/>
      <c r="I24" s="15" t="n"/>
      <c r="J24" s="15" t="n"/>
      <c r="K24" s="15" t="n"/>
      <c r="L24" s="14" t="n"/>
      <c r="M24" s="29" t="n"/>
      <c r="N24" s="14" t="n"/>
      <c r="O24" s="16" t="n"/>
      <c r="P24" s="14" t="n"/>
      <c r="Q24" s="10">
        <f>IF(B24="","",IF(AND(J24&lt;项目驾驶舱!$B$3,P24&lt;&gt;"已完成"),"是","否"))</f>
        <v/>
      </c>
      <c r="R24" s="14" t="n"/>
      <c r="S24" s="14" t="n"/>
      <c r="T24" s="14" t="n"/>
    </row>
    <row r="25">
      <c r="A25" s="10">
        <f>IF(B25="","","RA-"&amp;TEXT(ROW()-4,"000"))</f>
        <v/>
      </c>
      <c r="B25" s="14" t="n"/>
      <c r="C25" s="10">
        <f>IF(B25="","",IFERROR(INDEX(风险登记册!$B$9:$B$108,MATCH(B25,风险登记册!$A$9:$A$108,0)),""))</f>
        <v/>
      </c>
      <c r="D25" s="14" t="n"/>
      <c r="E25" s="14" t="n"/>
      <c r="F25" s="14" t="n"/>
      <c r="G25" s="14" t="n"/>
      <c r="H25" s="14" t="n"/>
      <c r="I25" s="15" t="n"/>
      <c r="J25" s="15" t="n"/>
      <c r="K25" s="15" t="n"/>
      <c r="L25" s="14" t="n"/>
      <c r="M25" s="29" t="n"/>
      <c r="N25" s="14" t="n"/>
      <c r="O25" s="16" t="n"/>
      <c r="P25" s="14" t="n"/>
      <c r="Q25" s="10">
        <f>IF(B25="","",IF(AND(J25&lt;项目驾驶舱!$B$3,P25&lt;&gt;"已完成"),"是","否"))</f>
        <v/>
      </c>
      <c r="R25" s="14" t="n"/>
      <c r="S25" s="14" t="n"/>
      <c r="T25" s="14" t="n"/>
    </row>
    <row r="26">
      <c r="A26" s="10">
        <f>IF(B26="","","RA-"&amp;TEXT(ROW()-4,"000"))</f>
        <v/>
      </c>
      <c r="B26" s="14" t="n"/>
      <c r="C26" s="10">
        <f>IF(B26="","",IFERROR(INDEX(风险登记册!$B$9:$B$108,MATCH(B26,风险登记册!$A$9:$A$108,0)),""))</f>
        <v/>
      </c>
      <c r="D26" s="14" t="n"/>
      <c r="E26" s="14" t="n"/>
      <c r="F26" s="14" t="n"/>
      <c r="G26" s="14" t="n"/>
      <c r="H26" s="14" t="n"/>
      <c r="I26" s="15" t="n"/>
      <c r="J26" s="15" t="n"/>
      <c r="K26" s="15" t="n"/>
      <c r="L26" s="14" t="n"/>
      <c r="M26" s="29" t="n"/>
      <c r="N26" s="14" t="n"/>
      <c r="O26" s="16" t="n"/>
      <c r="P26" s="14" t="n"/>
      <c r="Q26" s="10">
        <f>IF(B26="","",IF(AND(J26&lt;项目驾驶舱!$B$3,P26&lt;&gt;"已完成"),"是","否"))</f>
        <v/>
      </c>
      <c r="R26" s="14" t="n"/>
      <c r="S26" s="14" t="n"/>
      <c r="T26" s="14" t="n"/>
    </row>
    <row r="27">
      <c r="A27" s="10">
        <f>IF(B27="","","RA-"&amp;TEXT(ROW()-4,"000"))</f>
        <v/>
      </c>
      <c r="B27" s="14" t="n"/>
      <c r="C27" s="10">
        <f>IF(B27="","",IFERROR(INDEX(风险登记册!$B$9:$B$108,MATCH(B27,风险登记册!$A$9:$A$108,0)),""))</f>
        <v/>
      </c>
      <c r="D27" s="14" t="n"/>
      <c r="E27" s="14" t="n"/>
      <c r="F27" s="14" t="n"/>
      <c r="G27" s="14" t="n"/>
      <c r="H27" s="14" t="n"/>
      <c r="I27" s="15" t="n"/>
      <c r="J27" s="15" t="n"/>
      <c r="K27" s="15" t="n"/>
      <c r="L27" s="14" t="n"/>
      <c r="M27" s="29" t="n"/>
      <c r="N27" s="14" t="n"/>
      <c r="O27" s="16" t="n"/>
      <c r="P27" s="14" t="n"/>
      <c r="Q27" s="10">
        <f>IF(B27="","",IF(AND(J27&lt;项目驾驶舱!$B$3,P27&lt;&gt;"已完成"),"是","否"))</f>
        <v/>
      </c>
      <c r="R27" s="14" t="n"/>
      <c r="S27" s="14" t="n"/>
      <c r="T27" s="14" t="n"/>
    </row>
    <row r="28">
      <c r="A28" s="10">
        <f>IF(B28="","","RA-"&amp;TEXT(ROW()-4,"000"))</f>
        <v/>
      </c>
      <c r="B28" s="14" t="n"/>
      <c r="C28" s="10">
        <f>IF(B28="","",IFERROR(INDEX(风险登记册!$B$9:$B$108,MATCH(B28,风险登记册!$A$9:$A$108,0)),""))</f>
        <v/>
      </c>
      <c r="D28" s="14" t="n"/>
      <c r="E28" s="14" t="n"/>
      <c r="F28" s="14" t="n"/>
      <c r="G28" s="14" t="n"/>
      <c r="H28" s="14" t="n"/>
      <c r="I28" s="15" t="n"/>
      <c r="J28" s="15" t="n"/>
      <c r="K28" s="15" t="n"/>
      <c r="L28" s="14" t="n"/>
      <c r="M28" s="29" t="n"/>
      <c r="N28" s="14" t="n"/>
      <c r="O28" s="16" t="n"/>
      <c r="P28" s="14" t="n"/>
      <c r="Q28" s="10">
        <f>IF(B28="","",IF(AND(J28&lt;项目驾驶舱!$B$3,P28&lt;&gt;"已完成"),"是","否"))</f>
        <v/>
      </c>
      <c r="R28" s="14" t="n"/>
      <c r="S28" s="14" t="n"/>
      <c r="T28" s="14" t="n"/>
    </row>
    <row r="29">
      <c r="A29" s="10">
        <f>IF(B29="","","RA-"&amp;TEXT(ROW()-4,"000"))</f>
        <v/>
      </c>
      <c r="B29" s="14" t="n"/>
      <c r="C29" s="10">
        <f>IF(B29="","",IFERROR(INDEX(风险登记册!$B$9:$B$108,MATCH(B29,风险登记册!$A$9:$A$108,0)),""))</f>
        <v/>
      </c>
      <c r="D29" s="14" t="n"/>
      <c r="E29" s="14" t="n"/>
      <c r="F29" s="14" t="n"/>
      <c r="G29" s="14" t="n"/>
      <c r="H29" s="14" t="n"/>
      <c r="I29" s="15" t="n"/>
      <c r="J29" s="15" t="n"/>
      <c r="K29" s="15" t="n"/>
      <c r="L29" s="14" t="n"/>
      <c r="M29" s="29" t="n"/>
      <c r="N29" s="14" t="n"/>
      <c r="O29" s="16" t="n"/>
      <c r="P29" s="14" t="n"/>
      <c r="Q29" s="10">
        <f>IF(B29="","",IF(AND(J29&lt;项目驾驶舱!$B$3,P29&lt;&gt;"已完成"),"是","否"))</f>
        <v/>
      </c>
      <c r="R29" s="14" t="n"/>
      <c r="S29" s="14" t="n"/>
      <c r="T29" s="14" t="n"/>
    </row>
    <row r="30">
      <c r="A30" s="10">
        <f>IF(B30="","","RA-"&amp;TEXT(ROW()-4,"000"))</f>
        <v/>
      </c>
      <c r="B30" s="14" t="n"/>
      <c r="C30" s="10">
        <f>IF(B30="","",IFERROR(INDEX(风险登记册!$B$9:$B$108,MATCH(B30,风险登记册!$A$9:$A$108,0)),""))</f>
        <v/>
      </c>
      <c r="D30" s="14" t="n"/>
      <c r="E30" s="14" t="n"/>
      <c r="F30" s="14" t="n"/>
      <c r="G30" s="14" t="n"/>
      <c r="H30" s="14" t="n"/>
      <c r="I30" s="15" t="n"/>
      <c r="J30" s="15" t="n"/>
      <c r="K30" s="15" t="n"/>
      <c r="L30" s="14" t="n"/>
      <c r="M30" s="29" t="n"/>
      <c r="N30" s="14" t="n"/>
      <c r="O30" s="16" t="n"/>
      <c r="P30" s="14" t="n"/>
      <c r="Q30" s="10">
        <f>IF(B30="","",IF(AND(J30&lt;项目驾驶舱!$B$3,P30&lt;&gt;"已完成"),"是","否"))</f>
        <v/>
      </c>
      <c r="R30" s="14" t="n"/>
      <c r="S30" s="14" t="n"/>
      <c r="T30" s="14" t="n"/>
    </row>
    <row r="31">
      <c r="A31" s="10">
        <f>IF(B31="","","RA-"&amp;TEXT(ROW()-4,"000"))</f>
        <v/>
      </c>
      <c r="B31" s="14" t="n"/>
      <c r="C31" s="10">
        <f>IF(B31="","",IFERROR(INDEX(风险登记册!$B$9:$B$108,MATCH(B31,风险登记册!$A$9:$A$108,0)),""))</f>
        <v/>
      </c>
      <c r="D31" s="14" t="n"/>
      <c r="E31" s="14" t="n"/>
      <c r="F31" s="14" t="n"/>
      <c r="G31" s="14" t="n"/>
      <c r="H31" s="14" t="n"/>
      <c r="I31" s="15" t="n"/>
      <c r="J31" s="15" t="n"/>
      <c r="K31" s="15" t="n"/>
      <c r="L31" s="14" t="n"/>
      <c r="M31" s="29" t="n"/>
      <c r="N31" s="14" t="n"/>
      <c r="O31" s="16" t="n"/>
      <c r="P31" s="14" t="n"/>
      <c r="Q31" s="10">
        <f>IF(B31="","",IF(AND(J31&lt;项目驾驶舱!$B$3,P31&lt;&gt;"已完成"),"是","否"))</f>
        <v/>
      </c>
      <c r="R31" s="14" t="n"/>
      <c r="S31" s="14" t="n"/>
      <c r="T31" s="14" t="n"/>
    </row>
    <row r="32">
      <c r="A32" s="10">
        <f>IF(B32="","","RA-"&amp;TEXT(ROW()-4,"000"))</f>
        <v/>
      </c>
      <c r="B32" s="14" t="n"/>
      <c r="C32" s="10">
        <f>IF(B32="","",IFERROR(INDEX(风险登记册!$B$9:$B$108,MATCH(B32,风险登记册!$A$9:$A$108,0)),""))</f>
        <v/>
      </c>
      <c r="D32" s="14" t="n"/>
      <c r="E32" s="14" t="n"/>
      <c r="F32" s="14" t="n"/>
      <c r="G32" s="14" t="n"/>
      <c r="H32" s="14" t="n"/>
      <c r="I32" s="15" t="n"/>
      <c r="J32" s="15" t="n"/>
      <c r="K32" s="15" t="n"/>
      <c r="L32" s="14" t="n"/>
      <c r="M32" s="29" t="n"/>
      <c r="N32" s="14" t="n"/>
      <c r="O32" s="16" t="n"/>
      <c r="P32" s="14" t="n"/>
      <c r="Q32" s="10">
        <f>IF(B32="","",IF(AND(J32&lt;项目驾驶舱!$B$3,P32&lt;&gt;"已完成"),"是","否"))</f>
        <v/>
      </c>
      <c r="R32" s="14" t="n"/>
      <c r="S32" s="14" t="n"/>
      <c r="T32" s="14" t="n"/>
    </row>
    <row r="33">
      <c r="A33" s="10">
        <f>IF(B33="","","RA-"&amp;TEXT(ROW()-4,"000"))</f>
        <v/>
      </c>
      <c r="B33" s="14" t="n"/>
      <c r="C33" s="10">
        <f>IF(B33="","",IFERROR(INDEX(风险登记册!$B$9:$B$108,MATCH(B33,风险登记册!$A$9:$A$108,0)),""))</f>
        <v/>
      </c>
      <c r="D33" s="14" t="n"/>
      <c r="E33" s="14" t="n"/>
      <c r="F33" s="14" t="n"/>
      <c r="G33" s="14" t="n"/>
      <c r="H33" s="14" t="n"/>
      <c r="I33" s="15" t="n"/>
      <c r="J33" s="15" t="n"/>
      <c r="K33" s="15" t="n"/>
      <c r="L33" s="14" t="n"/>
      <c r="M33" s="29" t="n"/>
      <c r="N33" s="14" t="n"/>
      <c r="O33" s="16" t="n"/>
      <c r="P33" s="14" t="n"/>
      <c r="Q33" s="10">
        <f>IF(B33="","",IF(AND(J33&lt;项目驾驶舱!$B$3,P33&lt;&gt;"已完成"),"是","否"))</f>
        <v/>
      </c>
      <c r="R33" s="14" t="n"/>
      <c r="S33" s="14" t="n"/>
      <c r="T33" s="14" t="n"/>
    </row>
    <row r="34">
      <c r="A34" s="10">
        <f>IF(B34="","","RA-"&amp;TEXT(ROW()-4,"000"))</f>
        <v/>
      </c>
      <c r="B34" s="14" t="n"/>
      <c r="C34" s="10">
        <f>IF(B34="","",IFERROR(INDEX(风险登记册!$B$9:$B$108,MATCH(B34,风险登记册!$A$9:$A$108,0)),""))</f>
        <v/>
      </c>
      <c r="D34" s="14" t="n"/>
      <c r="E34" s="14" t="n"/>
      <c r="F34" s="14" t="n"/>
      <c r="G34" s="14" t="n"/>
      <c r="H34" s="14" t="n"/>
      <c r="I34" s="15" t="n"/>
      <c r="J34" s="15" t="n"/>
      <c r="K34" s="15" t="n"/>
      <c r="L34" s="14" t="n"/>
      <c r="M34" s="29" t="n"/>
      <c r="N34" s="14" t="n"/>
      <c r="O34" s="16" t="n"/>
      <c r="P34" s="14" t="n"/>
      <c r="Q34" s="10">
        <f>IF(B34="","",IF(AND(J34&lt;项目驾驶舱!$B$3,P34&lt;&gt;"已完成"),"是","否"))</f>
        <v/>
      </c>
      <c r="R34" s="14" t="n"/>
      <c r="S34" s="14" t="n"/>
      <c r="T34" s="14" t="n"/>
    </row>
    <row r="35">
      <c r="A35" s="10">
        <f>IF(B35="","","RA-"&amp;TEXT(ROW()-4,"000"))</f>
        <v/>
      </c>
      <c r="B35" s="14" t="n"/>
      <c r="C35" s="10">
        <f>IF(B35="","",IFERROR(INDEX(风险登记册!$B$9:$B$108,MATCH(B35,风险登记册!$A$9:$A$108,0)),""))</f>
        <v/>
      </c>
      <c r="D35" s="14" t="n"/>
      <c r="E35" s="14" t="n"/>
      <c r="F35" s="14" t="n"/>
      <c r="G35" s="14" t="n"/>
      <c r="H35" s="14" t="n"/>
      <c r="I35" s="15" t="n"/>
      <c r="J35" s="15" t="n"/>
      <c r="K35" s="15" t="n"/>
      <c r="L35" s="14" t="n"/>
      <c r="M35" s="29" t="n"/>
      <c r="N35" s="14" t="n"/>
      <c r="O35" s="16" t="n"/>
      <c r="P35" s="14" t="n"/>
      <c r="Q35" s="10">
        <f>IF(B35="","",IF(AND(J35&lt;项目驾驶舱!$B$3,P35&lt;&gt;"已完成"),"是","否"))</f>
        <v/>
      </c>
      <c r="R35" s="14" t="n"/>
      <c r="S35" s="14" t="n"/>
      <c r="T35" s="14" t="n"/>
    </row>
    <row r="36">
      <c r="A36" s="10">
        <f>IF(B36="","","RA-"&amp;TEXT(ROW()-4,"000"))</f>
        <v/>
      </c>
      <c r="B36" s="14" t="n"/>
      <c r="C36" s="10">
        <f>IF(B36="","",IFERROR(INDEX(风险登记册!$B$9:$B$108,MATCH(B36,风险登记册!$A$9:$A$108,0)),""))</f>
        <v/>
      </c>
      <c r="D36" s="14" t="n"/>
      <c r="E36" s="14" t="n"/>
      <c r="F36" s="14" t="n"/>
      <c r="G36" s="14" t="n"/>
      <c r="H36" s="14" t="n"/>
      <c r="I36" s="15" t="n"/>
      <c r="J36" s="15" t="n"/>
      <c r="K36" s="15" t="n"/>
      <c r="L36" s="14" t="n"/>
      <c r="M36" s="29" t="n"/>
      <c r="N36" s="14" t="n"/>
      <c r="O36" s="16" t="n"/>
      <c r="P36" s="14" t="n"/>
      <c r="Q36" s="10">
        <f>IF(B36="","",IF(AND(J36&lt;项目驾驶舱!$B$3,P36&lt;&gt;"已完成"),"是","否"))</f>
        <v/>
      </c>
      <c r="R36" s="14" t="n"/>
      <c r="S36" s="14" t="n"/>
      <c r="T36" s="14" t="n"/>
    </row>
    <row r="37">
      <c r="A37" s="10">
        <f>IF(B37="","","RA-"&amp;TEXT(ROW()-4,"000"))</f>
        <v/>
      </c>
      <c r="B37" s="14" t="n"/>
      <c r="C37" s="10">
        <f>IF(B37="","",IFERROR(INDEX(风险登记册!$B$9:$B$108,MATCH(B37,风险登记册!$A$9:$A$108,0)),""))</f>
        <v/>
      </c>
      <c r="D37" s="14" t="n"/>
      <c r="E37" s="14" t="n"/>
      <c r="F37" s="14" t="n"/>
      <c r="G37" s="14" t="n"/>
      <c r="H37" s="14" t="n"/>
      <c r="I37" s="15" t="n"/>
      <c r="J37" s="15" t="n"/>
      <c r="K37" s="15" t="n"/>
      <c r="L37" s="14" t="n"/>
      <c r="M37" s="29" t="n"/>
      <c r="N37" s="14" t="n"/>
      <c r="O37" s="16" t="n"/>
      <c r="P37" s="14" t="n"/>
      <c r="Q37" s="10">
        <f>IF(B37="","",IF(AND(J37&lt;项目驾驶舱!$B$3,P37&lt;&gt;"已完成"),"是","否"))</f>
        <v/>
      </c>
      <c r="R37" s="14" t="n"/>
      <c r="S37" s="14" t="n"/>
      <c r="T37" s="14" t="n"/>
    </row>
    <row r="38">
      <c r="A38" s="10">
        <f>IF(B38="","","RA-"&amp;TEXT(ROW()-4,"000"))</f>
        <v/>
      </c>
      <c r="B38" s="14" t="n"/>
      <c r="C38" s="10">
        <f>IF(B38="","",IFERROR(INDEX(风险登记册!$B$9:$B$108,MATCH(B38,风险登记册!$A$9:$A$108,0)),""))</f>
        <v/>
      </c>
      <c r="D38" s="14" t="n"/>
      <c r="E38" s="14" t="n"/>
      <c r="F38" s="14" t="n"/>
      <c r="G38" s="14" t="n"/>
      <c r="H38" s="14" t="n"/>
      <c r="I38" s="15" t="n"/>
      <c r="J38" s="15" t="n"/>
      <c r="K38" s="15" t="n"/>
      <c r="L38" s="14" t="n"/>
      <c r="M38" s="29" t="n"/>
      <c r="N38" s="14" t="n"/>
      <c r="O38" s="16" t="n"/>
      <c r="P38" s="14" t="n"/>
      <c r="Q38" s="10">
        <f>IF(B38="","",IF(AND(J38&lt;项目驾驶舱!$B$3,P38&lt;&gt;"已完成"),"是","否"))</f>
        <v/>
      </c>
      <c r="R38" s="14" t="n"/>
      <c r="S38" s="14" t="n"/>
      <c r="T38" s="14" t="n"/>
    </row>
    <row r="39">
      <c r="A39" s="10">
        <f>IF(B39="","","RA-"&amp;TEXT(ROW()-4,"000"))</f>
        <v/>
      </c>
      <c r="B39" s="14" t="n"/>
      <c r="C39" s="10">
        <f>IF(B39="","",IFERROR(INDEX(风险登记册!$B$9:$B$108,MATCH(B39,风险登记册!$A$9:$A$108,0)),""))</f>
        <v/>
      </c>
      <c r="D39" s="14" t="n"/>
      <c r="E39" s="14" t="n"/>
      <c r="F39" s="14" t="n"/>
      <c r="G39" s="14" t="n"/>
      <c r="H39" s="14" t="n"/>
      <c r="I39" s="15" t="n"/>
      <c r="J39" s="15" t="n"/>
      <c r="K39" s="15" t="n"/>
      <c r="L39" s="14" t="n"/>
      <c r="M39" s="29" t="n"/>
      <c r="N39" s="14" t="n"/>
      <c r="O39" s="16" t="n"/>
      <c r="P39" s="14" t="n"/>
      <c r="Q39" s="10">
        <f>IF(B39="","",IF(AND(J39&lt;项目驾驶舱!$B$3,P39&lt;&gt;"已完成"),"是","否"))</f>
        <v/>
      </c>
      <c r="R39" s="14" t="n"/>
      <c r="S39" s="14" t="n"/>
      <c r="T39" s="14" t="n"/>
    </row>
    <row r="40">
      <c r="A40" s="10">
        <f>IF(B40="","","RA-"&amp;TEXT(ROW()-4,"000"))</f>
        <v/>
      </c>
      <c r="B40" s="14" t="n"/>
      <c r="C40" s="10">
        <f>IF(B40="","",IFERROR(INDEX(风险登记册!$B$9:$B$108,MATCH(B40,风险登记册!$A$9:$A$108,0)),""))</f>
        <v/>
      </c>
      <c r="D40" s="14" t="n"/>
      <c r="E40" s="14" t="n"/>
      <c r="F40" s="14" t="n"/>
      <c r="G40" s="14" t="n"/>
      <c r="H40" s="14" t="n"/>
      <c r="I40" s="15" t="n"/>
      <c r="J40" s="15" t="n"/>
      <c r="K40" s="15" t="n"/>
      <c r="L40" s="14" t="n"/>
      <c r="M40" s="29" t="n"/>
      <c r="N40" s="14" t="n"/>
      <c r="O40" s="16" t="n"/>
      <c r="P40" s="14" t="n"/>
      <c r="Q40" s="10">
        <f>IF(B40="","",IF(AND(J40&lt;项目驾驶舱!$B$3,P40&lt;&gt;"已完成"),"是","否"))</f>
        <v/>
      </c>
      <c r="R40" s="14" t="n"/>
      <c r="S40" s="14" t="n"/>
      <c r="T40" s="14" t="n"/>
    </row>
    <row r="41">
      <c r="A41" s="10">
        <f>IF(B41="","","RA-"&amp;TEXT(ROW()-4,"000"))</f>
        <v/>
      </c>
      <c r="B41" s="14" t="n"/>
      <c r="C41" s="10">
        <f>IF(B41="","",IFERROR(INDEX(风险登记册!$B$9:$B$108,MATCH(B41,风险登记册!$A$9:$A$108,0)),""))</f>
        <v/>
      </c>
      <c r="D41" s="14" t="n"/>
      <c r="E41" s="14" t="n"/>
      <c r="F41" s="14" t="n"/>
      <c r="G41" s="14" t="n"/>
      <c r="H41" s="14" t="n"/>
      <c r="I41" s="15" t="n"/>
      <c r="J41" s="15" t="n"/>
      <c r="K41" s="15" t="n"/>
      <c r="L41" s="14" t="n"/>
      <c r="M41" s="29" t="n"/>
      <c r="N41" s="14" t="n"/>
      <c r="O41" s="16" t="n"/>
      <c r="P41" s="14" t="n"/>
      <c r="Q41" s="10">
        <f>IF(B41="","",IF(AND(J41&lt;项目驾驶舱!$B$3,P41&lt;&gt;"已完成"),"是","否"))</f>
        <v/>
      </c>
      <c r="R41" s="14" t="n"/>
      <c r="S41" s="14" t="n"/>
      <c r="T41" s="14" t="n"/>
    </row>
    <row r="42">
      <c r="A42" s="10">
        <f>IF(B42="","","RA-"&amp;TEXT(ROW()-4,"000"))</f>
        <v/>
      </c>
      <c r="B42" s="14" t="n"/>
      <c r="C42" s="10">
        <f>IF(B42="","",IFERROR(INDEX(风险登记册!$B$9:$B$108,MATCH(B42,风险登记册!$A$9:$A$108,0)),""))</f>
        <v/>
      </c>
      <c r="D42" s="14" t="n"/>
      <c r="E42" s="14" t="n"/>
      <c r="F42" s="14" t="n"/>
      <c r="G42" s="14" t="n"/>
      <c r="H42" s="14" t="n"/>
      <c r="I42" s="15" t="n"/>
      <c r="J42" s="15" t="n"/>
      <c r="K42" s="15" t="n"/>
      <c r="L42" s="14" t="n"/>
      <c r="M42" s="29" t="n"/>
      <c r="N42" s="14" t="n"/>
      <c r="O42" s="16" t="n"/>
      <c r="P42" s="14" t="n"/>
      <c r="Q42" s="10">
        <f>IF(B42="","",IF(AND(J42&lt;项目驾驶舱!$B$3,P42&lt;&gt;"已完成"),"是","否"))</f>
        <v/>
      </c>
      <c r="R42" s="14" t="n"/>
      <c r="S42" s="14" t="n"/>
      <c r="T42" s="14" t="n"/>
    </row>
    <row r="43">
      <c r="A43" s="10">
        <f>IF(B43="","","RA-"&amp;TEXT(ROW()-4,"000"))</f>
        <v/>
      </c>
      <c r="B43" s="14" t="n"/>
      <c r="C43" s="10">
        <f>IF(B43="","",IFERROR(INDEX(风险登记册!$B$9:$B$108,MATCH(B43,风险登记册!$A$9:$A$108,0)),""))</f>
        <v/>
      </c>
      <c r="D43" s="14" t="n"/>
      <c r="E43" s="14" t="n"/>
      <c r="F43" s="14" t="n"/>
      <c r="G43" s="14" t="n"/>
      <c r="H43" s="14" t="n"/>
      <c r="I43" s="15" t="n"/>
      <c r="J43" s="15" t="n"/>
      <c r="K43" s="15" t="n"/>
      <c r="L43" s="14" t="n"/>
      <c r="M43" s="29" t="n"/>
      <c r="N43" s="14" t="n"/>
      <c r="O43" s="16" t="n"/>
      <c r="P43" s="14" t="n"/>
      <c r="Q43" s="10">
        <f>IF(B43="","",IF(AND(J43&lt;项目驾驶舱!$B$3,P43&lt;&gt;"已完成"),"是","否"))</f>
        <v/>
      </c>
      <c r="R43" s="14" t="n"/>
      <c r="S43" s="14" t="n"/>
      <c r="T43" s="14" t="n"/>
    </row>
    <row r="44">
      <c r="A44" s="10">
        <f>IF(B44="","","RA-"&amp;TEXT(ROW()-4,"000"))</f>
        <v/>
      </c>
      <c r="B44" s="14" t="n"/>
      <c r="C44" s="10">
        <f>IF(B44="","",IFERROR(INDEX(风险登记册!$B$9:$B$108,MATCH(B44,风险登记册!$A$9:$A$108,0)),""))</f>
        <v/>
      </c>
      <c r="D44" s="14" t="n"/>
      <c r="E44" s="14" t="n"/>
      <c r="F44" s="14" t="n"/>
      <c r="G44" s="14" t="n"/>
      <c r="H44" s="14" t="n"/>
      <c r="I44" s="15" t="n"/>
      <c r="J44" s="15" t="n"/>
      <c r="K44" s="15" t="n"/>
      <c r="L44" s="14" t="n"/>
      <c r="M44" s="29" t="n"/>
      <c r="N44" s="14" t="n"/>
      <c r="O44" s="16" t="n"/>
      <c r="P44" s="14" t="n"/>
      <c r="Q44" s="10">
        <f>IF(B44="","",IF(AND(J44&lt;项目驾驶舱!$B$3,P44&lt;&gt;"已完成"),"是","否"))</f>
        <v/>
      </c>
      <c r="R44" s="14" t="n"/>
      <c r="S44" s="14" t="n"/>
      <c r="T44" s="14" t="n"/>
    </row>
    <row r="45">
      <c r="A45" s="10">
        <f>IF(B45="","","RA-"&amp;TEXT(ROW()-4,"000"))</f>
        <v/>
      </c>
      <c r="B45" s="14" t="n"/>
      <c r="C45" s="10">
        <f>IF(B45="","",IFERROR(INDEX(风险登记册!$B$9:$B$108,MATCH(B45,风险登记册!$A$9:$A$108,0)),""))</f>
        <v/>
      </c>
      <c r="D45" s="14" t="n"/>
      <c r="E45" s="14" t="n"/>
      <c r="F45" s="14" t="n"/>
      <c r="G45" s="14" t="n"/>
      <c r="H45" s="14" t="n"/>
      <c r="I45" s="15" t="n"/>
      <c r="J45" s="15" t="n"/>
      <c r="K45" s="15" t="n"/>
      <c r="L45" s="14" t="n"/>
      <c r="M45" s="29" t="n"/>
      <c r="N45" s="14" t="n"/>
      <c r="O45" s="16" t="n"/>
      <c r="P45" s="14" t="n"/>
      <c r="Q45" s="10">
        <f>IF(B45="","",IF(AND(J45&lt;项目驾驶舱!$B$3,P45&lt;&gt;"已完成"),"是","否"))</f>
        <v/>
      </c>
      <c r="R45" s="14" t="n"/>
      <c r="S45" s="14" t="n"/>
      <c r="T45" s="14" t="n"/>
    </row>
    <row r="46">
      <c r="A46" s="10">
        <f>IF(B46="","","RA-"&amp;TEXT(ROW()-4,"000"))</f>
        <v/>
      </c>
      <c r="B46" s="14" t="n"/>
      <c r="C46" s="10">
        <f>IF(B46="","",IFERROR(INDEX(风险登记册!$B$9:$B$108,MATCH(B46,风险登记册!$A$9:$A$108,0)),""))</f>
        <v/>
      </c>
      <c r="D46" s="14" t="n"/>
      <c r="E46" s="14" t="n"/>
      <c r="F46" s="14" t="n"/>
      <c r="G46" s="14" t="n"/>
      <c r="H46" s="14" t="n"/>
      <c r="I46" s="15" t="n"/>
      <c r="J46" s="15" t="n"/>
      <c r="K46" s="15" t="n"/>
      <c r="L46" s="14" t="n"/>
      <c r="M46" s="29" t="n"/>
      <c r="N46" s="14" t="n"/>
      <c r="O46" s="16" t="n"/>
      <c r="P46" s="14" t="n"/>
      <c r="Q46" s="10">
        <f>IF(B46="","",IF(AND(J46&lt;项目驾驶舱!$B$3,P46&lt;&gt;"已完成"),"是","否"))</f>
        <v/>
      </c>
      <c r="R46" s="14" t="n"/>
      <c r="S46" s="14" t="n"/>
      <c r="T46" s="14" t="n"/>
    </row>
    <row r="47">
      <c r="A47" s="10">
        <f>IF(B47="","","RA-"&amp;TEXT(ROW()-4,"000"))</f>
        <v/>
      </c>
      <c r="B47" s="14" t="n"/>
      <c r="C47" s="10">
        <f>IF(B47="","",IFERROR(INDEX(风险登记册!$B$9:$B$108,MATCH(B47,风险登记册!$A$9:$A$108,0)),""))</f>
        <v/>
      </c>
      <c r="D47" s="14" t="n"/>
      <c r="E47" s="14" t="n"/>
      <c r="F47" s="14" t="n"/>
      <c r="G47" s="14" t="n"/>
      <c r="H47" s="14" t="n"/>
      <c r="I47" s="15" t="n"/>
      <c r="J47" s="15" t="n"/>
      <c r="K47" s="15" t="n"/>
      <c r="L47" s="14" t="n"/>
      <c r="M47" s="29" t="n"/>
      <c r="N47" s="14" t="n"/>
      <c r="O47" s="16" t="n"/>
      <c r="P47" s="14" t="n"/>
      <c r="Q47" s="10">
        <f>IF(B47="","",IF(AND(J47&lt;项目驾驶舱!$B$3,P47&lt;&gt;"已完成"),"是","否"))</f>
        <v/>
      </c>
      <c r="R47" s="14" t="n"/>
      <c r="S47" s="14" t="n"/>
      <c r="T47" s="14" t="n"/>
    </row>
    <row r="48">
      <c r="A48" s="10">
        <f>IF(B48="","","RA-"&amp;TEXT(ROW()-4,"000"))</f>
        <v/>
      </c>
      <c r="B48" s="14" t="n"/>
      <c r="C48" s="10">
        <f>IF(B48="","",IFERROR(INDEX(风险登记册!$B$9:$B$108,MATCH(B48,风险登记册!$A$9:$A$108,0)),""))</f>
        <v/>
      </c>
      <c r="D48" s="14" t="n"/>
      <c r="E48" s="14" t="n"/>
      <c r="F48" s="14" t="n"/>
      <c r="G48" s="14" t="n"/>
      <c r="H48" s="14" t="n"/>
      <c r="I48" s="15" t="n"/>
      <c r="J48" s="15" t="n"/>
      <c r="K48" s="15" t="n"/>
      <c r="L48" s="14" t="n"/>
      <c r="M48" s="29" t="n"/>
      <c r="N48" s="14" t="n"/>
      <c r="O48" s="16" t="n"/>
      <c r="P48" s="14" t="n"/>
      <c r="Q48" s="10">
        <f>IF(B48="","",IF(AND(J48&lt;项目驾驶舱!$B$3,P48&lt;&gt;"已完成"),"是","否"))</f>
        <v/>
      </c>
      <c r="R48" s="14" t="n"/>
      <c r="S48" s="14" t="n"/>
      <c r="T48" s="14" t="n"/>
    </row>
    <row r="49">
      <c r="A49" s="10">
        <f>IF(B49="","","RA-"&amp;TEXT(ROW()-4,"000"))</f>
        <v/>
      </c>
      <c r="B49" s="14" t="n"/>
      <c r="C49" s="10">
        <f>IF(B49="","",IFERROR(INDEX(风险登记册!$B$9:$B$108,MATCH(B49,风险登记册!$A$9:$A$108,0)),""))</f>
        <v/>
      </c>
      <c r="D49" s="14" t="n"/>
      <c r="E49" s="14" t="n"/>
      <c r="F49" s="14" t="n"/>
      <c r="G49" s="14" t="n"/>
      <c r="H49" s="14" t="n"/>
      <c r="I49" s="15" t="n"/>
      <c r="J49" s="15" t="n"/>
      <c r="K49" s="15" t="n"/>
      <c r="L49" s="14" t="n"/>
      <c r="M49" s="29" t="n"/>
      <c r="N49" s="14" t="n"/>
      <c r="O49" s="16" t="n"/>
      <c r="P49" s="14" t="n"/>
      <c r="Q49" s="10">
        <f>IF(B49="","",IF(AND(J49&lt;项目驾驶舱!$B$3,P49&lt;&gt;"已完成"),"是","否"))</f>
        <v/>
      </c>
      <c r="R49" s="14" t="n"/>
      <c r="S49" s="14" t="n"/>
      <c r="T49" s="14" t="n"/>
    </row>
    <row r="50">
      <c r="A50" s="10">
        <f>IF(B50="","","RA-"&amp;TEXT(ROW()-4,"000"))</f>
        <v/>
      </c>
      <c r="B50" s="14" t="n"/>
      <c r="C50" s="10">
        <f>IF(B50="","",IFERROR(INDEX(风险登记册!$B$9:$B$108,MATCH(B50,风险登记册!$A$9:$A$108,0)),""))</f>
        <v/>
      </c>
      <c r="D50" s="14" t="n"/>
      <c r="E50" s="14" t="n"/>
      <c r="F50" s="14" t="n"/>
      <c r="G50" s="14" t="n"/>
      <c r="H50" s="14" t="n"/>
      <c r="I50" s="15" t="n"/>
      <c r="J50" s="15" t="n"/>
      <c r="K50" s="15" t="n"/>
      <c r="L50" s="14" t="n"/>
      <c r="M50" s="29" t="n"/>
      <c r="N50" s="14" t="n"/>
      <c r="O50" s="16" t="n"/>
      <c r="P50" s="14" t="n"/>
      <c r="Q50" s="10">
        <f>IF(B50="","",IF(AND(J50&lt;项目驾驶舱!$B$3,P50&lt;&gt;"已完成"),"是","否"))</f>
        <v/>
      </c>
      <c r="R50" s="14" t="n"/>
      <c r="S50" s="14" t="n"/>
      <c r="T50" s="14" t="n"/>
    </row>
    <row r="51">
      <c r="A51" s="10">
        <f>IF(B51="","","RA-"&amp;TEXT(ROW()-4,"000"))</f>
        <v/>
      </c>
      <c r="B51" s="14" t="n"/>
      <c r="C51" s="10">
        <f>IF(B51="","",IFERROR(INDEX(风险登记册!$B$9:$B$108,MATCH(B51,风险登记册!$A$9:$A$108,0)),""))</f>
        <v/>
      </c>
      <c r="D51" s="14" t="n"/>
      <c r="E51" s="14" t="n"/>
      <c r="F51" s="14" t="n"/>
      <c r="G51" s="14" t="n"/>
      <c r="H51" s="14" t="n"/>
      <c r="I51" s="15" t="n"/>
      <c r="J51" s="15" t="n"/>
      <c r="K51" s="15" t="n"/>
      <c r="L51" s="14" t="n"/>
      <c r="M51" s="29" t="n"/>
      <c r="N51" s="14" t="n"/>
      <c r="O51" s="16" t="n"/>
      <c r="P51" s="14" t="n"/>
      <c r="Q51" s="10">
        <f>IF(B51="","",IF(AND(J51&lt;项目驾驶舱!$B$3,P51&lt;&gt;"已完成"),"是","否"))</f>
        <v/>
      </c>
      <c r="R51" s="14" t="n"/>
      <c r="S51" s="14" t="n"/>
      <c r="T51" s="14" t="n"/>
    </row>
    <row r="52">
      <c r="A52" s="10">
        <f>IF(B52="","","RA-"&amp;TEXT(ROW()-4,"000"))</f>
        <v/>
      </c>
      <c r="B52" s="14" t="n"/>
      <c r="C52" s="10">
        <f>IF(B52="","",IFERROR(INDEX(风险登记册!$B$9:$B$108,MATCH(B52,风险登记册!$A$9:$A$108,0)),""))</f>
        <v/>
      </c>
      <c r="D52" s="14" t="n"/>
      <c r="E52" s="14" t="n"/>
      <c r="F52" s="14" t="n"/>
      <c r="G52" s="14" t="n"/>
      <c r="H52" s="14" t="n"/>
      <c r="I52" s="15" t="n"/>
      <c r="J52" s="15" t="n"/>
      <c r="K52" s="15" t="n"/>
      <c r="L52" s="14" t="n"/>
      <c r="M52" s="29" t="n"/>
      <c r="N52" s="14" t="n"/>
      <c r="O52" s="16" t="n"/>
      <c r="P52" s="14" t="n"/>
      <c r="Q52" s="10">
        <f>IF(B52="","",IF(AND(J52&lt;项目驾驶舱!$B$3,P52&lt;&gt;"已完成"),"是","否"))</f>
        <v/>
      </c>
      <c r="R52" s="14" t="n"/>
      <c r="S52" s="14" t="n"/>
      <c r="T52" s="14" t="n"/>
    </row>
    <row r="53">
      <c r="A53" s="10">
        <f>IF(B53="","","RA-"&amp;TEXT(ROW()-4,"000"))</f>
        <v/>
      </c>
      <c r="B53" s="14" t="n"/>
      <c r="C53" s="10">
        <f>IF(B53="","",IFERROR(INDEX(风险登记册!$B$9:$B$108,MATCH(B53,风险登记册!$A$9:$A$108,0)),""))</f>
        <v/>
      </c>
      <c r="D53" s="14" t="n"/>
      <c r="E53" s="14" t="n"/>
      <c r="F53" s="14" t="n"/>
      <c r="G53" s="14" t="n"/>
      <c r="H53" s="14" t="n"/>
      <c r="I53" s="15" t="n"/>
      <c r="J53" s="15" t="n"/>
      <c r="K53" s="15" t="n"/>
      <c r="L53" s="14" t="n"/>
      <c r="M53" s="29" t="n"/>
      <c r="N53" s="14" t="n"/>
      <c r="O53" s="16" t="n"/>
      <c r="P53" s="14" t="n"/>
      <c r="Q53" s="10">
        <f>IF(B53="","",IF(AND(J53&lt;项目驾驶舱!$B$3,P53&lt;&gt;"已完成"),"是","否"))</f>
        <v/>
      </c>
      <c r="R53" s="14" t="n"/>
      <c r="S53" s="14" t="n"/>
      <c r="T53" s="14" t="n"/>
    </row>
    <row r="54">
      <c r="A54" s="10">
        <f>IF(B54="","","RA-"&amp;TEXT(ROW()-4,"000"))</f>
        <v/>
      </c>
      <c r="B54" s="14" t="n"/>
      <c r="C54" s="10">
        <f>IF(B54="","",IFERROR(INDEX(风险登记册!$B$9:$B$108,MATCH(B54,风险登记册!$A$9:$A$108,0)),""))</f>
        <v/>
      </c>
      <c r="D54" s="14" t="n"/>
      <c r="E54" s="14" t="n"/>
      <c r="F54" s="14" t="n"/>
      <c r="G54" s="14" t="n"/>
      <c r="H54" s="14" t="n"/>
      <c r="I54" s="15" t="n"/>
      <c r="J54" s="15" t="n"/>
      <c r="K54" s="15" t="n"/>
      <c r="L54" s="14" t="n"/>
      <c r="M54" s="29" t="n"/>
      <c r="N54" s="14" t="n"/>
      <c r="O54" s="16" t="n"/>
      <c r="P54" s="14" t="n"/>
      <c r="Q54" s="10">
        <f>IF(B54="","",IF(AND(J54&lt;项目驾驶舱!$B$3,P54&lt;&gt;"已完成"),"是","否"))</f>
        <v/>
      </c>
      <c r="R54" s="14" t="n"/>
      <c r="S54" s="14" t="n"/>
      <c r="T54" s="14" t="n"/>
    </row>
    <row r="55">
      <c r="A55" s="10">
        <f>IF(B55="","","RA-"&amp;TEXT(ROW()-4,"000"))</f>
        <v/>
      </c>
      <c r="B55" s="14" t="n"/>
      <c r="C55" s="10">
        <f>IF(B55="","",IFERROR(INDEX(风险登记册!$B$9:$B$108,MATCH(B55,风险登记册!$A$9:$A$108,0)),""))</f>
        <v/>
      </c>
      <c r="D55" s="14" t="n"/>
      <c r="E55" s="14" t="n"/>
      <c r="F55" s="14" t="n"/>
      <c r="G55" s="14" t="n"/>
      <c r="H55" s="14" t="n"/>
      <c r="I55" s="15" t="n"/>
      <c r="J55" s="15" t="n"/>
      <c r="K55" s="15" t="n"/>
      <c r="L55" s="14" t="n"/>
      <c r="M55" s="29" t="n"/>
      <c r="N55" s="14" t="n"/>
      <c r="O55" s="16" t="n"/>
      <c r="P55" s="14" t="n"/>
      <c r="Q55" s="10">
        <f>IF(B55="","",IF(AND(J55&lt;项目驾驶舱!$B$3,P55&lt;&gt;"已完成"),"是","否"))</f>
        <v/>
      </c>
      <c r="R55" s="14" t="n"/>
      <c r="S55" s="14" t="n"/>
      <c r="T55" s="14" t="n"/>
    </row>
    <row r="56">
      <c r="A56" s="10">
        <f>IF(B56="","","RA-"&amp;TEXT(ROW()-4,"000"))</f>
        <v/>
      </c>
      <c r="B56" s="14" t="n"/>
      <c r="C56" s="10">
        <f>IF(B56="","",IFERROR(INDEX(风险登记册!$B$9:$B$108,MATCH(B56,风险登记册!$A$9:$A$108,0)),""))</f>
        <v/>
      </c>
      <c r="D56" s="14" t="n"/>
      <c r="E56" s="14" t="n"/>
      <c r="F56" s="14" t="n"/>
      <c r="G56" s="14" t="n"/>
      <c r="H56" s="14" t="n"/>
      <c r="I56" s="15" t="n"/>
      <c r="J56" s="15" t="n"/>
      <c r="K56" s="15" t="n"/>
      <c r="L56" s="14" t="n"/>
      <c r="M56" s="29" t="n"/>
      <c r="N56" s="14" t="n"/>
      <c r="O56" s="16" t="n"/>
      <c r="P56" s="14" t="n"/>
      <c r="Q56" s="10">
        <f>IF(B56="","",IF(AND(J56&lt;项目驾驶舱!$B$3,P56&lt;&gt;"已完成"),"是","否"))</f>
        <v/>
      </c>
      <c r="R56" s="14" t="n"/>
      <c r="S56" s="14" t="n"/>
      <c r="T56" s="14" t="n"/>
    </row>
    <row r="57">
      <c r="A57" s="10">
        <f>IF(B57="","","RA-"&amp;TEXT(ROW()-4,"000"))</f>
        <v/>
      </c>
      <c r="B57" s="14" t="n"/>
      <c r="C57" s="10">
        <f>IF(B57="","",IFERROR(INDEX(风险登记册!$B$9:$B$108,MATCH(B57,风险登记册!$A$9:$A$108,0)),""))</f>
        <v/>
      </c>
      <c r="D57" s="14" t="n"/>
      <c r="E57" s="14" t="n"/>
      <c r="F57" s="14" t="n"/>
      <c r="G57" s="14" t="n"/>
      <c r="H57" s="14" t="n"/>
      <c r="I57" s="15" t="n"/>
      <c r="J57" s="15" t="n"/>
      <c r="K57" s="15" t="n"/>
      <c r="L57" s="14" t="n"/>
      <c r="M57" s="29" t="n"/>
      <c r="N57" s="14" t="n"/>
      <c r="O57" s="16" t="n"/>
      <c r="P57" s="14" t="n"/>
      <c r="Q57" s="10">
        <f>IF(B57="","",IF(AND(J57&lt;项目驾驶舱!$B$3,P57&lt;&gt;"已完成"),"是","否"))</f>
        <v/>
      </c>
      <c r="R57" s="14" t="n"/>
      <c r="S57" s="14" t="n"/>
      <c r="T57" s="14" t="n"/>
    </row>
    <row r="58">
      <c r="A58" s="10">
        <f>IF(B58="","","RA-"&amp;TEXT(ROW()-4,"000"))</f>
        <v/>
      </c>
      <c r="B58" s="14" t="n"/>
      <c r="C58" s="10">
        <f>IF(B58="","",IFERROR(INDEX(风险登记册!$B$9:$B$108,MATCH(B58,风险登记册!$A$9:$A$108,0)),""))</f>
        <v/>
      </c>
      <c r="D58" s="14" t="n"/>
      <c r="E58" s="14" t="n"/>
      <c r="F58" s="14" t="n"/>
      <c r="G58" s="14" t="n"/>
      <c r="H58" s="14" t="n"/>
      <c r="I58" s="15" t="n"/>
      <c r="J58" s="15" t="n"/>
      <c r="K58" s="15" t="n"/>
      <c r="L58" s="14" t="n"/>
      <c r="M58" s="29" t="n"/>
      <c r="N58" s="14" t="n"/>
      <c r="O58" s="16" t="n"/>
      <c r="P58" s="14" t="n"/>
      <c r="Q58" s="10">
        <f>IF(B58="","",IF(AND(J58&lt;项目驾驶舱!$B$3,P58&lt;&gt;"已完成"),"是","否"))</f>
        <v/>
      </c>
      <c r="R58" s="14" t="n"/>
      <c r="S58" s="14" t="n"/>
      <c r="T58" s="14" t="n"/>
    </row>
    <row r="59">
      <c r="A59" s="10">
        <f>IF(B59="","","RA-"&amp;TEXT(ROW()-4,"000"))</f>
        <v/>
      </c>
      <c r="B59" s="14" t="n"/>
      <c r="C59" s="10">
        <f>IF(B59="","",IFERROR(INDEX(风险登记册!$B$9:$B$108,MATCH(B59,风险登记册!$A$9:$A$108,0)),""))</f>
        <v/>
      </c>
      <c r="D59" s="14" t="n"/>
      <c r="E59" s="14" t="n"/>
      <c r="F59" s="14" t="n"/>
      <c r="G59" s="14" t="n"/>
      <c r="H59" s="14" t="n"/>
      <c r="I59" s="15" t="n"/>
      <c r="J59" s="15" t="n"/>
      <c r="K59" s="15" t="n"/>
      <c r="L59" s="14" t="n"/>
      <c r="M59" s="29" t="n"/>
      <c r="N59" s="14" t="n"/>
      <c r="O59" s="16" t="n"/>
      <c r="P59" s="14" t="n"/>
      <c r="Q59" s="10">
        <f>IF(B59="","",IF(AND(J59&lt;项目驾驶舱!$B$3,P59&lt;&gt;"已完成"),"是","否"))</f>
        <v/>
      </c>
      <c r="R59" s="14" t="n"/>
      <c r="S59" s="14" t="n"/>
      <c r="T59" s="14" t="n"/>
    </row>
    <row r="60">
      <c r="A60" s="10">
        <f>IF(B60="","","RA-"&amp;TEXT(ROW()-4,"000"))</f>
        <v/>
      </c>
      <c r="B60" s="14" t="n"/>
      <c r="C60" s="10">
        <f>IF(B60="","",IFERROR(INDEX(风险登记册!$B$9:$B$108,MATCH(B60,风险登记册!$A$9:$A$108,0)),""))</f>
        <v/>
      </c>
      <c r="D60" s="14" t="n"/>
      <c r="E60" s="14" t="n"/>
      <c r="F60" s="14" t="n"/>
      <c r="G60" s="14" t="n"/>
      <c r="H60" s="14" t="n"/>
      <c r="I60" s="15" t="n"/>
      <c r="J60" s="15" t="n"/>
      <c r="K60" s="15" t="n"/>
      <c r="L60" s="14" t="n"/>
      <c r="M60" s="29" t="n"/>
      <c r="N60" s="14" t="n"/>
      <c r="O60" s="16" t="n"/>
      <c r="P60" s="14" t="n"/>
      <c r="Q60" s="10">
        <f>IF(B60="","",IF(AND(J60&lt;项目驾驶舱!$B$3,P60&lt;&gt;"已完成"),"是","否"))</f>
        <v/>
      </c>
      <c r="R60" s="14" t="n"/>
      <c r="S60" s="14" t="n"/>
      <c r="T60" s="14" t="n"/>
    </row>
    <row r="61">
      <c r="A61" s="10">
        <f>IF(B61="","","RA-"&amp;TEXT(ROW()-4,"000"))</f>
        <v/>
      </c>
      <c r="B61" s="14" t="n"/>
      <c r="C61" s="10">
        <f>IF(B61="","",IFERROR(INDEX(风险登记册!$B$9:$B$108,MATCH(B61,风险登记册!$A$9:$A$108,0)),""))</f>
        <v/>
      </c>
      <c r="D61" s="14" t="n"/>
      <c r="E61" s="14" t="n"/>
      <c r="F61" s="14" t="n"/>
      <c r="G61" s="14" t="n"/>
      <c r="H61" s="14" t="n"/>
      <c r="I61" s="15" t="n"/>
      <c r="J61" s="15" t="n"/>
      <c r="K61" s="15" t="n"/>
      <c r="L61" s="14" t="n"/>
      <c r="M61" s="29" t="n"/>
      <c r="N61" s="14" t="n"/>
      <c r="O61" s="16" t="n"/>
      <c r="P61" s="14" t="n"/>
      <c r="Q61" s="10">
        <f>IF(B61="","",IF(AND(J61&lt;项目驾驶舱!$B$3,P61&lt;&gt;"已完成"),"是","否"))</f>
        <v/>
      </c>
      <c r="R61" s="14" t="n"/>
      <c r="S61" s="14" t="n"/>
      <c r="T61" s="14" t="n"/>
    </row>
    <row r="62">
      <c r="A62" s="10">
        <f>IF(B62="","","RA-"&amp;TEXT(ROW()-4,"000"))</f>
        <v/>
      </c>
      <c r="B62" s="14" t="n"/>
      <c r="C62" s="10">
        <f>IF(B62="","",IFERROR(INDEX(风险登记册!$B$9:$B$108,MATCH(B62,风险登记册!$A$9:$A$108,0)),""))</f>
        <v/>
      </c>
      <c r="D62" s="14" t="n"/>
      <c r="E62" s="14" t="n"/>
      <c r="F62" s="14" t="n"/>
      <c r="G62" s="14" t="n"/>
      <c r="H62" s="14" t="n"/>
      <c r="I62" s="15" t="n"/>
      <c r="J62" s="15" t="n"/>
      <c r="K62" s="15" t="n"/>
      <c r="L62" s="14" t="n"/>
      <c r="M62" s="29" t="n"/>
      <c r="N62" s="14" t="n"/>
      <c r="O62" s="16" t="n"/>
      <c r="P62" s="14" t="n"/>
      <c r="Q62" s="10">
        <f>IF(B62="","",IF(AND(J62&lt;项目驾驶舱!$B$3,P62&lt;&gt;"已完成"),"是","否"))</f>
        <v/>
      </c>
      <c r="R62" s="14" t="n"/>
      <c r="S62" s="14" t="n"/>
      <c r="T62" s="14" t="n"/>
    </row>
    <row r="63">
      <c r="A63" s="10">
        <f>IF(B63="","","RA-"&amp;TEXT(ROW()-4,"000"))</f>
        <v/>
      </c>
      <c r="B63" s="14" t="n"/>
      <c r="C63" s="10">
        <f>IF(B63="","",IFERROR(INDEX(风险登记册!$B$9:$B$108,MATCH(B63,风险登记册!$A$9:$A$108,0)),""))</f>
        <v/>
      </c>
      <c r="D63" s="14" t="n"/>
      <c r="E63" s="14" t="n"/>
      <c r="F63" s="14" t="n"/>
      <c r="G63" s="14" t="n"/>
      <c r="H63" s="14" t="n"/>
      <c r="I63" s="15" t="n"/>
      <c r="J63" s="15" t="n"/>
      <c r="K63" s="15" t="n"/>
      <c r="L63" s="14" t="n"/>
      <c r="M63" s="29" t="n"/>
      <c r="N63" s="14" t="n"/>
      <c r="O63" s="16" t="n"/>
      <c r="P63" s="14" t="n"/>
      <c r="Q63" s="10">
        <f>IF(B63="","",IF(AND(J63&lt;项目驾驶舱!$B$3,P63&lt;&gt;"已完成"),"是","否"))</f>
        <v/>
      </c>
      <c r="R63" s="14" t="n"/>
      <c r="S63" s="14" t="n"/>
      <c r="T63" s="14" t="n"/>
    </row>
    <row r="64">
      <c r="A64" s="10">
        <f>IF(B64="","","RA-"&amp;TEXT(ROW()-4,"000"))</f>
        <v/>
      </c>
      <c r="B64" s="14" t="n"/>
      <c r="C64" s="10">
        <f>IF(B64="","",IFERROR(INDEX(风险登记册!$B$9:$B$108,MATCH(B64,风险登记册!$A$9:$A$108,0)),""))</f>
        <v/>
      </c>
      <c r="D64" s="14" t="n"/>
      <c r="E64" s="14" t="n"/>
      <c r="F64" s="14" t="n"/>
      <c r="G64" s="14" t="n"/>
      <c r="H64" s="14" t="n"/>
      <c r="I64" s="15" t="n"/>
      <c r="J64" s="15" t="n"/>
      <c r="K64" s="15" t="n"/>
      <c r="L64" s="14" t="n"/>
      <c r="M64" s="29" t="n"/>
      <c r="N64" s="14" t="n"/>
      <c r="O64" s="16" t="n"/>
      <c r="P64" s="14" t="n"/>
      <c r="Q64" s="10">
        <f>IF(B64="","",IF(AND(J64&lt;项目驾驶舱!$B$3,P64&lt;&gt;"已完成"),"是","否"))</f>
        <v/>
      </c>
      <c r="R64" s="14" t="n"/>
      <c r="S64" s="14" t="n"/>
      <c r="T64" s="14" t="n"/>
    </row>
    <row r="65">
      <c r="A65" s="10">
        <f>IF(B65="","","RA-"&amp;TEXT(ROW()-4,"000"))</f>
        <v/>
      </c>
      <c r="B65" s="14" t="n"/>
      <c r="C65" s="10">
        <f>IF(B65="","",IFERROR(INDEX(风险登记册!$B$9:$B$108,MATCH(B65,风险登记册!$A$9:$A$108,0)),""))</f>
        <v/>
      </c>
      <c r="D65" s="14" t="n"/>
      <c r="E65" s="14" t="n"/>
      <c r="F65" s="14" t="n"/>
      <c r="G65" s="14" t="n"/>
      <c r="H65" s="14" t="n"/>
      <c r="I65" s="15" t="n"/>
      <c r="J65" s="15" t="n"/>
      <c r="K65" s="15" t="n"/>
      <c r="L65" s="14" t="n"/>
      <c r="M65" s="29" t="n"/>
      <c r="N65" s="14" t="n"/>
      <c r="O65" s="16" t="n"/>
      <c r="P65" s="14" t="n"/>
      <c r="Q65" s="10">
        <f>IF(B65="","",IF(AND(J65&lt;项目驾驶舱!$B$3,P65&lt;&gt;"已完成"),"是","否"))</f>
        <v/>
      </c>
      <c r="R65" s="14" t="n"/>
      <c r="S65" s="14" t="n"/>
      <c r="T65" s="14" t="n"/>
    </row>
    <row r="66">
      <c r="A66" s="10">
        <f>IF(B66="","","RA-"&amp;TEXT(ROW()-4,"000"))</f>
        <v/>
      </c>
      <c r="B66" s="14" t="n"/>
      <c r="C66" s="10">
        <f>IF(B66="","",IFERROR(INDEX(风险登记册!$B$9:$B$108,MATCH(B66,风险登记册!$A$9:$A$108,0)),""))</f>
        <v/>
      </c>
      <c r="D66" s="14" t="n"/>
      <c r="E66" s="14" t="n"/>
      <c r="F66" s="14" t="n"/>
      <c r="G66" s="14" t="n"/>
      <c r="H66" s="14" t="n"/>
      <c r="I66" s="15" t="n"/>
      <c r="J66" s="15" t="n"/>
      <c r="K66" s="15" t="n"/>
      <c r="L66" s="14" t="n"/>
      <c r="M66" s="29" t="n"/>
      <c r="N66" s="14" t="n"/>
      <c r="O66" s="16" t="n"/>
      <c r="P66" s="14" t="n"/>
      <c r="Q66" s="10">
        <f>IF(B66="","",IF(AND(J66&lt;项目驾驶舱!$B$3,P66&lt;&gt;"已完成"),"是","否"))</f>
        <v/>
      </c>
      <c r="R66" s="14" t="n"/>
      <c r="S66" s="14" t="n"/>
      <c r="T66" s="14" t="n"/>
    </row>
    <row r="67">
      <c r="A67" s="10">
        <f>IF(B67="","","RA-"&amp;TEXT(ROW()-4,"000"))</f>
        <v/>
      </c>
      <c r="B67" s="14" t="n"/>
      <c r="C67" s="10">
        <f>IF(B67="","",IFERROR(INDEX(风险登记册!$B$9:$B$108,MATCH(B67,风险登记册!$A$9:$A$108,0)),""))</f>
        <v/>
      </c>
      <c r="D67" s="14" t="n"/>
      <c r="E67" s="14" t="n"/>
      <c r="F67" s="14" t="n"/>
      <c r="G67" s="14" t="n"/>
      <c r="H67" s="14" t="n"/>
      <c r="I67" s="15" t="n"/>
      <c r="J67" s="15" t="n"/>
      <c r="K67" s="15" t="n"/>
      <c r="L67" s="14" t="n"/>
      <c r="M67" s="29" t="n"/>
      <c r="N67" s="14" t="n"/>
      <c r="O67" s="16" t="n"/>
      <c r="P67" s="14" t="n"/>
      <c r="Q67" s="10">
        <f>IF(B67="","",IF(AND(J67&lt;项目驾驶舱!$B$3,P67&lt;&gt;"已完成"),"是","否"))</f>
        <v/>
      </c>
      <c r="R67" s="14" t="n"/>
      <c r="S67" s="14" t="n"/>
      <c r="T67" s="14" t="n"/>
    </row>
    <row r="68">
      <c r="A68" s="10">
        <f>IF(B68="","","RA-"&amp;TEXT(ROW()-4,"000"))</f>
        <v/>
      </c>
      <c r="B68" s="14" t="n"/>
      <c r="C68" s="10">
        <f>IF(B68="","",IFERROR(INDEX(风险登记册!$B$9:$B$108,MATCH(B68,风险登记册!$A$9:$A$108,0)),""))</f>
        <v/>
      </c>
      <c r="D68" s="14" t="n"/>
      <c r="E68" s="14" t="n"/>
      <c r="F68" s="14" t="n"/>
      <c r="G68" s="14" t="n"/>
      <c r="H68" s="14" t="n"/>
      <c r="I68" s="15" t="n"/>
      <c r="J68" s="15" t="n"/>
      <c r="K68" s="15" t="n"/>
      <c r="L68" s="14" t="n"/>
      <c r="M68" s="29" t="n"/>
      <c r="N68" s="14" t="n"/>
      <c r="O68" s="16" t="n"/>
      <c r="P68" s="14" t="n"/>
      <c r="Q68" s="10">
        <f>IF(B68="","",IF(AND(J68&lt;项目驾驶舱!$B$3,P68&lt;&gt;"已完成"),"是","否"))</f>
        <v/>
      </c>
      <c r="R68" s="14" t="n"/>
      <c r="S68" s="14" t="n"/>
      <c r="T68" s="14" t="n"/>
    </row>
    <row r="69">
      <c r="A69" s="10">
        <f>IF(B69="","","RA-"&amp;TEXT(ROW()-4,"000"))</f>
        <v/>
      </c>
      <c r="B69" s="14" t="n"/>
      <c r="C69" s="10">
        <f>IF(B69="","",IFERROR(INDEX(风险登记册!$B$9:$B$108,MATCH(B69,风险登记册!$A$9:$A$108,0)),""))</f>
        <v/>
      </c>
      <c r="D69" s="14" t="n"/>
      <c r="E69" s="14" t="n"/>
      <c r="F69" s="14" t="n"/>
      <c r="G69" s="14" t="n"/>
      <c r="H69" s="14" t="n"/>
      <c r="I69" s="15" t="n"/>
      <c r="J69" s="15" t="n"/>
      <c r="K69" s="15" t="n"/>
      <c r="L69" s="14" t="n"/>
      <c r="M69" s="29" t="n"/>
      <c r="N69" s="14" t="n"/>
      <c r="O69" s="16" t="n"/>
      <c r="P69" s="14" t="n"/>
      <c r="Q69" s="10">
        <f>IF(B69="","",IF(AND(J69&lt;项目驾驶舱!$B$3,P69&lt;&gt;"已完成"),"是","否"))</f>
        <v/>
      </c>
      <c r="R69" s="14" t="n"/>
      <c r="S69" s="14" t="n"/>
      <c r="T69" s="14" t="n"/>
    </row>
    <row r="70">
      <c r="A70" s="10">
        <f>IF(B70="","","RA-"&amp;TEXT(ROW()-4,"000"))</f>
        <v/>
      </c>
      <c r="B70" s="14" t="n"/>
      <c r="C70" s="10">
        <f>IF(B70="","",IFERROR(INDEX(风险登记册!$B$9:$B$108,MATCH(B70,风险登记册!$A$9:$A$108,0)),""))</f>
        <v/>
      </c>
      <c r="D70" s="14" t="n"/>
      <c r="E70" s="14" t="n"/>
      <c r="F70" s="14" t="n"/>
      <c r="G70" s="14" t="n"/>
      <c r="H70" s="14" t="n"/>
      <c r="I70" s="15" t="n"/>
      <c r="J70" s="15" t="n"/>
      <c r="K70" s="15" t="n"/>
      <c r="L70" s="14" t="n"/>
      <c r="M70" s="29" t="n"/>
      <c r="N70" s="14" t="n"/>
      <c r="O70" s="16" t="n"/>
      <c r="P70" s="14" t="n"/>
      <c r="Q70" s="10">
        <f>IF(B70="","",IF(AND(J70&lt;项目驾驶舱!$B$3,P70&lt;&gt;"已完成"),"是","否"))</f>
        <v/>
      </c>
      <c r="R70" s="14" t="n"/>
      <c r="S70" s="14" t="n"/>
      <c r="T70" s="14" t="n"/>
    </row>
    <row r="71">
      <c r="A71" s="10">
        <f>IF(B71="","","RA-"&amp;TEXT(ROW()-4,"000"))</f>
        <v/>
      </c>
      <c r="B71" s="14" t="n"/>
      <c r="C71" s="10">
        <f>IF(B71="","",IFERROR(INDEX(风险登记册!$B$9:$B$108,MATCH(B71,风险登记册!$A$9:$A$108,0)),""))</f>
        <v/>
      </c>
      <c r="D71" s="14" t="n"/>
      <c r="E71" s="14" t="n"/>
      <c r="F71" s="14" t="n"/>
      <c r="G71" s="14" t="n"/>
      <c r="H71" s="14" t="n"/>
      <c r="I71" s="15" t="n"/>
      <c r="J71" s="15" t="n"/>
      <c r="K71" s="15" t="n"/>
      <c r="L71" s="14" t="n"/>
      <c r="M71" s="29" t="n"/>
      <c r="N71" s="14" t="n"/>
      <c r="O71" s="16" t="n"/>
      <c r="P71" s="14" t="n"/>
      <c r="Q71" s="10">
        <f>IF(B71="","",IF(AND(J71&lt;项目驾驶舱!$B$3,P71&lt;&gt;"已完成"),"是","否"))</f>
        <v/>
      </c>
      <c r="R71" s="14" t="n"/>
      <c r="S71" s="14" t="n"/>
      <c r="T71" s="14" t="n"/>
    </row>
    <row r="72">
      <c r="A72" s="10">
        <f>IF(B72="","","RA-"&amp;TEXT(ROW()-4,"000"))</f>
        <v/>
      </c>
      <c r="B72" s="14" t="n"/>
      <c r="C72" s="10">
        <f>IF(B72="","",IFERROR(INDEX(风险登记册!$B$9:$B$108,MATCH(B72,风险登记册!$A$9:$A$108,0)),""))</f>
        <v/>
      </c>
      <c r="D72" s="14" t="n"/>
      <c r="E72" s="14" t="n"/>
      <c r="F72" s="14" t="n"/>
      <c r="G72" s="14" t="n"/>
      <c r="H72" s="14" t="n"/>
      <c r="I72" s="15" t="n"/>
      <c r="J72" s="15" t="n"/>
      <c r="K72" s="15" t="n"/>
      <c r="L72" s="14" t="n"/>
      <c r="M72" s="29" t="n"/>
      <c r="N72" s="14" t="n"/>
      <c r="O72" s="16" t="n"/>
      <c r="P72" s="14" t="n"/>
      <c r="Q72" s="10">
        <f>IF(B72="","",IF(AND(J72&lt;项目驾驶舱!$B$3,P72&lt;&gt;"已完成"),"是","否"))</f>
        <v/>
      </c>
      <c r="R72" s="14" t="n"/>
      <c r="S72" s="14" t="n"/>
      <c r="T72" s="14" t="n"/>
    </row>
    <row r="73">
      <c r="A73" s="10">
        <f>IF(B73="","","RA-"&amp;TEXT(ROW()-4,"000"))</f>
        <v/>
      </c>
      <c r="B73" s="14" t="n"/>
      <c r="C73" s="10">
        <f>IF(B73="","",IFERROR(INDEX(风险登记册!$B$9:$B$108,MATCH(B73,风险登记册!$A$9:$A$108,0)),""))</f>
        <v/>
      </c>
      <c r="D73" s="14" t="n"/>
      <c r="E73" s="14" t="n"/>
      <c r="F73" s="14" t="n"/>
      <c r="G73" s="14" t="n"/>
      <c r="H73" s="14" t="n"/>
      <c r="I73" s="15" t="n"/>
      <c r="J73" s="15" t="n"/>
      <c r="K73" s="15" t="n"/>
      <c r="L73" s="14" t="n"/>
      <c r="M73" s="29" t="n"/>
      <c r="N73" s="14" t="n"/>
      <c r="O73" s="16" t="n"/>
      <c r="P73" s="14" t="n"/>
      <c r="Q73" s="10">
        <f>IF(B73="","",IF(AND(J73&lt;项目驾驶舱!$B$3,P73&lt;&gt;"已完成"),"是","否"))</f>
        <v/>
      </c>
      <c r="R73" s="14" t="n"/>
      <c r="S73" s="14" t="n"/>
      <c r="T73" s="14" t="n"/>
    </row>
    <row r="74">
      <c r="A74" s="10">
        <f>IF(B74="","","RA-"&amp;TEXT(ROW()-4,"000"))</f>
        <v/>
      </c>
      <c r="B74" s="14" t="n"/>
      <c r="C74" s="10">
        <f>IF(B74="","",IFERROR(INDEX(风险登记册!$B$9:$B$108,MATCH(B74,风险登记册!$A$9:$A$108,0)),""))</f>
        <v/>
      </c>
      <c r="D74" s="14" t="n"/>
      <c r="E74" s="14" t="n"/>
      <c r="F74" s="14" t="n"/>
      <c r="G74" s="14" t="n"/>
      <c r="H74" s="14" t="n"/>
      <c r="I74" s="15" t="n"/>
      <c r="J74" s="15" t="n"/>
      <c r="K74" s="15" t="n"/>
      <c r="L74" s="14" t="n"/>
      <c r="M74" s="29" t="n"/>
      <c r="N74" s="14" t="n"/>
      <c r="O74" s="16" t="n"/>
      <c r="P74" s="14" t="n"/>
      <c r="Q74" s="10">
        <f>IF(B74="","",IF(AND(J74&lt;项目驾驶舱!$B$3,P74&lt;&gt;"已完成"),"是","否"))</f>
        <v/>
      </c>
      <c r="R74" s="14" t="n"/>
      <c r="S74" s="14" t="n"/>
      <c r="T74" s="14" t="n"/>
    </row>
    <row r="75">
      <c r="A75" s="10">
        <f>IF(B75="","","RA-"&amp;TEXT(ROW()-4,"000"))</f>
        <v/>
      </c>
      <c r="B75" s="14" t="n"/>
      <c r="C75" s="10">
        <f>IF(B75="","",IFERROR(INDEX(风险登记册!$B$9:$B$108,MATCH(B75,风险登记册!$A$9:$A$108,0)),""))</f>
        <v/>
      </c>
      <c r="D75" s="14" t="n"/>
      <c r="E75" s="14" t="n"/>
      <c r="F75" s="14" t="n"/>
      <c r="G75" s="14" t="n"/>
      <c r="H75" s="14" t="n"/>
      <c r="I75" s="15" t="n"/>
      <c r="J75" s="15" t="n"/>
      <c r="K75" s="15" t="n"/>
      <c r="L75" s="14" t="n"/>
      <c r="M75" s="29" t="n"/>
      <c r="N75" s="14" t="n"/>
      <c r="O75" s="16" t="n"/>
      <c r="P75" s="14" t="n"/>
      <c r="Q75" s="10">
        <f>IF(B75="","",IF(AND(J75&lt;项目驾驶舱!$B$3,P75&lt;&gt;"已完成"),"是","否"))</f>
        <v/>
      </c>
      <c r="R75" s="14" t="n"/>
      <c r="S75" s="14" t="n"/>
      <c r="T75" s="14" t="n"/>
    </row>
    <row r="76">
      <c r="A76" s="10">
        <f>IF(B76="","","RA-"&amp;TEXT(ROW()-4,"000"))</f>
        <v/>
      </c>
      <c r="B76" s="14" t="n"/>
      <c r="C76" s="10">
        <f>IF(B76="","",IFERROR(INDEX(风险登记册!$B$9:$B$108,MATCH(B76,风险登记册!$A$9:$A$108,0)),""))</f>
        <v/>
      </c>
      <c r="D76" s="14" t="n"/>
      <c r="E76" s="14" t="n"/>
      <c r="F76" s="14" t="n"/>
      <c r="G76" s="14" t="n"/>
      <c r="H76" s="14" t="n"/>
      <c r="I76" s="15" t="n"/>
      <c r="J76" s="15" t="n"/>
      <c r="K76" s="15" t="n"/>
      <c r="L76" s="14" t="n"/>
      <c r="M76" s="29" t="n"/>
      <c r="N76" s="14" t="n"/>
      <c r="O76" s="16" t="n"/>
      <c r="P76" s="14" t="n"/>
      <c r="Q76" s="10">
        <f>IF(B76="","",IF(AND(J76&lt;项目驾驶舱!$B$3,P76&lt;&gt;"已完成"),"是","否"))</f>
        <v/>
      </c>
      <c r="R76" s="14" t="n"/>
      <c r="S76" s="14" t="n"/>
      <c r="T76" s="14" t="n"/>
    </row>
    <row r="77">
      <c r="A77" s="10">
        <f>IF(B77="","","RA-"&amp;TEXT(ROW()-4,"000"))</f>
        <v/>
      </c>
      <c r="B77" s="14" t="n"/>
      <c r="C77" s="10">
        <f>IF(B77="","",IFERROR(INDEX(风险登记册!$B$9:$B$108,MATCH(B77,风险登记册!$A$9:$A$108,0)),""))</f>
        <v/>
      </c>
      <c r="D77" s="14" t="n"/>
      <c r="E77" s="14" t="n"/>
      <c r="F77" s="14" t="n"/>
      <c r="G77" s="14" t="n"/>
      <c r="H77" s="14" t="n"/>
      <c r="I77" s="15" t="n"/>
      <c r="J77" s="15" t="n"/>
      <c r="K77" s="15" t="n"/>
      <c r="L77" s="14" t="n"/>
      <c r="M77" s="29" t="n"/>
      <c r="N77" s="14" t="n"/>
      <c r="O77" s="16" t="n"/>
      <c r="P77" s="14" t="n"/>
      <c r="Q77" s="10">
        <f>IF(B77="","",IF(AND(J77&lt;项目驾驶舱!$B$3,P77&lt;&gt;"已完成"),"是","否"))</f>
        <v/>
      </c>
      <c r="R77" s="14" t="n"/>
      <c r="S77" s="14" t="n"/>
      <c r="T77" s="14" t="n"/>
    </row>
    <row r="78">
      <c r="A78" s="10">
        <f>IF(B78="","","RA-"&amp;TEXT(ROW()-4,"000"))</f>
        <v/>
      </c>
      <c r="B78" s="14" t="n"/>
      <c r="C78" s="10">
        <f>IF(B78="","",IFERROR(INDEX(风险登记册!$B$9:$B$108,MATCH(B78,风险登记册!$A$9:$A$108,0)),""))</f>
        <v/>
      </c>
      <c r="D78" s="14" t="n"/>
      <c r="E78" s="14" t="n"/>
      <c r="F78" s="14" t="n"/>
      <c r="G78" s="14" t="n"/>
      <c r="H78" s="14" t="n"/>
      <c r="I78" s="15" t="n"/>
      <c r="J78" s="15" t="n"/>
      <c r="K78" s="15" t="n"/>
      <c r="L78" s="14" t="n"/>
      <c r="M78" s="29" t="n"/>
      <c r="N78" s="14" t="n"/>
      <c r="O78" s="16" t="n"/>
      <c r="P78" s="14" t="n"/>
      <c r="Q78" s="10">
        <f>IF(B78="","",IF(AND(J78&lt;项目驾驶舱!$B$3,P78&lt;&gt;"已完成"),"是","否"))</f>
        <v/>
      </c>
      <c r="R78" s="14" t="n"/>
      <c r="S78" s="14" t="n"/>
      <c r="T78" s="14" t="n"/>
    </row>
    <row r="79">
      <c r="A79" s="10">
        <f>IF(B79="","","RA-"&amp;TEXT(ROW()-4,"000"))</f>
        <v/>
      </c>
      <c r="B79" s="14" t="n"/>
      <c r="C79" s="10">
        <f>IF(B79="","",IFERROR(INDEX(风险登记册!$B$9:$B$108,MATCH(B79,风险登记册!$A$9:$A$108,0)),""))</f>
        <v/>
      </c>
      <c r="D79" s="14" t="n"/>
      <c r="E79" s="14" t="n"/>
      <c r="F79" s="14" t="n"/>
      <c r="G79" s="14" t="n"/>
      <c r="H79" s="14" t="n"/>
      <c r="I79" s="15" t="n"/>
      <c r="J79" s="15" t="n"/>
      <c r="K79" s="15" t="n"/>
      <c r="L79" s="14" t="n"/>
      <c r="M79" s="29" t="n"/>
      <c r="N79" s="14" t="n"/>
      <c r="O79" s="16" t="n"/>
      <c r="P79" s="14" t="n"/>
      <c r="Q79" s="10">
        <f>IF(B79="","",IF(AND(J79&lt;项目驾驶舱!$B$3,P79&lt;&gt;"已完成"),"是","否"))</f>
        <v/>
      </c>
      <c r="R79" s="14" t="n"/>
      <c r="S79" s="14" t="n"/>
      <c r="T79" s="14" t="n"/>
    </row>
    <row r="80">
      <c r="A80" s="10">
        <f>IF(B80="","","RA-"&amp;TEXT(ROW()-4,"000"))</f>
        <v/>
      </c>
      <c r="B80" s="14" t="n"/>
      <c r="C80" s="10">
        <f>IF(B80="","",IFERROR(INDEX(风险登记册!$B$9:$B$108,MATCH(B80,风险登记册!$A$9:$A$108,0)),""))</f>
        <v/>
      </c>
      <c r="D80" s="14" t="n"/>
      <c r="E80" s="14" t="n"/>
      <c r="F80" s="14" t="n"/>
      <c r="G80" s="14" t="n"/>
      <c r="H80" s="14" t="n"/>
      <c r="I80" s="15" t="n"/>
      <c r="J80" s="15" t="n"/>
      <c r="K80" s="15" t="n"/>
      <c r="L80" s="14" t="n"/>
      <c r="M80" s="29" t="n"/>
      <c r="N80" s="14" t="n"/>
      <c r="O80" s="16" t="n"/>
      <c r="P80" s="14" t="n"/>
      <c r="Q80" s="10">
        <f>IF(B80="","",IF(AND(J80&lt;项目驾驶舱!$B$3,P80&lt;&gt;"已完成"),"是","否"))</f>
        <v/>
      </c>
      <c r="R80" s="14" t="n"/>
      <c r="S80" s="14" t="n"/>
      <c r="T80" s="14" t="n"/>
    </row>
    <row r="81">
      <c r="A81" s="10">
        <f>IF(B81="","","RA-"&amp;TEXT(ROW()-4,"000"))</f>
        <v/>
      </c>
      <c r="B81" s="14" t="n"/>
      <c r="C81" s="10">
        <f>IF(B81="","",IFERROR(INDEX(风险登记册!$B$9:$B$108,MATCH(B81,风险登记册!$A$9:$A$108,0)),""))</f>
        <v/>
      </c>
      <c r="D81" s="14" t="n"/>
      <c r="E81" s="14" t="n"/>
      <c r="F81" s="14" t="n"/>
      <c r="G81" s="14" t="n"/>
      <c r="H81" s="14" t="n"/>
      <c r="I81" s="15" t="n"/>
      <c r="J81" s="15" t="n"/>
      <c r="K81" s="15" t="n"/>
      <c r="L81" s="14" t="n"/>
      <c r="M81" s="29" t="n"/>
      <c r="N81" s="14" t="n"/>
      <c r="O81" s="16" t="n"/>
      <c r="P81" s="14" t="n"/>
      <c r="Q81" s="10">
        <f>IF(B81="","",IF(AND(J81&lt;项目驾驶舱!$B$3,P81&lt;&gt;"已完成"),"是","否"))</f>
        <v/>
      </c>
      <c r="R81" s="14" t="n"/>
      <c r="S81" s="14" t="n"/>
      <c r="T81" s="14" t="n"/>
    </row>
    <row r="82">
      <c r="A82" s="10">
        <f>IF(B82="","","RA-"&amp;TEXT(ROW()-4,"000"))</f>
        <v/>
      </c>
      <c r="B82" s="14" t="n"/>
      <c r="C82" s="10">
        <f>IF(B82="","",IFERROR(INDEX(风险登记册!$B$9:$B$108,MATCH(B82,风险登记册!$A$9:$A$108,0)),""))</f>
        <v/>
      </c>
      <c r="D82" s="14" t="n"/>
      <c r="E82" s="14" t="n"/>
      <c r="F82" s="14" t="n"/>
      <c r="G82" s="14" t="n"/>
      <c r="H82" s="14" t="n"/>
      <c r="I82" s="15" t="n"/>
      <c r="J82" s="15" t="n"/>
      <c r="K82" s="15" t="n"/>
      <c r="L82" s="14" t="n"/>
      <c r="M82" s="29" t="n"/>
      <c r="N82" s="14" t="n"/>
      <c r="O82" s="16" t="n"/>
      <c r="P82" s="14" t="n"/>
      <c r="Q82" s="10">
        <f>IF(B82="","",IF(AND(J82&lt;项目驾驶舱!$B$3,P82&lt;&gt;"已完成"),"是","否"))</f>
        <v/>
      </c>
      <c r="R82" s="14" t="n"/>
      <c r="S82" s="14" t="n"/>
      <c r="T82" s="14" t="n"/>
    </row>
    <row r="83">
      <c r="A83" s="10">
        <f>IF(B83="","","RA-"&amp;TEXT(ROW()-4,"000"))</f>
        <v/>
      </c>
      <c r="B83" s="14" t="n"/>
      <c r="C83" s="10">
        <f>IF(B83="","",IFERROR(INDEX(风险登记册!$B$9:$B$108,MATCH(B83,风险登记册!$A$9:$A$108,0)),""))</f>
        <v/>
      </c>
      <c r="D83" s="14" t="n"/>
      <c r="E83" s="14" t="n"/>
      <c r="F83" s="14" t="n"/>
      <c r="G83" s="14" t="n"/>
      <c r="H83" s="14" t="n"/>
      <c r="I83" s="15" t="n"/>
      <c r="J83" s="15" t="n"/>
      <c r="K83" s="15" t="n"/>
      <c r="L83" s="14" t="n"/>
      <c r="M83" s="29" t="n"/>
      <c r="N83" s="14" t="n"/>
      <c r="O83" s="16" t="n"/>
      <c r="P83" s="14" t="n"/>
      <c r="Q83" s="10">
        <f>IF(B83="","",IF(AND(J83&lt;项目驾驶舱!$B$3,P83&lt;&gt;"已完成"),"是","否"))</f>
        <v/>
      </c>
      <c r="R83" s="14" t="n"/>
      <c r="S83" s="14" t="n"/>
      <c r="T83" s="14" t="n"/>
    </row>
    <row r="84">
      <c r="A84" s="10">
        <f>IF(B84="","","RA-"&amp;TEXT(ROW()-4,"000"))</f>
        <v/>
      </c>
      <c r="B84" s="14" t="n"/>
      <c r="C84" s="10">
        <f>IF(B84="","",IFERROR(INDEX(风险登记册!$B$9:$B$108,MATCH(B84,风险登记册!$A$9:$A$108,0)),""))</f>
        <v/>
      </c>
      <c r="D84" s="14" t="n"/>
      <c r="E84" s="14" t="n"/>
      <c r="F84" s="14" t="n"/>
      <c r="G84" s="14" t="n"/>
      <c r="H84" s="14" t="n"/>
      <c r="I84" s="15" t="n"/>
      <c r="J84" s="15" t="n"/>
      <c r="K84" s="15" t="n"/>
      <c r="L84" s="14" t="n"/>
      <c r="M84" s="29" t="n"/>
      <c r="N84" s="14" t="n"/>
      <c r="O84" s="16" t="n"/>
      <c r="P84" s="14" t="n"/>
      <c r="Q84" s="10">
        <f>IF(B84="","",IF(AND(J84&lt;项目驾驶舱!$B$3,P84&lt;&gt;"已完成"),"是","否"))</f>
        <v/>
      </c>
      <c r="R84" s="14" t="n"/>
      <c r="S84" s="14" t="n"/>
      <c r="T84" s="14" t="n"/>
    </row>
    <row r="85">
      <c r="A85" s="10">
        <f>IF(B85="","","RA-"&amp;TEXT(ROW()-4,"000"))</f>
        <v/>
      </c>
      <c r="B85" s="14" t="n"/>
      <c r="C85" s="10">
        <f>IF(B85="","",IFERROR(INDEX(风险登记册!$B$9:$B$108,MATCH(B85,风险登记册!$A$9:$A$108,0)),""))</f>
        <v/>
      </c>
      <c r="D85" s="14" t="n"/>
      <c r="E85" s="14" t="n"/>
      <c r="F85" s="14" t="n"/>
      <c r="G85" s="14" t="n"/>
      <c r="H85" s="14" t="n"/>
      <c r="I85" s="15" t="n"/>
      <c r="J85" s="15" t="n"/>
      <c r="K85" s="15" t="n"/>
      <c r="L85" s="14" t="n"/>
      <c r="M85" s="29" t="n"/>
      <c r="N85" s="14" t="n"/>
      <c r="O85" s="16" t="n"/>
      <c r="P85" s="14" t="n"/>
      <c r="Q85" s="10">
        <f>IF(B85="","",IF(AND(J85&lt;项目驾驶舱!$B$3,P85&lt;&gt;"已完成"),"是","否"))</f>
        <v/>
      </c>
      <c r="R85" s="14" t="n"/>
      <c r="S85" s="14" t="n"/>
      <c r="T85" s="14" t="n"/>
    </row>
    <row r="86">
      <c r="A86" s="10">
        <f>IF(B86="","","RA-"&amp;TEXT(ROW()-4,"000"))</f>
        <v/>
      </c>
      <c r="B86" s="14" t="n"/>
      <c r="C86" s="10">
        <f>IF(B86="","",IFERROR(INDEX(风险登记册!$B$9:$B$108,MATCH(B86,风险登记册!$A$9:$A$108,0)),""))</f>
        <v/>
      </c>
      <c r="D86" s="14" t="n"/>
      <c r="E86" s="14" t="n"/>
      <c r="F86" s="14" t="n"/>
      <c r="G86" s="14" t="n"/>
      <c r="H86" s="14" t="n"/>
      <c r="I86" s="15" t="n"/>
      <c r="J86" s="15" t="n"/>
      <c r="K86" s="15" t="n"/>
      <c r="L86" s="14" t="n"/>
      <c r="M86" s="29" t="n"/>
      <c r="N86" s="14" t="n"/>
      <c r="O86" s="16" t="n"/>
      <c r="P86" s="14" t="n"/>
      <c r="Q86" s="10">
        <f>IF(B86="","",IF(AND(J86&lt;项目驾驶舱!$B$3,P86&lt;&gt;"已完成"),"是","否"))</f>
        <v/>
      </c>
      <c r="R86" s="14" t="n"/>
      <c r="S86" s="14" t="n"/>
      <c r="T86" s="14" t="n"/>
    </row>
    <row r="87">
      <c r="A87" s="10">
        <f>IF(B87="","","RA-"&amp;TEXT(ROW()-4,"000"))</f>
        <v/>
      </c>
      <c r="B87" s="14" t="n"/>
      <c r="C87" s="10">
        <f>IF(B87="","",IFERROR(INDEX(风险登记册!$B$9:$B$108,MATCH(B87,风险登记册!$A$9:$A$108,0)),""))</f>
        <v/>
      </c>
      <c r="D87" s="14" t="n"/>
      <c r="E87" s="14" t="n"/>
      <c r="F87" s="14" t="n"/>
      <c r="G87" s="14" t="n"/>
      <c r="H87" s="14" t="n"/>
      <c r="I87" s="15" t="n"/>
      <c r="J87" s="15" t="n"/>
      <c r="K87" s="15" t="n"/>
      <c r="L87" s="14" t="n"/>
      <c r="M87" s="29" t="n"/>
      <c r="N87" s="14" t="n"/>
      <c r="O87" s="16" t="n"/>
      <c r="P87" s="14" t="n"/>
      <c r="Q87" s="10">
        <f>IF(B87="","",IF(AND(J87&lt;项目驾驶舱!$B$3,P87&lt;&gt;"已完成"),"是","否"))</f>
        <v/>
      </c>
      <c r="R87" s="14" t="n"/>
      <c r="S87" s="14" t="n"/>
      <c r="T87" s="14" t="n"/>
    </row>
    <row r="88">
      <c r="A88" s="10">
        <f>IF(B88="","","RA-"&amp;TEXT(ROW()-4,"000"))</f>
        <v/>
      </c>
      <c r="B88" s="14" t="n"/>
      <c r="C88" s="10">
        <f>IF(B88="","",IFERROR(INDEX(风险登记册!$B$9:$B$108,MATCH(B88,风险登记册!$A$9:$A$108,0)),""))</f>
        <v/>
      </c>
      <c r="D88" s="14" t="n"/>
      <c r="E88" s="14" t="n"/>
      <c r="F88" s="14" t="n"/>
      <c r="G88" s="14" t="n"/>
      <c r="H88" s="14" t="n"/>
      <c r="I88" s="15" t="n"/>
      <c r="J88" s="15" t="n"/>
      <c r="K88" s="15" t="n"/>
      <c r="L88" s="14" t="n"/>
      <c r="M88" s="29" t="n"/>
      <c r="N88" s="14" t="n"/>
      <c r="O88" s="16" t="n"/>
      <c r="P88" s="14" t="n"/>
      <c r="Q88" s="10">
        <f>IF(B88="","",IF(AND(J88&lt;项目驾驶舱!$B$3,P88&lt;&gt;"已完成"),"是","否"))</f>
        <v/>
      </c>
      <c r="R88" s="14" t="n"/>
      <c r="S88" s="14" t="n"/>
      <c r="T88" s="14" t="n"/>
    </row>
    <row r="89">
      <c r="A89" s="10">
        <f>IF(B89="","","RA-"&amp;TEXT(ROW()-4,"000"))</f>
        <v/>
      </c>
      <c r="B89" s="14" t="n"/>
      <c r="C89" s="10">
        <f>IF(B89="","",IFERROR(INDEX(风险登记册!$B$9:$B$108,MATCH(B89,风险登记册!$A$9:$A$108,0)),""))</f>
        <v/>
      </c>
      <c r="D89" s="14" t="n"/>
      <c r="E89" s="14" t="n"/>
      <c r="F89" s="14" t="n"/>
      <c r="G89" s="14" t="n"/>
      <c r="H89" s="14" t="n"/>
      <c r="I89" s="15" t="n"/>
      <c r="J89" s="15" t="n"/>
      <c r="K89" s="15" t="n"/>
      <c r="L89" s="14" t="n"/>
      <c r="M89" s="29" t="n"/>
      <c r="N89" s="14" t="n"/>
      <c r="O89" s="16" t="n"/>
      <c r="P89" s="14" t="n"/>
      <c r="Q89" s="10">
        <f>IF(B89="","",IF(AND(J89&lt;项目驾驶舱!$B$3,P89&lt;&gt;"已完成"),"是","否"))</f>
        <v/>
      </c>
      <c r="R89" s="14" t="n"/>
      <c r="S89" s="14" t="n"/>
      <c r="T89" s="14" t="n"/>
    </row>
    <row r="90">
      <c r="A90" s="10">
        <f>IF(B90="","","RA-"&amp;TEXT(ROW()-4,"000"))</f>
        <v/>
      </c>
      <c r="B90" s="14" t="n"/>
      <c r="C90" s="10">
        <f>IF(B90="","",IFERROR(INDEX(风险登记册!$B$9:$B$108,MATCH(B90,风险登记册!$A$9:$A$108,0)),""))</f>
        <v/>
      </c>
      <c r="D90" s="14" t="n"/>
      <c r="E90" s="14" t="n"/>
      <c r="F90" s="14" t="n"/>
      <c r="G90" s="14" t="n"/>
      <c r="H90" s="14" t="n"/>
      <c r="I90" s="15" t="n"/>
      <c r="J90" s="15" t="n"/>
      <c r="K90" s="15" t="n"/>
      <c r="L90" s="14" t="n"/>
      <c r="M90" s="29" t="n"/>
      <c r="N90" s="14" t="n"/>
      <c r="O90" s="16" t="n"/>
      <c r="P90" s="14" t="n"/>
      <c r="Q90" s="10">
        <f>IF(B90="","",IF(AND(J90&lt;项目驾驶舱!$B$3,P90&lt;&gt;"已完成"),"是","否"))</f>
        <v/>
      </c>
      <c r="R90" s="14" t="n"/>
      <c r="S90" s="14" t="n"/>
      <c r="T90" s="14" t="n"/>
    </row>
    <row r="91">
      <c r="A91" s="10">
        <f>IF(B91="","","RA-"&amp;TEXT(ROW()-4,"000"))</f>
        <v/>
      </c>
      <c r="B91" s="14" t="n"/>
      <c r="C91" s="10">
        <f>IF(B91="","",IFERROR(INDEX(风险登记册!$B$9:$B$108,MATCH(B91,风险登记册!$A$9:$A$108,0)),""))</f>
        <v/>
      </c>
      <c r="D91" s="14" t="n"/>
      <c r="E91" s="14" t="n"/>
      <c r="F91" s="14" t="n"/>
      <c r="G91" s="14" t="n"/>
      <c r="H91" s="14" t="n"/>
      <c r="I91" s="15" t="n"/>
      <c r="J91" s="15" t="n"/>
      <c r="K91" s="15" t="n"/>
      <c r="L91" s="14" t="n"/>
      <c r="M91" s="29" t="n"/>
      <c r="N91" s="14" t="n"/>
      <c r="O91" s="16" t="n"/>
      <c r="P91" s="14" t="n"/>
      <c r="Q91" s="10">
        <f>IF(B91="","",IF(AND(J91&lt;项目驾驶舱!$B$3,P91&lt;&gt;"已完成"),"是","否"))</f>
        <v/>
      </c>
      <c r="R91" s="14" t="n"/>
      <c r="S91" s="14" t="n"/>
      <c r="T91" s="14" t="n"/>
    </row>
    <row r="92">
      <c r="A92" s="10">
        <f>IF(B92="","","RA-"&amp;TEXT(ROW()-4,"000"))</f>
        <v/>
      </c>
      <c r="B92" s="14" t="n"/>
      <c r="C92" s="10">
        <f>IF(B92="","",IFERROR(INDEX(风险登记册!$B$9:$B$108,MATCH(B92,风险登记册!$A$9:$A$108,0)),""))</f>
        <v/>
      </c>
      <c r="D92" s="14" t="n"/>
      <c r="E92" s="14" t="n"/>
      <c r="F92" s="14" t="n"/>
      <c r="G92" s="14" t="n"/>
      <c r="H92" s="14" t="n"/>
      <c r="I92" s="15" t="n"/>
      <c r="J92" s="15" t="n"/>
      <c r="K92" s="15" t="n"/>
      <c r="L92" s="14" t="n"/>
      <c r="M92" s="29" t="n"/>
      <c r="N92" s="14" t="n"/>
      <c r="O92" s="16" t="n"/>
      <c r="P92" s="14" t="n"/>
      <c r="Q92" s="10">
        <f>IF(B92="","",IF(AND(J92&lt;项目驾驶舱!$B$3,P92&lt;&gt;"已完成"),"是","否"))</f>
        <v/>
      </c>
      <c r="R92" s="14" t="n"/>
      <c r="S92" s="14" t="n"/>
      <c r="T92" s="14" t="n"/>
    </row>
    <row r="93">
      <c r="A93" s="10">
        <f>IF(B93="","","RA-"&amp;TEXT(ROW()-4,"000"))</f>
        <v/>
      </c>
      <c r="B93" s="14" t="n"/>
      <c r="C93" s="10">
        <f>IF(B93="","",IFERROR(INDEX(风险登记册!$B$9:$B$108,MATCH(B93,风险登记册!$A$9:$A$108,0)),""))</f>
        <v/>
      </c>
      <c r="D93" s="14" t="n"/>
      <c r="E93" s="14" t="n"/>
      <c r="F93" s="14" t="n"/>
      <c r="G93" s="14" t="n"/>
      <c r="H93" s="14" t="n"/>
      <c r="I93" s="15" t="n"/>
      <c r="J93" s="15" t="n"/>
      <c r="K93" s="15" t="n"/>
      <c r="L93" s="14" t="n"/>
      <c r="M93" s="29" t="n"/>
      <c r="N93" s="14" t="n"/>
      <c r="O93" s="16" t="n"/>
      <c r="P93" s="14" t="n"/>
      <c r="Q93" s="10">
        <f>IF(B93="","",IF(AND(J93&lt;项目驾驶舱!$B$3,P93&lt;&gt;"已完成"),"是","否"))</f>
        <v/>
      </c>
      <c r="R93" s="14" t="n"/>
      <c r="S93" s="14" t="n"/>
      <c r="T93" s="14" t="n"/>
    </row>
    <row r="94">
      <c r="A94" s="10">
        <f>IF(B94="","","RA-"&amp;TEXT(ROW()-4,"000"))</f>
        <v/>
      </c>
      <c r="B94" s="14" t="n"/>
      <c r="C94" s="10">
        <f>IF(B94="","",IFERROR(INDEX(风险登记册!$B$9:$B$108,MATCH(B94,风险登记册!$A$9:$A$108,0)),""))</f>
        <v/>
      </c>
      <c r="D94" s="14" t="n"/>
      <c r="E94" s="14" t="n"/>
      <c r="F94" s="14" t="n"/>
      <c r="G94" s="14" t="n"/>
      <c r="H94" s="14" t="n"/>
      <c r="I94" s="15" t="n"/>
      <c r="J94" s="15" t="n"/>
      <c r="K94" s="15" t="n"/>
      <c r="L94" s="14" t="n"/>
      <c r="M94" s="29" t="n"/>
      <c r="N94" s="14" t="n"/>
      <c r="O94" s="16" t="n"/>
      <c r="P94" s="14" t="n"/>
      <c r="Q94" s="10">
        <f>IF(B94="","",IF(AND(J94&lt;项目驾驶舱!$B$3,P94&lt;&gt;"已完成"),"是","否"))</f>
        <v/>
      </c>
      <c r="R94" s="14" t="n"/>
      <c r="S94" s="14" t="n"/>
      <c r="T94" s="14" t="n"/>
    </row>
    <row r="95">
      <c r="A95" s="10">
        <f>IF(B95="","","RA-"&amp;TEXT(ROW()-4,"000"))</f>
        <v/>
      </c>
      <c r="B95" s="14" t="n"/>
      <c r="C95" s="10">
        <f>IF(B95="","",IFERROR(INDEX(风险登记册!$B$9:$B$108,MATCH(B95,风险登记册!$A$9:$A$108,0)),""))</f>
        <v/>
      </c>
      <c r="D95" s="14" t="n"/>
      <c r="E95" s="14" t="n"/>
      <c r="F95" s="14" t="n"/>
      <c r="G95" s="14" t="n"/>
      <c r="H95" s="14" t="n"/>
      <c r="I95" s="15" t="n"/>
      <c r="J95" s="15" t="n"/>
      <c r="K95" s="15" t="n"/>
      <c r="L95" s="14" t="n"/>
      <c r="M95" s="29" t="n"/>
      <c r="N95" s="14" t="n"/>
      <c r="O95" s="16" t="n"/>
      <c r="P95" s="14" t="n"/>
      <c r="Q95" s="10">
        <f>IF(B95="","",IF(AND(J95&lt;项目驾驶舱!$B$3,P95&lt;&gt;"已完成"),"是","否"))</f>
        <v/>
      </c>
      <c r="R95" s="14" t="n"/>
      <c r="S95" s="14" t="n"/>
      <c r="T95" s="14" t="n"/>
    </row>
    <row r="96">
      <c r="A96" s="10">
        <f>IF(B96="","","RA-"&amp;TEXT(ROW()-4,"000"))</f>
        <v/>
      </c>
      <c r="B96" s="14" t="n"/>
      <c r="C96" s="10">
        <f>IF(B96="","",IFERROR(INDEX(风险登记册!$B$9:$B$108,MATCH(B96,风险登记册!$A$9:$A$108,0)),""))</f>
        <v/>
      </c>
      <c r="D96" s="14" t="n"/>
      <c r="E96" s="14" t="n"/>
      <c r="F96" s="14" t="n"/>
      <c r="G96" s="14" t="n"/>
      <c r="H96" s="14" t="n"/>
      <c r="I96" s="15" t="n"/>
      <c r="J96" s="15" t="n"/>
      <c r="K96" s="15" t="n"/>
      <c r="L96" s="14" t="n"/>
      <c r="M96" s="29" t="n"/>
      <c r="N96" s="14" t="n"/>
      <c r="O96" s="16" t="n"/>
      <c r="P96" s="14" t="n"/>
      <c r="Q96" s="10">
        <f>IF(B96="","",IF(AND(J96&lt;项目驾驶舱!$B$3,P96&lt;&gt;"已完成"),"是","否"))</f>
        <v/>
      </c>
      <c r="R96" s="14" t="n"/>
      <c r="S96" s="14" t="n"/>
      <c r="T96" s="14" t="n"/>
    </row>
    <row r="97">
      <c r="A97" s="10">
        <f>IF(B97="","","RA-"&amp;TEXT(ROW()-4,"000"))</f>
        <v/>
      </c>
      <c r="B97" s="14" t="n"/>
      <c r="C97" s="10">
        <f>IF(B97="","",IFERROR(INDEX(风险登记册!$B$9:$B$108,MATCH(B97,风险登记册!$A$9:$A$108,0)),""))</f>
        <v/>
      </c>
      <c r="D97" s="14" t="n"/>
      <c r="E97" s="14" t="n"/>
      <c r="F97" s="14" t="n"/>
      <c r="G97" s="14" t="n"/>
      <c r="H97" s="14" t="n"/>
      <c r="I97" s="15" t="n"/>
      <c r="J97" s="15" t="n"/>
      <c r="K97" s="15" t="n"/>
      <c r="L97" s="14" t="n"/>
      <c r="M97" s="29" t="n"/>
      <c r="N97" s="14" t="n"/>
      <c r="O97" s="16" t="n"/>
      <c r="P97" s="14" t="n"/>
      <c r="Q97" s="10">
        <f>IF(B97="","",IF(AND(J97&lt;项目驾驶舱!$B$3,P97&lt;&gt;"已完成"),"是","否"))</f>
        <v/>
      </c>
      <c r="R97" s="14" t="n"/>
      <c r="S97" s="14" t="n"/>
      <c r="T97" s="14" t="n"/>
    </row>
    <row r="98">
      <c r="A98" s="10">
        <f>IF(B98="","","RA-"&amp;TEXT(ROW()-4,"000"))</f>
        <v/>
      </c>
      <c r="B98" s="14" t="n"/>
      <c r="C98" s="10">
        <f>IF(B98="","",IFERROR(INDEX(风险登记册!$B$9:$B$108,MATCH(B98,风险登记册!$A$9:$A$108,0)),""))</f>
        <v/>
      </c>
      <c r="D98" s="14" t="n"/>
      <c r="E98" s="14" t="n"/>
      <c r="F98" s="14" t="n"/>
      <c r="G98" s="14" t="n"/>
      <c r="H98" s="14" t="n"/>
      <c r="I98" s="15" t="n"/>
      <c r="J98" s="15" t="n"/>
      <c r="K98" s="15" t="n"/>
      <c r="L98" s="14" t="n"/>
      <c r="M98" s="29" t="n"/>
      <c r="N98" s="14" t="n"/>
      <c r="O98" s="16" t="n"/>
      <c r="P98" s="14" t="n"/>
      <c r="Q98" s="10">
        <f>IF(B98="","",IF(AND(J98&lt;项目驾驶舱!$B$3,P98&lt;&gt;"已完成"),"是","否"))</f>
        <v/>
      </c>
      <c r="R98" s="14" t="n"/>
      <c r="S98" s="14" t="n"/>
      <c r="T98" s="14" t="n"/>
    </row>
    <row r="99">
      <c r="A99" s="10">
        <f>IF(B99="","","RA-"&amp;TEXT(ROW()-4,"000"))</f>
        <v/>
      </c>
      <c r="B99" s="14" t="n"/>
      <c r="C99" s="10">
        <f>IF(B99="","",IFERROR(INDEX(风险登记册!$B$9:$B$108,MATCH(B99,风险登记册!$A$9:$A$108,0)),""))</f>
        <v/>
      </c>
      <c r="D99" s="14" t="n"/>
      <c r="E99" s="14" t="n"/>
      <c r="F99" s="14" t="n"/>
      <c r="G99" s="14" t="n"/>
      <c r="H99" s="14" t="n"/>
      <c r="I99" s="15" t="n"/>
      <c r="J99" s="15" t="n"/>
      <c r="K99" s="15" t="n"/>
      <c r="L99" s="14" t="n"/>
      <c r="M99" s="29" t="n"/>
      <c r="N99" s="14" t="n"/>
      <c r="O99" s="16" t="n"/>
      <c r="P99" s="14" t="n"/>
      <c r="Q99" s="10">
        <f>IF(B99="","",IF(AND(J99&lt;项目驾驶舱!$B$3,P99&lt;&gt;"已完成"),"是","否"))</f>
        <v/>
      </c>
      <c r="R99" s="14" t="n"/>
      <c r="S99" s="14" t="n"/>
      <c r="T99" s="14" t="n"/>
    </row>
    <row r="100">
      <c r="A100" s="10">
        <f>IF(B100="","","RA-"&amp;TEXT(ROW()-4,"000"))</f>
        <v/>
      </c>
      <c r="B100" s="14" t="n"/>
      <c r="C100" s="10">
        <f>IF(B100="","",IFERROR(INDEX(风险登记册!$B$9:$B$108,MATCH(B100,风险登记册!$A$9:$A$108,0)),""))</f>
        <v/>
      </c>
      <c r="D100" s="14" t="n"/>
      <c r="E100" s="14" t="n"/>
      <c r="F100" s="14" t="n"/>
      <c r="G100" s="14" t="n"/>
      <c r="H100" s="14" t="n"/>
      <c r="I100" s="15" t="n"/>
      <c r="J100" s="15" t="n"/>
      <c r="K100" s="15" t="n"/>
      <c r="L100" s="14" t="n"/>
      <c r="M100" s="29" t="n"/>
      <c r="N100" s="14" t="n"/>
      <c r="O100" s="16" t="n"/>
      <c r="P100" s="14" t="n"/>
      <c r="Q100" s="10">
        <f>IF(B100="","",IF(AND(J100&lt;项目驾驶舱!$B$3,P100&lt;&gt;"已完成"),"是","否"))</f>
        <v/>
      </c>
      <c r="R100" s="14" t="n"/>
      <c r="S100" s="14" t="n"/>
      <c r="T100" s="14" t="n"/>
    </row>
    <row r="101">
      <c r="A101" s="10">
        <f>IF(B101="","","RA-"&amp;TEXT(ROW()-4,"000"))</f>
        <v/>
      </c>
      <c r="B101" s="14" t="n"/>
      <c r="C101" s="10">
        <f>IF(B101="","",IFERROR(INDEX(风险登记册!$B$9:$B$108,MATCH(B101,风险登记册!$A$9:$A$108,0)),""))</f>
        <v/>
      </c>
      <c r="D101" s="14" t="n"/>
      <c r="E101" s="14" t="n"/>
      <c r="F101" s="14" t="n"/>
      <c r="G101" s="14" t="n"/>
      <c r="H101" s="14" t="n"/>
      <c r="I101" s="15" t="n"/>
      <c r="J101" s="15" t="n"/>
      <c r="K101" s="15" t="n"/>
      <c r="L101" s="14" t="n"/>
      <c r="M101" s="29" t="n"/>
      <c r="N101" s="14" t="n"/>
      <c r="O101" s="16" t="n"/>
      <c r="P101" s="14" t="n"/>
      <c r="Q101" s="10">
        <f>IF(B101="","",IF(AND(J101&lt;项目驾驶舱!$B$3,P101&lt;&gt;"已完成"),"是","否"))</f>
        <v/>
      </c>
      <c r="R101" s="14" t="n"/>
      <c r="S101" s="14" t="n"/>
      <c r="T101" s="14" t="n"/>
    </row>
    <row r="102">
      <c r="A102" s="10">
        <f>IF(B102="","","RA-"&amp;TEXT(ROW()-4,"000"))</f>
        <v/>
      </c>
      <c r="B102" s="14" t="n"/>
      <c r="C102" s="10">
        <f>IF(B102="","",IFERROR(INDEX(风险登记册!$B$9:$B$108,MATCH(B102,风险登记册!$A$9:$A$108,0)),""))</f>
        <v/>
      </c>
      <c r="D102" s="14" t="n"/>
      <c r="E102" s="14" t="n"/>
      <c r="F102" s="14" t="n"/>
      <c r="G102" s="14" t="n"/>
      <c r="H102" s="14" t="n"/>
      <c r="I102" s="15" t="n"/>
      <c r="J102" s="15" t="n"/>
      <c r="K102" s="15" t="n"/>
      <c r="L102" s="14" t="n"/>
      <c r="M102" s="29" t="n"/>
      <c r="N102" s="14" t="n"/>
      <c r="O102" s="16" t="n"/>
      <c r="P102" s="14" t="n"/>
      <c r="Q102" s="10">
        <f>IF(B102="","",IF(AND(J102&lt;项目驾驶舱!$B$3,P102&lt;&gt;"已完成"),"是","否"))</f>
        <v/>
      </c>
      <c r="R102" s="14" t="n"/>
      <c r="S102" s="14" t="n"/>
      <c r="T102" s="14" t="n"/>
    </row>
    <row r="103">
      <c r="A103" s="10">
        <f>IF(B103="","","RA-"&amp;TEXT(ROW()-4,"000"))</f>
        <v/>
      </c>
      <c r="B103" s="14" t="n"/>
      <c r="C103" s="10">
        <f>IF(B103="","",IFERROR(INDEX(风险登记册!$B$9:$B$108,MATCH(B103,风险登记册!$A$9:$A$108,0)),""))</f>
        <v/>
      </c>
      <c r="D103" s="14" t="n"/>
      <c r="E103" s="14" t="n"/>
      <c r="F103" s="14" t="n"/>
      <c r="G103" s="14" t="n"/>
      <c r="H103" s="14" t="n"/>
      <c r="I103" s="15" t="n"/>
      <c r="J103" s="15" t="n"/>
      <c r="K103" s="15" t="n"/>
      <c r="L103" s="14" t="n"/>
      <c r="M103" s="29" t="n"/>
      <c r="N103" s="14" t="n"/>
      <c r="O103" s="16" t="n"/>
      <c r="P103" s="14" t="n"/>
      <c r="Q103" s="10">
        <f>IF(B103="","",IF(AND(J103&lt;项目驾驶舱!$B$3,P103&lt;&gt;"已完成"),"是","否"))</f>
        <v/>
      </c>
      <c r="R103" s="14" t="n"/>
      <c r="S103" s="14" t="n"/>
      <c r="T103" s="14" t="n"/>
    </row>
    <row r="104">
      <c r="A104" s="10">
        <f>IF(B104="","","RA-"&amp;TEXT(ROW()-4,"000"))</f>
        <v/>
      </c>
      <c r="B104" s="14" t="n"/>
      <c r="C104" s="10">
        <f>IF(B104="","",IFERROR(INDEX(风险登记册!$B$9:$B$108,MATCH(B104,风险登记册!$A$9:$A$108,0)),""))</f>
        <v/>
      </c>
      <c r="D104" s="14" t="n"/>
      <c r="E104" s="14" t="n"/>
      <c r="F104" s="14" t="n"/>
      <c r="G104" s="14" t="n"/>
      <c r="H104" s="14" t="n"/>
      <c r="I104" s="15" t="n"/>
      <c r="J104" s="15" t="n"/>
      <c r="K104" s="15" t="n"/>
      <c r="L104" s="14" t="n"/>
      <c r="M104" s="29" t="n"/>
      <c r="N104" s="14" t="n"/>
      <c r="O104" s="16" t="n"/>
      <c r="P104" s="14" t="n"/>
      <c r="Q104" s="10">
        <f>IF(B104="","",IF(AND(J104&lt;项目驾驶舱!$B$3,P104&lt;&gt;"已完成"),"是","否"))</f>
        <v/>
      </c>
      <c r="R104" s="14" t="n"/>
      <c r="S104" s="14" t="n"/>
      <c r="T104" s="14" t="n"/>
    </row>
  </sheetData>
  <autoFilter ref="A4:T104"/>
  <mergeCells count="2">
    <mergeCell ref="A1:T1"/>
    <mergeCell ref="A2:T2"/>
  </mergeCells>
  <dataValidations count="4">
    <dataValidation sqref="D5:D104" showDropDown="0" showInputMessage="0" showErrorMessage="0" allowBlank="1" type="list">
      <formula1>"规避,减轻,转移,接受,上报,开拓,提高,分享"</formula1>
    </dataValidation>
    <dataValidation sqref="F5:F104" showDropDown="0" showInputMessage="0" showErrorMessage="0" allowBlank="1" type="list">
      <formula1>"预防,监测,应急,备用"</formula1>
    </dataValidation>
    <dataValidation sqref="P5:P104" showDropDown="0" showInputMessage="0" showErrorMessage="0" allowBlank="1" type="list">
      <formula1>"未开始,进行中,已完成,暂停"</formula1>
    </dataValidation>
    <dataValidation sqref="R5:R104" showDropDown="0" showInputMessage="0" showErrorMessage="0" allowBlank="1" type="list">
      <formula1>"有效,部分有效,无效,待验证"</formula1>
    </dataValidation>
  </dataValidations>
  <pageMargins left="0.75" right="0.75" top="1" bottom="1" header="0.5" footer="0.5"/>
  <pageSetup orientation="landscape" paperSize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selection activeCell="A1" sqref="A1"/>
    </sheetView>
  </sheetViews>
  <sheetFormatPr baseColWidth="8" defaultColWidth="9" defaultRowHeight="16.8"/>
  <cols>
    <col width="11" customWidth="1" min="1" max="1"/>
    <col width="10" customWidth="1" min="2" max="2"/>
    <col width="40" customWidth="1" min="3" max="3"/>
    <col width="10" customWidth="1" min="4" max="4"/>
    <col width="22" customWidth="1" min="5" max="5"/>
    <col width="14" customWidth="1" min="6" max="6"/>
    <col width="42" customWidth="1" min="7" max="7"/>
    <col width="13" customWidth="1" min="8" max="8"/>
    <col width="30" customWidth="1" min="10" max="10"/>
    <col width="11" customWidth="1" min="11" max="11"/>
    <col width="28" customWidth="1" min="14" max="14"/>
  </cols>
  <sheetData>
    <row r="1" ht="34" customHeight="1">
      <c r="A1" s="30" t="inlineStr">
        <is>
          <t>风险与问题闭环台账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</row>
    <row r="2"/>
    <row r="3" ht="30" customHeight="1">
      <c r="A3" s="31" t="inlineStr">
        <is>
          <t>编号</t>
        </is>
      </c>
      <c r="B3" s="31" t="inlineStr">
        <is>
          <t>类型</t>
        </is>
      </c>
      <c r="C3" s="31" t="inlineStr">
        <is>
          <t>风险/问题描述</t>
        </is>
      </c>
      <c r="D3" s="31" t="inlineStr">
        <is>
          <t>等级</t>
        </is>
      </c>
      <c r="E3" s="31" t="inlineStr">
        <is>
          <t>影响范围</t>
        </is>
      </c>
      <c r="F3" s="31" t="inlineStr">
        <is>
          <t>责任人</t>
        </is>
      </c>
      <c r="G3" s="31" t="inlineStr">
        <is>
          <t>应对措施</t>
        </is>
      </c>
      <c r="H3" s="31" t="inlineStr">
        <is>
          <t>计划关闭</t>
        </is>
      </c>
      <c r="I3" s="31" t="inlineStr">
        <is>
          <t>实际关闭</t>
        </is>
      </c>
      <c r="J3" s="31" t="inlineStr">
        <is>
          <t>触发条件/根因</t>
        </is>
      </c>
      <c r="K3" s="31" t="inlineStr">
        <is>
          <t>状态</t>
        </is>
      </c>
      <c r="L3" s="31" t="inlineStr">
        <is>
          <t>剩余天数</t>
        </is>
      </c>
      <c r="M3" s="31" t="inlineStr">
        <is>
          <t>是否逾期</t>
        </is>
      </c>
      <c r="N3" s="31" t="inlineStr">
        <is>
          <t>跟踪记录</t>
        </is>
      </c>
    </row>
    <row r="4" ht="17" customHeight="1">
      <c r="A4" s="32" t="inlineStr">
        <is>
          <t>R-001</t>
        </is>
      </c>
      <c r="B4" s="32" t="inlineStr">
        <is>
          <t>风险</t>
        </is>
      </c>
      <c r="C4" s="32" t="inlineStr">
        <is>
          <t>法治平台全面上线时间影响相关功能投产</t>
        </is>
      </c>
      <c r="D4" s="32" t="inlineStr">
        <is>
          <t>高</t>
        </is>
      </c>
      <c r="E4" s="32" t="inlineStr">
        <is>
          <t>合同信息集成</t>
        </is>
      </c>
      <c r="F4" s="32" t="inlineStr">
        <is>
          <t>集成负责人</t>
        </is>
      </c>
      <c r="G4" s="32" t="inlineStr">
        <is>
          <t>确认对方正式上线窗口，制定模拟数据和延期切换方案</t>
        </is>
      </c>
      <c r="H4" s="33" t="n">
        <v>46310</v>
      </c>
      <c r="I4" s="33" t="n"/>
      <c r="J4" s="32" t="inlineStr">
        <is>
          <t>对方10月后方可正式支撑</t>
        </is>
      </c>
      <c r="K4" s="32" t="inlineStr">
        <is>
          <t>处理中</t>
        </is>
      </c>
      <c r="L4" s="32">
        <f>IF(H4="","",H4-项目驾驶舱!$B$3)</f>
        <v/>
      </c>
      <c r="M4" s="32">
        <f>IF(OR(K4="已关闭",H4=""),"否",IF(H4&lt;项目驾驶舱!$B$3,"是","否"))</f>
        <v/>
      </c>
      <c r="N4" s="32" t="inlineStr">
        <is>
          <t>来源：原计划-集成工作</t>
        </is>
      </c>
    </row>
    <row r="5" ht="34" customHeight="1">
      <c r="A5" s="32" t="inlineStr">
        <is>
          <t>R-002</t>
        </is>
      </c>
      <c r="B5" s="32" t="inlineStr">
        <is>
          <t>风险</t>
        </is>
      </c>
      <c r="C5" s="32" t="inlineStr">
        <is>
          <t>法治平台不提供合同接收接口，可能无法满足本系统录入合同需求</t>
        </is>
      </c>
      <c r="D5" s="32" t="inlineStr">
        <is>
          <t>高</t>
        </is>
      </c>
      <c r="E5" s="32" t="inlineStr">
        <is>
          <t>合同业务闭环</t>
        </is>
      </c>
      <c r="F5" s="32" t="inlineStr">
        <is>
          <t>项目经理</t>
        </is>
      </c>
      <c r="G5" s="32" t="inlineStr">
        <is>
          <t>推动用户决策，形成接口边界与替代方案确认单</t>
        </is>
      </c>
      <c r="H5" s="33" t="n">
        <v>46283</v>
      </c>
      <c r="I5" s="33" t="n"/>
      <c r="J5" s="32" t="inlineStr">
        <is>
          <t>接口能力与业务诉求不一致</t>
        </is>
      </c>
      <c r="K5" s="32" t="inlineStr">
        <is>
          <t>待处理</t>
        </is>
      </c>
      <c r="L5" s="32">
        <f>IF(H5="","",H5-项目驾驶舱!$B$3)</f>
        <v/>
      </c>
      <c r="M5" s="32">
        <f>IF(OR(K5="已关闭",H5=""),"否",IF(H5&lt;项目驾驶舱!$B$3,"是","否"))</f>
        <v/>
      </c>
      <c r="N5" s="32" t="inlineStr">
        <is>
          <t>来源：原计划-集成工作</t>
        </is>
      </c>
    </row>
    <row r="6" ht="17" customHeight="1">
      <c r="A6" s="32" t="inlineStr">
        <is>
          <t>R-003</t>
        </is>
      </c>
      <c r="B6" s="32" t="inlineStr">
        <is>
          <t>风险</t>
        </is>
      </c>
      <c r="C6" s="32" t="inlineStr">
        <is>
          <t>OCR识别耗时约1分钟，影响业务效率</t>
        </is>
      </c>
      <c r="D6" s="32" t="inlineStr">
        <is>
          <t>中</t>
        </is>
      </c>
      <c r="E6" s="32" t="inlineStr">
        <is>
          <t>OCR能力</t>
        </is>
      </c>
      <c r="F6" s="32" t="inlineStr">
        <is>
          <t>技术负责人</t>
        </is>
      </c>
      <c r="G6" s="32" t="inlineStr">
        <is>
          <t>压测典型文件，确定超时阈值、异步处理与结果回调方案</t>
        </is>
      </c>
      <c r="H6" s="33" t="n">
        <v>46290</v>
      </c>
      <c r="I6" s="33" t="n"/>
      <c r="J6" s="32" t="inlineStr">
        <is>
          <t>外部大模型服务性能</t>
        </is>
      </c>
      <c r="K6" s="32" t="inlineStr">
        <is>
          <t>处理中</t>
        </is>
      </c>
      <c r="L6" s="32">
        <f>IF(H6="","",H6-项目驾驶舱!$B$3)</f>
        <v/>
      </c>
      <c r="M6" s="32">
        <f>IF(OR(K6="已关闭",H6=""),"否",IF(H6&lt;项目驾驶舱!$B$3,"是","否"))</f>
        <v/>
      </c>
      <c r="N6" s="32" t="inlineStr">
        <is>
          <t>来源：原计划-集成工作</t>
        </is>
      </c>
    </row>
    <row r="7" ht="17" customHeight="1">
      <c r="A7" s="32" t="inlineStr">
        <is>
          <t>R-004</t>
        </is>
      </c>
      <c r="B7" s="32" t="inlineStr">
        <is>
          <t>风险</t>
        </is>
      </c>
      <c r="C7" s="32" t="inlineStr">
        <is>
          <t>视频监控数据对接范围尚未明确</t>
        </is>
      </c>
      <c r="D7" s="32" t="inlineStr">
        <is>
          <t>高</t>
        </is>
      </c>
      <c r="E7" s="32" t="inlineStr">
        <is>
          <t>视频监控</t>
        </is>
      </c>
      <c r="F7" s="32" t="inlineStr">
        <is>
          <t>集成负责人</t>
        </is>
      </c>
      <c r="G7" s="32" t="inlineStr">
        <is>
          <t>确认科技项目覆盖清单并补充缺口方案</t>
        </is>
      </c>
      <c r="H7" s="33" t="n">
        <v>46280</v>
      </c>
      <c r="I7" s="33" t="n"/>
      <c r="J7" s="32" t="inlineStr">
        <is>
          <t>上游系统范围不确定</t>
        </is>
      </c>
      <c r="K7" s="32" t="inlineStr">
        <is>
          <t>待处理</t>
        </is>
      </c>
      <c r="L7" s="32">
        <f>IF(H7="","",H7-项目驾驶舱!$B$3)</f>
        <v/>
      </c>
      <c r="M7" s="32">
        <f>IF(OR(K7="已关闭",H7=""),"否",IF(H7&lt;项目驾驶舱!$B$3,"是","否"))</f>
        <v/>
      </c>
      <c r="N7" s="32" t="inlineStr">
        <is>
          <t>来源：原计划-集成工作</t>
        </is>
      </c>
    </row>
    <row r="8" ht="34" customHeight="1">
      <c r="A8" s="32" t="inlineStr">
        <is>
          <t>R-005</t>
        </is>
      </c>
      <c r="B8" s="32" t="inlineStr">
        <is>
          <t>风险</t>
        </is>
      </c>
      <c r="C8" s="32" t="inlineStr">
        <is>
          <t>太仓港管控一体化系统刚立项，集成工作无法按期开展</t>
        </is>
      </c>
      <c r="D8" s="32" t="inlineStr">
        <is>
          <t>高</t>
        </is>
      </c>
      <c r="E8" s="32" t="inlineStr">
        <is>
          <t>太仓港数据集成</t>
        </is>
      </c>
      <c r="F8" s="32" t="inlineStr">
        <is>
          <t>项目经理</t>
        </is>
      </c>
      <c r="G8" s="32" t="inlineStr">
        <is>
          <t>拆分依赖与非依赖工作，设立外部条件就绪门槛</t>
        </is>
      </c>
      <c r="H8" s="33" t="n">
        <v>46326</v>
      </c>
      <c r="I8" s="33" t="n"/>
      <c r="J8" s="32" t="inlineStr">
        <is>
          <t>外部项目未形成可对接环境</t>
        </is>
      </c>
      <c r="K8" s="32" t="inlineStr">
        <is>
          <t>处理中</t>
        </is>
      </c>
      <c r="L8" s="32">
        <f>IF(H8="","",H8-项目驾驶舱!$B$3)</f>
        <v/>
      </c>
      <c r="M8" s="32">
        <f>IF(OR(K8="已关闭",H8=""),"否",IF(H8&lt;项目驾驶舱!$B$3,"是","否"))</f>
        <v/>
      </c>
      <c r="N8" s="32" t="inlineStr">
        <is>
          <t>来源：原计划-集成工作</t>
        </is>
      </c>
    </row>
    <row r="9" ht="34" customHeight="1">
      <c r="A9" s="32" t="inlineStr">
        <is>
          <t>R-006</t>
        </is>
      </c>
      <c r="B9" s="32" t="inlineStr">
        <is>
          <t>风险</t>
        </is>
      </c>
      <c r="C9" s="32" t="inlineStr">
        <is>
          <t>第二批次存在大量未开始任务，后续开发测试窗口集中</t>
        </is>
      </c>
      <c r="D9" s="32" t="inlineStr">
        <is>
          <t>高</t>
        </is>
      </c>
      <c r="E9" s="32" t="inlineStr">
        <is>
          <t>第二批次</t>
        </is>
      </c>
      <c r="F9" s="32" t="inlineStr">
        <is>
          <t>开发负责人</t>
        </is>
      </c>
      <c r="G9" s="32" t="inlineStr">
        <is>
          <t>按关键路径重排优先级，按周跟踪启动率与完成率</t>
        </is>
      </c>
      <c r="H9" s="33" t="n">
        <v>46276</v>
      </c>
      <c r="I9" s="33" t="n"/>
      <c r="J9" s="32" t="inlineStr">
        <is>
          <t>资源与工作量集中</t>
        </is>
      </c>
      <c r="K9" s="32" t="inlineStr">
        <is>
          <t>待处理</t>
        </is>
      </c>
      <c r="L9" s="32">
        <f>IF(H9="","",H9-项目驾驶舱!$B$3)</f>
        <v/>
      </c>
      <c r="M9" s="32">
        <f>IF(OR(K9="已关闭",H9=""),"否",IF(H9&lt;项目驾驶舱!$B$3,"是","否"))</f>
        <v/>
      </c>
      <c r="N9" s="32" t="inlineStr">
        <is>
          <t>基于开发计划识别</t>
        </is>
      </c>
    </row>
    <row r="10" ht="17" customHeight="1">
      <c r="A10" s="32" t="n"/>
      <c r="B10" s="32" t="n"/>
      <c r="C10" s="32" t="n"/>
      <c r="D10" s="32" t="n"/>
      <c r="E10" s="32" t="n"/>
      <c r="F10" s="32" t="n"/>
      <c r="G10" s="32" t="n"/>
      <c r="H10" s="33" t="n"/>
      <c r="I10" s="33" t="n"/>
      <c r="J10" s="32" t="n"/>
      <c r="K10" s="32" t="n"/>
      <c r="L10" s="32">
        <f>IF(H10="","",H10-项目驾驶舱!$B$3)</f>
        <v/>
      </c>
      <c r="M10" s="32">
        <f>IF(OR(K10="已关闭",H10=""),"否",IF(H10&lt;项目驾驶舱!$B$3,"是","否"))</f>
        <v/>
      </c>
      <c r="N10" s="32" t="n"/>
    </row>
    <row r="11" ht="17" customHeight="1">
      <c r="A11" s="32" t="n"/>
      <c r="B11" s="32" t="n"/>
      <c r="C11" s="32" t="n"/>
      <c r="D11" s="32" t="n"/>
      <c r="E11" s="32" t="n"/>
      <c r="F11" s="32" t="n"/>
      <c r="G11" s="32" t="n"/>
      <c r="H11" s="33" t="n"/>
      <c r="I11" s="33" t="n"/>
      <c r="J11" s="32" t="n"/>
      <c r="K11" s="32" t="n"/>
      <c r="L11" s="32">
        <f>IF(H11="","",H11-项目驾驶舱!$B$3)</f>
        <v/>
      </c>
      <c r="M11" s="32">
        <f>IF(OR(K11="已关闭",H11=""),"否",IF(H11&lt;项目驾驶舱!$B$3,"是","否"))</f>
        <v/>
      </c>
      <c r="N11" s="32" t="n"/>
    </row>
    <row r="12" ht="17" customHeight="1">
      <c r="A12" s="32" t="n"/>
      <c r="B12" s="32" t="n"/>
      <c r="C12" s="32" t="n"/>
      <c r="D12" s="32" t="n"/>
      <c r="E12" s="32" t="n"/>
      <c r="F12" s="32" t="n"/>
      <c r="G12" s="32" t="n"/>
      <c r="H12" s="33" t="n"/>
      <c r="I12" s="33" t="n"/>
      <c r="J12" s="32" t="n"/>
      <c r="K12" s="32" t="n"/>
      <c r="L12" s="32">
        <f>IF(H12="","",H12-项目驾驶舱!$B$3)</f>
        <v/>
      </c>
      <c r="M12" s="32">
        <f>IF(OR(K12="已关闭",H12=""),"否",IF(H12&lt;项目驾驶舱!$B$3,"是","否"))</f>
        <v/>
      </c>
      <c r="N12" s="32" t="n"/>
    </row>
    <row r="13" ht="17" customHeight="1">
      <c r="A13" s="32" t="n"/>
      <c r="B13" s="32" t="n"/>
      <c r="C13" s="32" t="n"/>
      <c r="D13" s="32" t="n"/>
      <c r="E13" s="32" t="n"/>
      <c r="F13" s="32" t="n"/>
      <c r="G13" s="32" t="n"/>
      <c r="H13" s="33" t="n"/>
      <c r="I13" s="33" t="n"/>
      <c r="J13" s="32" t="n"/>
      <c r="K13" s="32" t="n"/>
      <c r="L13" s="32">
        <f>IF(H13="","",H13-项目驾驶舱!$B$3)</f>
        <v/>
      </c>
      <c r="M13" s="32">
        <f>IF(OR(K13="已关闭",H13=""),"否",IF(H13&lt;项目驾驶舱!$B$3,"是","否"))</f>
        <v/>
      </c>
      <c r="N13" s="32" t="n"/>
    </row>
    <row r="14" ht="17" customHeight="1">
      <c r="A14" s="32" t="n"/>
      <c r="B14" s="32" t="n"/>
      <c r="C14" s="32" t="n"/>
      <c r="D14" s="32" t="n"/>
      <c r="E14" s="32" t="n"/>
      <c r="F14" s="32" t="n"/>
      <c r="G14" s="32" t="n"/>
      <c r="H14" s="33" t="n"/>
      <c r="I14" s="33" t="n"/>
      <c r="J14" s="32" t="n"/>
      <c r="K14" s="32" t="n"/>
      <c r="L14" s="32">
        <f>IF(H14="","",H14-项目驾驶舱!$B$3)</f>
        <v/>
      </c>
      <c r="M14" s="32">
        <f>IF(OR(K14="已关闭",H14=""),"否",IF(H14&lt;项目驾驶舱!$B$3,"是","否"))</f>
        <v/>
      </c>
      <c r="N14" s="32" t="n"/>
    </row>
    <row r="15" ht="17" customHeight="1">
      <c r="A15" s="32" t="n"/>
      <c r="B15" s="32" t="n"/>
      <c r="C15" s="32" t="n"/>
      <c r="D15" s="32" t="n"/>
      <c r="E15" s="32" t="n"/>
      <c r="F15" s="32" t="n"/>
      <c r="G15" s="32" t="n"/>
      <c r="H15" s="33" t="n"/>
      <c r="I15" s="33" t="n"/>
      <c r="J15" s="32" t="n"/>
      <c r="K15" s="32" t="n"/>
      <c r="L15" s="32">
        <f>IF(H15="","",H15-项目驾驶舱!$B$3)</f>
        <v/>
      </c>
      <c r="M15" s="32">
        <f>IF(OR(K15="已关闭",H15=""),"否",IF(H15&lt;项目驾驶舱!$B$3,"是","否"))</f>
        <v/>
      </c>
      <c r="N15" s="32" t="n"/>
    </row>
    <row r="16" ht="17" customHeight="1">
      <c r="A16" s="32" t="n"/>
      <c r="B16" s="32" t="n"/>
      <c r="C16" s="32" t="n"/>
      <c r="D16" s="32" t="n"/>
      <c r="E16" s="32" t="n"/>
      <c r="F16" s="32" t="n"/>
      <c r="G16" s="32" t="n"/>
      <c r="H16" s="33" t="n"/>
      <c r="I16" s="33" t="n"/>
      <c r="J16" s="32" t="n"/>
      <c r="K16" s="32" t="n"/>
      <c r="L16" s="32">
        <f>IF(H16="","",H16-项目驾驶舱!$B$3)</f>
        <v/>
      </c>
      <c r="M16" s="32">
        <f>IF(OR(K16="已关闭",H16=""),"否",IF(H16&lt;项目驾驶舱!$B$3,"是","否"))</f>
        <v/>
      </c>
      <c r="N16" s="32" t="n"/>
    </row>
    <row r="17" ht="17" customHeight="1">
      <c r="A17" s="32" t="n"/>
      <c r="B17" s="32" t="n"/>
      <c r="C17" s="32" t="n"/>
      <c r="D17" s="32" t="n"/>
      <c r="E17" s="32" t="n"/>
      <c r="F17" s="32" t="n"/>
      <c r="G17" s="32" t="n"/>
      <c r="H17" s="33" t="n"/>
      <c r="I17" s="33" t="n"/>
      <c r="J17" s="32" t="n"/>
      <c r="K17" s="32" t="n"/>
      <c r="L17" s="32">
        <f>IF(H17="","",H17-项目驾驶舱!$B$3)</f>
        <v/>
      </c>
      <c r="M17" s="32">
        <f>IF(OR(K17="已关闭",H17=""),"否",IF(H17&lt;项目驾驶舱!$B$3,"是","否"))</f>
        <v/>
      </c>
      <c r="N17" s="32" t="n"/>
    </row>
    <row r="18" ht="17" customHeight="1">
      <c r="A18" s="32" t="n"/>
      <c r="B18" s="32" t="n"/>
      <c r="C18" s="32" t="n"/>
      <c r="D18" s="32" t="n"/>
      <c r="E18" s="32" t="n"/>
      <c r="F18" s="32" t="n"/>
      <c r="G18" s="32" t="n"/>
      <c r="H18" s="33" t="n"/>
      <c r="I18" s="33" t="n"/>
      <c r="J18" s="32" t="n"/>
      <c r="K18" s="32" t="n"/>
      <c r="L18" s="32">
        <f>IF(H18="","",H18-项目驾驶舱!$B$3)</f>
        <v/>
      </c>
      <c r="M18" s="32">
        <f>IF(OR(K18="已关闭",H18=""),"否",IF(H18&lt;项目驾驶舱!$B$3,"是","否"))</f>
        <v/>
      </c>
      <c r="N18" s="32" t="n"/>
    </row>
    <row r="19" ht="17" customHeight="1">
      <c r="A19" s="32" t="n"/>
      <c r="B19" s="32" t="n"/>
      <c r="C19" s="32" t="n"/>
      <c r="D19" s="32" t="n"/>
      <c r="E19" s="32" t="n"/>
      <c r="F19" s="32" t="n"/>
      <c r="G19" s="32" t="n"/>
      <c r="H19" s="33" t="n"/>
      <c r="I19" s="33" t="n"/>
      <c r="J19" s="32" t="n"/>
      <c r="K19" s="32" t="n"/>
      <c r="L19" s="32">
        <f>IF(H19="","",H19-项目驾驶舱!$B$3)</f>
        <v/>
      </c>
      <c r="M19" s="32">
        <f>IF(OR(K19="已关闭",H19=""),"否",IF(H19&lt;项目驾驶舱!$B$3,"是","否"))</f>
        <v/>
      </c>
      <c r="N19" s="32" t="n"/>
    </row>
    <row r="20" ht="17" customHeight="1">
      <c r="A20" s="32" t="n"/>
      <c r="B20" s="32" t="n"/>
      <c r="C20" s="32" t="n"/>
      <c r="D20" s="32" t="n"/>
      <c r="E20" s="32" t="n"/>
      <c r="F20" s="32" t="n"/>
      <c r="G20" s="32" t="n"/>
      <c r="H20" s="33" t="n"/>
      <c r="I20" s="33" t="n"/>
      <c r="J20" s="32" t="n"/>
      <c r="K20" s="32" t="n"/>
      <c r="L20" s="32">
        <f>IF(H20="","",H20-项目驾驶舱!$B$3)</f>
        <v/>
      </c>
      <c r="M20" s="32">
        <f>IF(OR(K20="已关闭",H20=""),"否",IF(H20&lt;项目驾驶舱!$B$3,"是","否"))</f>
        <v/>
      </c>
      <c r="N20" s="32" t="n"/>
    </row>
    <row r="21" ht="17" customHeight="1">
      <c r="A21" s="32" t="n"/>
      <c r="B21" s="32" t="n"/>
      <c r="C21" s="32" t="n"/>
      <c r="D21" s="32" t="n"/>
      <c r="E21" s="32" t="n"/>
      <c r="F21" s="32" t="n"/>
      <c r="G21" s="32" t="n"/>
      <c r="H21" s="33" t="n"/>
      <c r="I21" s="33" t="n"/>
      <c r="J21" s="32" t="n"/>
      <c r="K21" s="32" t="n"/>
      <c r="L21" s="32">
        <f>IF(H21="","",H21-项目驾驶舱!$B$3)</f>
        <v/>
      </c>
      <c r="M21" s="32">
        <f>IF(OR(K21="已关闭",H21=""),"否",IF(H21&lt;项目驾驶舱!$B$3,"是","否"))</f>
        <v/>
      </c>
      <c r="N21" s="32" t="n"/>
    </row>
    <row r="22" ht="17" customHeight="1">
      <c r="A22" s="32" t="n"/>
      <c r="B22" s="32" t="n"/>
      <c r="C22" s="32" t="n"/>
      <c r="D22" s="32" t="n"/>
      <c r="E22" s="32" t="n"/>
      <c r="F22" s="32" t="n"/>
      <c r="G22" s="32" t="n"/>
      <c r="H22" s="33" t="n"/>
      <c r="I22" s="33" t="n"/>
      <c r="J22" s="32" t="n"/>
      <c r="K22" s="32" t="n"/>
      <c r="L22" s="32">
        <f>IF(H22="","",H22-项目驾驶舱!$B$3)</f>
        <v/>
      </c>
      <c r="M22" s="32">
        <f>IF(OR(K22="已关闭",H22=""),"否",IF(H22&lt;项目驾驶舱!$B$3,"是","否"))</f>
        <v/>
      </c>
      <c r="N22" s="32" t="n"/>
    </row>
    <row r="23" ht="17" customHeight="1">
      <c r="A23" s="32" t="n"/>
      <c r="B23" s="32" t="n"/>
      <c r="C23" s="32" t="n"/>
      <c r="D23" s="32" t="n"/>
      <c r="E23" s="32" t="n"/>
      <c r="F23" s="32" t="n"/>
      <c r="G23" s="32" t="n"/>
      <c r="H23" s="33" t="n"/>
      <c r="I23" s="33" t="n"/>
      <c r="J23" s="32" t="n"/>
      <c r="K23" s="32" t="n"/>
      <c r="L23" s="32">
        <f>IF(H23="","",H23-项目驾驶舱!$B$3)</f>
        <v/>
      </c>
      <c r="M23" s="32">
        <f>IF(OR(K23="已关闭",H23=""),"否",IF(H23&lt;项目驾驶舱!$B$3,"是","否"))</f>
        <v/>
      </c>
      <c r="N23" s="32" t="n"/>
    </row>
    <row r="24" ht="17" customHeight="1">
      <c r="A24" s="32" t="n"/>
      <c r="B24" s="32" t="n"/>
      <c r="C24" s="32" t="n"/>
      <c r="D24" s="32" t="n"/>
      <c r="E24" s="32" t="n"/>
      <c r="F24" s="32" t="n"/>
      <c r="G24" s="32" t="n"/>
      <c r="H24" s="33" t="n"/>
      <c r="I24" s="33" t="n"/>
      <c r="J24" s="32" t="n"/>
      <c r="K24" s="32" t="n"/>
      <c r="L24" s="32">
        <f>IF(H24="","",H24-项目驾驶舱!$B$3)</f>
        <v/>
      </c>
      <c r="M24" s="32">
        <f>IF(OR(K24="已关闭",H24=""),"否",IF(H24&lt;项目驾驶舱!$B$3,"是","否"))</f>
        <v/>
      </c>
      <c r="N24" s="32" t="n"/>
    </row>
    <row r="25" ht="17" customHeight="1">
      <c r="A25" s="32" t="n"/>
      <c r="B25" s="32" t="n"/>
      <c r="C25" s="32" t="n"/>
      <c r="D25" s="32" t="n"/>
      <c r="E25" s="32" t="n"/>
      <c r="F25" s="32" t="n"/>
      <c r="G25" s="32" t="n"/>
      <c r="H25" s="33" t="n"/>
      <c r="I25" s="33" t="n"/>
      <c r="J25" s="32" t="n"/>
      <c r="K25" s="32" t="n"/>
      <c r="L25" s="32">
        <f>IF(H25="","",H25-项目驾驶舱!$B$3)</f>
        <v/>
      </c>
      <c r="M25" s="32">
        <f>IF(OR(K25="已关闭",H25=""),"否",IF(H25&lt;项目驾驶舱!$B$3,"是","否"))</f>
        <v/>
      </c>
      <c r="N25" s="32" t="n"/>
    </row>
    <row r="26" ht="17" customHeight="1">
      <c r="A26" s="32" t="n"/>
      <c r="B26" s="32" t="n"/>
      <c r="C26" s="32" t="n"/>
      <c r="D26" s="32" t="n"/>
      <c r="E26" s="32" t="n"/>
      <c r="F26" s="32" t="n"/>
      <c r="G26" s="32" t="n"/>
      <c r="H26" s="33" t="n"/>
      <c r="I26" s="33" t="n"/>
      <c r="J26" s="32" t="n"/>
      <c r="K26" s="32" t="n"/>
      <c r="L26" s="32">
        <f>IF(H26="","",H26-项目驾驶舱!$B$3)</f>
        <v/>
      </c>
      <c r="M26" s="32">
        <f>IF(OR(K26="已关闭",H26=""),"否",IF(H26&lt;项目驾驶舱!$B$3,"是","否"))</f>
        <v/>
      </c>
      <c r="N26" s="32" t="n"/>
    </row>
    <row r="27" ht="17" customHeight="1">
      <c r="A27" s="32" t="n"/>
      <c r="B27" s="32" t="n"/>
      <c r="C27" s="32" t="n"/>
      <c r="D27" s="32" t="n"/>
      <c r="E27" s="32" t="n"/>
      <c r="F27" s="32" t="n"/>
      <c r="G27" s="32" t="n"/>
      <c r="H27" s="33" t="n"/>
      <c r="I27" s="33" t="n"/>
      <c r="J27" s="32" t="n"/>
      <c r="K27" s="32" t="n"/>
      <c r="L27" s="32">
        <f>IF(H27="","",H27-项目驾驶舱!$B$3)</f>
        <v/>
      </c>
      <c r="M27" s="32">
        <f>IF(OR(K27="已关闭",H27=""),"否",IF(H27&lt;项目驾驶舱!$B$3,"是","否"))</f>
        <v/>
      </c>
      <c r="N27" s="32" t="n"/>
    </row>
    <row r="28" ht="17" customHeight="1">
      <c r="A28" s="32" t="n"/>
      <c r="B28" s="32" t="n"/>
      <c r="C28" s="32" t="n"/>
      <c r="D28" s="32" t="n"/>
      <c r="E28" s="32" t="n"/>
      <c r="F28" s="32" t="n"/>
      <c r="G28" s="32" t="n"/>
      <c r="H28" s="33" t="n"/>
      <c r="I28" s="33" t="n"/>
      <c r="J28" s="32" t="n"/>
      <c r="K28" s="32" t="n"/>
      <c r="L28" s="32">
        <f>IF(H28="","",H28-项目驾驶舱!$B$3)</f>
        <v/>
      </c>
      <c r="M28" s="32">
        <f>IF(OR(K28="已关闭",H28=""),"否",IF(H28&lt;项目驾驶舱!$B$3,"是","否"))</f>
        <v/>
      </c>
      <c r="N28" s="32" t="n"/>
    </row>
    <row r="29" ht="17" customHeight="1">
      <c r="A29" s="32" t="n"/>
      <c r="B29" s="32" t="n"/>
      <c r="C29" s="32" t="n"/>
      <c r="D29" s="32" t="n"/>
      <c r="E29" s="32" t="n"/>
      <c r="F29" s="32" t="n"/>
      <c r="G29" s="32" t="n"/>
      <c r="H29" s="33" t="n"/>
      <c r="I29" s="33" t="n"/>
      <c r="J29" s="32" t="n"/>
      <c r="K29" s="32" t="n"/>
      <c r="L29" s="32">
        <f>IF(H29="","",H29-项目驾驶舱!$B$3)</f>
        <v/>
      </c>
      <c r="M29" s="32">
        <f>IF(OR(K29="已关闭",H29=""),"否",IF(H29&lt;项目驾驶舱!$B$3,"是","否"))</f>
        <v/>
      </c>
      <c r="N29" s="32" t="n"/>
    </row>
    <row r="30" ht="17" customHeight="1">
      <c r="A30" s="32" t="n"/>
      <c r="B30" s="32" t="n"/>
      <c r="C30" s="32" t="n"/>
      <c r="D30" s="32" t="n"/>
      <c r="E30" s="32" t="n"/>
      <c r="F30" s="32" t="n"/>
      <c r="G30" s="32" t="n"/>
      <c r="H30" s="33" t="n"/>
      <c r="I30" s="33" t="n"/>
      <c r="J30" s="32" t="n"/>
      <c r="K30" s="32" t="n"/>
      <c r="L30" s="32">
        <f>IF(H30="","",H30-项目驾驶舱!$B$3)</f>
        <v/>
      </c>
      <c r="M30" s="32">
        <f>IF(OR(K30="已关闭",H30=""),"否",IF(H30&lt;项目驾驶舱!$B$3,"是","否"))</f>
        <v/>
      </c>
      <c r="N30" s="32" t="n"/>
    </row>
    <row r="31" ht="17" customHeight="1">
      <c r="A31" s="32" t="n"/>
      <c r="B31" s="32" t="n"/>
      <c r="C31" s="32" t="n"/>
      <c r="D31" s="32" t="n"/>
      <c r="E31" s="32" t="n"/>
      <c r="F31" s="32" t="n"/>
      <c r="G31" s="32" t="n"/>
      <c r="H31" s="33" t="n"/>
      <c r="I31" s="33" t="n"/>
      <c r="J31" s="32" t="n"/>
      <c r="K31" s="32" t="n"/>
      <c r="L31" s="32">
        <f>IF(H31="","",H31-项目驾驶舱!$B$3)</f>
        <v/>
      </c>
      <c r="M31" s="32">
        <f>IF(OR(K31="已关闭",H31=""),"否",IF(H31&lt;项目驾驶舱!$B$3,"是","否"))</f>
        <v/>
      </c>
      <c r="N31" s="32" t="n"/>
    </row>
    <row r="32" ht="17" customHeight="1">
      <c r="A32" s="32" t="n"/>
      <c r="B32" s="32" t="n"/>
      <c r="C32" s="32" t="n"/>
      <c r="D32" s="32" t="n"/>
      <c r="E32" s="32" t="n"/>
      <c r="F32" s="32" t="n"/>
      <c r="G32" s="32" t="n"/>
      <c r="H32" s="33" t="n"/>
      <c r="I32" s="33" t="n"/>
      <c r="J32" s="32" t="n"/>
      <c r="K32" s="32" t="n"/>
      <c r="L32" s="32">
        <f>IF(H32="","",H32-项目驾驶舱!$B$3)</f>
        <v/>
      </c>
      <c r="M32" s="32">
        <f>IF(OR(K32="已关闭",H32=""),"否",IF(H32&lt;项目驾驶舱!$B$3,"是","否"))</f>
        <v/>
      </c>
      <c r="N32" s="32" t="n"/>
    </row>
    <row r="33" ht="17" customHeight="1">
      <c r="A33" s="32" t="n"/>
      <c r="B33" s="32" t="n"/>
      <c r="C33" s="32" t="n"/>
      <c r="D33" s="32" t="n"/>
      <c r="E33" s="32" t="n"/>
      <c r="F33" s="32" t="n"/>
      <c r="G33" s="32" t="n"/>
      <c r="H33" s="33" t="n"/>
      <c r="I33" s="33" t="n"/>
      <c r="J33" s="32" t="n"/>
      <c r="K33" s="32" t="n"/>
      <c r="L33" s="32">
        <f>IF(H33="","",H33-项目驾驶舱!$B$3)</f>
        <v/>
      </c>
      <c r="M33" s="32">
        <f>IF(OR(K33="已关闭",H33=""),"否",IF(H33&lt;项目驾驶舱!$B$3,"是","否"))</f>
        <v/>
      </c>
      <c r="N33" s="32" t="n"/>
    </row>
    <row r="34" ht="17" customHeight="1">
      <c r="A34" s="32" t="n"/>
      <c r="B34" s="32" t="n"/>
      <c r="C34" s="32" t="n"/>
      <c r="D34" s="32" t="n"/>
      <c r="E34" s="32" t="n"/>
      <c r="F34" s="32" t="n"/>
      <c r="G34" s="32" t="n"/>
      <c r="H34" s="33" t="n"/>
      <c r="I34" s="33" t="n"/>
      <c r="J34" s="32" t="n"/>
      <c r="K34" s="32" t="n"/>
      <c r="L34" s="32">
        <f>IF(H34="","",H34-项目驾驶舱!$B$3)</f>
        <v/>
      </c>
      <c r="M34" s="32">
        <f>IF(OR(K34="已关闭",H34=""),"否",IF(H34&lt;项目驾驶舱!$B$3,"是","否"))</f>
        <v/>
      </c>
      <c r="N34" s="32" t="n"/>
    </row>
    <row r="35" ht="17" customHeight="1">
      <c r="A35" s="32" t="n"/>
      <c r="B35" s="32" t="n"/>
      <c r="C35" s="32" t="n"/>
      <c r="D35" s="32" t="n"/>
      <c r="E35" s="32" t="n"/>
      <c r="F35" s="32" t="n"/>
      <c r="G35" s="32" t="n"/>
      <c r="H35" s="33" t="n"/>
      <c r="I35" s="33" t="n"/>
      <c r="J35" s="32" t="n"/>
      <c r="K35" s="32" t="n"/>
      <c r="L35" s="32">
        <f>IF(H35="","",H35-项目驾驶舱!$B$3)</f>
        <v/>
      </c>
      <c r="M35" s="32">
        <f>IF(OR(K35="已关闭",H35=""),"否",IF(H35&lt;项目驾驶舱!$B$3,"是","否"))</f>
        <v/>
      </c>
      <c r="N35" s="32" t="n"/>
    </row>
    <row r="36" ht="17" customHeight="1">
      <c r="A36" s="32" t="n"/>
      <c r="B36" s="32" t="n"/>
      <c r="C36" s="32" t="n"/>
      <c r="D36" s="32" t="n"/>
      <c r="E36" s="32" t="n"/>
      <c r="F36" s="32" t="n"/>
      <c r="G36" s="32" t="n"/>
      <c r="H36" s="33" t="n"/>
      <c r="I36" s="33" t="n"/>
      <c r="J36" s="32" t="n"/>
      <c r="K36" s="32" t="n"/>
      <c r="L36" s="32">
        <f>IF(H36="","",H36-项目驾驶舱!$B$3)</f>
        <v/>
      </c>
      <c r="M36" s="32">
        <f>IF(OR(K36="已关闭",H36=""),"否",IF(H36&lt;项目驾驶舱!$B$3,"是","否"))</f>
        <v/>
      </c>
      <c r="N36" s="32" t="n"/>
    </row>
    <row r="37" ht="17" customHeight="1">
      <c r="A37" s="32" t="n"/>
      <c r="B37" s="32" t="n"/>
      <c r="C37" s="32" t="n"/>
      <c r="D37" s="32" t="n"/>
      <c r="E37" s="32" t="n"/>
      <c r="F37" s="32" t="n"/>
      <c r="G37" s="32" t="n"/>
      <c r="H37" s="33" t="n"/>
      <c r="I37" s="33" t="n"/>
      <c r="J37" s="32" t="n"/>
      <c r="K37" s="32" t="n"/>
      <c r="L37" s="32">
        <f>IF(H37="","",H37-项目驾驶舱!$B$3)</f>
        <v/>
      </c>
      <c r="M37" s="32">
        <f>IF(OR(K37="已关闭",H37=""),"否",IF(H37&lt;项目驾驶舱!$B$3,"是","否"))</f>
        <v/>
      </c>
      <c r="N37" s="32" t="n"/>
    </row>
    <row r="38" ht="17" customHeight="1">
      <c r="A38" s="32" t="n"/>
      <c r="B38" s="32" t="n"/>
      <c r="C38" s="32" t="n"/>
      <c r="D38" s="32" t="n"/>
      <c r="E38" s="32" t="n"/>
      <c r="F38" s="32" t="n"/>
      <c r="G38" s="32" t="n"/>
      <c r="H38" s="33" t="n"/>
      <c r="I38" s="33" t="n"/>
      <c r="J38" s="32" t="n"/>
      <c r="K38" s="32" t="n"/>
      <c r="L38" s="32">
        <f>IF(H38="","",H38-项目驾驶舱!$B$3)</f>
        <v/>
      </c>
      <c r="M38" s="32">
        <f>IF(OR(K38="已关闭",H38=""),"否",IF(H38&lt;项目驾驶舱!$B$3,"是","否"))</f>
        <v/>
      </c>
      <c r="N38" s="32" t="n"/>
    </row>
    <row r="39" ht="17" customHeight="1">
      <c r="A39" s="32" t="n"/>
      <c r="B39" s="32" t="n"/>
      <c r="C39" s="32" t="n"/>
      <c r="D39" s="32" t="n"/>
      <c r="E39" s="32" t="n"/>
      <c r="F39" s="32" t="n"/>
      <c r="G39" s="32" t="n"/>
      <c r="H39" s="33" t="n"/>
      <c r="I39" s="33" t="n"/>
      <c r="J39" s="32" t="n"/>
      <c r="K39" s="32" t="n"/>
      <c r="L39" s="32">
        <f>IF(H39="","",H39-项目驾驶舱!$B$3)</f>
        <v/>
      </c>
      <c r="M39" s="32">
        <f>IF(OR(K39="已关闭",H39=""),"否",IF(H39&lt;项目驾驶舱!$B$3,"是","否"))</f>
        <v/>
      </c>
      <c r="N39" s="32" t="n"/>
    </row>
    <row r="40" ht="17" customHeight="1">
      <c r="A40" s="32" t="n"/>
      <c r="B40" s="32" t="n"/>
      <c r="C40" s="32" t="n"/>
      <c r="D40" s="32" t="n"/>
      <c r="E40" s="32" t="n"/>
      <c r="F40" s="32" t="n"/>
      <c r="G40" s="32" t="n"/>
      <c r="H40" s="33" t="n"/>
      <c r="I40" s="33" t="n"/>
      <c r="J40" s="32" t="n"/>
      <c r="K40" s="32" t="n"/>
      <c r="L40" s="32">
        <f>IF(H40="","",H40-项目驾驶舱!$B$3)</f>
        <v/>
      </c>
      <c r="M40" s="32">
        <f>IF(OR(K40="已关闭",H40=""),"否",IF(H40&lt;项目驾驶舱!$B$3,"是","否"))</f>
        <v/>
      </c>
      <c r="N40" s="32" t="n"/>
    </row>
    <row r="41" ht="17" customHeight="1">
      <c r="A41" s="32" t="n"/>
      <c r="B41" s="32" t="n"/>
      <c r="C41" s="32" t="n"/>
      <c r="D41" s="32" t="n"/>
      <c r="E41" s="32" t="n"/>
      <c r="F41" s="32" t="n"/>
      <c r="G41" s="32" t="n"/>
      <c r="H41" s="33" t="n"/>
      <c r="I41" s="33" t="n"/>
      <c r="J41" s="32" t="n"/>
      <c r="K41" s="32" t="n"/>
      <c r="L41" s="32">
        <f>IF(H41="","",H41-项目驾驶舱!$B$3)</f>
        <v/>
      </c>
      <c r="M41" s="32">
        <f>IF(OR(K41="已关闭",H41=""),"否",IF(H41&lt;项目驾驶舱!$B$3,"是","否"))</f>
        <v/>
      </c>
      <c r="N41" s="32" t="n"/>
    </row>
    <row r="42" ht="17" customHeight="1">
      <c r="A42" s="32" t="n"/>
      <c r="B42" s="32" t="n"/>
      <c r="C42" s="32" t="n"/>
      <c r="D42" s="32" t="n"/>
      <c r="E42" s="32" t="n"/>
      <c r="F42" s="32" t="n"/>
      <c r="G42" s="32" t="n"/>
      <c r="H42" s="33" t="n"/>
      <c r="I42" s="33" t="n"/>
      <c r="J42" s="32" t="n"/>
      <c r="K42" s="32" t="n"/>
      <c r="L42" s="32">
        <f>IF(H42="","",H42-项目驾驶舱!$B$3)</f>
        <v/>
      </c>
      <c r="M42" s="32">
        <f>IF(OR(K42="已关闭",H42=""),"否",IF(H42&lt;项目驾驶舱!$B$3,"是","否"))</f>
        <v/>
      </c>
      <c r="N42" s="32" t="n"/>
    </row>
    <row r="43" ht="17" customHeight="1">
      <c r="A43" s="32" t="n"/>
      <c r="B43" s="32" t="n"/>
      <c r="C43" s="32" t="n"/>
      <c r="D43" s="32" t="n"/>
      <c r="E43" s="32" t="n"/>
      <c r="F43" s="32" t="n"/>
      <c r="G43" s="32" t="n"/>
      <c r="H43" s="33" t="n"/>
      <c r="I43" s="33" t="n"/>
      <c r="J43" s="32" t="n"/>
      <c r="K43" s="32" t="n"/>
      <c r="L43" s="32">
        <f>IF(H43="","",H43-项目驾驶舱!$B$3)</f>
        <v/>
      </c>
      <c r="M43" s="32">
        <f>IF(OR(K43="已关闭",H43=""),"否",IF(H43&lt;项目驾驶舱!$B$3,"是","否"))</f>
        <v/>
      </c>
      <c r="N43" s="32" t="n"/>
    </row>
    <row r="44" ht="17" customHeight="1">
      <c r="A44" s="32" t="n"/>
      <c r="B44" s="32" t="n"/>
      <c r="C44" s="32" t="n"/>
      <c r="D44" s="32" t="n"/>
      <c r="E44" s="32" t="n"/>
      <c r="F44" s="32" t="n"/>
      <c r="G44" s="32" t="n"/>
      <c r="H44" s="33" t="n"/>
      <c r="I44" s="33" t="n"/>
      <c r="J44" s="32" t="n"/>
      <c r="K44" s="32" t="n"/>
      <c r="L44" s="32">
        <f>IF(H44="","",H44-项目驾驶舱!$B$3)</f>
        <v/>
      </c>
      <c r="M44" s="32">
        <f>IF(OR(K44="已关闭",H44=""),"否",IF(H44&lt;项目驾驶舱!$B$3,"是","否"))</f>
        <v/>
      </c>
      <c r="N44" s="32" t="n"/>
    </row>
    <row r="45" ht="17" customHeight="1">
      <c r="A45" s="32" t="n"/>
      <c r="B45" s="32" t="n"/>
      <c r="C45" s="32" t="n"/>
      <c r="D45" s="32" t="n"/>
      <c r="E45" s="32" t="n"/>
      <c r="F45" s="32" t="n"/>
      <c r="G45" s="32" t="n"/>
      <c r="H45" s="33" t="n"/>
      <c r="I45" s="33" t="n"/>
      <c r="J45" s="32" t="n"/>
      <c r="K45" s="32" t="n"/>
      <c r="L45" s="32">
        <f>IF(H45="","",H45-项目驾驶舱!$B$3)</f>
        <v/>
      </c>
      <c r="M45" s="32">
        <f>IF(OR(K45="已关闭",H45=""),"否",IF(H45&lt;项目驾驶舱!$B$3,"是","否"))</f>
        <v/>
      </c>
      <c r="N45" s="32" t="n"/>
    </row>
    <row r="46" ht="17" customHeight="1">
      <c r="A46" s="32" t="n"/>
      <c r="B46" s="32" t="n"/>
      <c r="C46" s="32" t="n"/>
      <c r="D46" s="32" t="n"/>
      <c r="E46" s="32" t="n"/>
      <c r="F46" s="32" t="n"/>
      <c r="G46" s="32" t="n"/>
      <c r="H46" s="33" t="n"/>
      <c r="I46" s="33" t="n"/>
      <c r="J46" s="32" t="n"/>
      <c r="K46" s="32" t="n"/>
      <c r="L46" s="32">
        <f>IF(H46="","",H46-项目驾驶舱!$B$3)</f>
        <v/>
      </c>
      <c r="M46" s="32">
        <f>IF(OR(K46="已关闭",H46=""),"否",IF(H46&lt;项目驾驶舱!$B$3,"是","否"))</f>
        <v/>
      </c>
      <c r="N46" s="32" t="n"/>
    </row>
    <row r="47" ht="17" customHeight="1">
      <c r="A47" s="32" t="n"/>
      <c r="B47" s="32" t="n"/>
      <c r="C47" s="32" t="n"/>
      <c r="D47" s="32" t="n"/>
      <c r="E47" s="32" t="n"/>
      <c r="F47" s="32" t="n"/>
      <c r="G47" s="32" t="n"/>
      <c r="H47" s="33" t="n"/>
      <c r="I47" s="33" t="n"/>
      <c r="J47" s="32" t="n"/>
      <c r="K47" s="32" t="n"/>
      <c r="L47" s="32">
        <f>IF(H47="","",H47-项目驾驶舱!$B$3)</f>
        <v/>
      </c>
      <c r="M47" s="32">
        <f>IF(OR(K47="已关闭",H47=""),"否",IF(H47&lt;项目驾驶舱!$B$3,"是","否"))</f>
        <v/>
      </c>
      <c r="N47" s="32" t="n"/>
    </row>
    <row r="48" ht="17" customHeight="1">
      <c r="A48" s="32" t="n"/>
      <c r="B48" s="32" t="n"/>
      <c r="C48" s="32" t="n"/>
      <c r="D48" s="32" t="n"/>
      <c r="E48" s="32" t="n"/>
      <c r="F48" s="32" t="n"/>
      <c r="G48" s="32" t="n"/>
      <c r="H48" s="33" t="n"/>
      <c r="I48" s="33" t="n"/>
      <c r="J48" s="32" t="n"/>
      <c r="K48" s="32" t="n"/>
      <c r="L48" s="32">
        <f>IF(H48="","",H48-项目驾驶舱!$B$3)</f>
        <v/>
      </c>
      <c r="M48" s="32">
        <f>IF(OR(K48="已关闭",H48=""),"否",IF(H48&lt;项目驾驶舱!$B$3,"是","否"))</f>
        <v/>
      </c>
      <c r="N48" s="32" t="n"/>
    </row>
    <row r="49" ht="17" customHeight="1">
      <c r="A49" s="32" t="n"/>
      <c r="B49" s="32" t="n"/>
      <c r="C49" s="32" t="n"/>
      <c r="D49" s="32" t="n"/>
      <c r="E49" s="32" t="n"/>
      <c r="F49" s="32" t="n"/>
      <c r="G49" s="32" t="n"/>
      <c r="H49" s="33" t="n"/>
      <c r="I49" s="33" t="n"/>
      <c r="J49" s="32" t="n"/>
      <c r="K49" s="32" t="n"/>
      <c r="L49" s="32">
        <f>IF(H49="","",H49-项目驾驶舱!$B$3)</f>
        <v/>
      </c>
      <c r="M49" s="32">
        <f>IF(OR(K49="已关闭",H49=""),"否",IF(H49&lt;项目驾驶舱!$B$3,"是","否"))</f>
        <v/>
      </c>
      <c r="N49" s="32" t="n"/>
    </row>
    <row r="50" ht="17" customHeight="1">
      <c r="A50" s="32" t="n"/>
      <c r="B50" s="32" t="n"/>
      <c r="C50" s="32" t="n"/>
      <c r="D50" s="32" t="n"/>
      <c r="E50" s="32" t="n"/>
      <c r="F50" s="32" t="n"/>
      <c r="G50" s="32" t="n"/>
      <c r="H50" s="33" t="n"/>
      <c r="I50" s="33" t="n"/>
      <c r="J50" s="32" t="n"/>
      <c r="K50" s="32" t="n"/>
      <c r="L50" s="32">
        <f>IF(H50="","",H50-项目驾驶舱!$B$3)</f>
        <v/>
      </c>
      <c r="M50" s="32">
        <f>IF(OR(K50="已关闭",H50=""),"否",IF(H50&lt;项目驾驶舱!$B$3,"是","否"))</f>
        <v/>
      </c>
      <c r="N50" s="32" t="n"/>
    </row>
    <row r="51" ht="17" customHeight="1">
      <c r="A51" s="32" t="n"/>
      <c r="B51" s="32" t="n"/>
      <c r="C51" s="32" t="n"/>
      <c r="D51" s="32" t="n"/>
      <c r="E51" s="32" t="n"/>
      <c r="F51" s="32" t="n"/>
      <c r="G51" s="32" t="n"/>
      <c r="H51" s="33" t="n"/>
      <c r="I51" s="33" t="n"/>
      <c r="J51" s="32" t="n"/>
      <c r="K51" s="32" t="n"/>
      <c r="L51" s="32">
        <f>IF(H51="","",H51-项目驾驶舱!$B$3)</f>
        <v/>
      </c>
      <c r="M51" s="32">
        <f>IF(OR(K51="已关闭",H51=""),"否",IF(H51&lt;项目驾驶舱!$B$3,"是","否"))</f>
        <v/>
      </c>
      <c r="N51" s="32" t="n"/>
    </row>
    <row r="52" ht="17" customHeight="1">
      <c r="A52" s="32" t="n"/>
      <c r="B52" s="32" t="n"/>
      <c r="C52" s="32" t="n"/>
      <c r="D52" s="32" t="n"/>
      <c r="E52" s="32" t="n"/>
      <c r="F52" s="32" t="n"/>
      <c r="G52" s="32" t="n"/>
      <c r="H52" s="33" t="n"/>
      <c r="I52" s="33" t="n"/>
      <c r="J52" s="32" t="n"/>
      <c r="K52" s="32" t="n"/>
      <c r="L52" s="32">
        <f>IF(H52="","",H52-项目驾驶舱!$B$3)</f>
        <v/>
      </c>
      <c r="M52" s="32">
        <f>IF(OR(K52="已关闭",H52=""),"否",IF(H52&lt;项目驾驶舱!$B$3,"是","否"))</f>
        <v/>
      </c>
      <c r="N52" s="32" t="n"/>
    </row>
    <row r="53" ht="17" customHeight="1">
      <c r="A53" s="32" t="n"/>
      <c r="B53" s="32" t="n"/>
      <c r="C53" s="32" t="n"/>
      <c r="D53" s="32" t="n"/>
      <c r="E53" s="32" t="n"/>
      <c r="F53" s="32" t="n"/>
      <c r="G53" s="32" t="n"/>
      <c r="H53" s="33" t="n"/>
      <c r="I53" s="33" t="n"/>
      <c r="J53" s="32" t="n"/>
      <c r="K53" s="32" t="n"/>
      <c r="L53" s="32">
        <f>IF(H53="","",H53-项目驾驶舱!$B$3)</f>
        <v/>
      </c>
      <c r="M53" s="32">
        <f>IF(OR(K53="已关闭",H53=""),"否",IF(H53&lt;项目驾驶舱!$B$3,"是","否"))</f>
        <v/>
      </c>
      <c r="N53" s="32" t="n"/>
    </row>
    <row r="54" ht="17" customHeight="1">
      <c r="A54" s="32" t="n"/>
      <c r="B54" s="32" t="n"/>
      <c r="C54" s="32" t="n"/>
      <c r="D54" s="32" t="n"/>
      <c r="E54" s="32" t="n"/>
      <c r="F54" s="32" t="n"/>
      <c r="G54" s="32" t="n"/>
      <c r="H54" s="33" t="n"/>
      <c r="I54" s="33" t="n"/>
      <c r="J54" s="32" t="n"/>
      <c r="K54" s="32" t="n"/>
      <c r="L54" s="32">
        <f>IF(H54="","",H54-项目驾驶舱!$B$3)</f>
        <v/>
      </c>
      <c r="M54" s="32">
        <f>IF(OR(K54="已关闭",H54=""),"否",IF(H54&lt;项目驾驶舱!$B$3,"是","否"))</f>
        <v/>
      </c>
      <c r="N54" s="32" t="n"/>
    </row>
    <row r="55" ht="17" customHeight="1">
      <c r="A55" s="32" t="n"/>
      <c r="B55" s="32" t="n"/>
      <c r="C55" s="32" t="n"/>
      <c r="D55" s="32" t="n"/>
      <c r="E55" s="32" t="n"/>
      <c r="F55" s="32" t="n"/>
      <c r="G55" s="32" t="n"/>
      <c r="H55" s="33" t="n"/>
      <c r="I55" s="33" t="n"/>
      <c r="J55" s="32" t="n"/>
      <c r="K55" s="32" t="n"/>
      <c r="L55" s="32">
        <f>IF(H55="","",H55-项目驾驶舱!$B$3)</f>
        <v/>
      </c>
      <c r="M55" s="32">
        <f>IF(OR(K55="已关闭",H55=""),"否",IF(H55&lt;项目驾驶舱!$B$3,"是","否"))</f>
        <v/>
      </c>
      <c r="N55" s="32" t="n"/>
    </row>
    <row r="56" ht="17" customHeight="1">
      <c r="A56" s="32" t="n"/>
      <c r="B56" s="32" t="n"/>
      <c r="C56" s="32" t="n"/>
      <c r="D56" s="32" t="n"/>
      <c r="E56" s="32" t="n"/>
      <c r="F56" s="32" t="n"/>
      <c r="G56" s="32" t="n"/>
      <c r="H56" s="33" t="n"/>
      <c r="I56" s="33" t="n"/>
      <c r="J56" s="32" t="n"/>
      <c r="K56" s="32" t="n"/>
      <c r="L56" s="32">
        <f>IF(H56="","",H56-项目驾驶舱!$B$3)</f>
        <v/>
      </c>
      <c r="M56" s="32">
        <f>IF(OR(K56="已关闭",H56=""),"否",IF(H56&lt;项目驾驶舱!$B$3,"是","否"))</f>
        <v/>
      </c>
      <c r="N56" s="32" t="n"/>
    </row>
    <row r="57" ht="17" customHeight="1">
      <c r="A57" s="32" t="n"/>
      <c r="B57" s="32" t="n"/>
      <c r="C57" s="32" t="n"/>
      <c r="D57" s="32" t="n"/>
      <c r="E57" s="32" t="n"/>
      <c r="F57" s="32" t="n"/>
      <c r="G57" s="32" t="n"/>
      <c r="H57" s="33" t="n"/>
      <c r="I57" s="33" t="n"/>
      <c r="J57" s="32" t="n"/>
      <c r="K57" s="32" t="n"/>
      <c r="L57" s="32">
        <f>IF(H57="","",H57-项目驾驶舱!$B$3)</f>
        <v/>
      </c>
      <c r="M57" s="32">
        <f>IF(OR(K57="已关闭",H57=""),"否",IF(H57&lt;项目驾驶舱!$B$3,"是","否"))</f>
        <v/>
      </c>
      <c r="N57" s="32" t="n"/>
    </row>
    <row r="58" ht="17" customHeight="1">
      <c r="A58" s="32" t="n"/>
      <c r="B58" s="32" t="n"/>
      <c r="C58" s="32" t="n"/>
      <c r="D58" s="32" t="n"/>
      <c r="E58" s="32" t="n"/>
      <c r="F58" s="32" t="n"/>
      <c r="G58" s="32" t="n"/>
      <c r="H58" s="33" t="n"/>
      <c r="I58" s="33" t="n"/>
      <c r="J58" s="32" t="n"/>
      <c r="K58" s="32" t="n"/>
      <c r="L58" s="32">
        <f>IF(H58="","",H58-项目驾驶舱!$B$3)</f>
        <v/>
      </c>
      <c r="M58" s="32">
        <f>IF(OR(K58="已关闭",H58=""),"否",IF(H58&lt;项目驾驶舱!$B$3,"是","否"))</f>
        <v/>
      </c>
      <c r="N58" s="32" t="n"/>
    </row>
    <row r="59" ht="17" customHeight="1">
      <c r="A59" s="32" t="n"/>
      <c r="B59" s="32" t="n"/>
      <c r="C59" s="32" t="n"/>
      <c r="D59" s="32" t="n"/>
      <c r="E59" s="32" t="n"/>
      <c r="F59" s="32" t="n"/>
      <c r="G59" s="32" t="n"/>
      <c r="H59" s="33" t="n"/>
      <c r="I59" s="33" t="n"/>
      <c r="J59" s="32" t="n"/>
      <c r="K59" s="32" t="n"/>
      <c r="L59" s="32">
        <f>IF(H59="","",H59-项目驾驶舱!$B$3)</f>
        <v/>
      </c>
      <c r="M59" s="32">
        <f>IF(OR(K59="已关闭",H59=""),"否",IF(H59&lt;项目驾驶舱!$B$3,"是","否"))</f>
        <v/>
      </c>
      <c r="N59" s="32" t="n"/>
    </row>
    <row r="60" ht="17" customHeight="1">
      <c r="A60" s="32" t="n"/>
      <c r="B60" s="32" t="n"/>
      <c r="C60" s="32" t="n"/>
      <c r="D60" s="32" t="n"/>
      <c r="E60" s="32" t="n"/>
      <c r="F60" s="32" t="n"/>
      <c r="G60" s="32" t="n"/>
      <c r="H60" s="33" t="n"/>
      <c r="I60" s="33" t="n"/>
      <c r="J60" s="32" t="n"/>
      <c r="K60" s="32" t="n"/>
      <c r="L60" s="32">
        <f>IF(H60="","",H60-项目驾驶舱!$B$3)</f>
        <v/>
      </c>
      <c r="M60" s="32">
        <f>IF(OR(K60="已关闭",H60=""),"否",IF(H60&lt;项目驾驶舱!$B$3,"是","否"))</f>
        <v/>
      </c>
      <c r="N60" s="32" t="n"/>
    </row>
    <row r="61" ht="17" customHeight="1">
      <c r="A61" s="32" t="n"/>
      <c r="B61" s="32" t="n"/>
      <c r="C61" s="32" t="n"/>
      <c r="D61" s="32" t="n"/>
      <c r="E61" s="32" t="n"/>
      <c r="F61" s="32" t="n"/>
      <c r="G61" s="32" t="n"/>
      <c r="H61" s="33" t="n"/>
      <c r="I61" s="33" t="n"/>
      <c r="J61" s="32" t="n"/>
      <c r="K61" s="32" t="n"/>
      <c r="L61" s="32">
        <f>IF(H61="","",H61-项目驾驶舱!$B$3)</f>
        <v/>
      </c>
      <c r="M61" s="32">
        <f>IF(OR(K61="已关闭",H61=""),"否",IF(H61&lt;项目驾驶舱!$B$3,"是","否"))</f>
        <v/>
      </c>
      <c r="N61" s="32" t="n"/>
    </row>
    <row r="62" ht="17" customHeight="1">
      <c r="A62" s="32" t="n"/>
      <c r="B62" s="32" t="n"/>
      <c r="C62" s="32" t="n"/>
      <c r="D62" s="32" t="n"/>
      <c r="E62" s="32" t="n"/>
      <c r="F62" s="32" t="n"/>
      <c r="G62" s="32" t="n"/>
      <c r="H62" s="33" t="n"/>
      <c r="I62" s="33" t="n"/>
      <c r="J62" s="32" t="n"/>
      <c r="K62" s="32" t="n"/>
      <c r="L62" s="32">
        <f>IF(H62="","",H62-项目驾驶舱!$B$3)</f>
        <v/>
      </c>
      <c r="M62" s="32">
        <f>IF(OR(K62="已关闭",H62=""),"否",IF(H62&lt;项目驾驶舱!$B$3,"是","否"))</f>
        <v/>
      </c>
      <c r="N62" s="32" t="n"/>
    </row>
    <row r="63" ht="17" customHeight="1">
      <c r="A63" s="32" t="n"/>
      <c r="B63" s="32" t="n"/>
      <c r="C63" s="32" t="n"/>
      <c r="D63" s="32" t="n"/>
      <c r="E63" s="32" t="n"/>
      <c r="F63" s="32" t="n"/>
      <c r="G63" s="32" t="n"/>
      <c r="H63" s="33" t="n"/>
      <c r="I63" s="33" t="n"/>
      <c r="J63" s="32" t="n"/>
      <c r="K63" s="32" t="n"/>
      <c r="L63" s="32">
        <f>IF(H63="","",H63-项目驾驶舱!$B$3)</f>
        <v/>
      </c>
      <c r="M63" s="32">
        <f>IF(OR(K63="已关闭",H63=""),"否",IF(H63&lt;项目驾驶舱!$B$3,"是","否"))</f>
        <v/>
      </c>
      <c r="N63" s="32" t="n"/>
    </row>
    <row r="64" ht="17" customHeight="1">
      <c r="A64" s="32" t="n"/>
      <c r="B64" s="32" t="n"/>
      <c r="C64" s="32" t="n"/>
      <c r="D64" s="32" t="n"/>
      <c r="E64" s="32" t="n"/>
      <c r="F64" s="32" t="n"/>
      <c r="G64" s="32" t="n"/>
      <c r="H64" s="33" t="n"/>
      <c r="I64" s="33" t="n"/>
      <c r="J64" s="32" t="n"/>
      <c r="K64" s="32" t="n"/>
      <c r="L64" s="32">
        <f>IF(H64="","",H64-项目驾驶舱!$B$3)</f>
        <v/>
      </c>
      <c r="M64" s="32">
        <f>IF(OR(K64="已关闭",H64=""),"否",IF(H64&lt;项目驾驶舱!$B$3,"是","否"))</f>
        <v/>
      </c>
      <c r="N64" s="32" t="n"/>
    </row>
    <row r="65" ht="17" customHeight="1">
      <c r="A65" s="32" t="n"/>
      <c r="B65" s="32" t="n"/>
      <c r="C65" s="32" t="n"/>
      <c r="D65" s="32" t="n"/>
      <c r="E65" s="32" t="n"/>
      <c r="F65" s="32" t="n"/>
      <c r="G65" s="32" t="n"/>
      <c r="H65" s="33" t="n"/>
      <c r="I65" s="33" t="n"/>
      <c r="J65" s="32" t="n"/>
      <c r="K65" s="32" t="n"/>
      <c r="L65" s="32">
        <f>IF(H65="","",H65-项目驾驶舱!$B$3)</f>
        <v/>
      </c>
      <c r="M65" s="32">
        <f>IF(OR(K65="已关闭",H65=""),"否",IF(H65&lt;项目驾驶舱!$B$3,"是","否"))</f>
        <v/>
      </c>
      <c r="N65" s="32" t="n"/>
    </row>
    <row r="66" ht="17" customHeight="1">
      <c r="A66" s="32" t="n"/>
      <c r="B66" s="32" t="n"/>
      <c r="C66" s="32" t="n"/>
      <c r="D66" s="32" t="n"/>
      <c r="E66" s="32" t="n"/>
      <c r="F66" s="32" t="n"/>
      <c r="G66" s="32" t="n"/>
      <c r="H66" s="33" t="n"/>
      <c r="I66" s="33" t="n"/>
      <c r="J66" s="32" t="n"/>
      <c r="K66" s="32" t="n"/>
      <c r="L66" s="32">
        <f>IF(H66="","",H66-项目驾驶舱!$B$3)</f>
        <v/>
      </c>
      <c r="M66" s="32">
        <f>IF(OR(K66="已关闭",H66=""),"否",IF(H66&lt;项目驾驶舱!$B$3,"是","否"))</f>
        <v/>
      </c>
      <c r="N66" s="32" t="n"/>
    </row>
    <row r="67" ht="17" customHeight="1">
      <c r="A67" s="32" t="n"/>
      <c r="B67" s="32" t="n"/>
      <c r="C67" s="32" t="n"/>
      <c r="D67" s="32" t="n"/>
      <c r="E67" s="32" t="n"/>
      <c r="F67" s="32" t="n"/>
      <c r="G67" s="32" t="n"/>
      <c r="H67" s="33" t="n"/>
      <c r="I67" s="33" t="n"/>
      <c r="J67" s="32" t="n"/>
      <c r="K67" s="32" t="n"/>
      <c r="L67" s="32">
        <f>IF(H67="","",H67-项目驾驶舱!$B$3)</f>
        <v/>
      </c>
      <c r="M67" s="32">
        <f>IF(OR(K67="已关闭",H67=""),"否",IF(H67&lt;项目驾驶舱!$B$3,"是","否"))</f>
        <v/>
      </c>
      <c r="N67" s="32" t="n"/>
    </row>
    <row r="68" ht="17" customHeight="1">
      <c r="A68" s="32" t="n"/>
      <c r="B68" s="32" t="n"/>
      <c r="C68" s="32" t="n"/>
      <c r="D68" s="32" t="n"/>
      <c r="E68" s="32" t="n"/>
      <c r="F68" s="32" t="n"/>
      <c r="G68" s="32" t="n"/>
      <c r="H68" s="33" t="n"/>
      <c r="I68" s="33" t="n"/>
      <c r="J68" s="32" t="n"/>
      <c r="K68" s="32" t="n"/>
      <c r="L68" s="32">
        <f>IF(H68="","",H68-项目驾驶舱!$B$3)</f>
        <v/>
      </c>
      <c r="M68" s="32">
        <f>IF(OR(K68="已关闭",H68=""),"否",IF(H68&lt;项目驾驶舱!$B$3,"是","否"))</f>
        <v/>
      </c>
      <c r="N68" s="32" t="n"/>
    </row>
    <row r="69" ht="17" customHeight="1">
      <c r="A69" s="32" t="n"/>
      <c r="B69" s="32" t="n"/>
      <c r="C69" s="32" t="n"/>
      <c r="D69" s="32" t="n"/>
      <c r="E69" s="32" t="n"/>
      <c r="F69" s="32" t="n"/>
      <c r="G69" s="32" t="n"/>
      <c r="H69" s="33" t="n"/>
      <c r="I69" s="33" t="n"/>
      <c r="J69" s="32" t="n"/>
      <c r="K69" s="32" t="n"/>
      <c r="L69" s="32">
        <f>IF(H69="","",H69-项目驾驶舱!$B$3)</f>
        <v/>
      </c>
      <c r="M69" s="32">
        <f>IF(OR(K69="已关闭",H69=""),"否",IF(H69&lt;项目驾驶舱!$B$3,"是","否"))</f>
        <v/>
      </c>
      <c r="N69" s="32" t="n"/>
    </row>
    <row r="70" ht="17" customHeight="1">
      <c r="A70" s="32" t="n"/>
      <c r="B70" s="32" t="n"/>
      <c r="C70" s="32" t="n"/>
      <c r="D70" s="32" t="n"/>
      <c r="E70" s="32" t="n"/>
      <c r="F70" s="32" t="n"/>
      <c r="G70" s="32" t="n"/>
      <c r="H70" s="33" t="n"/>
      <c r="I70" s="33" t="n"/>
      <c r="J70" s="32" t="n"/>
      <c r="K70" s="32" t="n"/>
      <c r="L70" s="32">
        <f>IF(H70="","",H70-项目驾驶舱!$B$3)</f>
        <v/>
      </c>
      <c r="M70" s="32">
        <f>IF(OR(K70="已关闭",H70=""),"否",IF(H70&lt;项目驾驶舱!$B$3,"是","否"))</f>
        <v/>
      </c>
      <c r="N70" s="32" t="n"/>
    </row>
    <row r="71" ht="17" customHeight="1">
      <c r="A71" s="32" t="n"/>
      <c r="B71" s="32" t="n"/>
      <c r="C71" s="32" t="n"/>
      <c r="D71" s="32" t="n"/>
      <c r="E71" s="32" t="n"/>
      <c r="F71" s="32" t="n"/>
      <c r="G71" s="32" t="n"/>
      <c r="H71" s="33" t="n"/>
      <c r="I71" s="33" t="n"/>
      <c r="J71" s="32" t="n"/>
      <c r="K71" s="32" t="n"/>
      <c r="L71" s="32">
        <f>IF(H71="","",H71-项目驾驶舱!$B$3)</f>
        <v/>
      </c>
      <c r="M71" s="32">
        <f>IF(OR(K71="已关闭",H71=""),"否",IF(H71&lt;项目驾驶舱!$B$3,"是","否"))</f>
        <v/>
      </c>
      <c r="N71" s="32" t="n"/>
    </row>
    <row r="72" ht="17" customHeight="1">
      <c r="A72" s="32" t="n"/>
      <c r="B72" s="32" t="n"/>
      <c r="C72" s="32" t="n"/>
      <c r="D72" s="32" t="n"/>
      <c r="E72" s="32" t="n"/>
      <c r="F72" s="32" t="n"/>
      <c r="G72" s="32" t="n"/>
      <c r="H72" s="33" t="n"/>
      <c r="I72" s="33" t="n"/>
      <c r="J72" s="32" t="n"/>
      <c r="K72" s="32" t="n"/>
      <c r="L72" s="32">
        <f>IF(H72="","",H72-项目驾驶舱!$B$3)</f>
        <v/>
      </c>
      <c r="M72" s="32">
        <f>IF(OR(K72="已关闭",H72=""),"否",IF(H72&lt;项目驾驶舱!$B$3,"是","否"))</f>
        <v/>
      </c>
      <c r="N72" s="32" t="n"/>
    </row>
    <row r="73" ht="17" customHeight="1">
      <c r="A73" s="32" t="n"/>
      <c r="B73" s="32" t="n"/>
      <c r="C73" s="32" t="n"/>
      <c r="D73" s="32" t="n"/>
      <c r="E73" s="32" t="n"/>
      <c r="F73" s="32" t="n"/>
      <c r="G73" s="32" t="n"/>
      <c r="H73" s="33" t="n"/>
      <c r="I73" s="33" t="n"/>
      <c r="J73" s="32" t="n"/>
      <c r="K73" s="32" t="n"/>
      <c r="L73" s="32">
        <f>IF(H73="","",H73-项目驾驶舱!$B$3)</f>
        <v/>
      </c>
      <c r="M73" s="32">
        <f>IF(OR(K73="已关闭",H73=""),"否",IF(H73&lt;项目驾驶舱!$B$3,"是","否"))</f>
        <v/>
      </c>
      <c r="N73" s="32" t="n"/>
    </row>
    <row r="74" ht="17" customHeight="1">
      <c r="A74" s="32" t="n"/>
      <c r="B74" s="32" t="n"/>
      <c r="C74" s="32" t="n"/>
      <c r="D74" s="32" t="n"/>
      <c r="E74" s="32" t="n"/>
      <c r="F74" s="32" t="n"/>
      <c r="G74" s="32" t="n"/>
      <c r="H74" s="33" t="n"/>
      <c r="I74" s="33" t="n"/>
      <c r="J74" s="32" t="n"/>
      <c r="K74" s="32" t="n"/>
      <c r="L74" s="32">
        <f>IF(H74="","",H74-项目驾驶舱!$B$3)</f>
        <v/>
      </c>
      <c r="M74" s="32">
        <f>IF(OR(K74="已关闭",H74=""),"否",IF(H74&lt;项目驾驶舱!$B$3,"是","否"))</f>
        <v/>
      </c>
      <c r="N74" s="32" t="n"/>
    </row>
    <row r="75" ht="17" customHeight="1">
      <c r="A75" s="32" t="n"/>
      <c r="B75" s="32" t="n"/>
      <c r="C75" s="32" t="n"/>
      <c r="D75" s="32" t="n"/>
      <c r="E75" s="32" t="n"/>
      <c r="F75" s="32" t="n"/>
      <c r="G75" s="32" t="n"/>
      <c r="H75" s="33" t="n"/>
      <c r="I75" s="33" t="n"/>
      <c r="J75" s="32" t="n"/>
      <c r="K75" s="32" t="n"/>
      <c r="L75" s="32">
        <f>IF(H75="","",H75-项目驾驶舱!$B$3)</f>
        <v/>
      </c>
      <c r="M75" s="32">
        <f>IF(OR(K75="已关闭",H75=""),"否",IF(H75&lt;项目驾驶舱!$B$3,"是","否"))</f>
        <v/>
      </c>
      <c r="N75" s="32" t="n"/>
    </row>
    <row r="76" ht="17" customHeight="1">
      <c r="A76" s="32" t="n"/>
      <c r="B76" s="32" t="n"/>
      <c r="C76" s="32" t="n"/>
      <c r="D76" s="32" t="n"/>
      <c r="E76" s="32" t="n"/>
      <c r="F76" s="32" t="n"/>
      <c r="G76" s="32" t="n"/>
      <c r="H76" s="33" t="n"/>
      <c r="I76" s="33" t="n"/>
      <c r="J76" s="32" t="n"/>
      <c r="K76" s="32" t="n"/>
      <c r="L76" s="32">
        <f>IF(H76="","",H76-项目驾驶舱!$B$3)</f>
        <v/>
      </c>
      <c r="M76" s="32">
        <f>IF(OR(K76="已关闭",H76=""),"否",IF(H76&lt;项目驾驶舱!$B$3,"是","否"))</f>
        <v/>
      </c>
      <c r="N76" s="32" t="n"/>
    </row>
    <row r="77" ht="17" customHeight="1">
      <c r="A77" s="32" t="n"/>
      <c r="B77" s="32" t="n"/>
      <c r="C77" s="32" t="n"/>
      <c r="D77" s="32" t="n"/>
      <c r="E77" s="32" t="n"/>
      <c r="F77" s="32" t="n"/>
      <c r="G77" s="32" t="n"/>
      <c r="H77" s="33" t="n"/>
      <c r="I77" s="33" t="n"/>
      <c r="J77" s="32" t="n"/>
      <c r="K77" s="32" t="n"/>
      <c r="L77" s="32">
        <f>IF(H77="","",H77-项目驾驶舱!$B$3)</f>
        <v/>
      </c>
      <c r="M77" s="32">
        <f>IF(OR(K77="已关闭",H77=""),"否",IF(H77&lt;项目驾驶舱!$B$3,"是","否"))</f>
        <v/>
      </c>
      <c r="N77" s="32" t="n"/>
    </row>
    <row r="78" ht="17" customHeight="1">
      <c r="A78" s="32" t="n"/>
      <c r="B78" s="32" t="n"/>
      <c r="C78" s="32" t="n"/>
      <c r="D78" s="32" t="n"/>
      <c r="E78" s="32" t="n"/>
      <c r="F78" s="32" t="n"/>
      <c r="G78" s="32" t="n"/>
      <c r="H78" s="33" t="n"/>
      <c r="I78" s="33" t="n"/>
      <c r="J78" s="32" t="n"/>
      <c r="K78" s="32" t="n"/>
      <c r="L78" s="32">
        <f>IF(H78="","",H78-项目驾驶舱!$B$3)</f>
        <v/>
      </c>
      <c r="M78" s="32">
        <f>IF(OR(K78="已关闭",H78=""),"否",IF(H78&lt;项目驾驶舱!$B$3,"是","否"))</f>
        <v/>
      </c>
      <c r="N78" s="32" t="n"/>
    </row>
    <row r="79" ht="17" customHeight="1">
      <c r="A79" s="32" t="n"/>
      <c r="B79" s="32" t="n"/>
      <c r="C79" s="32" t="n"/>
      <c r="D79" s="32" t="n"/>
      <c r="E79" s="32" t="n"/>
      <c r="F79" s="32" t="n"/>
      <c r="G79" s="32" t="n"/>
      <c r="H79" s="33" t="n"/>
      <c r="I79" s="33" t="n"/>
      <c r="J79" s="32" t="n"/>
      <c r="K79" s="32" t="n"/>
      <c r="L79" s="32">
        <f>IF(H79="","",H79-项目驾驶舱!$B$3)</f>
        <v/>
      </c>
      <c r="M79" s="32">
        <f>IF(OR(K79="已关闭",H79=""),"否",IF(H79&lt;项目驾驶舱!$B$3,"是","否"))</f>
        <v/>
      </c>
      <c r="N79" s="32" t="n"/>
    </row>
    <row r="80" ht="17" customHeight="1">
      <c r="A80" s="32" t="n"/>
      <c r="B80" s="32" t="n"/>
      <c r="C80" s="32" t="n"/>
      <c r="D80" s="32" t="n"/>
      <c r="E80" s="32" t="n"/>
      <c r="F80" s="32" t="n"/>
      <c r="G80" s="32" t="n"/>
      <c r="H80" s="33" t="n"/>
      <c r="I80" s="33" t="n"/>
      <c r="J80" s="32" t="n"/>
      <c r="K80" s="32" t="n"/>
      <c r="L80" s="32">
        <f>IF(H80="","",H80-项目驾驶舱!$B$3)</f>
        <v/>
      </c>
      <c r="M80" s="32">
        <f>IF(OR(K80="已关闭",H80=""),"否",IF(H80&lt;项目驾驶舱!$B$3,"是","否"))</f>
        <v/>
      </c>
      <c r="N80" s="32" t="n"/>
    </row>
    <row r="81" ht="17" customHeight="1">
      <c r="A81" s="32" t="n"/>
      <c r="B81" s="32" t="n"/>
      <c r="C81" s="32" t="n"/>
      <c r="D81" s="32" t="n"/>
      <c r="E81" s="32" t="n"/>
      <c r="F81" s="32" t="n"/>
      <c r="G81" s="32" t="n"/>
      <c r="H81" s="33" t="n"/>
      <c r="I81" s="33" t="n"/>
      <c r="J81" s="32" t="n"/>
      <c r="K81" s="32" t="n"/>
      <c r="L81" s="32">
        <f>IF(H81="","",H81-项目驾驶舱!$B$3)</f>
        <v/>
      </c>
      <c r="M81" s="32">
        <f>IF(OR(K81="已关闭",H81=""),"否",IF(H81&lt;项目驾驶舱!$B$3,"是","否"))</f>
        <v/>
      </c>
      <c r="N81" s="32" t="n"/>
    </row>
    <row r="82" ht="17" customHeight="1">
      <c r="A82" s="32" t="n"/>
      <c r="B82" s="32" t="n"/>
      <c r="C82" s="32" t="n"/>
      <c r="D82" s="32" t="n"/>
      <c r="E82" s="32" t="n"/>
      <c r="F82" s="32" t="n"/>
      <c r="G82" s="32" t="n"/>
      <c r="H82" s="33" t="n"/>
      <c r="I82" s="33" t="n"/>
      <c r="J82" s="32" t="n"/>
      <c r="K82" s="32" t="n"/>
      <c r="L82" s="32">
        <f>IF(H82="","",H82-项目驾驶舱!$B$3)</f>
        <v/>
      </c>
      <c r="M82" s="32">
        <f>IF(OR(K82="已关闭",H82=""),"否",IF(H82&lt;项目驾驶舱!$B$3,"是","否"))</f>
        <v/>
      </c>
      <c r="N82" s="32" t="n"/>
    </row>
    <row r="83" ht="17" customHeight="1">
      <c r="A83" s="32" t="n"/>
      <c r="B83" s="32" t="n"/>
      <c r="C83" s="32" t="n"/>
      <c r="D83" s="32" t="n"/>
      <c r="E83" s="32" t="n"/>
      <c r="F83" s="32" t="n"/>
      <c r="G83" s="32" t="n"/>
      <c r="H83" s="33" t="n"/>
      <c r="I83" s="33" t="n"/>
      <c r="J83" s="32" t="n"/>
      <c r="K83" s="32" t="n"/>
      <c r="L83" s="32">
        <f>IF(H83="","",H83-项目驾驶舱!$B$3)</f>
        <v/>
      </c>
      <c r="M83" s="32">
        <f>IF(OR(K83="已关闭",H83=""),"否",IF(H83&lt;项目驾驶舱!$B$3,"是","否"))</f>
        <v/>
      </c>
      <c r="N83" s="32" t="n"/>
    </row>
    <row r="84" ht="17" customHeight="1">
      <c r="A84" s="32" t="n"/>
      <c r="B84" s="32" t="n"/>
      <c r="C84" s="32" t="n"/>
      <c r="D84" s="32" t="n"/>
      <c r="E84" s="32" t="n"/>
      <c r="F84" s="32" t="n"/>
      <c r="G84" s="32" t="n"/>
      <c r="H84" s="33" t="n"/>
      <c r="I84" s="33" t="n"/>
      <c r="J84" s="32" t="n"/>
      <c r="K84" s="32" t="n"/>
      <c r="L84" s="32">
        <f>IF(H84="","",H84-项目驾驶舱!$B$3)</f>
        <v/>
      </c>
      <c r="M84" s="32">
        <f>IF(OR(K84="已关闭",H84=""),"否",IF(H84&lt;项目驾驶舱!$B$3,"是","否"))</f>
        <v/>
      </c>
      <c r="N84" s="32" t="n"/>
    </row>
    <row r="85" ht="17" customHeight="1">
      <c r="A85" s="32" t="n"/>
      <c r="B85" s="32" t="n"/>
      <c r="C85" s="32" t="n"/>
      <c r="D85" s="32" t="n"/>
      <c r="E85" s="32" t="n"/>
      <c r="F85" s="32" t="n"/>
      <c r="G85" s="32" t="n"/>
      <c r="H85" s="33" t="n"/>
      <c r="I85" s="33" t="n"/>
      <c r="J85" s="32" t="n"/>
      <c r="K85" s="32" t="n"/>
      <c r="L85" s="32">
        <f>IF(H85="","",H85-项目驾驶舱!$B$3)</f>
        <v/>
      </c>
      <c r="M85" s="32">
        <f>IF(OR(K85="已关闭",H85=""),"否",IF(H85&lt;项目驾驶舱!$B$3,"是","否"))</f>
        <v/>
      </c>
      <c r="N85" s="32" t="n"/>
    </row>
    <row r="86" ht="17" customHeight="1">
      <c r="A86" s="32" t="n"/>
      <c r="B86" s="32" t="n"/>
      <c r="C86" s="32" t="n"/>
      <c r="D86" s="32" t="n"/>
      <c r="E86" s="32" t="n"/>
      <c r="F86" s="32" t="n"/>
      <c r="G86" s="32" t="n"/>
      <c r="H86" s="33" t="n"/>
      <c r="I86" s="33" t="n"/>
      <c r="J86" s="32" t="n"/>
      <c r="K86" s="32" t="n"/>
      <c r="L86" s="32">
        <f>IF(H86="","",H86-项目驾驶舱!$B$3)</f>
        <v/>
      </c>
      <c r="M86" s="32">
        <f>IF(OR(K86="已关闭",H86=""),"否",IF(H86&lt;项目驾驶舱!$B$3,"是","否"))</f>
        <v/>
      </c>
      <c r="N86" s="32" t="n"/>
    </row>
    <row r="87" ht="17" customHeight="1">
      <c r="A87" s="32" t="n"/>
      <c r="B87" s="32" t="n"/>
      <c r="C87" s="32" t="n"/>
      <c r="D87" s="32" t="n"/>
      <c r="E87" s="32" t="n"/>
      <c r="F87" s="32" t="n"/>
      <c r="G87" s="32" t="n"/>
      <c r="H87" s="33" t="n"/>
      <c r="I87" s="33" t="n"/>
      <c r="J87" s="32" t="n"/>
      <c r="K87" s="32" t="n"/>
      <c r="L87" s="32">
        <f>IF(H87="","",H87-项目驾驶舱!$B$3)</f>
        <v/>
      </c>
      <c r="M87" s="32">
        <f>IF(OR(K87="已关闭",H87=""),"否",IF(H87&lt;项目驾驶舱!$B$3,"是","否"))</f>
        <v/>
      </c>
      <c r="N87" s="32" t="n"/>
    </row>
    <row r="88" ht="17" customHeight="1">
      <c r="A88" s="32" t="n"/>
      <c r="B88" s="32" t="n"/>
      <c r="C88" s="32" t="n"/>
      <c r="D88" s="32" t="n"/>
      <c r="E88" s="32" t="n"/>
      <c r="F88" s="32" t="n"/>
      <c r="G88" s="32" t="n"/>
      <c r="H88" s="33" t="n"/>
      <c r="I88" s="33" t="n"/>
      <c r="J88" s="32" t="n"/>
      <c r="K88" s="32" t="n"/>
      <c r="L88" s="32">
        <f>IF(H88="","",H88-项目驾驶舱!$B$3)</f>
        <v/>
      </c>
      <c r="M88" s="32">
        <f>IF(OR(K88="已关闭",H88=""),"否",IF(H88&lt;项目驾驶舱!$B$3,"是","否"))</f>
        <v/>
      </c>
      <c r="N88" s="32" t="n"/>
    </row>
    <row r="89" ht="17" customHeight="1">
      <c r="A89" s="32" t="n"/>
      <c r="B89" s="32" t="n"/>
      <c r="C89" s="32" t="n"/>
      <c r="D89" s="32" t="n"/>
      <c r="E89" s="32" t="n"/>
      <c r="F89" s="32" t="n"/>
      <c r="G89" s="32" t="n"/>
      <c r="H89" s="33" t="n"/>
      <c r="I89" s="33" t="n"/>
      <c r="J89" s="32" t="n"/>
      <c r="K89" s="32" t="n"/>
      <c r="L89" s="32">
        <f>IF(H89="","",H89-项目驾驶舱!$B$3)</f>
        <v/>
      </c>
      <c r="M89" s="32">
        <f>IF(OR(K89="已关闭",H89=""),"否",IF(H89&lt;项目驾驶舱!$B$3,"是","否"))</f>
        <v/>
      </c>
      <c r="N89" s="32" t="n"/>
    </row>
    <row r="90" ht="17" customHeight="1">
      <c r="A90" s="32" t="n"/>
      <c r="B90" s="32" t="n"/>
      <c r="C90" s="32" t="n"/>
      <c r="D90" s="32" t="n"/>
      <c r="E90" s="32" t="n"/>
      <c r="F90" s="32" t="n"/>
      <c r="G90" s="32" t="n"/>
      <c r="H90" s="33" t="n"/>
      <c r="I90" s="33" t="n"/>
      <c r="J90" s="32" t="n"/>
      <c r="K90" s="32" t="n"/>
      <c r="L90" s="32">
        <f>IF(H90="","",H90-项目驾驶舱!$B$3)</f>
        <v/>
      </c>
      <c r="M90" s="32">
        <f>IF(OR(K90="已关闭",H90=""),"否",IF(H90&lt;项目驾驶舱!$B$3,"是","否"))</f>
        <v/>
      </c>
      <c r="N90" s="32" t="n"/>
    </row>
    <row r="91" ht="17" customHeight="1">
      <c r="A91" s="32" t="n"/>
      <c r="B91" s="32" t="n"/>
      <c r="C91" s="32" t="n"/>
      <c r="D91" s="32" t="n"/>
      <c r="E91" s="32" t="n"/>
      <c r="F91" s="32" t="n"/>
      <c r="G91" s="32" t="n"/>
      <c r="H91" s="33" t="n"/>
      <c r="I91" s="33" t="n"/>
      <c r="J91" s="32" t="n"/>
      <c r="K91" s="32" t="n"/>
      <c r="L91" s="32">
        <f>IF(H91="","",H91-项目驾驶舱!$B$3)</f>
        <v/>
      </c>
      <c r="M91" s="32">
        <f>IF(OR(K91="已关闭",H91=""),"否",IF(H91&lt;项目驾驶舱!$B$3,"是","否"))</f>
        <v/>
      </c>
      <c r="N91" s="32" t="n"/>
    </row>
    <row r="92" ht="17" customHeight="1">
      <c r="A92" s="32" t="n"/>
      <c r="B92" s="32" t="n"/>
      <c r="C92" s="32" t="n"/>
      <c r="D92" s="32" t="n"/>
      <c r="E92" s="32" t="n"/>
      <c r="F92" s="32" t="n"/>
      <c r="G92" s="32" t="n"/>
      <c r="H92" s="33" t="n"/>
      <c r="I92" s="33" t="n"/>
      <c r="J92" s="32" t="n"/>
      <c r="K92" s="32" t="n"/>
      <c r="L92" s="32">
        <f>IF(H92="","",H92-项目驾驶舱!$B$3)</f>
        <v/>
      </c>
      <c r="M92" s="32">
        <f>IF(OR(K92="已关闭",H92=""),"否",IF(H92&lt;项目驾驶舱!$B$3,"是","否"))</f>
        <v/>
      </c>
      <c r="N92" s="32" t="n"/>
    </row>
    <row r="93" ht="17" customHeight="1">
      <c r="A93" s="32" t="n"/>
      <c r="B93" s="32" t="n"/>
      <c r="C93" s="32" t="n"/>
      <c r="D93" s="32" t="n"/>
      <c r="E93" s="32" t="n"/>
      <c r="F93" s="32" t="n"/>
      <c r="G93" s="32" t="n"/>
      <c r="H93" s="33" t="n"/>
      <c r="I93" s="33" t="n"/>
      <c r="J93" s="32" t="n"/>
      <c r="K93" s="32" t="n"/>
      <c r="L93" s="32">
        <f>IF(H93="","",H93-项目驾驶舱!$B$3)</f>
        <v/>
      </c>
      <c r="M93" s="32">
        <f>IF(OR(K93="已关闭",H93=""),"否",IF(H93&lt;项目驾驶舱!$B$3,"是","否"))</f>
        <v/>
      </c>
      <c r="N93" s="32" t="n"/>
    </row>
    <row r="94" ht="17" customHeight="1">
      <c r="A94" s="32" t="n"/>
      <c r="B94" s="32" t="n"/>
      <c r="C94" s="32" t="n"/>
      <c r="D94" s="32" t="n"/>
      <c r="E94" s="32" t="n"/>
      <c r="F94" s="32" t="n"/>
      <c r="G94" s="32" t="n"/>
      <c r="H94" s="33" t="n"/>
      <c r="I94" s="33" t="n"/>
      <c r="J94" s="32" t="n"/>
      <c r="K94" s="32" t="n"/>
      <c r="L94" s="32">
        <f>IF(H94="","",H94-项目驾驶舱!$B$3)</f>
        <v/>
      </c>
      <c r="M94" s="32">
        <f>IF(OR(K94="已关闭",H94=""),"否",IF(H94&lt;项目驾驶舱!$B$3,"是","否"))</f>
        <v/>
      </c>
      <c r="N94" s="32" t="n"/>
    </row>
    <row r="95" ht="17" customHeight="1">
      <c r="A95" s="32" t="n"/>
      <c r="B95" s="32" t="n"/>
      <c r="C95" s="32" t="n"/>
      <c r="D95" s="32" t="n"/>
      <c r="E95" s="32" t="n"/>
      <c r="F95" s="32" t="n"/>
      <c r="G95" s="32" t="n"/>
      <c r="H95" s="33" t="n"/>
      <c r="I95" s="33" t="n"/>
      <c r="J95" s="32" t="n"/>
      <c r="K95" s="32" t="n"/>
      <c r="L95" s="32">
        <f>IF(H95="","",H95-项目驾驶舱!$B$3)</f>
        <v/>
      </c>
      <c r="M95" s="32">
        <f>IF(OR(K95="已关闭",H95=""),"否",IF(H95&lt;项目驾驶舱!$B$3,"是","否"))</f>
        <v/>
      </c>
      <c r="N95" s="32" t="n"/>
    </row>
    <row r="96" ht="17" customHeight="1">
      <c r="A96" s="32" t="n"/>
      <c r="B96" s="32" t="n"/>
      <c r="C96" s="32" t="n"/>
      <c r="D96" s="32" t="n"/>
      <c r="E96" s="32" t="n"/>
      <c r="F96" s="32" t="n"/>
      <c r="G96" s="32" t="n"/>
      <c r="H96" s="33" t="n"/>
      <c r="I96" s="33" t="n"/>
      <c r="J96" s="32" t="n"/>
      <c r="K96" s="32" t="n"/>
      <c r="L96" s="32">
        <f>IF(H96="","",H96-项目驾驶舱!$B$3)</f>
        <v/>
      </c>
      <c r="M96" s="32">
        <f>IF(OR(K96="已关闭",H96=""),"否",IF(H96&lt;项目驾驶舱!$B$3,"是","否"))</f>
        <v/>
      </c>
      <c r="N96" s="32" t="n"/>
    </row>
    <row r="97" ht="17" customHeight="1">
      <c r="A97" s="32" t="n"/>
      <c r="B97" s="32" t="n"/>
      <c r="C97" s="32" t="n"/>
      <c r="D97" s="32" t="n"/>
      <c r="E97" s="32" t="n"/>
      <c r="F97" s="32" t="n"/>
      <c r="G97" s="32" t="n"/>
      <c r="H97" s="33" t="n"/>
      <c r="I97" s="33" t="n"/>
      <c r="J97" s="32" t="n"/>
      <c r="K97" s="32" t="n"/>
      <c r="L97" s="32">
        <f>IF(H97="","",H97-项目驾驶舱!$B$3)</f>
        <v/>
      </c>
      <c r="M97" s="32">
        <f>IF(OR(K97="已关闭",H97=""),"否",IF(H97&lt;项目驾驶舱!$B$3,"是","否"))</f>
        <v/>
      </c>
      <c r="N97" s="32" t="n"/>
    </row>
    <row r="98" ht="17" customHeight="1">
      <c r="A98" s="32" t="n"/>
      <c r="B98" s="32" t="n"/>
      <c r="C98" s="32" t="n"/>
      <c r="D98" s="32" t="n"/>
      <c r="E98" s="32" t="n"/>
      <c r="F98" s="32" t="n"/>
      <c r="G98" s="32" t="n"/>
      <c r="H98" s="33" t="n"/>
      <c r="I98" s="33" t="n"/>
      <c r="J98" s="32" t="n"/>
      <c r="K98" s="32" t="n"/>
      <c r="L98" s="32">
        <f>IF(H98="","",H98-项目驾驶舱!$B$3)</f>
        <v/>
      </c>
      <c r="M98" s="32">
        <f>IF(OR(K98="已关闭",H98=""),"否",IF(H98&lt;项目驾驶舱!$B$3,"是","否"))</f>
        <v/>
      </c>
      <c r="N98" s="32" t="n"/>
    </row>
    <row r="99" ht="17" customHeight="1">
      <c r="A99" s="32" t="n"/>
      <c r="B99" s="32" t="n"/>
      <c r="C99" s="32" t="n"/>
      <c r="D99" s="32" t="n"/>
      <c r="E99" s="32" t="n"/>
      <c r="F99" s="32" t="n"/>
      <c r="G99" s="32" t="n"/>
      <c r="H99" s="33" t="n"/>
      <c r="I99" s="33" t="n"/>
      <c r="J99" s="32" t="n"/>
      <c r="K99" s="32" t="n"/>
      <c r="L99" s="32">
        <f>IF(H99="","",H99-项目驾驶舱!$B$3)</f>
        <v/>
      </c>
      <c r="M99" s="32">
        <f>IF(OR(K99="已关闭",H99=""),"否",IF(H99&lt;项目驾驶舱!$B$3,"是","否"))</f>
        <v/>
      </c>
      <c r="N99" s="32" t="n"/>
    </row>
    <row r="100" ht="17" customHeight="1">
      <c r="A100" s="32" t="n"/>
      <c r="B100" s="32" t="n"/>
      <c r="C100" s="32" t="n"/>
      <c r="D100" s="32" t="n"/>
      <c r="E100" s="32" t="n"/>
      <c r="F100" s="32" t="n"/>
      <c r="G100" s="32" t="n"/>
      <c r="H100" s="33" t="n"/>
      <c r="I100" s="33" t="n"/>
      <c r="J100" s="32" t="n"/>
      <c r="K100" s="32" t="n"/>
      <c r="L100" s="32">
        <f>IF(H100="","",H100-项目驾驶舱!$B$3)</f>
        <v/>
      </c>
      <c r="M100" s="32">
        <f>IF(OR(K100="已关闭",H100=""),"否",IF(H100&lt;项目驾驶舱!$B$3,"是","否"))</f>
        <v/>
      </c>
      <c r="N100" s="32" t="n"/>
    </row>
    <row r="101" ht="17" customHeight="1">
      <c r="A101" s="32" t="n"/>
      <c r="B101" s="32" t="n"/>
      <c r="C101" s="32" t="n"/>
      <c r="D101" s="32" t="n"/>
      <c r="E101" s="32" t="n"/>
      <c r="F101" s="32" t="n"/>
      <c r="G101" s="32" t="n"/>
      <c r="H101" s="33" t="n"/>
      <c r="I101" s="33" t="n"/>
      <c r="J101" s="32" t="n"/>
      <c r="K101" s="32" t="n"/>
      <c r="L101" s="32">
        <f>IF(H101="","",H101-项目驾驶舱!$B$3)</f>
        <v/>
      </c>
      <c r="M101" s="32">
        <f>IF(OR(K101="已关闭",H101=""),"否",IF(H101&lt;项目驾驶舱!$B$3,"是","否"))</f>
        <v/>
      </c>
      <c r="N101" s="32" t="n"/>
    </row>
    <row r="102" ht="17" customHeight="1">
      <c r="A102" s="32" t="n"/>
      <c r="B102" s="32" t="n"/>
      <c r="C102" s="32" t="n"/>
      <c r="D102" s="32" t="n"/>
      <c r="E102" s="32" t="n"/>
      <c r="F102" s="32" t="n"/>
      <c r="G102" s="32" t="n"/>
      <c r="H102" s="33" t="n"/>
      <c r="I102" s="33" t="n"/>
      <c r="J102" s="32" t="n"/>
      <c r="K102" s="32" t="n"/>
      <c r="L102" s="32">
        <f>IF(H102="","",H102-项目驾驶舱!$B$3)</f>
        <v/>
      </c>
      <c r="M102" s="32">
        <f>IF(OR(K102="已关闭",H102=""),"否",IF(H102&lt;项目驾驶舱!$B$3,"是","否"))</f>
        <v/>
      </c>
      <c r="N102" s="32" t="n"/>
    </row>
    <row r="103" ht="17" customHeight="1">
      <c r="A103" s="32" t="n"/>
      <c r="B103" s="32" t="n"/>
      <c r="C103" s="32" t="n"/>
      <c r="D103" s="32" t="n"/>
      <c r="E103" s="32" t="n"/>
      <c r="F103" s="32" t="n"/>
      <c r="G103" s="32" t="n"/>
      <c r="H103" s="33" t="n"/>
      <c r="I103" s="33" t="n"/>
      <c r="J103" s="32" t="n"/>
      <c r="K103" s="32" t="n"/>
      <c r="L103" s="32">
        <f>IF(H103="","",H103-项目驾驶舱!$B$3)</f>
        <v/>
      </c>
      <c r="M103" s="32">
        <f>IF(OR(K103="已关闭",H103=""),"否",IF(H103&lt;项目驾驶舱!$B$3,"是","否"))</f>
        <v/>
      </c>
      <c r="N103" s="32" t="n"/>
    </row>
  </sheetData>
  <mergeCells count="1">
    <mergeCell ref="A1:N1"/>
  </mergeCells>
  <dataValidations count="3">
    <dataValidation sqref="B4:B103" showDropDown="0" showInputMessage="0" showErrorMessage="0" allowBlank="0" type="list">
      <formula1>"风险,问题"</formula1>
    </dataValidation>
    <dataValidation sqref="D4:D103" showDropDown="0" showInputMessage="0" showErrorMessage="0" allowBlank="0" type="list">
      <formula1>"低,中,高"</formula1>
    </dataValidation>
    <dataValidation sqref="K4:K103" showDropDown="0" showInputMessage="0" showErrorMessage="0" allowBlank="0" type="list">
      <formula1>"待处理,处理中,已关闭,已接受"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"/>
    </sheetView>
  </sheetViews>
  <sheetFormatPr baseColWidth="8" defaultColWidth="9" defaultRowHeight="16.8"/>
  <cols>
    <col width="13" customWidth="1" min="1" max="1"/>
    <col width="38" customWidth="1" min="4" max="4"/>
    <col width="28" customWidth="1" min="5" max="5"/>
    <col width="10" customWidth="1" min="6" max="6"/>
    <col width="12" customWidth="1" min="7" max="7"/>
    <col width="32" customWidth="1" min="8" max="8"/>
    <col width="13" customWidth="1" min="9" max="9"/>
    <col width="15" customWidth="1" min="10" max="10"/>
    <col width="13" customWidth="1" min="11" max="11"/>
    <col width="30" customWidth="1" min="14" max="14"/>
  </cols>
  <sheetData>
    <row r="1" ht="34" customHeight="1">
      <c r="A1" s="30" t="inlineStr">
        <is>
          <t>项目变更台账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</row>
    <row r="2"/>
    <row r="3" ht="30" customHeight="1">
      <c r="A3" s="31" t="inlineStr">
        <is>
          <t>变更编号</t>
        </is>
      </c>
      <c r="B3" s="31" t="inlineStr">
        <is>
          <t>提出日期</t>
        </is>
      </c>
      <c r="C3" s="31" t="inlineStr">
        <is>
          <t>提出人</t>
        </is>
      </c>
      <c r="D3" s="31" t="inlineStr">
        <is>
          <t>变更内容</t>
        </is>
      </c>
      <c r="E3" s="31" t="inlineStr">
        <is>
          <t>变更原因</t>
        </is>
      </c>
      <c r="F3" s="31" t="inlineStr">
        <is>
          <t>优先级</t>
        </is>
      </c>
      <c r="G3" s="31" t="inlineStr">
        <is>
          <t>审批状态</t>
        </is>
      </c>
      <c r="H3" s="31" t="inlineStr">
        <is>
          <t>范围影响</t>
        </is>
      </c>
      <c r="I3" s="31" t="inlineStr">
        <is>
          <t>工期影响(天)</t>
        </is>
      </c>
      <c r="J3" s="31" t="inlineStr">
        <is>
          <t>成本影响</t>
        </is>
      </c>
      <c r="K3" s="31" t="inlineStr">
        <is>
          <t>评估人</t>
        </is>
      </c>
      <c r="L3" s="31" t="inlineStr">
        <is>
          <t>批准人</t>
        </is>
      </c>
      <c r="M3" s="31" t="inlineStr">
        <is>
          <t>实施日期</t>
        </is>
      </c>
      <c r="N3" s="31" t="inlineStr">
        <is>
          <t>关闭说明</t>
        </is>
      </c>
    </row>
    <row r="4">
      <c r="A4" s="32" t="n"/>
      <c r="B4" s="33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3" t="n"/>
      <c r="N4" s="32" t="n"/>
    </row>
    <row r="5">
      <c r="A5" s="32" t="n"/>
      <c r="B5" s="33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3" t="n"/>
      <c r="N5" s="32" t="n"/>
    </row>
    <row r="6">
      <c r="A6" s="32" t="n"/>
      <c r="B6" s="33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3" t="n"/>
      <c r="N6" s="32" t="n"/>
    </row>
    <row r="7">
      <c r="A7" s="32" t="n"/>
      <c r="B7" s="33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3" t="n"/>
      <c r="N7" s="32" t="n"/>
    </row>
    <row r="8">
      <c r="A8" s="32" t="n"/>
      <c r="B8" s="33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3" t="n"/>
      <c r="N8" s="32" t="n"/>
    </row>
    <row r="9">
      <c r="A9" s="32" t="n"/>
      <c r="B9" s="33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3" t="n"/>
      <c r="N9" s="32" t="n"/>
    </row>
    <row r="10">
      <c r="A10" s="32" t="n"/>
      <c r="B10" s="33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3" t="n"/>
      <c r="N10" s="32" t="n"/>
    </row>
    <row r="11">
      <c r="A11" s="32" t="n"/>
      <c r="B11" s="33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3" t="n"/>
      <c r="N11" s="32" t="n"/>
    </row>
    <row r="12">
      <c r="A12" s="32" t="n"/>
      <c r="B12" s="33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3" t="n"/>
      <c r="N12" s="32" t="n"/>
    </row>
    <row r="13">
      <c r="A13" s="32" t="n"/>
      <c r="B13" s="33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3" t="n"/>
      <c r="N13" s="32" t="n"/>
    </row>
    <row r="14">
      <c r="A14" s="32" t="n"/>
      <c r="B14" s="3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3" t="n"/>
      <c r="N14" s="32" t="n"/>
    </row>
    <row r="15">
      <c r="A15" s="32" t="n"/>
      <c r="B15" s="33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3" t="n"/>
      <c r="N15" s="32" t="n"/>
    </row>
    <row r="16">
      <c r="A16" s="32" t="n"/>
      <c r="B16" s="33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3" t="n"/>
      <c r="N16" s="32" t="n"/>
    </row>
    <row r="17">
      <c r="A17" s="32" t="n"/>
      <c r="B17" s="33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3" t="n"/>
      <c r="N17" s="32" t="n"/>
    </row>
    <row r="18">
      <c r="A18" s="32" t="n"/>
      <c r="B18" s="33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3" t="n"/>
      <c r="N18" s="32" t="n"/>
    </row>
    <row r="19">
      <c r="A19" s="32" t="n"/>
      <c r="B19" s="33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3" t="n"/>
      <c r="N19" s="32" t="n"/>
    </row>
    <row r="20">
      <c r="A20" s="32" t="n"/>
      <c r="B20" s="33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3" t="n"/>
      <c r="N20" s="32" t="n"/>
    </row>
    <row r="21">
      <c r="A21" s="32" t="n"/>
      <c r="B21" s="33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3" t="n"/>
      <c r="N21" s="32" t="n"/>
    </row>
    <row r="22">
      <c r="A22" s="32" t="n"/>
      <c r="B22" s="33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3" t="n"/>
      <c r="N22" s="32" t="n"/>
    </row>
    <row r="23">
      <c r="A23" s="32" t="n"/>
      <c r="B23" s="33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3" t="n"/>
      <c r="N23" s="32" t="n"/>
    </row>
    <row r="24">
      <c r="A24" s="32" t="n"/>
      <c r="B24" s="33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3" t="n"/>
      <c r="N24" s="32" t="n"/>
    </row>
    <row r="25">
      <c r="A25" s="32" t="n"/>
      <c r="B25" s="33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3" t="n"/>
      <c r="N25" s="32" t="n"/>
    </row>
    <row r="26">
      <c r="A26" s="32" t="n"/>
      <c r="B26" s="33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3" t="n"/>
      <c r="N26" s="32" t="n"/>
    </row>
    <row r="27">
      <c r="A27" s="32" t="n"/>
      <c r="B27" s="33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3" t="n"/>
      <c r="N27" s="32" t="n"/>
    </row>
    <row r="28">
      <c r="A28" s="32" t="n"/>
      <c r="B28" s="33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3" t="n"/>
      <c r="N28" s="32" t="n"/>
    </row>
    <row r="29">
      <c r="A29" s="32" t="n"/>
      <c r="B29" s="33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3" t="n"/>
      <c r="N29" s="32" t="n"/>
    </row>
    <row r="30">
      <c r="A30" s="32" t="n"/>
      <c r="B30" s="3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3" t="n"/>
      <c r="N30" s="32" t="n"/>
    </row>
    <row r="31">
      <c r="A31" s="32" t="n"/>
      <c r="B31" s="33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3" t="n"/>
      <c r="N31" s="32" t="n"/>
    </row>
    <row r="32">
      <c r="A32" s="32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32" t="n"/>
    </row>
    <row r="33">
      <c r="A33" s="32" t="n"/>
      <c r="B33" s="33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3" t="n"/>
      <c r="N33" s="32" t="n"/>
    </row>
    <row r="34">
      <c r="A34" s="32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3" t="n"/>
      <c r="N34" s="32" t="n"/>
    </row>
    <row r="35">
      <c r="A35" s="32" t="n"/>
      <c r="B35" s="33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3" t="n"/>
      <c r="N35" s="32" t="n"/>
    </row>
    <row r="36">
      <c r="A36" s="32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3" t="n"/>
      <c r="N36" s="32" t="n"/>
    </row>
    <row r="37">
      <c r="A37" s="32" t="n"/>
      <c r="B37" s="33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3" t="n"/>
      <c r="N37" s="32" t="n"/>
    </row>
    <row r="38">
      <c r="A38" s="32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3" t="n"/>
      <c r="N38" s="32" t="n"/>
    </row>
    <row r="39">
      <c r="A39" s="32" t="n"/>
      <c r="B39" s="33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3" t="n"/>
      <c r="N39" s="32" t="n"/>
    </row>
    <row r="40">
      <c r="A40" s="32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3" t="n"/>
      <c r="N40" s="32" t="n"/>
    </row>
    <row r="41">
      <c r="A41" s="32" t="n"/>
      <c r="B41" s="33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3" t="n"/>
      <c r="N41" s="32" t="n"/>
    </row>
    <row r="42">
      <c r="A42" s="32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3" t="n"/>
      <c r="N42" s="32" t="n"/>
    </row>
    <row r="43">
      <c r="A43" s="32" t="n"/>
      <c r="B43" s="33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3" t="n"/>
      <c r="N43" s="32" t="n"/>
    </row>
    <row r="44">
      <c r="A44" s="32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3" t="n"/>
      <c r="N44" s="32" t="n"/>
    </row>
    <row r="45">
      <c r="A45" s="32" t="n"/>
      <c r="B45" s="33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3" t="n"/>
      <c r="N45" s="32" t="n"/>
    </row>
    <row r="46">
      <c r="A46" s="32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3" t="n"/>
      <c r="N46" s="32" t="n"/>
    </row>
    <row r="47">
      <c r="A47" s="32" t="n"/>
      <c r="B47" s="33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3" t="n"/>
      <c r="N47" s="32" t="n"/>
    </row>
    <row r="48">
      <c r="A48" s="32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3" t="n"/>
      <c r="N48" s="32" t="n"/>
    </row>
    <row r="49">
      <c r="A49" s="32" t="n"/>
      <c r="B49" s="33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3" t="n"/>
      <c r="N49" s="32" t="n"/>
    </row>
    <row r="50">
      <c r="A50" s="32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3" t="n"/>
      <c r="N50" s="32" t="n"/>
    </row>
    <row r="51">
      <c r="A51" s="32" t="n"/>
      <c r="B51" s="33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3" t="n"/>
      <c r="N51" s="32" t="n"/>
    </row>
    <row r="52">
      <c r="A52" s="32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3" t="n"/>
      <c r="N52" s="32" t="n"/>
    </row>
    <row r="53">
      <c r="A53" s="32" t="n"/>
      <c r="B53" s="33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3" t="n"/>
      <c r="N53" s="32" t="n"/>
    </row>
  </sheetData>
  <mergeCells count="1">
    <mergeCell ref="A1:N1"/>
  </mergeCells>
  <dataValidations count="2">
    <dataValidation sqref="F4:F53" showDropDown="0" showInputMessage="0" showErrorMessage="0" allowBlank="0" type="list">
      <formula1>"低,中,高,紧急"</formula1>
    </dataValidation>
    <dataValidation sqref="G4:G53" showDropDown="0" showInputMessage="0" showErrorMessage="0" allowBlank="0" type="list">
      <formula1>"评估中,待审批,已批准,已拒绝,已实施,已关闭"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9" defaultRowHeight="16.8"/>
  <cols>
    <col width="11" customWidth="1" min="1" max="1"/>
    <col width="13" customWidth="1" min="2" max="2"/>
    <col width="24" customWidth="1" min="3" max="3"/>
    <col width="34" customWidth="1" min="4" max="4"/>
    <col width="28" customWidth="1" min="6" max="6"/>
    <col width="14" customWidth="1" min="7" max="7"/>
    <col width="13" customWidth="1" min="8" max="8"/>
    <col width="12" customWidth="1" min="9" max="9"/>
    <col width="11" customWidth="1" min="10" max="10"/>
    <col width="22" customWidth="1" min="11" max="11"/>
    <col width="28" customWidth="1" min="12" max="12"/>
    <col width="13" customWidth="1" min="13" max="13"/>
  </cols>
  <sheetData>
    <row r="1" ht="28" customHeight="1">
      <c r="A1" s="34" t="inlineStr">
        <is>
          <t>待决策事项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</row>
    <row r="2" ht="22" customHeight="1">
      <c r="A2" s="35" t="inlineStr">
        <is>
          <t>记录超出项目团队权限、需要管理层或业务方明确取舍的事项。黄色单元格需要人工维护。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28" customHeight="1">
      <c r="A4" s="9" t="inlineStr">
        <is>
          <t>决策ID</t>
        </is>
      </c>
      <c r="B4" s="9" t="inlineStr">
        <is>
          <t>提出日期</t>
        </is>
      </c>
      <c r="C4" s="9" t="inlineStr">
        <is>
          <t>决策主题</t>
        </is>
      </c>
      <c r="D4" s="9" t="inlineStr">
        <is>
          <t>背景与现状</t>
        </is>
      </c>
      <c r="E4" s="9" t="inlineStr">
        <is>
          <t>可选方案</t>
        </is>
      </c>
      <c r="F4" s="9" t="inlineStr">
        <is>
          <t>建议方案</t>
        </is>
      </c>
      <c r="G4" s="9" t="inlineStr">
        <is>
          <t>决策人</t>
        </is>
      </c>
      <c r="H4" s="9" t="inlineStr">
        <is>
          <t>需要日期</t>
        </is>
      </c>
      <c r="I4" s="9" t="inlineStr">
        <is>
          <t>当前状态</t>
        </is>
      </c>
      <c r="J4" s="9" t="inlineStr">
        <is>
          <t>逾期天数</t>
        </is>
      </c>
      <c r="K4" s="9" t="inlineStr">
        <is>
          <t>影响范围</t>
        </is>
      </c>
      <c r="L4" s="9" t="inlineStr">
        <is>
          <t>决策结果</t>
        </is>
      </c>
      <c r="M4" s="9" t="inlineStr">
        <is>
          <t>关闭日期</t>
        </is>
      </c>
    </row>
    <row r="5">
      <c r="A5" s="10">
        <f>IF(C5="","","D-"&amp;TEXT(ROW()-4,"000"))</f>
        <v/>
      </c>
      <c r="B5" s="15" t="n"/>
      <c r="C5" s="14" t="n"/>
      <c r="D5" s="14" t="n"/>
      <c r="E5" s="14" t="n"/>
      <c r="F5" s="14" t="n"/>
      <c r="G5" s="14" t="n"/>
      <c r="H5" s="15" t="n"/>
      <c r="I5" s="14" t="n"/>
      <c r="J5" s="10">
        <f>IF(OR(H5="",I5="已决策"),0,MAX(0,项目驾驶舱!$B$3-H5))</f>
        <v/>
      </c>
      <c r="K5" s="14" t="n"/>
      <c r="L5" s="14" t="n"/>
      <c r="M5" s="15" t="n"/>
    </row>
    <row r="6">
      <c r="A6" s="10">
        <f>IF(C6="","","D-"&amp;TEXT(ROW()-4,"000"))</f>
        <v/>
      </c>
      <c r="B6" s="15" t="n"/>
      <c r="C6" s="14" t="n"/>
      <c r="D6" s="14" t="n"/>
      <c r="E6" s="14" t="n"/>
      <c r="F6" s="14" t="n"/>
      <c r="G6" s="14" t="n"/>
      <c r="H6" s="15" t="n"/>
      <c r="I6" s="14" t="n"/>
      <c r="J6" s="10">
        <f>IF(OR(H6="",I6="已决策"),0,MAX(0,项目驾驶舱!$B$3-H6))</f>
        <v/>
      </c>
      <c r="K6" s="14" t="n"/>
      <c r="L6" s="14" t="n"/>
      <c r="M6" s="15" t="n"/>
    </row>
    <row r="7">
      <c r="A7" s="10">
        <f>IF(C7="","","D-"&amp;TEXT(ROW()-4,"000"))</f>
        <v/>
      </c>
      <c r="B7" s="15" t="n"/>
      <c r="C7" s="14" t="n"/>
      <c r="D7" s="14" t="n"/>
      <c r="E7" s="14" t="n"/>
      <c r="F7" s="14" t="n"/>
      <c r="G7" s="14" t="n"/>
      <c r="H7" s="15" t="n"/>
      <c r="I7" s="14" t="n"/>
      <c r="J7" s="10">
        <f>IF(OR(H7="",I7="已决策"),0,MAX(0,项目驾驶舱!$B$3-H7))</f>
        <v/>
      </c>
      <c r="K7" s="14" t="n"/>
      <c r="L7" s="14" t="n"/>
      <c r="M7" s="15" t="n"/>
    </row>
    <row r="8">
      <c r="A8" s="10">
        <f>IF(C8="","","D-"&amp;TEXT(ROW()-4,"000"))</f>
        <v/>
      </c>
      <c r="B8" s="15" t="n"/>
      <c r="C8" s="14" t="n"/>
      <c r="D8" s="14" t="n"/>
      <c r="E8" s="14" t="n"/>
      <c r="F8" s="14" t="n"/>
      <c r="G8" s="14" t="n"/>
      <c r="H8" s="15" t="n"/>
      <c r="I8" s="14" t="n"/>
      <c r="J8" s="10">
        <f>IF(OR(H8="",I8="已决策"),0,MAX(0,项目驾驶舱!$B$3-H8))</f>
        <v/>
      </c>
      <c r="K8" s="14" t="n"/>
      <c r="L8" s="14" t="n"/>
      <c r="M8" s="15" t="n"/>
    </row>
    <row r="9">
      <c r="A9" s="10">
        <f>IF(C9="","","D-"&amp;TEXT(ROW()-4,"000"))</f>
        <v/>
      </c>
      <c r="B9" s="15" t="n"/>
      <c r="C9" s="14" t="n"/>
      <c r="D9" s="14" t="n"/>
      <c r="E9" s="14" t="n"/>
      <c r="F9" s="14" t="n"/>
      <c r="G9" s="14" t="n"/>
      <c r="H9" s="15" t="n"/>
      <c r="I9" s="14" t="n"/>
      <c r="J9" s="10">
        <f>IF(OR(H9="",I9="已决策"),0,MAX(0,项目驾驶舱!$B$3-H9))</f>
        <v/>
      </c>
      <c r="K9" s="14" t="n"/>
      <c r="L9" s="14" t="n"/>
      <c r="M9" s="15" t="n"/>
    </row>
    <row r="10">
      <c r="A10" s="10">
        <f>IF(C10="","","D-"&amp;TEXT(ROW()-4,"000"))</f>
        <v/>
      </c>
      <c r="B10" s="15" t="n"/>
      <c r="C10" s="14" t="n"/>
      <c r="D10" s="14" t="n"/>
      <c r="E10" s="14" t="n"/>
      <c r="F10" s="14" t="n"/>
      <c r="G10" s="14" t="n"/>
      <c r="H10" s="15" t="n"/>
      <c r="I10" s="14" t="n"/>
      <c r="J10" s="10">
        <f>IF(OR(H10="",I10="已决策"),0,MAX(0,项目驾驶舱!$B$3-H10))</f>
        <v/>
      </c>
      <c r="K10" s="14" t="n"/>
      <c r="L10" s="14" t="n"/>
      <c r="M10" s="15" t="n"/>
    </row>
    <row r="11">
      <c r="A11" s="10">
        <f>IF(C11="","","D-"&amp;TEXT(ROW()-4,"000"))</f>
        <v/>
      </c>
      <c r="B11" s="15" t="n"/>
      <c r="C11" s="14" t="n"/>
      <c r="D11" s="14" t="n"/>
      <c r="E11" s="14" t="n"/>
      <c r="F11" s="14" t="n"/>
      <c r="G11" s="14" t="n"/>
      <c r="H11" s="15" t="n"/>
      <c r="I11" s="14" t="n"/>
      <c r="J11" s="10">
        <f>IF(OR(H11="",I11="已决策"),0,MAX(0,项目驾驶舱!$B$3-H11))</f>
        <v/>
      </c>
      <c r="K11" s="14" t="n"/>
      <c r="L11" s="14" t="n"/>
      <c r="M11" s="15" t="n"/>
    </row>
    <row r="12">
      <c r="A12" s="10">
        <f>IF(C12="","","D-"&amp;TEXT(ROW()-4,"000"))</f>
        <v/>
      </c>
      <c r="B12" s="15" t="n"/>
      <c r="C12" s="14" t="n"/>
      <c r="D12" s="14" t="n"/>
      <c r="E12" s="14" t="n"/>
      <c r="F12" s="14" t="n"/>
      <c r="G12" s="14" t="n"/>
      <c r="H12" s="15" t="n"/>
      <c r="I12" s="14" t="n"/>
      <c r="J12" s="10">
        <f>IF(OR(H12="",I12="已决策"),0,MAX(0,项目驾驶舱!$B$3-H12))</f>
        <v/>
      </c>
      <c r="K12" s="14" t="n"/>
      <c r="L12" s="14" t="n"/>
      <c r="M12" s="15" t="n"/>
    </row>
    <row r="13">
      <c r="A13" s="10">
        <f>IF(C13="","","D-"&amp;TEXT(ROW()-4,"000"))</f>
        <v/>
      </c>
      <c r="B13" s="15" t="n"/>
      <c r="C13" s="14" t="n"/>
      <c r="D13" s="14" t="n"/>
      <c r="E13" s="14" t="n"/>
      <c r="F13" s="14" t="n"/>
      <c r="G13" s="14" t="n"/>
      <c r="H13" s="15" t="n"/>
      <c r="I13" s="14" t="n"/>
      <c r="J13" s="10">
        <f>IF(OR(H13="",I13="已决策"),0,MAX(0,项目驾驶舱!$B$3-H13))</f>
        <v/>
      </c>
      <c r="K13" s="14" t="n"/>
      <c r="L13" s="14" t="n"/>
      <c r="M13" s="15" t="n"/>
    </row>
    <row r="14">
      <c r="A14" s="10">
        <f>IF(C14="","","D-"&amp;TEXT(ROW()-4,"000"))</f>
        <v/>
      </c>
      <c r="B14" s="15" t="n"/>
      <c r="C14" s="14" t="n"/>
      <c r="D14" s="14" t="n"/>
      <c r="E14" s="14" t="n"/>
      <c r="F14" s="14" t="n"/>
      <c r="G14" s="14" t="n"/>
      <c r="H14" s="15" t="n"/>
      <c r="I14" s="14" t="n"/>
      <c r="J14" s="10">
        <f>IF(OR(H14="",I14="已决策"),0,MAX(0,项目驾驶舱!$B$3-H14))</f>
        <v/>
      </c>
      <c r="K14" s="14" t="n"/>
      <c r="L14" s="14" t="n"/>
      <c r="M14" s="15" t="n"/>
    </row>
    <row r="15">
      <c r="A15" s="10">
        <f>IF(C15="","","D-"&amp;TEXT(ROW()-4,"000"))</f>
        <v/>
      </c>
      <c r="B15" s="15" t="n"/>
      <c r="C15" s="14" t="n"/>
      <c r="D15" s="14" t="n"/>
      <c r="E15" s="14" t="n"/>
      <c r="F15" s="14" t="n"/>
      <c r="G15" s="14" t="n"/>
      <c r="H15" s="15" t="n"/>
      <c r="I15" s="14" t="n"/>
      <c r="J15" s="10">
        <f>IF(OR(H15="",I15="已决策"),0,MAX(0,项目驾驶舱!$B$3-H15))</f>
        <v/>
      </c>
      <c r="K15" s="14" t="n"/>
      <c r="L15" s="14" t="n"/>
      <c r="M15" s="15" t="n"/>
    </row>
    <row r="16">
      <c r="A16" s="10">
        <f>IF(C16="","","D-"&amp;TEXT(ROW()-4,"000"))</f>
        <v/>
      </c>
      <c r="B16" s="15" t="n"/>
      <c r="C16" s="14" t="n"/>
      <c r="D16" s="14" t="n"/>
      <c r="E16" s="14" t="n"/>
      <c r="F16" s="14" t="n"/>
      <c r="G16" s="14" t="n"/>
      <c r="H16" s="15" t="n"/>
      <c r="I16" s="14" t="n"/>
      <c r="J16" s="10">
        <f>IF(OR(H16="",I16="已决策"),0,MAX(0,项目驾驶舱!$B$3-H16))</f>
        <v/>
      </c>
      <c r="K16" s="14" t="n"/>
      <c r="L16" s="14" t="n"/>
      <c r="M16" s="15" t="n"/>
    </row>
    <row r="17">
      <c r="A17" s="10">
        <f>IF(C17="","","D-"&amp;TEXT(ROW()-4,"000"))</f>
        <v/>
      </c>
      <c r="B17" s="15" t="n"/>
      <c r="C17" s="14" t="n"/>
      <c r="D17" s="14" t="n"/>
      <c r="E17" s="14" t="n"/>
      <c r="F17" s="14" t="n"/>
      <c r="G17" s="14" t="n"/>
      <c r="H17" s="15" t="n"/>
      <c r="I17" s="14" t="n"/>
      <c r="J17" s="10">
        <f>IF(OR(H17="",I17="已决策"),0,MAX(0,项目驾驶舱!$B$3-H17))</f>
        <v/>
      </c>
      <c r="K17" s="14" t="n"/>
      <c r="L17" s="14" t="n"/>
      <c r="M17" s="15" t="n"/>
    </row>
    <row r="18">
      <c r="A18" s="10">
        <f>IF(C18="","","D-"&amp;TEXT(ROW()-4,"000"))</f>
        <v/>
      </c>
      <c r="B18" s="15" t="n"/>
      <c r="C18" s="14" t="n"/>
      <c r="D18" s="14" t="n"/>
      <c r="E18" s="14" t="n"/>
      <c r="F18" s="14" t="n"/>
      <c r="G18" s="14" t="n"/>
      <c r="H18" s="15" t="n"/>
      <c r="I18" s="14" t="n"/>
      <c r="J18" s="10">
        <f>IF(OR(H18="",I18="已决策"),0,MAX(0,项目驾驶舱!$B$3-H18))</f>
        <v/>
      </c>
      <c r="K18" s="14" t="n"/>
      <c r="L18" s="14" t="n"/>
      <c r="M18" s="15" t="n"/>
    </row>
    <row r="19">
      <c r="A19" s="10">
        <f>IF(C19="","","D-"&amp;TEXT(ROW()-4,"000"))</f>
        <v/>
      </c>
      <c r="B19" s="15" t="n"/>
      <c r="C19" s="14" t="n"/>
      <c r="D19" s="14" t="n"/>
      <c r="E19" s="14" t="n"/>
      <c r="F19" s="14" t="n"/>
      <c r="G19" s="14" t="n"/>
      <c r="H19" s="15" t="n"/>
      <c r="I19" s="14" t="n"/>
      <c r="J19" s="10">
        <f>IF(OR(H19="",I19="已决策"),0,MAX(0,项目驾驶舱!$B$3-H19))</f>
        <v/>
      </c>
      <c r="K19" s="14" t="n"/>
      <c r="L19" s="14" t="n"/>
      <c r="M19" s="15" t="n"/>
    </row>
    <row r="20">
      <c r="A20" s="10">
        <f>IF(C20="","","D-"&amp;TEXT(ROW()-4,"000"))</f>
        <v/>
      </c>
      <c r="B20" s="15" t="n"/>
      <c r="C20" s="14" t="n"/>
      <c r="D20" s="14" t="n"/>
      <c r="E20" s="14" t="n"/>
      <c r="F20" s="14" t="n"/>
      <c r="G20" s="14" t="n"/>
      <c r="H20" s="15" t="n"/>
      <c r="I20" s="14" t="n"/>
      <c r="J20" s="10">
        <f>IF(OR(H20="",I20="已决策"),0,MAX(0,项目驾驶舱!$B$3-H20))</f>
        <v/>
      </c>
      <c r="K20" s="14" t="n"/>
      <c r="L20" s="14" t="n"/>
      <c r="M20" s="15" t="n"/>
    </row>
    <row r="21">
      <c r="A21" s="10">
        <f>IF(C21="","","D-"&amp;TEXT(ROW()-4,"000"))</f>
        <v/>
      </c>
      <c r="B21" s="15" t="n"/>
      <c r="C21" s="14" t="n"/>
      <c r="D21" s="14" t="n"/>
      <c r="E21" s="14" t="n"/>
      <c r="F21" s="14" t="n"/>
      <c r="G21" s="14" t="n"/>
      <c r="H21" s="15" t="n"/>
      <c r="I21" s="14" t="n"/>
      <c r="J21" s="10">
        <f>IF(OR(H21="",I21="已决策"),0,MAX(0,项目驾驶舱!$B$3-H21))</f>
        <v/>
      </c>
      <c r="K21" s="14" t="n"/>
      <c r="L21" s="14" t="n"/>
      <c r="M21" s="15" t="n"/>
    </row>
    <row r="22">
      <c r="A22" s="10">
        <f>IF(C22="","","D-"&amp;TEXT(ROW()-4,"000"))</f>
        <v/>
      </c>
      <c r="B22" s="15" t="n"/>
      <c r="C22" s="14" t="n"/>
      <c r="D22" s="14" t="n"/>
      <c r="E22" s="14" t="n"/>
      <c r="F22" s="14" t="n"/>
      <c r="G22" s="14" t="n"/>
      <c r="H22" s="15" t="n"/>
      <c r="I22" s="14" t="n"/>
      <c r="J22" s="10">
        <f>IF(OR(H22="",I22="已决策"),0,MAX(0,项目驾驶舱!$B$3-H22))</f>
        <v/>
      </c>
      <c r="K22" s="14" t="n"/>
      <c r="L22" s="14" t="n"/>
      <c r="M22" s="15" t="n"/>
    </row>
    <row r="23">
      <c r="A23" s="10">
        <f>IF(C23="","","D-"&amp;TEXT(ROW()-4,"000"))</f>
        <v/>
      </c>
      <c r="B23" s="15" t="n"/>
      <c r="C23" s="14" t="n"/>
      <c r="D23" s="14" t="n"/>
      <c r="E23" s="14" t="n"/>
      <c r="F23" s="14" t="n"/>
      <c r="G23" s="14" t="n"/>
      <c r="H23" s="15" t="n"/>
      <c r="I23" s="14" t="n"/>
      <c r="J23" s="10">
        <f>IF(OR(H23="",I23="已决策"),0,MAX(0,项目驾驶舱!$B$3-H23))</f>
        <v/>
      </c>
      <c r="K23" s="14" t="n"/>
      <c r="L23" s="14" t="n"/>
      <c r="M23" s="15" t="n"/>
    </row>
    <row r="24">
      <c r="A24" s="10">
        <f>IF(C24="","","D-"&amp;TEXT(ROW()-4,"000"))</f>
        <v/>
      </c>
      <c r="B24" s="15" t="n"/>
      <c r="C24" s="14" t="n"/>
      <c r="D24" s="14" t="n"/>
      <c r="E24" s="14" t="n"/>
      <c r="F24" s="14" t="n"/>
      <c r="G24" s="14" t="n"/>
      <c r="H24" s="15" t="n"/>
      <c r="I24" s="14" t="n"/>
      <c r="J24" s="10">
        <f>IF(OR(H24="",I24="已决策"),0,MAX(0,项目驾驶舱!$B$3-H24))</f>
        <v/>
      </c>
      <c r="K24" s="14" t="n"/>
      <c r="L24" s="14" t="n"/>
      <c r="M24" s="15" t="n"/>
    </row>
    <row r="25">
      <c r="A25" s="10">
        <f>IF(C25="","","D-"&amp;TEXT(ROW()-4,"000"))</f>
        <v/>
      </c>
      <c r="B25" s="15" t="n"/>
      <c r="C25" s="14" t="n"/>
      <c r="D25" s="14" t="n"/>
      <c r="E25" s="14" t="n"/>
      <c r="F25" s="14" t="n"/>
      <c r="G25" s="14" t="n"/>
      <c r="H25" s="15" t="n"/>
      <c r="I25" s="14" t="n"/>
      <c r="J25" s="10">
        <f>IF(OR(H25="",I25="已决策"),0,MAX(0,项目驾驶舱!$B$3-H25))</f>
        <v/>
      </c>
      <c r="K25" s="14" t="n"/>
      <c r="L25" s="14" t="n"/>
      <c r="M25" s="15" t="n"/>
    </row>
    <row r="26">
      <c r="A26" s="10">
        <f>IF(C26="","","D-"&amp;TEXT(ROW()-4,"000"))</f>
        <v/>
      </c>
      <c r="B26" s="15" t="n"/>
      <c r="C26" s="14" t="n"/>
      <c r="D26" s="14" t="n"/>
      <c r="E26" s="14" t="n"/>
      <c r="F26" s="14" t="n"/>
      <c r="G26" s="14" t="n"/>
      <c r="H26" s="15" t="n"/>
      <c r="I26" s="14" t="n"/>
      <c r="J26" s="10">
        <f>IF(OR(H26="",I26="已决策"),0,MAX(0,项目驾驶舱!$B$3-H26))</f>
        <v/>
      </c>
      <c r="K26" s="14" t="n"/>
      <c r="L26" s="14" t="n"/>
      <c r="M26" s="15" t="n"/>
    </row>
    <row r="27">
      <c r="A27" s="10">
        <f>IF(C27="","","D-"&amp;TEXT(ROW()-4,"000"))</f>
        <v/>
      </c>
      <c r="B27" s="15" t="n"/>
      <c r="C27" s="14" t="n"/>
      <c r="D27" s="14" t="n"/>
      <c r="E27" s="14" t="n"/>
      <c r="F27" s="14" t="n"/>
      <c r="G27" s="14" t="n"/>
      <c r="H27" s="15" t="n"/>
      <c r="I27" s="14" t="n"/>
      <c r="J27" s="10">
        <f>IF(OR(H27="",I27="已决策"),0,MAX(0,项目驾驶舱!$B$3-H27))</f>
        <v/>
      </c>
      <c r="K27" s="14" t="n"/>
      <c r="L27" s="14" t="n"/>
      <c r="M27" s="15" t="n"/>
    </row>
    <row r="28">
      <c r="A28" s="10">
        <f>IF(C28="","","D-"&amp;TEXT(ROW()-4,"000"))</f>
        <v/>
      </c>
      <c r="B28" s="15" t="n"/>
      <c r="C28" s="14" t="n"/>
      <c r="D28" s="14" t="n"/>
      <c r="E28" s="14" t="n"/>
      <c r="F28" s="14" t="n"/>
      <c r="G28" s="14" t="n"/>
      <c r="H28" s="15" t="n"/>
      <c r="I28" s="14" t="n"/>
      <c r="J28" s="10">
        <f>IF(OR(H28="",I28="已决策"),0,MAX(0,项目驾驶舱!$B$3-H28))</f>
        <v/>
      </c>
      <c r="K28" s="14" t="n"/>
      <c r="L28" s="14" t="n"/>
      <c r="M28" s="15" t="n"/>
    </row>
    <row r="29">
      <c r="A29" s="10">
        <f>IF(C29="","","D-"&amp;TEXT(ROW()-4,"000"))</f>
        <v/>
      </c>
      <c r="B29" s="15" t="n"/>
      <c r="C29" s="14" t="n"/>
      <c r="D29" s="14" t="n"/>
      <c r="E29" s="14" t="n"/>
      <c r="F29" s="14" t="n"/>
      <c r="G29" s="14" t="n"/>
      <c r="H29" s="15" t="n"/>
      <c r="I29" s="14" t="n"/>
      <c r="J29" s="10">
        <f>IF(OR(H29="",I29="已决策"),0,MAX(0,项目驾驶舱!$B$3-H29))</f>
        <v/>
      </c>
      <c r="K29" s="14" t="n"/>
      <c r="L29" s="14" t="n"/>
      <c r="M29" s="15" t="n"/>
    </row>
    <row r="30">
      <c r="A30" s="10">
        <f>IF(C30="","","D-"&amp;TEXT(ROW()-4,"000"))</f>
        <v/>
      </c>
      <c r="B30" s="15" t="n"/>
      <c r="C30" s="14" t="n"/>
      <c r="D30" s="14" t="n"/>
      <c r="E30" s="14" t="n"/>
      <c r="F30" s="14" t="n"/>
      <c r="G30" s="14" t="n"/>
      <c r="H30" s="15" t="n"/>
      <c r="I30" s="14" t="n"/>
      <c r="J30" s="10">
        <f>IF(OR(H30="",I30="已决策"),0,MAX(0,项目驾驶舱!$B$3-H30))</f>
        <v/>
      </c>
      <c r="K30" s="14" t="n"/>
      <c r="L30" s="14" t="n"/>
      <c r="M30" s="15" t="n"/>
    </row>
    <row r="31">
      <c r="A31" s="10">
        <f>IF(C31="","","D-"&amp;TEXT(ROW()-4,"000"))</f>
        <v/>
      </c>
      <c r="B31" s="15" t="n"/>
      <c r="C31" s="14" t="n"/>
      <c r="D31" s="14" t="n"/>
      <c r="E31" s="14" t="n"/>
      <c r="F31" s="14" t="n"/>
      <c r="G31" s="14" t="n"/>
      <c r="H31" s="15" t="n"/>
      <c r="I31" s="14" t="n"/>
      <c r="J31" s="10">
        <f>IF(OR(H31="",I31="已决策"),0,MAX(0,项目驾驶舱!$B$3-H31))</f>
        <v/>
      </c>
      <c r="K31" s="14" t="n"/>
      <c r="L31" s="14" t="n"/>
      <c r="M31" s="15" t="n"/>
    </row>
    <row r="32">
      <c r="A32" s="10">
        <f>IF(C32="","","D-"&amp;TEXT(ROW()-4,"000"))</f>
        <v/>
      </c>
      <c r="B32" s="15" t="n"/>
      <c r="C32" s="14" t="n"/>
      <c r="D32" s="14" t="n"/>
      <c r="E32" s="14" t="n"/>
      <c r="F32" s="14" t="n"/>
      <c r="G32" s="14" t="n"/>
      <c r="H32" s="15" t="n"/>
      <c r="I32" s="14" t="n"/>
      <c r="J32" s="10">
        <f>IF(OR(H32="",I32="已决策"),0,MAX(0,项目驾驶舱!$B$3-H32))</f>
        <v/>
      </c>
      <c r="K32" s="14" t="n"/>
      <c r="L32" s="14" t="n"/>
      <c r="M32" s="15" t="n"/>
    </row>
    <row r="33">
      <c r="A33" s="10">
        <f>IF(C33="","","D-"&amp;TEXT(ROW()-4,"000"))</f>
        <v/>
      </c>
      <c r="B33" s="15" t="n"/>
      <c r="C33" s="14" t="n"/>
      <c r="D33" s="14" t="n"/>
      <c r="E33" s="14" t="n"/>
      <c r="F33" s="14" t="n"/>
      <c r="G33" s="14" t="n"/>
      <c r="H33" s="15" t="n"/>
      <c r="I33" s="14" t="n"/>
      <c r="J33" s="10">
        <f>IF(OR(H33="",I33="已决策"),0,MAX(0,项目驾驶舱!$B$3-H33))</f>
        <v/>
      </c>
      <c r="K33" s="14" t="n"/>
      <c r="L33" s="14" t="n"/>
      <c r="M33" s="15" t="n"/>
    </row>
    <row r="34">
      <c r="A34" s="10">
        <f>IF(C34="","","D-"&amp;TEXT(ROW()-4,"000"))</f>
        <v/>
      </c>
      <c r="B34" s="15" t="n"/>
      <c r="C34" s="14" t="n"/>
      <c r="D34" s="14" t="n"/>
      <c r="E34" s="14" t="n"/>
      <c r="F34" s="14" t="n"/>
      <c r="G34" s="14" t="n"/>
      <c r="H34" s="15" t="n"/>
      <c r="I34" s="14" t="n"/>
      <c r="J34" s="10">
        <f>IF(OR(H34="",I34="已决策"),0,MAX(0,项目驾驶舱!$B$3-H34))</f>
        <v/>
      </c>
      <c r="K34" s="14" t="n"/>
      <c r="L34" s="14" t="n"/>
      <c r="M34" s="15" t="n"/>
    </row>
    <row r="35">
      <c r="A35" s="10">
        <f>IF(C35="","","D-"&amp;TEXT(ROW()-4,"000"))</f>
        <v/>
      </c>
      <c r="B35" s="15" t="n"/>
      <c r="C35" s="14" t="n"/>
      <c r="D35" s="14" t="n"/>
      <c r="E35" s="14" t="n"/>
      <c r="F35" s="14" t="n"/>
      <c r="G35" s="14" t="n"/>
      <c r="H35" s="15" t="n"/>
      <c r="I35" s="14" t="n"/>
      <c r="J35" s="10">
        <f>IF(OR(H35="",I35="已决策"),0,MAX(0,项目驾驶舱!$B$3-H35))</f>
        <v/>
      </c>
      <c r="K35" s="14" t="n"/>
      <c r="L35" s="14" t="n"/>
      <c r="M35" s="15" t="n"/>
    </row>
    <row r="36">
      <c r="A36" s="10">
        <f>IF(C36="","","D-"&amp;TEXT(ROW()-4,"000"))</f>
        <v/>
      </c>
      <c r="B36" s="15" t="n"/>
      <c r="C36" s="14" t="n"/>
      <c r="D36" s="14" t="n"/>
      <c r="E36" s="14" t="n"/>
      <c r="F36" s="14" t="n"/>
      <c r="G36" s="14" t="n"/>
      <c r="H36" s="15" t="n"/>
      <c r="I36" s="14" t="n"/>
      <c r="J36" s="10">
        <f>IF(OR(H36="",I36="已决策"),0,MAX(0,项目驾驶舱!$B$3-H36))</f>
        <v/>
      </c>
      <c r="K36" s="14" t="n"/>
      <c r="L36" s="14" t="n"/>
      <c r="M36" s="15" t="n"/>
    </row>
    <row r="37">
      <c r="A37" s="10">
        <f>IF(C37="","","D-"&amp;TEXT(ROW()-4,"000"))</f>
        <v/>
      </c>
      <c r="B37" s="15" t="n"/>
      <c r="C37" s="14" t="n"/>
      <c r="D37" s="14" t="n"/>
      <c r="E37" s="14" t="n"/>
      <c r="F37" s="14" t="n"/>
      <c r="G37" s="14" t="n"/>
      <c r="H37" s="15" t="n"/>
      <c r="I37" s="14" t="n"/>
      <c r="J37" s="10">
        <f>IF(OR(H37="",I37="已决策"),0,MAX(0,项目驾驶舱!$B$3-H37))</f>
        <v/>
      </c>
      <c r="K37" s="14" t="n"/>
      <c r="L37" s="14" t="n"/>
      <c r="M37" s="15" t="n"/>
    </row>
    <row r="38">
      <c r="A38" s="10">
        <f>IF(C38="","","D-"&amp;TEXT(ROW()-4,"000"))</f>
        <v/>
      </c>
      <c r="B38" s="15" t="n"/>
      <c r="C38" s="14" t="n"/>
      <c r="D38" s="14" t="n"/>
      <c r="E38" s="14" t="n"/>
      <c r="F38" s="14" t="n"/>
      <c r="G38" s="14" t="n"/>
      <c r="H38" s="15" t="n"/>
      <c r="I38" s="14" t="n"/>
      <c r="J38" s="10">
        <f>IF(OR(H38="",I38="已决策"),0,MAX(0,项目驾驶舱!$B$3-H38))</f>
        <v/>
      </c>
      <c r="K38" s="14" t="n"/>
      <c r="L38" s="14" t="n"/>
      <c r="M38" s="15" t="n"/>
    </row>
    <row r="39">
      <c r="A39" s="10">
        <f>IF(C39="","","D-"&amp;TEXT(ROW()-4,"000"))</f>
        <v/>
      </c>
      <c r="B39" s="15" t="n"/>
      <c r="C39" s="14" t="n"/>
      <c r="D39" s="14" t="n"/>
      <c r="E39" s="14" t="n"/>
      <c r="F39" s="14" t="n"/>
      <c r="G39" s="14" t="n"/>
      <c r="H39" s="15" t="n"/>
      <c r="I39" s="14" t="n"/>
      <c r="J39" s="10">
        <f>IF(OR(H39="",I39="已决策"),0,MAX(0,项目驾驶舱!$B$3-H39))</f>
        <v/>
      </c>
      <c r="K39" s="14" t="n"/>
      <c r="L39" s="14" t="n"/>
      <c r="M39" s="15" t="n"/>
    </row>
    <row r="40">
      <c r="A40" s="10">
        <f>IF(C40="","","D-"&amp;TEXT(ROW()-4,"000"))</f>
        <v/>
      </c>
      <c r="B40" s="15" t="n"/>
      <c r="C40" s="14" t="n"/>
      <c r="D40" s="14" t="n"/>
      <c r="E40" s="14" t="n"/>
      <c r="F40" s="14" t="n"/>
      <c r="G40" s="14" t="n"/>
      <c r="H40" s="15" t="n"/>
      <c r="I40" s="14" t="n"/>
      <c r="J40" s="10">
        <f>IF(OR(H40="",I40="已决策"),0,MAX(0,项目驾驶舱!$B$3-H40))</f>
        <v/>
      </c>
      <c r="K40" s="14" t="n"/>
      <c r="L40" s="14" t="n"/>
      <c r="M40" s="15" t="n"/>
    </row>
    <row r="41">
      <c r="A41" s="10">
        <f>IF(C41="","","D-"&amp;TEXT(ROW()-4,"000"))</f>
        <v/>
      </c>
      <c r="B41" s="15" t="n"/>
      <c r="C41" s="14" t="n"/>
      <c r="D41" s="14" t="n"/>
      <c r="E41" s="14" t="n"/>
      <c r="F41" s="14" t="n"/>
      <c r="G41" s="14" t="n"/>
      <c r="H41" s="15" t="n"/>
      <c r="I41" s="14" t="n"/>
      <c r="J41" s="10">
        <f>IF(OR(H41="",I41="已决策"),0,MAX(0,项目驾驶舱!$B$3-H41))</f>
        <v/>
      </c>
      <c r="K41" s="14" t="n"/>
      <c r="L41" s="14" t="n"/>
      <c r="M41" s="15" t="n"/>
    </row>
    <row r="42">
      <c r="A42" s="10">
        <f>IF(C42="","","D-"&amp;TEXT(ROW()-4,"000"))</f>
        <v/>
      </c>
      <c r="B42" s="15" t="n"/>
      <c r="C42" s="14" t="n"/>
      <c r="D42" s="14" t="n"/>
      <c r="E42" s="14" t="n"/>
      <c r="F42" s="14" t="n"/>
      <c r="G42" s="14" t="n"/>
      <c r="H42" s="15" t="n"/>
      <c r="I42" s="14" t="n"/>
      <c r="J42" s="10">
        <f>IF(OR(H42="",I42="已决策"),0,MAX(0,项目驾驶舱!$B$3-H42))</f>
        <v/>
      </c>
      <c r="K42" s="14" t="n"/>
      <c r="L42" s="14" t="n"/>
      <c r="M42" s="15" t="n"/>
    </row>
    <row r="43">
      <c r="A43" s="10">
        <f>IF(C43="","","D-"&amp;TEXT(ROW()-4,"000"))</f>
        <v/>
      </c>
      <c r="B43" s="15" t="n"/>
      <c r="C43" s="14" t="n"/>
      <c r="D43" s="14" t="n"/>
      <c r="E43" s="14" t="n"/>
      <c r="F43" s="14" t="n"/>
      <c r="G43" s="14" t="n"/>
      <c r="H43" s="15" t="n"/>
      <c r="I43" s="14" t="n"/>
      <c r="J43" s="10">
        <f>IF(OR(H43="",I43="已决策"),0,MAX(0,项目驾驶舱!$B$3-H43))</f>
        <v/>
      </c>
      <c r="K43" s="14" t="n"/>
      <c r="L43" s="14" t="n"/>
      <c r="M43" s="15" t="n"/>
    </row>
    <row r="44">
      <c r="A44" s="10">
        <f>IF(C44="","","D-"&amp;TEXT(ROW()-4,"000"))</f>
        <v/>
      </c>
      <c r="B44" s="15" t="n"/>
      <c r="C44" s="14" t="n"/>
      <c r="D44" s="14" t="n"/>
      <c r="E44" s="14" t="n"/>
      <c r="F44" s="14" t="n"/>
      <c r="G44" s="14" t="n"/>
      <c r="H44" s="15" t="n"/>
      <c r="I44" s="14" t="n"/>
      <c r="J44" s="10">
        <f>IF(OR(H44="",I44="已决策"),0,MAX(0,项目驾驶舱!$B$3-H44))</f>
        <v/>
      </c>
      <c r="K44" s="14" t="n"/>
      <c r="L44" s="14" t="n"/>
      <c r="M44" s="15" t="n"/>
    </row>
    <row r="45">
      <c r="A45" s="10">
        <f>IF(C45="","","D-"&amp;TEXT(ROW()-4,"000"))</f>
        <v/>
      </c>
      <c r="B45" s="15" t="n"/>
      <c r="C45" s="14" t="n"/>
      <c r="D45" s="14" t="n"/>
      <c r="E45" s="14" t="n"/>
      <c r="F45" s="14" t="n"/>
      <c r="G45" s="14" t="n"/>
      <c r="H45" s="15" t="n"/>
      <c r="I45" s="14" t="n"/>
      <c r="J45" s="10">
        <f>IF(OR(H45="",I45="已决策"),0,MAX(0,项目驾驶舱!$B$3-H45))</f>
        <v/>
      </c>
      <c r="K45" s="14" t="n"/>
      <c r="L45" s="14" t="n"/>
      <c r="M45" s="15" t="n"/>
    </row>
    <row r="46">
      <c r="A46" s="10">
        <f>IF(C46="","","D-"&amp;TEXT(ROW()-4,"000"))</f>
        <v/>
      </c>
      <c r="B46" s="15" t="n"/>
      <c r="C46" s="14" t="n"/>
      <c r="D46" s="14" t="n"/>
      <c r="E46" s="14" t="n"/>
      <c r="F46" s="14" t="n"/>
      <c r="G46" s="14" t="n"/>
      <c r="H46" s="15" t="n"/>
      <c r="I46" s="14" t="n"/>
      <c r="J46" s="10">
        <f>IF(OR(H46="",I46="已决策"),0,MAX(0,项目驾驶舱!$B$3-H46))</f>
        <v/>
      </c>
      <c r="K46" s="14" t="n"/>
      <c r="L46" s="14" t="n"/>
      <c r="M46" s="15" t="n"/>
    </row>
    <row r="47">
      <c r="A47" s="10">
        <f>IF(C47="","","D-"&amp;TEXT(ROW()-4,"000"))</f>
        <v/>
      </c>
      <c r="B47" s="15" t="n"/>
      <c r="C47" s="14" t="n"/>
      <c r="D47" s="14" t="n"/>
      <c r="E47" s="14" t="n"/>
      <c r="F47" s="14" t="n"/>
      <c r="G47" s="14" t="n"/>
      <c r="H47" s="15" t="n"/>
      <c r="I47" s="14" t="n"/>
      <c r="J47" s="10">
        <f>IF(OR(H47="",I47="已决策"),0,MAX(0,项目驾驶舱!$B$3-H47))</f>
        <v/>
      </c>
      <c r="K47" s="14" t="n"/>
      <c r="L47" s="14" t="n"/>
      <c r="M47" s="15" t="n"/>
    </row>
    <row r="48">
      <c r="A48" s="10">
        <f>IF(C48="","","D-"&amp;TEXT(ROW()-4,"000"))</f>
        <v/>
      </c>
      <c r="B48" s="15" t="n"/>
      <c r="C48" s="14" t="n"/>
      <c r="D48" s="14" t="n"/>
      <c r="E48" s="14" t="n"/>
      <c r="F48" s="14" t="n"/>
      <c r="G48" s="14" t="n"/>
      <c r="H48" s="15" t="n"/>
      <c r="I48" s="14" t="n"/>
      <c r="J48" s="10">
        <f>IF(OR(H48="",I48="已决策"),0,MAX(0,项目驾驶舱!$B$3-H48))</f>
        <v/>
      </c>
      <c r="K48" s="14" t="n"/>
      <c r="L48" s="14" t="n"/>
      <c r="M48" s="15" t="n"/>
    </row>
    <row r="49">
      <c r="A49" s="10">
        <f>IF(C49="","","D-"&amp;TEXT(ROW()-4,"000"))</f>
        <v/>
      </c>
      <c r="B49" s="15" t="n"/>
      <c r="C49" s="14" t="n"/>
      <c r="D49" s="14" t="n"/>
      <c r="E49" s="14" t="n"/>
      <c r="F49" s="14" t="n"/>
      <c r="G49" s="14" t="n"/>
      <c r="H49" s="15" t="n"/>
      <c r="I49" s="14" t="n"/>
      <c r="J49" s="10">
        <f>IF(OR(H49="",I49="已决策"),0,MAX(0,项目驾驶舱!$B$3-H49))</f>
        <v/>
      </c>
      <c r="K49" s="14" t="n"/>
      <c r="L49" s="14" t="n"/>
      <c r="M49" s="15" t="n"/>
    </row>
    <row r="50">
      <c r="A50" s="10">
        <f>IF(C50="","","D-"&amp;TEXT(ROW()-4,"000"))</f>
        <v/>
      </c>
      <c r="B50" s="15" t="n"/>
      <c r="C50" s="14" t="n"/>
      <c r="D50" s="14" t="n"/>
      <c r="E50" s="14" t="n"/>
      <c r="F50" s="14" t="n"/>
      <c r="G50" s="14" t="n"/>
      <c r="H50" s="15" t="n"/>
      <c r="I50" s="14" t="n"/>
      <c r="J50" s="10">
        <f>IF(OR(H50="",I50="已决策"),0,MAX(0,项目驾驶舱!$B$3-H50))</f>
        <v/>
      </c>
      <c r="K50" s="14" t="n"/>
      <c r="L50" s="14" t="n"/>
      <c r="M50" s="15" t="n"/>
    </row>
    <row r="51">
      <c r="A51" s="10">
        <f>IF(C51="","","D-"&amp;TEXT(ROW()-4,"000"))</f>
        <v/>
      </c>
      <c r="B51" s="15" t="n"/>
      <c r="C51" s="14" t="n"/>
      <c r="D51" s="14" t="n"/>
      <c r="E51" s="14" t="n"/>
      <c r="F51" s="14" t="n"/>
      <c r="G51" s="14" t="n"/>
      <c r="H51" s="15" t="n"/>
      <c r="I51" s="14" t="n"/>
      <c r="J51" s="10">
        <f>IF(OR(H51="",I51="已决策"),0,MAX(0,项目驾驶舱!$B$3-H51))</f>
        <v/>
      </c>
      <c r="K51" s="14" t="n"/>
      <c r="L51" s="14" t="n"/>
      <c r="M51" s="15" t="n"/>
    </row>
    <row r="52">
      <c r="A52" s="10">
        <f>IF(C52="","","D-"&amp;TEXT(ROW()-4,"000"))</f>
        <v/>
      </c>
      <c r="B52" s="15" t="n"/>
      <c r="C52" s="14" t="n"/>
      <c r="D52" s="14" t="n"/>
      <c r="E52" s="14" t="n"/>
      <c r="F52" s="14" t="n"/>
      <c r="G52" s="14" t="n"/>
      <c r="H52" s="15" t="n"/>
      <c r="I52" s="14" t="n"/>
      <c r="J52" s="10">
        <f>IF(OR(H52="",I52="已决策"),0,MAX(0,项目驾驶舱!$B$3-H52))</f>
        <v/>
      </c>
      <c r="K52" s="14" t="n"/>
      <c r="L52" s="14" t="n"/>
      <c r="M52" s="15" t="n"/>
    </row>
    <row r="53">
      <c r="A53" s="10">
        <f>IF(C53="","","D-"&amp;TEXT(ROW()-4,"000"))</f>
        <v/>
      </c>
      <c r="B53" s="15" t="n"/>
      <c r="C53" s="14" t="n"/>
      <c r="D53" s="14" t="n"/>
      <c r="E53" s="14" t="n"/>
      <c r="F53" s="14" t="n"/>
      <c r="G53" s="14" t="n"/>
      <c r="H53" s="15" t="n"/>
      <c r="I53" s="14" t="n"/>
      <c r="J53" s="10">
        <f>IF(OR(H53="",I53="已决策"),0,MAX(0,项目驾驶舱!$B$3-H53))</f>
        <v/>
      </c>
      <c r="K53" s="14" t="n"/>
      <c r="L53" s="14" t="n"/>
      <c r="M53" s="15" t="n"/>
    </row>
    <row r="54">
      <c r="A54" s="10">
        <f>IF(C54="","","D-"&amp;TEXT(ROW()-4,"000"))</f>
        <v/>
      </c>
      <c r="B54" s="15" t="n"/>
      <c r="C54" s="14" t="n"/>
      <c r="D54" s="14" t="n"/>
      <c r="E54" s="14" t="n"/>
      <c r="F54" s="14" t="n"/>
      <c r="G54" s="14" t="n"/>
      <c r="H54" s="15" t="n"/>
      <c r="I54" s="14" t="n"/>
      <c r="J54" s="10">
        <f>IF(OR(H54="",I54="已决策"),0,MAX(0,项目驾驶舱!$B$3-H54))</f>
        <v/>
      </c>
      <c r="K54" s="14" t="n"/>
      <c r="L54" s="14" t="n"/>
      <c r="M54" s="15" t="n"/>
    </row>
  </sheetData>
  <autoFilter ref="A4:M54"/>
  <mergeCells count="2">
    <mergeCell ref="A2:M2"/>
    <mergeCell ref="A1:M1"/>
  </mergeCells>
  <dataValidations count="1">
    <dataValidation sqref="I5:I54" showDropDown="0" showInputMessage="0" showErrorMessage="0" allowBlank="1" type="list">
      <formula1>"待提出,待决策,已决策,已关闭"</formula1>
    </dataValidation>
  </dataValidations>
  <pageMargins left="0.75" right="0.75" top="1" bottom="1" header="0.5" footer="0.5"/>
  <pageSetup orientation="landscape" paperSize="1" fitToHeight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05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2026-09-16T00:44:22Z</dcterms:created>
  <dcterms:modified xmlns:dcterms="http://purl.org/dc/terms/" xmlns:xsi="http://www.w3.org/2001/XMLSchema-instance" xsi:type="dcterms:W3CDTF">2026-09-16T00:44:23Z</dcterms:modified>
</cp:coreProperties>
</file>
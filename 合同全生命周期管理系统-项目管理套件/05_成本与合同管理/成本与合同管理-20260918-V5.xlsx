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 activeTab="3"/>
  </bookViews>
  <sheets>
    <sheet name="使用说明" sheetId="11" r:id="rId1"/>
    <sheet name="成本总览" sheetId="1" r:id="rId2"/>
    <sheet name="预算基线" sheetId="2" r:id="rId3"/>
    <sheet name="人工成本预算" sheetId="3" r:id="rId4"/>
    <sheet name="月度投入明细" sheetId="4" r:id="rId5"/>
    <sheet name="成本偏差分析" sheetId="9" r:id="rId6"/>
    <sheet name="采购包计划" sheetId="5" r:id="rId7"/>
    <sheet name="合同台账" sheetId="6" r:id="rId8"/>
    <sheet name="付款里程碑" sheetId="7" r:id="rId9"/>
    <sheet name="成本变更台账" sheetId="8" r:id="rId10"/>
    <sheet name="_数据接口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<sst xmlns="http://schemas.openxmlformats.org/spreadsheetml/2006/main" count="496" uniqueCount="320">
  <si>
    <t>成本与合同管理-20260918-V5 使用说明</t>
  </si>
  <si>
    <t>管理预算基线、人工成本、采购包、合同、付款和成本偏差。</t>
  </si>
  <si>
    <t>项目</t>
  </si>
  <si>
    <t>能源行业合同全生命周期管理系统</t>
  </si>
  <si>
    <t>适用对象</t>
  </si>
  <si>
    <t>项目经理、采购负责人、财务负责人、合同管理员</t>
  </si>
  <si>
    <t>更新频率</t>
  </si>
  <si>
    <t>成本实际发生或合同付款状态变化时更新；每月复核偏差。</t>
  </si>
  <si>
    <t>版本日期</t>
  </si>
  <si>
    <t>2026-09-17</t>
  </si>
  <si>
    <t>颜色约定</t>
  </si>
  <si>
    <t>浅蓝表头；黄色为人工输入区；白色/灰色通常为公式、说明或系统数据。</t>
  </si>
  <si>
    <t>推荐使用流程</t>
  </si>
  <si>
    <t>维护各角色人日单价；计划人天由《月度投入明细》（角色×月份，人工维护）合计自动生成，平均人日单价由总人工成本÷总人天自动计算</t>
  </si>
  <si>
    <t>维护采购包及合同台账</t>
  </si>
  <si>
    <t>登记付款里程碑和证据</t>
  </si>
  <si>
    <t>记录成本变更并履行审批</t>
  </si>
  <si>
    <t>复核成本偏差和预测完工成本</t>
  </si>
  <si>
    <t>工作表导航</t>
  </si>
  <si>
    <t>顺序</t>
  </si>
  <si>
    <t>工作表</t>
  </si>
  <si>
    <t>用途</t>
  </si>
  <si>
    <t>成本总览</t>
  </si>
  <si>
    <t>查看预算、合同和偏差关键指标。</t>
  </si>
  <si>
    <t>预算基线</t>
  </si>
  <si>
    <t>维护批准预算结构。</t>
  </si>
  <si>
    <t>按角色维护单价与人数；计划人天唯一来源为《月度投入明细》（角色×月份人工维护，计划合计列），总览及月度汇总统一引用自动平均人日单价</t>
  </si>
  <si>
    <t>按角色和投入估算人工成本。</t>
  </si>
  <si>
    <t>月度投入明细</t>
  </si>
  <si>
    <t>角色×月份计划/实际投入人天的唯一录入来源（项目团队按月维护，已含2027-08）；人工成本预算 D 列引用本表计划合计列，预算人天列自动核对；差异列为计划-实际进度偏差，完成率=实际/计划</t>
  </si>
  <si>
    <t>规划外采范围、采购方式和时间。</t>
  </si>
  <si>
    <t>合同台账</t>
  </si>
  <si>
    <t>维护采购合同核心信息。</t>
  </si>
  <si>
    <t>付款里程碑</t>
  </si>
  <si>
    <t>跟踪付款条件、金额和证据。</t>
  </si>
  <si>
    <t>成本变更台账</t>
  </si>
  <si>
    <t>登记预算或合同金额变更。</t>
  </si>
  <si>
    <t>成本偏差分析</t>
  </si>
  <si>
    <t>比较预算、实际和预测。</t>
  </si>
  <si>
    <t>_数据接口</t>
  </si>
  <si>
    <t>供Python脚本和AI PMO读取，人工一般不直接修改。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</si>
  <si>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</si>
  <si>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</si>
  <si>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</si>
  <si>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</si>
  <si>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</si>
  <si>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</si>
  <si>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</si>
  <si>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平均单价公式</t>
  </si>
  <si>
    <t>人工成本预算E3=角色人工成本明细合计÷总计划人天；该单元格不手工填写</t>
  </si>
  <si>
    <t>换算规则</t>
  </si>
  <si>
    <t>1人日=8小时；平均小时单价=平均人日单价÷8</t>
  </si>
  <si>
    <t>成本保护</t>
  </si>
  <si>
    <t>保留用户确认的角色单价和计划人天；修改角色单价或人天后，应复核平均单价及预算批准状态</t>
  </si>
  <si>
    <t>成本与合同管理总览</t>
  </si>
  <si>
    <t>数据日期：2026-09-23。平均人日单价按“角色人工成本合计÷总计划人天”自动反算；采购、基础设施及专业服务尚未取得有效报价。</t>
  </si>
  <si>
    <t>已量化人工预算</t>
  </si>
  <si>
    <t>计划人天</t>
  </si>
  <si>
    <t>人日单价</t>
  </si>
  <si>
    <t>待估算采购包</t>
  </si>
  <si>
    <t>已签合同数</t>
  </si>
  <si>
    <t>已付款金额</t>
  </si>
  <si>
    <t>预算与合同控制门禁</t>
  </si>
  <si>
    <t>控制项</t>
  </si>
  <si>
    <t>当前状态</t>
  </si>
  <si>
    <t>责任人</t>
  </si>
  <si>
    <t>最迟日期</t>
  </si>
  <si>
    <t>通过标准</t>
  </si>
  <si>
    <t>证据位置</t>
  </si>
  <si>
    <t>项目总预算批准</t>
  </si>
  <si>
    <t>未通过</t>
  </si>
  <si>
    <t>项目集经理</t>
  </si>
  <si>
    <t>人工、采购、基础设施、服务和预备费全部量化并批准</t>
  </si>
  <si>
    <t>预算批准记录</t>
  </si>
  <si>
    <t>采购包预算完成</t>
  </si>
  <si>
    <t>项目经理</t>
  </si>
  <si>
    <t>7个采购包取得可比报价或批准估算依据</t>
  </si>
  <si>
    <t>采购包计划</t>
  </si>
  <si>
    <t>合同与需求基线一致</t>
  </si>
  <si>
    <t>合同范围、交付物、验收和需求基线可追踪</t>
  </si>
  <si>
    <t>付款与验收挂钩</t>
  </si>
  <si>
    <t>每笔付款均有明确交付物、验收证据和批准条件</t>
  </si>
  <si>
    <t>成本变更纳入控制</t>
  </si>
  <si>
    <t>预算基线变动均有影响分析和批准记录</t>
  </si>
  <si>
    <t>成本偏差定期复核</t>
  </si>
  <si>
    <t>按月更新承诺、实际、预测完成成本和偏差原因</t>
  </si>
  <si>
    <t>当前判断</t>
  </si>
  <si>
    <t>1</t>
  </si>
  <si>
    <t>当前只能确认人工成本769.77万元（5,433人天，按角色×月份月度投入明细汇总），不能把该金额视为项目总预算。</t>
  </si>
  <si>
    <t>2</t>
  </si>
  <si>
    <t>CA、电子文档和BI产品应在POC结论后形成许可、实施、接口和运维全口径报价。</t>
  </si>
  <si>
    <t>3</t>
  </si>
  <si>
    <t>合同付款节点应绑定交付物与验收证据，避免仅按日期或工作量付款。</t>
  </si>
  <si>
    <t>4</t>
  </si>
  <si>
    <t>新增范围应同时评估人工、采购、进度和后续运维成本，并更新成本基线。</t>
  </si>
  <si>
    <t>项目预算基线</t>
  </si>
  <si>
    <t>人工成本由“人工成本预算”的总计划人天×自动反算平均人日单价计算；缺少来源金额的其他成本项显示为“待估算”，不按0元处理。</t>
  </si>
  <si>
    <t>预算ID</t>
  </si>
  <si>
    <t>成本类别</t>
  </si>
  <si>
    <t>成本项目</t>
  </si>
  <si>
    <t>一次性/经常性</t>
  </si>
  <si>
    <t>计量依据</t>
  </si>
  <si>
    <t>数量</t>
  </si>
  <si>
    <t>单价(元)</t>
  </si>
  <si>
    <t>初始预算(元)</t>
  </si>
  <si>
    <t>批准变更(元)</t>
  </si>
  <si>
    <t>当前预算(元)</t>
  </si>
  <si>
    <t>估算状态</t>
  </si>
  <si>
    <t>估算依据/说明</t>
  </si>
  <si>
    <t>BUD-001</t>
  </si>
  <si>
    <t>建设成本</t>
  </si>
  <si>
    <t>项目人工</t>
  </si>
  <si>
    <t>一次性</t>
  </si>
  <si>
    <t>已量化</t>
  </si>
  <si>
    <t>人工成本预算：计划人天×平均人日单价</t>
  </si>
  <si>
    <t>BUD-002</t>
  </si>
  <si>
    <t>软件成本</t>
  </si>
  <si>
    <t>CA及电子签章</t>
  </si>
  <si>
    <t>一次性+经常性</t>
  </si>
  <si>
    <t>许可、实施及接口</t>
  </si>
  <si>
    <t>技术经理</t>
  </si>
  <si>
    <t>待估算</t>
  </si>
  <si>
    <t>等待POC和厂商报价</t>
  </si>
  <si>
    <t>BUD-003</t>
  </si>
  <si>
    <t>电子文档产品</t>
  </si>
  <si>
    <t>BUD-004</t>
  </si>
  <si>
    <t>BI报表产品</t>
  </si>
  <si>
    <t>BUD-005</t>
  </si>
  <si>
    <t>基础设施</t>
  </si>
  <si>
    <t>云资源与基础设施</t>
  </si>
  <si>
    <t>环境、存储、备份与容灾</t>
  </si>
  <si>
    <t>配置人员</t>
  </si>
  <si>
    <t>等待架构与容量基线</t>
  </si>
  <si>
    <t>BUD-006</t>
  </si>
  <si>
    <t>专业服务</t>
  </si>
  <si>
    <t>安全测评与专业测试</t>
  </si>
  <si>
    <t>安全、性能及第三方测评</t>
  </si>
  <si>
    <t>高级测试人员</t>
  </si>
  <si>
    <t>等待测试策略与询价</t>
  </si>
  <si>
    <t>BUD-007</t>
  </si>
  <si>
    <t>数据迁移服务</t>
  </si>
  <si>
    <t>清洗、转换、迁移和对账</t>
  </si>
  <si>
    <t>产品经理</t>
  </si>
  <si>
    <t>等待数据范围与质量评估</t>
  </si>
  <si>
    <t>BUD-008</t>
  </si>
  <si>
    <t>外部实施与专项支持</t>
  </si>
  <si>
    <t>产品实施、联调与上线保障</t>
  </si>
  <si>
    <t>等待工作说明书与报价</t>
  </si>
  <si>
    <t>BUD-009</t>
  </si>
  <si>
    <t>风险储备</t>
  </si>
  <si>
    <t>应急储备</t>
  </si>
  <si>
    <t>经批准的已知风险应对</t>
  </si>
  <si>
    <t>基于量化风险分析确定</t>
  </si>
  <si>
    <t>BUD-010</t>
  </si>
  <si>
    <t>管理储备</t>
  </si>
  <si>
    <t>未知风险和管理裁量</t>
  </si>
  <si>
    <t>经管理层批准后单列</t>
  </si>
  <si>
    <t>人工成本预算</t>
  </si>
  <si>
    <t>保留各角色人日单价和明细成本；平均人日单价自动按“角色人工成本合计÷总计划人天”计算，所有汇总成本统一引用该平均值。</t>
  </si>
  <si>
    <t>平均人日单价(元)</t>
  </si>
  <si>
    <t>自动计算：角色人工成本合计÷总计划人天，不手工填写</t>
  </si>
  <si>
    <t>角色编码</t>
  </si>
  <si>
    <t>角色</t>
  </si>
  <si>
    <t>计划人数</t>
  </si>
  <si>
    <t>人日单价(元)</t>
  </si>
  <si>
    <t>计划人工成本(元)</t>
  </si>
  <si>
    <t>估算说明</t>
  </si>
  <si>
    <t>PGM</t>
  </si>
  <si>
    <t>按角色单价计算明细；汇总使用平均人日单价</t>
  </si>
  <si>
    <t>PM</t>
  </si>
  <si>
    <t>TM</t>
  </si>
  <si>
    <t>PDM</t>
  </si>
  <si>
    <t>UI</t>
  </si>
  <si>
    <t>美工</t>
  </si>
  <si>
    <t>SDEV</t>
  </si>
  <si>
    <t>高级开发人员</t>
  </si>
  <si>
    <t>MDEV</t>
  </si>
  <si>
    <t>中级开发人员</t>
  </si>
  <si>
    <t>SQA</t>
  </si>
  <si>
    <t>MQA</t>
  </si>
  <si>
    <t>中级测试人员</t>
  </si>
  <si>
    <t>CM</t>
  </si>
  <si>
    <t>合计</t>
  </si>
  <si>
    <t>按角色×月份的计划/实际投入人天，由项目团队维护；计划列为人工成本预算计划人天的唯一来源（人工成本预算 D 列引用本表“计划合计”列，预算人天列保持与人工成本预算核对）；差异列=计划合计−实际合计，反映投入进度偏差；完成率=实际合计/计划合计；每月按实际排产更新实际列，修改后平均人日单价与人工成本自动重算。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</si>
  <si>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</si>
  <si>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</si>
  <si>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</si>
  <si>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</si>
  <si>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</si>
  <si>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</si>
  <si>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</si>
  <si>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</si>
  <si>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</si>
  <si>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</si>
  <si>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</si>
  <si>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</si>
  <si>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</si>
  <si>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</si>
  <si>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</si>
  <si>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</si>
  <si>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</si>
  <si>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</si>
  <si>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</si>
  <si>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</si>
  <si>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计划</t>
  </si>
  <si>
    <t>实际</t>
  </si>
  <si>
    <t>计划合计</t>
  </si>
  <si>
    <t>实际合计</t>
  </si>
  <si>
    <t>预算人天</t>
  </si>
  <si>
    <t>差异(计划-实际)</t>
  </si>
  <si>
    <t>完成率(实际/计划)</t>
  </si>
  <si>
    <t>合计人天</t>
  </si>
  <si>
    <t>月度成本偏差分析</t>
  </si>
  <si>
    <t>计划人工成本按月度计划人天×自动反算平均人日单价分布。承诺、实际和完工估算需每月更新；空白表示尚无可靠数据。K/L 列实际人天及折算成本自动取自《月度投入明细》实际列，无需手工填写。</t>
  </si>
  <si>
    <t>月份</t>
  </si>
  <si>
    <t>采购/其他预算(元)</t>
  </si>
  <si>
    <t>承诺成本(元)</t>
  </si>
  <si>
    <t>实际成本(元)</t>
  </si>
  <si>
    <t>完工估算EAC(元)</t>
  </si>
  <si>
    <t>预算偏差(元)</t>
  </si>
  <si>
    <t>偏差说明</t>
  </si>
  <si>
    <t>实际人天</t>
  </si>
  <si>
    <t>实际人天折算成本(元)</t>
  </si>
  <si>
    <t>用于形成询价、比选、合同签订和预算纳入的前置清单。计划金额为空表示尚未取得可靠估算。</t>
  </si>
  <si>
    <t>采购包ID</t>
  </si>
  <si>
    <t>采购包名称</t>
  </si>
  <si>
    <t>采购类型</t>
  </si>
  <si>
    <t>范围与计价边界</t>
  </si>
  <si>
    <t>负责人</t>
  </si>
  <si>
    <t>估算完成日期</t>
  </si>
  <si>
    <t>计划签约日期</t>
  </si>
  <si>
    <t>计划金额(元)</t>
  </si>
  <si>
    <t>预算状态</t>
  </si>
  <si>
    <t>前置条件</t>
  </si>
  <si>
    <t>PKG-001</t>
  </si>
  <si>
    <t>CA及电子签章产品</t>
  </si>
  <si>
    <t>软件/服务</t>
  </si>
  <si>
    <t>POC结论、许可模式和接口费用确认</t>
  </si>
  <si>
    <t>POC后确认</t>
  </si>
  <si>
    <t>PKG-002</t>
  </si>
  <si>
    <t>模板、预览、转换、水印、归档及性能费用确认</t>
  </si>
  <si>
    <t>PKG-003</t>
  </si>
  <si>
    <t>许可、用户数、服务器和实施费用确认</t>
  </si>
  <si>
    <t>PKG-004</t>
  </si>
  <si>
    <t>开发、测试、生产、备份和容灾资源确认</t>
  </si>
  <si>
    <t>架构基线后确认</t>
  </si>
  <si>
    <t>PKG-005</t>
  </si>
  <si>
    <t>安全、性能及第三方测评范围确认</t>
  </si>
  <si>
    <t>测试策略后确认</t>
  </si>
  <si>
    <t>PKG-006</t>
  </si>
  <si>
    <t>存量数据范围、质量、清洗和迁移工作量确认</t>
  </si>
  <si>
    <t>数据范围后确认</t>
  </si>
  <si>
    <t>PKG-007</t>
  </si>
  <si>
    <t>产品实施、接口支持和上线保障边界确认</t>
  </si>
  <si>
    <t>合同边界后确认</t>
  </si>
  <si>
    <t>采购合同台账</t>
  </si>
  <si>
    <t>签约后录入合同范围、金额、交付物、验收、付款和变更信息。</t>
  </si>
  <si>
    <t>合同ID</t>
  </si>
  <si>
    <t>合同名称</t>
  </si>
  <si>
    <t>供应商</t>
  </si>
  <si>
    <t>合同类型</t>
  </si>
  <si>
    <t>签订日期</t>
  </si>
  <si>
    <t>开始日期</t>
  </si>
  <si>
    <t>结束日期</t>
  </si>
  <si>
    <t>合同金额(元)</t>
  </si>
  <si>
    <t>已批准变更(元)</t>
  </si>
  <si>
    <t>当前合同额(元)</t>
  </si>
  <si>
    <t>已验收金额(元)</t>
  </si>
  <si>
    <t>已付款金额(元)</t>
  </si>
  <si>
    <t>未付款金额(元)</t>
  </si>
  <si>
    <t>合同状态</t>
  </si>
  <si>
    <t>验收状态</t>
  </si>
  <si>
    <t>备注</t>
  </si>
  <si>
    <t>付款必须绑定合同、交付物、验收标准和批准证据。未取得验收证据的节点不得标记为可付款。</t>
  </si>
  <si>
    <t>付款ID</t>
  </si>
  <si>
    <t>付款节点</t>
  </si>
  <si>
    <t>计划付款日期</t>
  </si>
  <si>
    <t>付款比例</t>
  </si>
  <si>
    <t>计划付款金额(元)</t>
  </si>
  <si>
    <t>对应交付物</t>
  </si>
  <si>
    <t>验收标准</t>
  </si>
  <si>
    <t>验收证据</t>
  </si>
  <si>
    <t>发票状态</t>
  </si>
  <si>
    <t>付款审批状态</t>
  </si>
  <si>
    <t>实际付款日期</t>
  </si>
  <si>
    <t>实际付款金额(元)</t>
  </si>
  <si>
    <t>记录导致预算或合同金额变化的事项；范围变更、索赔和价格调整均需保留批准依据。</t>
  </si>
  <si>
    <t>成本变更ID</t>
  </si>
  <si>
    <t>提出日期</t>
  </si>
  <si>
    <t>来源类型</t>
  </si>
  <si>
    <t>关联范围变更</t>
  </si>
  <si>
    <t>关联合同</t>
  </si>
  <si>
    <t>变更说明</t>
  </si>
  <si>
    <t>人工成本影响(元)</t>
  </si>
  <si>
    <t>采购成本影响(元)</t>
  </si>
  <si>
    <t>运维成本影响(元)</t>
  </si>
  <si>
    <t>总成本影响(元)</t>
  </si>
  <si>
    <t>进度影响(天)</t>
  </si>
  <si>
    <t>评估人</t>
  </si>
  <si>
    <t>决策</t>
  </si>
  <si>
    <t>决策人/日期</t>
  </si>
  <si>
    <t>基线更新状态</t>
  </si>
  <si>
    <t>字段</t>
  </si>
  <si>
    <t>值</t>
  </si>
  <si>
    <t>Project_ID</t>
  </si>
  <si>
    <t>ECM-2026</t>
  </si>
  <si>
    <t>项目名称</t>
  </si>
  <si>
    <t>模块编码</t>
  </si>
  <si>
    <t>05</t>
  </si>
  <si>
    <t>数据日期</t>
  </si>
  <si>
    <t>币种</t>
  </si>
  <si>
    <t>CNY</t>
  </si>
  <si>
    <t>小时单价</t>
  </si>
  <si>
    <t>计划总人数</t>
  </si>
  <si>
    <t>正式启动日期</t>
  </si>
  <si>
    <t>计划上线日期</t>
  </si>
  <si>
    <t>预算完整性</t>
  </si>
  <si>
    <t>不完整</t>
  </si>
  <si>
    <t>中央数据库</t>
  </si>
  <si>
    <t>../90_项目数据中心/ai_pmo.db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</si>
</sst>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\¥#,##0;[Red]\(\¥#,##0\);\-"/>
    <numFmt numFmtId="178" formatCode="#,##0.0;[Red]\(#,##0.0\);\-"/>
    <numFmt numFmtId="179" formatCode="0.0%"/>
  </numFmts>
  <fonts count="38">
    <font>
      <sz val="11"/>
      <name val="Carlito"/>
      <charset val="134"/>
    </font>
    <font>
      <b/>
      <sz val="10"/>
      <color rgb="FFFFFFFF"/>
      <name val="Arial"/>
      <charset val="134"/>
    </font>
    <font>
      <sz val="10"/>
      <color rgb="FF243447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sz val="10"/>
      <color rgb="FF0000FF"/>
      <name val="Arial"/>
      <charset val="134"/>
    </font>
    <font>
      <sz val="10"/>
      <color rgb="FF008000"/>
      <name val="Arial"/>
      <charset val="134"/>
    </font>
    <font>
      <b/>
      <sz val="10"/>
      <color rgb="FF243447"/>
      <name val="Arial"/>
      <charset val="134"/>
    </font>
    <font>
      <sz val="11"/>
      <color theme="0"/>
      <name val="Carlito"/>
      <charset val="134"/>
    </font>
    <font>
      <sz val="10"/>
      <color rgb="FF008000"/>
      <name val="Carlito"/>
      <charset val="134"/>
    </font>
    <font>
      <b/>
      <sz val="10"/>
      <color rgb="FF243447"/>
      <name val="宋体-简"/>
      <charset val="134"/>
    </font>
    <font>
      <b/>
      <sz val="10"/>
      <color rgb="FF1F4E78"/>
      <name val="Arial"/>
      <charset val="134"/>
    </font>
    <font>
      <b/>
      <sz val="11"/>
      <color rgb="FF375623"/>
      <name val="Arial"/>
      <charset val="134"/>
    </font>
    <font>
      <sz val="9"/>
      <color rgb="FF385D7A"/>
      <name val="Arial"/>
      <charset val="134"/>
    </font>
    <font>
      <sz val="10"/>
      <color rgb="FF243447"/>
      <name val="Carlito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4">
    <border>
      <left/>
      <right/>
      <top/>
      <bottom/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/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double">
        <color rgb="FF1F4E78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D7"/>
      </top>
      <bottom style="thin">
        <color rgb="FFB4C6D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9" fillId="0" borderId="0">
      <alignment vertical="center"/>
    </xf>
    <xf numFmtId="44" fontId="19" fillId="0" borderId="0">
      <alignment vertical="center"/>
    </xf>
    <xf numFmtId="9" fontId="19" fillId="0" borderId="0">
      <alignment vertical="center"/>
    </xf>
    <xf numFmtId="41" fontId="19" fillId="0" borderId="0">
      <alignment vertical="center"/>
    </xf>
    <xf numFmtId="42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19" fillId="11" borderId="16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17">
      <alignment vertical="center"/>
    </xf>
    <xf numFmtId="0" fontId="26" fillId="0" borderId="17">
      <alignment vertical="center"/>
    </xf>
    <xf numFmtId="0" fontId="27" fillId="0" borderId="18">
      <alignment vertical="center"/>
    </xf>
    <xf numFmtId="0" fontId="27" fillId="0" borderId="0">
      <alignment vertical="center"/>
    </xf>
    <xf numFmtId="0" fontId="28" fillId="12" borderId="19">
      <alignment vertical="center"/>
    </xf>
    <xf numFmtId="0" fontId="29" fillId="13" borderId="20">
      <alignment vertical="center"/>
    </xf>
    <xf numFmtId="0" fontId="30" fillId="13" borderId="19">
      <alignment vertical="center"/>
    </xf>
    <xf numFmtId="0" fontId="31" fillId="14" borderId="21">
      <alignment vertical="center"/>
    </xf>
    <xf numFmtId="0" fontId="32" fillId="0" borderId="22">
      <alignment vertical="center"/>
    </xf>
    <xf numFmtId="0" fontId="33" fillId="0" borderId="23">
      <alignment vertical="center"/>
    </xf>
    <xf numFmtId="0" fontId="34" fillId="15" borderId="0">
      <alignment vertical="center"/>
    </xf>
    <xf numFmtId="0" fontId="35" fillId="16" borderId="0">
      <alignment vertical="center"/>
    </xf>
    <xf numFmtId="0" fontId="36" fillId="17" borderId="0">
      <alignment vertical="center"/>
    </xf>
    <xf numFmtId="0" fontId="37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37" fillId="21" borderId="0">
      <alignment vertical="center"/>
    </xf>
    <xf numFmtId="0" fontId="37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37" fillId="25" borderId="0">
      <alignment vertical="center"/>
    </xf>
    <xf numFmtId="0" fontId="37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37" fillId="29" borderId="0">
      <alignment vertical="center"/>
    </xf>
    <xf numFmtId="0" fontId="37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37" fillId="33" borderId="0">
      <alignment vertical="center"/>
    </xf>
    <xf numFmtId="0" fontId="37" fillId="34" borderId="0">
      <alignment vertical="center"/>
    </xf>
    <xf numFmtId="0" fontId="19" fillId="35" borderId="0">
      <alignment vertical="center"/>
    </xf>
    <xf numFmtId="0" fontId="19" fillId="36" borderId="0">
      <alignment vertical="center"/>
    </xf>
    <xf numFmtId="0" fontId="37" fillId="37" borderId="0">
      <alignment vertical="center"/>
    </xf>
    <xf numFmtId="0" fontId="37" fillId="38" borderId="0">
      <alignment vertical="center"/>
    </xf>
    <xf numFmtId="0" fontId="19" fillId="39" borderId="0">
      <alignment vertical="center"/>
    </xf>
    <xf numFmtId="0" fontId="19" fillId="40" borderId="0">
      <alignment vertical="center"/>
    </xf>
    <xf numFmtId="0" fontId="37" fillId="41" borderId="0">
      <alignment vertical="center"/>
    </xf>
    <xf numFmtId="0" fontId="0" fillId="0" borderId="0"/>
  </cellStyleXfs>
  <cellXfs count="73">
    <xf numFmtId="0" fontId="0" fillId="0" borderId="0" xfId="49"/>
    <xf numFmtId="0" fontId="0" fillId="0" borderId="0" xfId="0" applyAlignment="1"/>
    <xf numFmtId="0" fontId="1" fillId="2" borderId="1" xfId="49" applyFont="1" applyFill="1" applyBorder="1" applyAlignment="1">
      <alignment horizontal="center" vertical="center" wrapText="1"/>
    </xf>
    <xf numFmtId="0" fontId="2" fillId="0" borderId="1" xfId="49" applyFont="1" applyBorder="1" applyAlignment="1">
      <alignment vertical="center"/>
    </xf>
    <xf numFmtId="176" fontId="2" fillId="0" borderId="1" xfId="0" applyNumberFormat="1" applyFon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176" fontId="2" fillId="0" borderId="1" xfId="49" applyNumberFormat="1" applyFont="1" applyBorder="1" applyAlignment="1">
      <alignment vertical="center"/>
    </xf>
    <xf numFmtId="0" fontId="3" fillId="0" borderId="0" xfId="49" applyFont="1"/>
    <xf numFmtId="0" fontId="4" fillId="0" borderId="0" xfId="49" applyFont="1"/>
    <xf numFmtId="0" fontId="5" fillId="3" borderId="1" xfId="49" applyFont="1" applyFill="1" applyBorder="1" applyAlignment="1">
      <alignment vertical="center"/>
    </xf>
    <xf numFmtId="176" fontId="5" fillId="3" borderId="1" xfId="49" applyNumberFormat="1" applyFont="1" applyFill="1" applyBorder="1" applyAlignment="1">
      <alignment vertical="center"/>
    </xf>
    <xf numFmtId="0" fontId="5" fillId="3" borderId="1" xfId="49" applyFont="1" applyFill="1" applyBorder="1" applyAlignment="1">
      <alignment vertical="center" wrapText="1"/>
    </xf>
    <xf numFmtId="177" fontId="5" fillId="3" borderId="1" xfId="49" applyNumberFormat="1" applyFont="1" applyFill="1" applyBorder="1" applyAlignment="1">
      <alignment vertical="center"/>
    </xf>
    <xf numFmtId="177" fontId="2" fillId="4" borderId="1" xfId="49" applyNumberFormat="1" applyFont="1" applyFill="1" applyBorder="1" applyAlignment="1">
      <alignment vertical="center"/>
    </xf>
    <xf numFmtId="178" fontId="5" fillId="3" borderId="1" xfId="49" applyNumberFormat="1" applyFont="1" applyFill="1" applyBorder="1" applyAlignment="1">
      <alignment vertical="center"/>
    </xf>
    <xf numFmtId="179" fontId="5" fillId="3" borderId="1" xfId="49" applyNumberFormat="1" applyFont="1" applyFill="1" applyBorder="1" applyAlignment="1">
      <alignment vertical="center"/>
    </xf>
    <xf numFmtId="0" fontId="2" fillId="0" borderId="1" xfId="49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4" fontId="6" fillId="0" borderId="1" xfId="0" applyNumberFormat="1" applyFont="1" applyBorder="1" applyAlignment="1">
      <alignment vertical="center"/>
    </xf>
    <xf numFmtId="4" fontId="5" fillId="3" borderId="1" xfId="0" applyNumberFormat="1" applyFont="1" applyFill="1" applyBorder="1" applyAlignment="1">
      <alignment vertical="center"/>
    </xf>
    <xf numFmtId="4" fontId="2" fillId="4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7" fillId="0" borderId="1" xfId="49" applyFont="1" applyBorder="1" applyAlignment="1">
      <alignment vertical="center"/>
    </xf>
    <xf numFmtId="4" fontId="7" fillId="0" borderId="1" xfId="0" applyNumberFormat="1" applyFont="1" applyBorder="1" applyAlignment="1">
      <alignment vertical="center"/>
    </xf>
    <xf numFmtId="4" fontId="7" fillId="4" borderId="1" xfId="0" applyNumberFormat="1" applyFont="1" applyFill="1" applyBorder="1" applyAlignment="1">
      <alignment vertical="center"/>
    </xf>
    <xf numFmtId="4" fontId="7" fillId="0" borderId="1" xfId="0" applyNumberFormat="1" applyFont="1" applyBorder="1" applyAlignment="1"/>
    <xf numFmtId="0" fontId="0" fillId="0" borderId="0" xfId="49" applyAlignment="1">
      <alignment wrapText="1"/>
    </xf>
    <xf numFmtId="0" fontId="0" fillId="0" borderId="2" xfId="0" applyBorder="1" applyAlignment="1"/>
    <xf numFmtId="0" fontId="8" fillId="5" borderId="0" xfId="49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3" fontId="6" fillId="4" borderId="1" xfId="0" applyNumberFormat="1" applyFont="1" applyFill="1" applyBorder="1" applyAlignment="1">
      <alignment horizontal="center"/>
    </xf>
    <xf numFmtId="3" fontId="9" fillId="4" borderId="1" xfId="0" applyNumberFormat="1" applyFont="1" applyFill="1" applyBorder="1" applyAlignment="1">
      <alignment horizontal="center"/>
    </xf>
    <xf numFmtId="179" fontId="6" fillId="0" borderId="1" xfId="0" applyNumberFormat="1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11" fillId="6" borderId="4" xfId="0" applyFont="1" applyFill="1" applyBorder="1" applyAlignment="1">
      <alignment horizontal="center" vertical="center"/>
    </xf>
    <xf numFmtId="4" fontId="12" fillId="7" borderId="5" xfId="0" applyNumberFormat="1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vertical="center" wrapText="1"/>
    </xf>
    <xf numFmtId="0" fontId="0" fillId="0" borderId="7" xfId="0" applyBorder="1" applyAlignment="1"/>
    <xf numFmtId="0" fontId="2" fillId="0" borderId="1" xfId="49" applyFont="1" applyBorder="1" applyAlignment="1">
      <alignment horizontal="center" vertical="center"/>
    </xf>
    <xf numFmtId="178" fontId="2" fillId="0" borderId="1" xfId="49" applyNumberFormat="1" applyFont="1" applyBorder="1" applyAlignment="1">
      <alignment horizontal="center" vertical="center"/>
    </xf>
    <xf numFmtId="178" fontId="5" fillId="3" borderId="1" xfId="49" applyNumberFormat="1" applyFont="1" applyFill="1" applyBorder="1" applyAlignment="1">
      <alignment horizontal="center" vertical="center"/>
    </xf>
    <xf numFmtId="4" fontId="6" fillId="4" borderId="1" xfId="0" applyNumberFormat="1" applyFont="1" applyFill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0" fontId="7" fillId="0" borderId="3" xfId="49" applyFont="1" applyBorder="1" applyAlignment="1">
      <alignment horizontal="center" vertical="center"/>
    </xf>
    <xf numFmtId="178" fontId="7" fillId="0" borderId="3" xfId="49" applyNumberFormat="1" applyFont="1" applyBorder="1" applyAlignment="1">
      <alignment horizontal="center" vertical="center"/>
    </xf>
    <xf numFmtId="4" fontId="7" fillId="0" borderId="3" xfId="0" applyNumberFormat="1" applyFont="1" applyBorder="1" applyAlignment="1">
      <alignment horizontal="center" vertical="center"/>
    </xf>
    <xf numFmtId="0" fontId="7" fillId="0" borderId="3" xfId="49" applyFont="1" applyBorder="1" applyAlignment="1">
      <alignment vertical="center"/>
    </xf>
    <xf numFmtId="3" fontId="5" fillId="3" borderId="1" xfId="0" applyNumberFormat="1" applyFont="1" applyFill="1" applyBorder="1" applyAlignment="1">
      <alignment vertical="center"/>
    </xf>
    <xf numFmtId="7" fontId="5" fillId="3" borderId="1" xfId="0" applyNumberFormat="1" applyFont="1" applyFill="1" applyBorder="1" applyAlignment="1">
      <alignment vertical="center"/>
    </xf>
    <xf numFmtId="7" fontId="2" fillId="0" borderId="1" xfId="0" applyNumberFormat="1" applyFont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7" fontId="5" fillId="3" borderId="1" xfId="49" applyNumberFormat="1" applyFont="1" applyFill="1" applyBorder="1" applyAlignment="1">
      <alignment vertical="center"/>
    </xf>
    <xf numFmtId="7" fontId="2" fillId="0" borderId="1" xfId="49" applyNumberFormat="1" applyFont="1" applyBorder="1" applyAlignment="1">
      <alignment vertical="center"/>
    </xf>
    <xf numFmtId="177" fontId="2" fillId="0" borderId="1" xfId="49" applyNumberFormat="1" applyFont="1" applyBorder="1" applyAlignment="1">
      <alignment vertical="center"/>
    </xf>
    <xf numFmtId="0" fontId="7" fillId="9" borderId="1" xfId="49" applyFont="1" applyFill="1" applyBorder="1" applyAlignment="1">
      <alignment vertical="center"/>
    </xf>
    <xf numFmtId="0" fontId="11" fillId="9" borderId="8" xfId="49" applyFont="1" applyFill="1" applyBorder="1" applyAlignment="1">
      <alignment vertical="center"/>
    </xf>
    <xf numFmtId="0" fontId="11" fillId="9" borderId="9" xfId="49" applyFont="1" applyFill="1" applyBorder="1" applyAlignment="1">
      <alignment vertical="center"/>
    </xf>
    <xf numFmtId="0" fontId="11" fillId="9" borderId="10" xfId="49" applyFont="1" applyFill="1" applyBorder="1" applyAlignment="1">
      <alignment vertical="center"/>
    </xf>
    <xf numFmtId="0" fontId="2" fillId="10" borderId="1" xfId="49" applyFont="1" applyFill="1" applyBorder="1" applyAlignment="1">
      <alignment vertical="center"/>
    </xf>
    <xf numFmtId="0" fontId="14" fillId="0" borderId="1" xfId="49" applyFont="1" applyBorder="1" applyAlignment="1">
      <alignment vertical="center" wrapText="1"/>
    </xf>
    <xf numFmtId="0" fontId="0" fillId="0" borderId="11" xfId="0" applyBorder="1" applyAlignment="1"/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17" fillId="0" borderId="12" xfId="0" applyFont="1" applyBorder="1" applyAlignment="1">
      <alignment vertical="center" wrapText="1"/>
    </xf>
    <xf numFmtId="0" fontId="17" fillId="3" borderId="12" xfId="0" applyFont="1" applyFill="1" applyBorder="1" applyAlignment="1">
      <alignment vertical="center" wrapText="1"/>
    </xf>
    <xf numFmtId="0" fontId="18" fillId="6" borderId="12" xfId="0" applyFont="1" applyFill="1" applyBorder="1" applyAlignment="1">
      <alignment vertical="center" wrapText="1"/>
    </xf>
    <xf numFmtId="0" fontId="0" fillId="0" borderId="13" xfId="0" applyBorder="1" applyAlignment="1"/>
    <xf numFmtId="0" fontId="0" fillId="0" borderId="14" xfId="0" applyBorder="1" applyAlignment="1"/>
    <xf numFmtId="0" fontId="11" fillId="6" borderId="12" xfId="0" applyFont="1" applyFill="1" applyBorder="1" applyAlignment="1">
      <alignment vertical="center" wrapText="1"/>
    </xf>
    <xf numFmtId="0" fontId="17" fillId="8" borderId="15" xfId="0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9"/>
  <sheetViews>
    <sheetView showGridLines="0" workbookViewId="0">
      <pane ySplit="2" topLeftCell="A3" activePane="bottomLeft" state="frozen"/>
      <selection/>
      <selection pane="bottomLeft" activeCell="B15" sqref="B15:H15"/>
    </sheetView>
  </sheetViews>
  <sheetFormatPr defaultColWidth="9" defaultRowHeight="16.8" outlineLevelCol="7"/>
  <cols>
    <col min="1" max="1" width="10" style="1" customWidth="1"/>
    <col min="2" max="2" width="28" style="1" customWidth="1"/>
    <col min="3" max="3" width="62" style="1" customWidth="1"/>
    <col min="4" max="8" width="14" style="1" customWidth="1"/>
  </cols>
  <sheetData>
    <row r="1" ht="28" customHeight="1" spans="1:8">
      <c r="A1" s="63" t="s">
        <v>0</v>
      </c>
    </row>
    <row r="2" ht="28" customHeight="1" spans="1:8">
      <c r="A2" s="64" t="s">
        <v>1</v>
      </c>
    </row>
    <row r="3" ht="22" customHeight="1" spans="1:8">
      <c r="A3" s="65"/>
      <c r="B3" s="65"/>
      <c r="C3" s="65"/>
      <c r="D3" s="65"/>
      <c r="E3" s="65"/>
      <c r="F3" s="65"/>
      <c r="G3" s="65"/>
      <c r="H3" s="65"/>
    </row>
    <row r="4" ht="22" customHeight="1" spans="1:8">
      <c r="A4" s="66" t="s">
        <v>2</v>
      </c>
      <c r="B4" s="67" t="s">
        <v>3</v>
      </c>
      <c r="C4" s="65"/>
      <c r="D4" s="65"/>
      <c r="E4" s="65"/>
      <c r="F4" s="65"/>
      <c r="G4" s="65"/>
      <c r="H4" s="65"/>
    </row>
    <row r="5" ht="22" customHeight="1" spans="1:8">
      <c r="A5" s="66" t="s">
        <v>4</v>
      </c>
      <c r="B5" s="67" t="s">
        <v>5</v>
      </c>
      <c r="C5" s="65"/>
      <c r="D5" s="65"/>
      <c r="E5" s="65"/>
      <c r="F5" s="65"/>
      <c r="G5" s="65"/>
      <c r="H5" s="65"/>
    </row>
    <row r="6" ht="22" customHeight="1" spans="1:8">
      <c r="A6" s="66" t="s">
        <v>6</v>
      </c>
      <c r="B6" s="67" t="s">
        <v>7</v>
      </c>
      <c r="C6" s="65"/>
      <c r="D6" s="65"/>
      <c r="E6" s="65"/>
      <c r="F6" s="65"/>
      <c r="G6" s="65"/>
      <c r="H6" s="65"/>
    </row>
    <row r="7" ht="22" customHeight="1" spans="1:8">
      <c r="A7" s="66" t="s">
        <v>8</v>
      </c>
      <c r="B7" s="67" t="s">
        <v>9</v>
      </c>
      <c r="C7" s="65"/>
      <c r="D7" s="65"/>
      <c r="E7" s="65"/>
      <c r="F7" s="65"/>
      <c r="G7" s="65"/>
      <c r="H7" s="65"/>
    </row>
    <row r="8" ht="22" customHeight="1" spans="1:8">
      <c r="A8" s="66" t="s">
        <v>10</v>
      </c>
      <c r="B8" s="67" t="s">
        <v>11</v>
      </c>
      <c r="C8" s="65"/>
      <c r="D8" s="65"/>
      <c r="E8" s="65"/>
      <c r="F8" s="65"/>
      <c r="G8" s="65"/>
      <c r="H8" s="65"/>
    </row>
    <row r="9" ht="22" customHeight="1" spans="1:8">
      <c r="A9" s="65"/>
      <c r="B9" s="65"/>
      <c r="C9" s="65"/>
      <c r="D9" s="65"/>
      <c r="E9" s="65"/>
      <c r="F9" s="65"/>
      <c r="G9" s="65"/>
      <c r="H9" s="65"/>
    </row>
    <row r="10" ht="22" customHeight="1" spans="1:8">
      <c r="A10" s="68" t="s">
        <v>12</v>
      </c>
      <c r="B10" s="69"/>
      <c r="C10" s="69"/>
      <c r="D10" s="69"/>
      <c r="E10" s="69"/>
      <c r="F10" s="69"/>
      <c r="G10" s="69"/>
      <c r="H10" s="70"/>
    </row>
    <row r="11" ht="22" customHeight="1" spans="1:8">
      <c r="A11" s="65">
        <v>1</v>
      </c>
      <c r="B11" s="65" t="s">
        <v>13</v>
      </c>
    </row>
    <row r="12" ht="22" customHeight="1" spans="1:8">
      <c r="A12" s="65">
        <v>2</v>
      </c>
      <c r="B12" s="65" t="s">
        <v>14</v>
      </c>
    </row>
    <row r="13" ht="22" customHeight="1" spans="1:8">
      <c r="A13" s="65">
        <v>3</v>
      </c>
      <c r="B13" s="65" t="s">
        <v>15</v>
      </c>
    </row>
    <row r="14" ht="22" customHeight="1" spans="1:8">
      <c r="A14" s="65">
        <v>4</v>
      </c>
      <c r="B14" s="65" t="s">
        <v>16</v>
      </c>
    </row>
    <row r="15" ht="22" customHeight="1" spans="1:8">
      <c r="A15" s="65">
        <v>5</v>
      </c>
      <c r="B15" s="65" t="s">
        <v>17</v>
      </c>
    </row>
    <row r="16" ht="22" customHeight="1" spans="1:8">
      <c r="A16" s="65"/>
      <c r="B16" s="65"/>
      <c r="C16" s="65"/>
      <c r="D16" s="65"/>
      <c r="E16" s="65"/>
      <c r="F16" s="65"/>
      <c r="G16" s="65"/>
      <c r="H16" s="65"/>
    </row>
    <row r="17" ht="22" customHeight="1" spans="1:8">
      <c r="A17" s="65"/>
      <c r="B17" s="65"/>
      <c r="C17" s="65"/>
      <c r="D17" s="65"/>
      <c r="E17" s="65"/>
      <c r="F17" s="65"/>
      <c r="G17" s="65"/>
      <c r="H17" s="65"/>
    </row>
    <row r="18" ht="22" customHeight="1" spans="1:8">
      <c r="A18" s="68" t="s">
        <v>18</v>
      </c>
      <c r="B18" s="69"/>
      <c r="C18" s="69"/>
      <c r="D18" s="69"/>
      <c r="E18" s="69"/>
      <c r="F18" s="69"/>
      <c r="G18" s="69"/>
      <c r="H18" s="70"/>
    </row>
    <row r="19" ht="22" customHeight="1" spans="1:8">
      <c r="A19" s="71" t="s">
        <v>19</v>
      </c>
      <c r="B19" s="71" t="s">
        <v>20</v>
      </c>
      <c r="C19" s="71" t="s">
        <v>21</v>
      </c>
      <c r="D19" s="65"/>
      <c r="E19" s="65"/>
      <c r="F19" s="65"/>
      <c r="G19" s="65"/>
      <c r="H19" s="65"/>
    </row>
    <row r="20" ht="22" customHeight="1" spans="1:8">
      <c r="A20" s="66">
        <v>1</v>
      </c>
      <c r="B20" s="66" t="s">
        <v>22</v>
      </c>
      <c r="C20" s="66" t="s">
        <v>23</v>
      </c>
      <c r="D20" s="65"/>
      <c r="E20" s="65"/>
      <c r="F20" s="65"/>
      <c r="G20" s="65"/>
      <c r="H20" s="65"/>
    </row>
    <row r="21" ht="22" customHeight="1" spans="1:8">
      <c r="A21" s="66">
        <v>2</v>
      </c>
      <c r="B21" s="66" t="s">
        <v>24</v>
      </c>
      <c r="C21" s="66" t="s">
        <v>25</v>
      </c>
      <c r="D21" s="65"/>
      <c r="E21" s="65"/>
      <c r="F21" s="65"/>
      <c r="G21" s="65"/>
      <c r="H21" s="65"/>
    </row>
    <row r="22" ht="22" customHeight="1" spans="1:8">
      <c r="A22" s="66">
        <v>3</v>
      </c>
      <c r="B22" s="66" t="s">
        <v>26</v>
      </c>
      <c r="C22" s="66" t="s">
        <v>27</v>
      </c>
      <c r="D22" s="65"/>
      <c r="E22" s="65"/>
      <c r="F22" s="65"/>
      <c r="G22" s="65"/>
      <c r="H22" s="65"/>
    </row>
    <row r="23" ht="22" customHeight="1" spans="1:8">
      <c r="A23" s="66" t="s">
        <v>28</v>
      </c>
      <c r="B23" s="66" t="s">
        <v>29</v>
      </c>
      <c r="C23" s="66" t="s">
        <v>30</v>
      </c>
      <c r="D23" s="65"/>
      <c r="E23" s="65"/>
      <c r="F23" s="65"/>
      <c r="G23" s="65"/>
      <c r="H23" s="65"/>
    </row>
    <row r="24" ht="22" customHeight="1" spans="1:8">
      <c r="A24" s="66">
        <v>5</v>
      </c>
      <c r="B24" s="66" t="s">
        <v>31</v>
      </c>
      <c r="C24" s="66" t="s">
        <v>32</v>
      </c>
      <c r="D24" s="65"/>
      <c r="E24" s="65"/>
      <c r="F24" s="65"/>
      <c r="G24" s="65"/>
      <c r="H24" s="65"/>
    </row>
    <row r="25" ht="22" customHeight="1" spans="1:8">
      <c r="A25" s="66">
        <v>6</v>
      </c>
      <c r="B25" s="66" t="s">
        <v>33</v>
      </c>
      <c r="C25" s="66" t="s">
        <v>34</v>
      </c>
      <c r="D25" s="65"/>
      <c r="E25" s="65"/>
      <c r="F25" s="65"/>
      <c r="G25" s="65"/>
      <c r="H25" s="65"/>
    </row>
    <row r="26" ht="22" customHeight="1" spans="1:8">
      <c r="A26" s="66">
        <v>7</v>
      </c>
      <c r="B26" s="66" t="s">
        <v>35</v>
      </c>
      <c r="C26" s="66" t="s">
        <v>36</v>
      </c>
      <c r="D26" s="65"/>
      <c r="E26" s="65"/>
      <c r="F26" s="65"/>
      <c r="G26" s="65"/>
      <c r="H26" s="65"/>
    </row>
    <row r="27" ht="22" customHeight="1" spans="1:8">
      <c r="A27" s="66">
        <v>8</v>
      </c>
      <c r="B27" s="66" t="s">
        <v>37</v>
      </c>
      <c r="C27" s="66" t="s">
        <v>38</v>
      </c>
      <c r="D27" s="65"/>
      <c r="E27" s="65"/>
      <c r="F27" s="65"/>
      <c r="G27" s="65"/>
      <c r="H27" s="65"/>
    </row>
    <row r="28" ht="22" customHeight="1" spans="1:8">
      <c r="A28" s="66">
        <v>9</v>
      </c>
      <c r="B28" s="66" t="s">
        <v>39</v>
      </c>
      <c r="C28" s="66" t="s">
        <v>40</v>
      </c>
      <c r="D28" s="65"/>
      <c r="E28" s="65"/>
      <c r="F28" s="65"/>
      <c r="G28" s="65"/>
      <c r="H28" s="65"/>
    </row>
    <row r="29" ht="22" customHeight="1" spans="1:8">
      <c r="A29" s="65"/>
      <c r="B29" s="65"/>
      <c r="C29" s="65"/>
      <c r="D29" s="65"/>
      <c r="E29" s="65"/>
      <c r="F29" s="65"/>
      <c r="G29" s="65"/>
      <c r="H29" s="65"/>
    </row>
    <row r="30" ht="22" customHeight="1" spans="1:8">
      <c r="A30" s="68" t="s">
        <v>41</v>
      </c>
      <c r="B30" s="69"/>
      <c r="C30" s="69"/>
      <c r="D30" s="69"/>
      <c r="E30" s="69"/>
      <c r="F30" s="69"/>
      <c r="G30" s="69"/>
      <c r="H30" s="70"/>
    </row>
    <row r="31" ht="22" customHeight="1" spans="1:8">
      <c r="A31" s="65">
        <v>1</v>
      </c>
      <c r="B31" s="65" t="s">
        <v>42</v>
      </c>
    </row>
    <row r="32" ht="22" customHeight="1" spans="1:8">
      <c r="A32" s="65">
        <v>2</v>
      </c>
      <c r="B32" s="65" t="s">
        <v>43</v>
      </c>
    </row>
    <row r="33" ht="22" customHeight="1" spans="1:3">
      <c r="A33" s="65">
        <v>3</v>
      </c>
      <c r="B33" s="65" t="s">
        <v>44</v>
      </c>
    </row>
    <row r="34" ht="22" customHeight="1" spans="1:3">
      <c r="A34" s="65">
        <v>4</v>
      </c>
      <c r="B34" s="65" t="s">
        <v>45</v>
      </c>
    </row>
    <row r="35" ht="22" customHeight="1" spans="1:3">
      <c r="A35" s="65">
        <v>5</v>
      </c>
      <c r="B35" s="65" t="s">
        <v>46</v>
      </c>
    </row>
    <row r="36" ht="22" customHeight="1" spans="1:3">
      <c r="A36" s="65">
        <v>6</v>
      </c>
      <c r="B36" s="65" t="s">
        <v>47</v>
      </c>
    </row>
    <row r="37" ht="31" customHeight="1" spans="1:3">
      <c r="A37" s="72" t="s">
        <v>48</v>
      </c>
      <c r="B37" s="72" t="s">
        <v>49</v>
      </c>
      <c r="C37" s="72"/>
    </row>
    <row r="38" ht="31" customHeight="1" spans="1:3">
      <c r="A38" s="72" t="s">
        <v>50</v>
      </c>
      <c r="B38" s="72" t="s">
        <v>51</v>
      </c>
      <c r="C38" s="72"/>
    </row>
    <row r="39" ht="46" customHeight="1" spans="1:3">
      <c r="A39" s="72" t="s">
        <v>52</v>
      </c>
      <c r="B39" s="72" t="s">
        <v>53</v>
      </c>
      <c r="C39" s="72"/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30:H30"/>
    <mergeCell ref="B31:H31"/>
    <mergeCell ref="B32:H32"/>
    <mergeCell ref="B33:H33"/>
    <mergeCell ref="B34:H34"/>
    <mergeCell ref="B35:H35"/>
    <mergeCell ref="B36:H36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showGridLines="0" topLeftCell="A6" workbookViewId="0">
      <selection activeCell="C26" sqref="C26"/>
    </sheetView>
  </sheetViews>
  <sheetFormatPr defaultColWidth="9" defaultRowHeight="16.8"/>
  <cols>
    <col min="1" max="1" width="22" style="1" customWidth="1"/>
    <col min="2" max="2" width="48" style="1" customWidth="1"/>
    <col min="3" max="3" width="17" style="1" customWidth="1"/>
    <col min="4" max="4" width="15" style="1" customWidth="1"/>
    <col min="5" max="5" width="41.5367647058824" style="1" customWidth="1"/>
    <col min="6" max="6" width="32" style="1" customWidth="1"/>
    <col min="7" max="12" width="15" style="1" customWidth="1"/>
  </cols>
  <sheetData>
    <row r="1" ht="25" customHeight="1" spans="1:12">
      <c r="A1" s="7" t="s">
        <v>54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>
      <c r="A2" s="8" t="s">
        <v>55</v>
      </c>
    </row>
    <row r="4" spans="1:12">
      <c r="A4" s="56" t="s">
        <v>56</v>
      </c>
      <c r="B4" s="56"/>
      <c r="C4" s="56" t="s">
        <v>57</v>
      </c>
      <c r="D4" s="56"/>
      <c r="E4" s="56" t="s">
        <v>58</v>
      </c>
      <c r="F4" s="56"/>
      <c r="G4" s="56" t="s">
        <v>59</v>
      </c>
      <c r="H4" s="56"/>
      <c r="I4" s="56" t="s">
        <v>60</v>
      </c>
      <c r="J4" s="56"/>
      <c r="K4" s="56" t="s">
        <v>61</v>
      </c>
      <c r="L4" s="56"/>
    </row>
    <row r="5" spans="1:12">
      <c r="A5" s="5">
        <f>预算基线!J5</f>
        <v>6290500</v>
      </c>
      <c r="B5" s="5"/>
      <c r="C5" s="5">
        <f>人工成本预算!D15</f>
        <v>4553</v>
      </c>
      <c r="D5" s="5"/>
      <c r="E5" s="5">
        <f>人工成本预算!E3</f>
        <v>1381.61651658247</v>
      </c>
      <c r="F5" s="3"/>
      <c r="G5" s="3">
        <v>7</v>
      </c>
      <c r="H5" s="3"/>
      <c r="I5" s="3">
        <v>0</v>
      </c>
      <c r="J5" s="3"/>
      <c r="K5" s="55">
        <v>0</v>
      </c>
      <c r="L5" s="3"/>
    </row>
    <row r="8" spans="1:12">
      <c r="A8" s="57" t="s">
        <v>62</v>
      </c>
      <c r="B8" s="58"/>
      <c r="C8" s="58"/>
      <c r="D8" s="58"/>
      <c r="E8" s="58"/>
      <c r="F8" s="59"/>
    </row>
    <row r="9" ht="32" customHeight="1" spans="1:12">
      <c r="A9" s="2" t="s">
        <v>63</v>
      </c>
      <c r="B9" s="2" t="s">
        <v>64</v>
      </c>
      <c r="C9" s="2" t="s">
        <v>65</v>
      </c>
      <c r="D9" s="2" t="s">
        <v>66</v>
      </c>
      <c r="E9" s="2" t="s">
        <v>67</v>
      </c>
      <c r="F9" s="2" t="s">
        <v>68</v>
      </c>
    </row>
    <row r="10" spans="1:12">
      <c r="A10" s="3" t="s">
        <v>69</v>
      </c>
      <c r="B10" s="60" t="s">
        <v>70</v>
      </c>
      <c r="C10" s="3" t="s">
        <v>71</v>
      </c>
      <c r="D10" s="6">
        <v>46311</v>
      </c>
      <c r="E10" s="16" t="s">
        <v>72</v>
      </c>
      <c r="F10" s="16" t="s">
        <v>73</v>
      </c>
    </row>
    <row r="11" spans="1:12">
      <c r="A11" s="3" t="s">
        <v>74</v>
      </c>
      <c r="B11" s="60" t="s">
        <v>70</v>
      </c>
      <c r="C11" s="3" t="s">
        <v>75</v>
      </c>
      <c r="D11" s="6">
        <v>46310</v>
      </c>
      <c r="E11" s="16" t="s">
        <v>76</v>
      </c>
      <c r="F11" s="16" t="s">
        <v>77</v>
      </c>
    </row>
    <row r="12" spans="1:12">
      <c r="A12" s="3" t="s">
        <v>78</v>
      </c>
      <c r="B12" s="60" t="s">
        <v>70</v>
      </c>
      <c r="C12" s="3" t="s">
        <v>75</v>
      </c>
      <c r="D12" s="6">
        <v>46326</v>
      </c>
      <c r="E12" s="16" t="s">
        <v>79</v>
      </c>
      <c r="F12" s="16" t="s">
        <v>31</v>
      </c>
    </row>
    <row r="13" spans="1:12">
      <c r="A13" s="3" t="s">
        <v>80</v>
      </c>
      <c r="B13" s="60" t="s">
        <v>70</v>
      </c>
      <c r="C13" s="3" t="s">
        <v>75</v>
      </c>
      <c r="D13" s="6">
        <v>46326</v>
      </c>
      <c r="E13" s="16" t="s">
        <v>81</v>
      </c>
      <c r="F13" s="16" t="s">
        <v>33</v>
      </c>
    </row>
    <row r="14" spans="1:12">
      <c r="A14" s="3" t="s">
        <v>82</v>
      </c>
      <c r="B14" s="60" t="s">
        <v>70</v>
      </c>
      <c r="C14" s="3" t="s">
        <v>71</v>
      </c>
      <c r="D14" s="6">
        <v>46315</v>
      </c>
      <c r="E14" s="16" t="s">
        <v>83</v>
      </c>
      <c r="F14" s="16" t="s">
        <v>35</v>
      </c>
    </row>
    <row r="15" spans="1:12">
      <c r="A15" s="3" t="s">
        <v>84</v>
      </c>
      <c r="B15" s="60" t="s">
        <v>70</v>
      </c>
      <c r="C15" s="3" t="s">
        <v>75</v>
      </c>
      <c r="D15" s="6">
        <v>46356</v>
      </c>
      <c r="E15" s="16" t="s">
        <v>85</v>
      </c>
      <c r="F15" s="16" t="s">
        <v>37</v>
      </c>
    </row>
    <row r="18" spans="1:6">
      <c r="A18" s="57" t="s">
        <v>86</v>
      </c>
      <c r="B18" s="58"/>
      <c r="C18" s="58"/>
      <c r="D18" s="58"/>
      <c r="E18" s="58"/>
      <c r="F18" s="59"/>
    </row>
    <row r="19" spans="1:6">
      <c r="A19" s="16" t="s">
        <v>87</v>
      </c>
      <c r="B19" s="61" t="s">
        <v>88</v>
      </c>
      <c r="C19" s="62"/>
      <c r="D19" s="28"/>
      <c r="E19" s="16"/>
      <c r="F19" s="16"/>
    </row>
    <row r="20" spans="1:6">
      <c r="A20" s="16" t="s">
        <v>89</v>
      </c>
      <c r="B20" s="61" t="s">
        <v>90</v>
      </c>
      <c r="C20" s="62"/>
      <c r="D20" s="28"/>
      <c r="E20" s="16"/>
      <c r="F20" s="16"/>
    </row>
    <row r="21" spans="1:6">
      <c r="A21" s="16" t="s">
        <v>91</v>
      </c>
      <c r="B21" s="61" t="s">
        <v>92</v>
      </c>
      <c r="C21" s="62"/>
      <c r="D21" s="28"/>
      <c r="E21" s="16"/>
      <c r="F21" s="16"/>
    </row>
    <row r="22" spans="1:6">
      <c r="A22" s="16" t="s">
        <v>93</v>
      </c>
      <c r="B22" s="61" t="s">
        <v>94</v>
      </c>
      <c r="C22" s="62"/>
      <c r="D22" s="28"/>
      <c r="E22" s="16"/>
      <c r="F22" s="16"/>
    </row>
  </sheetData>
  <mergeCells count="5">
    <mergeCell ref="A2:K2"/>
    <mergeCell ref="B19:D19"/>
    <mergeCell ref="B20:D20"/>
    <mergeCell ref="B21:D21"/>
    <mergeCell ref="B22:D22"/>
  </mergeCells>
  <conditionalFormatting sqref="B10:B15">
    <cfRule type="containsText" dxfId="0" priority="1" operator="between" text="未通过">
      <formula>NOT(ISERROR(SEARCH("未通过",B10)))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D23" sqref="D23"/>
    </sheetView>
  </sheetViews>
  <sheetFormatPr defaultColWidth="9" defaultRowHeight="16.8"/>
  <cols>
    <col min="1" max="1" width="12" style="1" customWidth="1"/>
    <col min="2" max="2" width="16" style="1" customWidth="1"/>
    <col min="3" max="3" width="25" style="1" customWidth="1"/>
    <col min="4" max="4" width="17" style="1" customWidth="1"/>
    <col min="5" max="5" width="28" style="1" customWidth="1"/>
    <col min="6" max="7" width="14" style="1" customWidth="1"/>
    <col min="8" max="10" width="17" style="1" customWidth="1"/>
    <col min="11" max="12" width="15" style="1" customWidth="1"/>
    <col min="13" max="13" width="32" style="1" customWidth="1"/>
  </cols>
  <sheetData>
    <row r="1" ht="25" customHeight="1" spans="1:13">
      <c r="A1" s="7" t="s">
        <v>95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>
      <c r="A2" s="8" t="s">
        <v>96</v>
      </c>
    </row>
    <row r="4" ht="32" customHeight="1" spans="1:13">
      <c r="A4" s="2" t="s">
        <v>97</v>
      </c>
      <c r="B4" s="2" t="s">
        <v>98</v>
      </c>
      <c r="C4" s="2" t="s">
        <v>99</v>
      </c>
      <c r="D4" s="2" t="s">
        <v>100</v>
      </c>
      <c r="E4" s="2" t="s">
        <v>101</v>
      </c>
      <c r="F4" s="2" t="s">
        <v>102</v>
      </c>
      <c r="G4" s="2" t="s">
        <v>103</v>
      </c>
      <c r="H4" s="2" t="s">
        <v>104</v>
      </c>
      <c r="I4" s="2" t="s">
        <v>105</v>
      </c>
      <c r="J4" s="2" t="s">
        <v>106</v>
      </c>
      <c r="K4" s="2" t="s">
        <v>65</v>
      </c>
      <c r="L4" s="2" t="s">
        <v>107</v>
      </c>
      <c r="M4" s="2" t="s">
        <v>108</v>
      </c>
    </row>
    <row r="5" spans="1:13">
      <c r="A5" s="3" t="s">
        <v>109</v>
      </c>
      <c r="B5" s="3" t="s">
        <v>110</v>
      </c>
      <c r="C5" s="3" t="s">
        <v>111</v>
      </c>
      <c r="D5" s="3" t="s">
        <v>112</v>
      </c>
      <c r="E5" s="16" t="str">
        <f>人工成本预算!D15&amp;"人天"</f>
        <v>4553人天</v>
      </c>
      <c r="F5" s="49">
        <f>人工成本预算!D15</f>
        <v>4553</v>
      </c>
      <c r="G5" s="50">
        <f>人工成本预算!E3</f>
        <v>1381.61651658247</v>
      </c>
      <c r="H5" s="51">
        <f t="shared" ref="H5:H12" si="0">F5*G5</f>
        <v>6290500</v>
      </c>
      <c r="I5" s="50">
        <v>0</v>
      </c>
      <c r="J5" s="52">
        <f t="shared" ref="J5:J14" si="1">IF(H5="","",H5+I5)</f>
        <v>6290500</v>
      </c>
      <c r="K5" s="3" t="s">
        <v>75</v>
      </c>
      <c r="L5" s="9" t="s">
        <v>113</v>
      </c>
      <c r="M5" s="11" t="s">
        <v>114</v>
      </c>
    </row>
    <row r="6" spans="1:13">
      <c r="A6" s="3" t="s">
        <v>115</v>
      </c>
      <c r="B6" s="3" t="s">
        <v>116</v>
      </c>
      <c r="C6" s="3" t="s">
        <v>117</v>
      </c>
      <c r="D6" s="3" t="s">
        <v>118</v>
      </c>
      <c r="E6" s="16" t="s">
        <v>119</v>
      </c>
      <c r="F6" s="9"/>
      <c r="G6" s="53"/>
      <c r="H6" s="54">
        <f t="shared" si="0"/>
        <v>0</v>
      </c>
      <c r="I6" s="53">
        <v>0</v>
      </c>
      <c r="J6" s="55">
        <f t="shared" si="1"/>
        <v>0</v>
      </c>
      <c r="K6" s="3" t="s">
        <v>120</v>
      </c>
      <c r="L6" s="9" t="s">
        <v>121</v>
      </c>
      <c r="M6" s="11" t="s">
        <v>122</v>
      </c>
    </row>
    <row r="7" spans="1:13">
      <c r="A7" s="3" t="s">
        <v>123</v>
      </c>
      <c r="B7" s="3" t="s">
        <v>116</v>
      </c>
      <c r="C7" s="3" t="s">
        <v>124</v>
      </c>
      <c r="D7" s="3" t="s">
        <v>118</v>
      </c>
      <c r="E7" s="16" t="s">
        <v>119</v>
      </c>
      <c r="F7" s="9"/>
      <c r="G7" s="53"/>
      <c r="H7" s="54">
        <f t="shared" si="0"/>
        <v>0</v>
      </c>
      <c r="I7" s="53">
        <v>0</v>
      </c>
      <c r="J7" s="55">
        <f t="shared" si="1"/>
        <v>0</v>
      </c>
      <c r="K7" s="3" t="s">
        <v>120</v>
      </c>
      <c r="L7" s="9" t="s">
        <v>121</v>
      </c>
      <c r="M7" s="11" t="s">
        <v>122</v>
      </c>
    </row>
    <row r="8" spans="1:13">
      <c r="A8" s="3" t="s">
        <v>125</v>
      </c>
      <c r="B8" s="3" t="s">
        <v>116</v>
      </c>
      <c r="C8" s="3" t="s">
        <v>126</v>
      </c>
      <c r="D8" s="3" t="s">
        <v>118</v>
      </c>
      <c r="E8" s="16" t="s">
        <v>119</v>
      </c>
      <c r="F8" s="9"/>
      <c r="G8" s="53"/>
      <c r="H8" s="54">
        <f t="shared" si="0"/>
        <v>0</v>
      </c>
      <c r="I8" s="53">
        <v>0</v>
      </c>
      <c r="J8" s="55">
        <f t="shared" si="1"/>
        <v>0</v>
      </c>
      <c r="K8" s="3" t="s">
        <v>120</v>
      </c>
      <c r="L8" s="9" t="s">
        <v>121</v>
      </c>
      <c r="M8" s="11" t="s">
        <v>122</v>
      </c>
    </row>
    <row r="9" spans="1:13">
      <c r="A9" s="3" t="s">
        <v>127</v>
      </c>
      <c r="B9" s="3" t="s">
        <v>128</v>
      </c>
      <c r="C9" s="3" t="s">
        <v>129</v>
      </c>
      <c r="D9" s="3" t="s">
        <v>118</v>
      </c>
      <c r="E9" s="16" t="s">
        <v>130</v>
      </c>
      <c r="F9" s="9"/>
      <c r="G9" s="53"/>
      <c r="H9" s="54">
        <f t="shared" si="0"/>
        <v>0</v>
      </c>
      <c r="I9" s="53">
        <v>0</v>
      </c>
      <c r="J9" s="55">
        <f t="shared" si="1"/>
        <v>0</v>
      </c>
      <c r="K9" s="3" t="s">
        <v>131</v>
      </c>
      <c r="L9" s="9" t="s">
        <v>121</v>
      </c>
      <c r="M9" s="11" t="s">
        <v>132</v>
      </c>
    </row>
    <row r="10" spans="1:13">
      <c r="A10" s="3" t="s">
        <v>133</v>
      </c>
      <c r="B10" s="3" t="s">
        <v>134</v>
      </c>
      <c r="C10" s="3" t="s">
        <v>135</v>
      </c>
      <c r="D10" s="3" t="s">
        <v>112</v>
      </c>
      <c r="E10" s="16" t="s">
        <v>136</v>
      </c>
      <c r="F10" s="9"/>
      <c r="G10" s="53"/>
      <c r="H10" s="54">
        <f t="shared" si="0"/>
        <v>0</v>
      </c>
      <c r="I10" s="53">
        <v>0</v>
      </c>
      <c r="J10" s="55">
        <f t="shared" si="1"/>
        <v>0</v>
      </c>
      <c r="K10" s="3" t="s">
        <v>137</v>
      </c>
      <c r="L10" s="9" t="s">
        <v>121</v>
      </c>
      <c r="M10" s="11" t="s">
        <v>138</v>
      </c>
    </row>
    <row r="11" spans="1:13">
      <c r="A11" s="3" t="s">
        <v>139</v>
      </c>
      <c r="B11" s="3" t="s">
        <v>134</v>
      </c>
      <c r="C11" s="3" t="s">
        <v>140</v>
      </c>
      <c r="D11" s="3" t="s">
        <v>112</v>
      </c>
      <c r="E11" s="16" t="s">
        <v>141</v>
      </c>
      <c r="F11" s="9"/>
      <c r="G11" s="53"/>
      <c r="H11" s="54">
        <f t="shared" si="0"/>
        <v>0</v>
      </c>
      <c r="I11" s="53">
        <v>0</v>
      </c>
      <c r="J11" s="55">
        <f t="shared" si="1"/>
        <v>0</v>
      </c>
      <c r="K11" s="3" t="s">
        <v>142</v>
      </c>
      <c r="L11" s="9" t="s">
        <v>121</v>
      </c>
      <c r="M11" s="11" t="s">
        <v>143</v>
      </c>
    </row>
    <row r="12" spans="1:13">
      <c r="A12" s="3" t="s">
        <v>144</v>
      </c>
      <c r="B12" s="3" t="s">
        <v>134</v>
      </c>
      <c r="C12" s="3" t="s">
        <v>145</v>
      </c>
      <c r="D12" s="3" t="s">
        <v>112</v>
      </c>
      <c r="E12" s="16" t="s">
        <v>146</v>
      </c>
      <c r="F12" s="9"/>
      <c r="G12" s="53"/>
      <c r="H12" s="54">
        <f t="shared" si="0"/>
        <v>0</v>
      </c>
      <c r="I12" s="53">
        <v>0</v>
      </c>
      <c r="J12" s="55">
        <f t="shared" si="1"/>
        <v>0</v>
      </c>
      <c r="K12" s="3" t="s">
        <v>75</v>
      </c>
      <c r="L12" s="9" t="s">
        <v>121</v>
      </c>
      <c r="M12" s="11" t="s">
        <v>147</v>
      </c>
    </row>
    <row r="13" spans="1:13">
      <c r="A13" s="3" t="s">
        <v>148</v>
      </c>
      <c r="B13" s="3" t="s">
        <v>149</v>
      </c>
      <c r="C13" s="3" t="s">
        <v>150</v>
      </c>
      <c r="D13" s="3" t="s">
        <v>112</v>
      </c>
      <c r="E13" s="16" t="s">
        <v>151</v>
      </c>
      <c r="F13" s="9"/>
      <c r="G13" s="53"/>
      <c r="H13" s="54">
        <f>H5*15%</f>
        <v>943575</v>
      </c>
      <c r="I13" s="53">
        <v>0</v>
      </c>
      <c r="J13" s="55">
        <f t="shared" si="1"/>
        <v>943575</v>
      </c>
      <c r="K13" s="3" t="s">
        <v>71</v>
      </c>
      <c r="L13" s="9" t="s">
        <v>121</v>
      </c>
      <c r="M13" s="11" t="s">
        <v>152</v>
      </c>
    </row>
    <row r="14" spans="1:13">
      <c r="A14" s="3" t="s">
        <v>153</v>
      </c>
      <c r="B14" s="3" t="s">
        <v>154</v>
      </c>
      <c r="C14" s="3" t="s">
        <v>154</v>
      </c>
      <c r="D14" s="3" t="s">
        <v>112</v>
      </c>
      <c r="E14" s="16" t="s">
        <v>155</v>
      </c>
      <c r="F14" s="9"/>
      <c r="G14" s="53"/>
      <c r="H14" s="54">
        <f>H5*15%</f>
        <v>943575</v>
      </c>
      <c r="I14" s="53">
        <v>0</v>
      </c>
      <c r="J14" s="55">
        <f t="shared" si="1"/>
        <v>943575</v>
      </c>
      <c r="K14" s="3" t="s">
        <v>71</v>
      </c>
      <c r="L14" s="9" t="s">
        <v>121</v>
      </c>
      <c r="M14" s="11" t="s">
        <v>156</v>
      </c>
    </row>
  </sheetData>
  <mergeCells count="1">
    <mergeCell ref="A2:M2"/>
  </mergeCells>
  <conditionalFormatting sqref="L5:L104">
    <cfRule type="containsText" dxfId="0" priority="1" operator="between" text="待估算">
      <formula>NOT(ISERROR(SEARCH("待估算",L5)))</formula>
    </cfRule>
  </conditionalFormatting>
  <dataValidations count="1">
    <dataValidation type="list" sqref="L5:L104">
      <formula1>"待估算,估算中,已量化,已批准"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showGridLines="0" tabSelected="1" workbookViewId="0">
      <pane ySplit="4" topLeftCell="A5" activePane="bottomLeft" state="frozen"/>
      <selection/>
      <selection pane="bottomLeft" activeCell="D21" sqref="D21"/>
    </sheetView>
  </sheetViews>
  <sheetFormatPr defaultColWidth="9" defaultRowHeight="16.8" outlineLevelCol="6"/>
  <cols>
    <col min="1" max="1" width="14" style="1" customWidth="1"/>
    <col min="2" max="2" width="20" style="1" customWidth="1"/>
    <col min="3" max="5" width="16" style="1" customWidth="1"/>
    <col min="6" max="6" width="22" style="1" customWidth="1"/>
    <col min="7" max="7" width="32.7647058823529" style="1" customWidth="1"/>
  </cols>
  <sheetData>
    <row r="1" ht="25" customHeight="1" spans="1:7">
      <c r="A1" s="7" t="s">
        <v>157</v>
      </c>
      <c r="B1" s="7"/>
      <c r="C1" s="7"/>
      <c r="D1" s="7"/>
      <c r="E1" s="7"/>
      <c r="F1" s="7"/>
      <c r="G1" s="7"/>
    </row>
    <row r="2" spans="1:7">
      <c r="A2" s="8" t="s">
        <v>158</v>
      </c>
    </row>
    <row r="3" ht="27" customHeight="1" spans="1:7">
      <c r="D3" s="36" t="s">
        <v>159</v>
      </c>
      <c r="E3" s="37">
        <f>IFERROR(SUM(F5:F14)/SUM(D5:D14),0)</f>
        <v>1381.61651658247</v>
      </c>
      <c r="F3" s="38" t="s">
        <v>160</v>
      </c>
      <c r="G3" s="39"/>
    </row>
    <row r="4" ht="32" customHeight="1" spans="1:7">
      <c r="A4" s="2" t="s">
        <v>161</v>
      </c>
      <c r="B4" s="2" t="s">
        <v>162</v>
      </c>
      <c r="C4" s="2" t="s">
        <v>163</v>
      </c>
      <c r="D4" s="2" t="s">
        <v>57</v>
      </c>
      <c r="E4" s="2" t="s">
        <v>164</v>
      </c>
      <c r="F4" s="2" t="s">
        <v>165</v>
      </c>
      <c r="G4" s="2" t="s">
        <v>166</v>
      </c>
    </row>
    <row r="5" spans="1:7">
      <c r="A5" s="40" t="s">
        <v>167</v>
      </c>
      <c r="B5" s="40" t="s">
        <v>71</v>
      </c>
      <c r="C5" s="41">
        <v>0</v>
      </c>
      <c r="D5" s="42">
        <f>月度投入明细!AP5</f>
        <v>0</v>
      </c>
      <c r="E5" s="43">
        <v>1900</v>
      </c>
      <c r="F5" s="44">
        <f t="shared" ref="F5:F15" si="0">D5*E5</f>
        <v>0</v>
      </c>
      <c r="G5" s="3" t="s">
        <v>168</v>
      </c>
    </row>
    <row r="6" spans="1:7">
      <c r="A6" s="40" t="s">
        <v>169</v>
      </c>
      <c r="B6" s="40" t="s">
        <v>75</v>
      </c>
      <c r="C6" s="41">
        <v>1</v>
      </c>
      <c r="D6" s="42">
        <f>月度投入明细!AP6</f>
        <v>336</v>
      </c>
      <c r="E6" s="43">
        <v>1700</v>
      </c>
      <c r="F6" s="44">
        <f t="shared" si="0"/>
        <v>571200</v>
      </c>
      <c r="G6" s="3" t="s">
        <v>168</v>
      </c>
    </row>
    <row r="7" spans="1:7">
      <c r="A7" s="40" t="s">
        <v>170</v>
      </c>
      <c r="B7" s="40" t="s">
        <v>120</v>
      </c>
      <c r="C7" s="41">
        <v>2</v>
      </c>
      <c r="D7" s="42">
        <f>月度投入明细!AP7</f>
        <v>577</v>
      </c>
      <c r="E7" s="43">
        <v>1600</v>
      </c>
      <c r="F7" s="44">
        <f t="shared" si="0"/>
        <v>923200</v>
      </c>
      <c r="G7" s="3" t="s">
        <v>168</v>
      </c>
    </row>
    <row r="8" spans="1:7">
      <c r="A8" s="40" t="s">
        <v>171</v>
      </c>
      <c r="B8" s="40" t="s">
        <v>142</v>
      </c>
      <c r="C8" s="41">
        <v>2</v>
      </c>
      <c r="D8" s="42">
        <f>月度投入明细!AP8</f>
        <v>493</v>
      </c>
      <c r="E8" s="43">
        <v>1600</v>
      </c>
      <c r="F8" s="44">
        <f t="shared" si="0"/>
        <v>788800</v>
      </c>
      <c r="G8" s="3" t="s">
        <v>168</v>
      </c>
    </row>
    <row r="9" spans="1:7">
      <c r="A9" s="40" t="s">
        <v>172</v>
      </c>
      <c r="B9" s="40" t="s">
        <v>173</v>
      </c>
      <c r="C9" s="41">
        <v>1</v>
      </c>
      <c r="D9" s="42">
        <f>月度投入明细!AP9</f>
        <v>42</v>
      </c>
      <c r="E9" s="43">
        <v>900</v>
      </c>
      <c r="F9" s="44">
        <f t="shared" si="0"/>
        <v>37800</v>
      </c>
      <c r="G9" s="3" t="s">
        <v>168</v>
      </c>
    </row>
    <row r="10" spans="1:7">
      <c r="A10" s="40" t="s">
        <v>174</v>
      </c>
      <c r="B10" s="40" t="s">
        <v>175</v>
      </c>
      <c r="C10" s="41">
        <v>2</v>
      </c>
      <c r="D10" s="42">
        <f>月度投入明细!AP10</f>
        <v>421</v>
      </c>
      <c r="E10" s="43">
        <v>1500</v>
      </c>
      <c r="F10" s="44">
        <f t="shared" si="0"/>
        <v>631500</v>
      </c>
      <c r="G10" s="3" t="s">
        <v>168</v>
      </c>
    </row>
    <row r="11" spans="1:7">
      <c r="A11" s="40" t="s">
        <v>176</v>
      </c>
      <c r="B11" s="40" t="s">
        <v>177</v>
      </c>
      <c r="C11" s="41">
        <v>10</v>
      </c>
      <c r="D11" s="42">
        <f>月度投入明细!AP11</f>
        <v>1823</v>
      </c>
      <c r="E11" s="43">
        <v>1300</v>
      </c>
      <c r="F11" s="44">
        <f t="shared" si="0"/>
        <v>2369900</v>
      </c>
      <c r="G11" s="3" t="s">
        <v>168</v>
      </c>
    </row>
    <row r="12" spans="1:7">
      <c r="A12" s="40" t="s">
        <v>178</v>
      </c>
      <c r="B12" s="40" t="s">
        <v>137</v>
      </c>
      <c r="C12" s="41">
        <v>1</v>
      </c>
      <c r="D12" s="42">
        <f>月度投入明细!AP12</f>
        <v>210</v>
      </c>
      <c r="E12" s="43">
        <v>1300</v>
      </c>
      <c r="F12" s="44">
        <f t="shared" si="0"/>
        <v>273000</v>
      </c>
      <c r="G12" s="3" t="s">
        <v>168</v>
      </c>
    </row>
    <row r="13" spans="1:7">
      <c r="A13" s="40" t="s">
        <v>179</v>
      </c>
      <c r="B13" s="40" t="s">
        <v>180</v>
      </c>
      <c r="C13" s="41">
        <v>3</v>
      </c>
      <c r="D13" s="42">
        <f>月度投入明细!AP13</f>
        <v>441</v>
      </c>
      <c r="E13" s="43">
        <v>1100</v>
      </c>
      <c r="F13" s="44">
        <f t="shared" si="0"/>
        <v>485100</v>
      </c>
      <c r="G13" s="3" t="s">
        <v>168</v>
      </c>
    </row>
    <row r="14" ht="17.55" customHeight="1" spans="1:7">
      <c r="A14" s="40" t="s">
        <v>181</v>
      </c>
      <c r="B14" s="40" t="s">
        <v>131</v>
      </c>
      <c r="C14" s="41">
        <v>1</v>
      </c>
      <c r="D14" s="42">
        <f>月度投入明细!AP14</f>
        <v>210</v>
      </c>
      <c r="E14" s="43">
        <v>1000</v>
      </c>
      <c r="F14" s="44">
        <f t="shared" si="0"/>
        <v>210000</v>
      </c>
      <c r="G14" s="3" t="s">
        <v>168</v>
      </c>
    </row>
    <row r="15" ht="17.55" customHeight="1" spans="1:7">
      <c r="A15" s="45" t="s">
        <v>182</v>
      </c>
      <c r="B15" s="45"/>
      <c r="C15" s="46">
        <f>SUM(C5:C14)</f>
        <v>23</v>
      </c>
      <c r="D15" s="46">
        <f>SUM(D5:D14)</f>
        <v>4553</v>
      </c>
      <c r="E15" s="47">
        <f>$E$3</f>
        <v>1381.61651658247</v>
      </c>
      <c r="F15" s="47">
        <f t="shared" si="0"/>
        <v>6290500</v>
      </c>
      <c r="G15" s="48"/>
    </row>
    <row r="16" ht="17.55" customHeight="1"/>
  </sheetData>
  <mergeCells count="2">
    <mergeCell ref="A2:G2"/>
    <mergeCell ref="F3:G3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6"/>
  <sheetViews>
    <sheetView showGridLines="0" workbookViewId="0">
      <pane xSplit="1" ySplit="4" topLeftCell="R5" activePane="bottomRight" state="frozen"/>
      <selection/>
      <selection pane="topRight"/>
      <selection pane="bottomLeft"/>
      <selection pane="bottomRight" activeCell="AD19" sqref="AD19"/>
    </sheetView>
  </sheetViews>
  <sheetFormatPr defaultColWidth="9" defaultRowHeight="16.8"/>
  <cols>
    <col min="1" max="1" width="16" style="1" customWidth="1"/>
    <col min="2" max="41" width="10" style="1" customWidth="1"/>
    <col min="42" max="46" width="12" style="1" customWidth="1"/>
  </cols>
  <sheetData>
    <row r="1" spans="1:46">
      <c r="A1" t="s">
        <v>28</v>
      </c>
    </row>
    <row r="2" ht="40" customHeight="1" spans="1:46">
      <c r="A2" s="27" t="s">
        <v>183</v>
      </c>
    </row>
    <row r="3" spans="1:46">
      <c r="B3" s="17" t="s">
        <v>184</v>
      </c>
      <c r="C3" s="28"/>
      <c r="D3" s="17" t="s">
        <v>185</v>
      </c>
      <c r="E3" s="28"/>
      <c r="F3" s="17" t="s">
        <v>186</v>
      </c>
      <c r="G3" s="28"/>
      <c r="H3" s="17" t="s">
        <v>187</v>
      </c>
      <c r="I3" s="28"/>
      <c r="J3" s="17" t="s">
        <v>188</v>
      </c>
      <c r="K3" s="28"/>
      <c r="L3" s="17" t="s">
        <v>189</v>
      </c>
      <c r="M3" s="28"/>
      <c r="N3" s="17" t="s">
        <v>190</v>
      </c>
      <c r="O3" s="28"/>
      <c r="P3" s="17" t="s">
        <v>191</v>
      </c>
      <c r="Q3" s="28"/>
      <c r="R3" s="17" t="s">
        <v>192</v>
      </c>
      <c r="S3" s="28"/>
      <c r="T3" s="17" t="s">
        <v>193</v>
      </c>
      <c r="U3" s="28"/>
      <c r="V3" s="17" t="s">
        <v>194</v>
      </c>
      <c r="W3" s="28"/>
      <c r="X3" s="17" t="s">
        <v>195</v>
      </c>
      <c r="Y3" s="28"/>
      <c r="Z3" s="17" t="s">
        <v>196</v>
      </c>
      <c r="AA3" s="28"/>
      <c r="AB3" s="17" t="s">
        <v>197</v>
      </c>
      <c r="AC3" s="28"/>
      <c r="AD3" s="17" t="s">
        <v>198</v>
      </c>
      <c r="AE3" s="28"/>
      <c r="AF3" s="17" t="s">
        <v>199</v>
      </c>
      <c r="AG3" s="28"/>
      <c r="AH3" s="17" t="s">
        <v>200</v>
      </c>
      <c r="AI3" s="28"/>
      <c r="AJ3" s="17" t="s">
        <v>201</v>
      </c>
      <c r="AK3" s="28"/>
      <c r="AL3" s="17" t="s">
        <v>202</v>
      </c>
      <c r="AM3" s="28"/>
      <c r="AN3" s="17" t="s">
        <v>203</v>
      </c>
      <c r="AO3" s="28"/>
    </row>
    <row r="4" ht="31" spans="1:46">
      <c r="A4" s="29" t="s">
        <v>162</v>
      </c>
      <c r="B4" s="17" t="s">
        <v>204</v>
      </c>
      <c r="C4" s="17" t="s">
        <v>205</v>
      </c>
      <c r="D4" s="17" t="s">
        <v>204</v>
      </c>
      <c r="E4" s="17" t="s">
        <v>205</v>
      </c>
      <c r="F4" s="17" t="s">
        <v>204</v>
      </c>
      <c r="G4" s="17" t="s">
        <v>205</v>
      </c>
      <c r="H4" s="17" t="s">
        <v>204</v>
      </c>
      <c r="I4" s="17" t="s">
        <v>205</v>
      </c>
      <c r="J4" s="17" t="s">
        <v>204</v>
      </c>
      <c r="K4" s="17" t="s">
        <v>205</v>
      </c>
      <c r="L4" s="17" t="s">
        <v>204</v>
      </c>
      <c r="M4" s="17" t="s">
        <v>205</v>
      </c>
      <c r="N4" s="17" t="s">
        <v>204</v>
      </c>
      <c r="O4" s="17" t="s">
        <v>205</v>
      </c>
      <c r="P4" s="17" t="s">
        <v>204</v>
      </c>
      <c r="Q4" s="17" t="s">
        <v>205</v>
      </c>
      <c r="R4" s="17" t="s">
        <v>204</v>
      </c>
      <c r="S4" s="17" t="s">
        <v>205</v>
      </c>
      <c r="T4" s="17" t="s">
        <v>204</v>
      </c>
      <c r="U4" s="17" t="s">
        <v>205</v>
      </c>
      <c r="V4" s="17" t="s">
        <v>204</v>
      </c>
      <c r="W4" s="17" t="s">
        <v>205</v>
      </c>
      <c r="X4" s="17" t="s">
        <v>204</v>
      </c>
      <c r="Y4" s="17" t="s">
        <v>205</v>
      </c>
      <c r="Z4" s="17" t="s">
        <v>204</v>
      </c>
      <c r="AA4" s="17" t="s">
        <v>205</v>
      </c>
      <c r="AB4" s="17" t="s">
        <v>204</v>
      </c>
      <c r="AC4" s="17" t="s">
        <v>205</v>
      </c>
      <c r="AD4" s="17" t="s">
        <v>204</v>
      </c>
      <c r="AE4" s="17" t="s">
        <v>205</v>
      </c>
      <c r="AF4" s="17" t="s">
        <v>204</v>
      </c>
      <c r="AG4" s="17" t="s">
        <v>205</v>
      </c>
      <c r="AH4" s="17" t="s">
        <v>204</v>
      </c>
      <c r="AI4" s="17" t="s">
        <v>205</v>
      </c>
      <c r="AJ4" s="17" t="s">
        <v>204</v>
      </c>
      <c r="AK4" s="17" t="s">
        <v>205</v>
      </c>
      <c r="AL4" s="17" t="s">
        <v>204</v>
      </c>
      <c r="AM4" s="17" t="s">
        <v>205</v>
      </c>
      <c r="AN4" s="17" t="s">
        <v>204</v>
      </c>
      <c r="AO4" s="17" t="s">
        <v>205</v>
      </c>
      <c r="AP4" s="17" t="s">
        <v>206</v>
      </c>
      <c r="AQ4" s="17" t="s">
        <v>207</v>
      </c>
      <c r="AR4" s="17" t="s">
        <v>208</v>
      </c>
      <c r="AS4" s="17" t="s">
        <v>209</v>
      </c>
      <c r="AT4" s="17" t="s">
        <v>210</v>
      </c>
    </row>
    <row r="5" spans="1:46">
      <c r="A5" s="30" t="s">
        <v>71</v>
      </c>
      <c r="B5" s="31">
        <v>0</v>
      </c>
      <c r="C5" s="32">
        <v>0</v>
      </c>
      <c r="D5" s="31">
        <v>0</v>
      </c>
      <c r="E5" s="32">
        <v>0</v>
      </c>
      <c r="F5" s="31">
        <v>0</v>
      </c>
      <c r="G5" s="32">
        <v>0</v>
      </c>
      <c r="H5" s="31">
        <v>0</v>
      </c>
      <c r="I5" s="32">
        <v>0</v>
      </c>
      <c r="J5" s="31">
        <v>0</v>
      </c>
      <c r="K5" s="32">
        <v>0</v>
      </c>
      <c r="L5" s="31">
        <v>0</v>
      </c>
      <c r="M5" s="32">
        <v>0</v>
      </c>
      <c r="N5" s="31">
        <v>0</v>
      </c>
      <c r="O5" s="32">
        <v>0</v>
      </c>
      <c r="P5" s="31">
        <v>0</v>
      </c>
      <c r="Q5" s="32">
        <v>0</v>
      </c>
      <c r="R5" s="31">
        <v>0</v>
      </c>
      <c r="S5" s="32">
        <v>0</v>
      </c>
      <c r="T5" s="31">
        <v>0</v>
      </c>
      <c r="U5" s="32">
        <v>0</v>
      </c>
      <c r="V5" s="31">
        <v>0</v>
      </c>
      <c r="W5" s="32">
        <v>0</v>
      </c>
      <c r="X5" s="31">
        <v>0</v>
      </c>
      <c r="Y5" s="32">
        <v>0</v>
      </c>
      <c r="Z5" s="31">
        <v>0</v>
      </c>
      <c r="AA5" s="32">
        <v>0</v>
      </c>
      <c r="AB5" s="31">
        <v>0</v>
      </c>
      <c r="AC5" s="32">
        <v>0</v>
      </c>
      <c r="AD5" s="31">
        <v>0</v>
      </c>
      <c r="AE5" s="32">
        <v>0</v>
      </c>
      <c r="AF5" s="31">
        <v>0</v>
      </c>
      <c r="AG5" s="32">
        <v>0</v>
      </c>
      <c r="AH5" s="31">
        <v>0</v>
      </c>
      <c r="AI5" s="32">
        <v>0</v>
      </c>
      <c r="AJ5" s="31">
        <v>0</v>
      </c>
      <c r="AK5" s="32">
        <v>0</v>
      </c>
      <c r="AL5" s="31">
        <v>0</v>
      </c>
      <c r="AM5" s="32">
        <v>0</v>
      </c>
      <c r="AN5" s="31">
        <v>0</v>
      </c>
      <c r="AO5" s="32">
        <v>0</v>
      </c>
      <c r="AP5" s="31">
        <f t="shared" ref="AP5:AP14" si="0">SUMIF($B$4:$AO$4,"计划",B5:AO5)</f>
        <v>0</v>
      </c>
      <c r="AQ5" s="31">
        <f t="shared" ref="AQ5:AQ14" si="1">SUMIF($B$4:$AO$4,"实际",B5:AO5)</f>
        <v>0</v>
      </c>
      <c r="AR5" s="31">
        <f>人工成本预算!D5</f>
        <v>0</v>
      </c>
      <c r="AS5" s="31">
        <f t="shared" ref="AS5:AS15" si="2">AP5-AQ5</f>
        <v>0</v>
      </c>
      <c r="AT5" s="33" t="str">
        <f t="shared" ref="AT5:AT15" si="3">IF(AP5=0,"",AQ5/AP5)</f>
        <v/>
      </c>
    </row>
    <row r="6" spans="1:46">
      <c r="A6" s="30" t="s">
        <v>75</v>
      </c>
      <c r="B6" s="31">
        <v>0</v>
      </c>
      <c r="C6" s="32">
        <v>0</v>
      </c>
      <c r="D6" s="31">
        <v>0</v>
      </c>
      <c r="E6" s="32">
        <v>0</v>
      </c>
      <c r="F6" s="31">
        <v>0</v>
      </c>
      <c r="G6" s="32">
        <v>0</v>
      </c>
      <c r="H6" s="31">
        <v>0</v>
      </c>
      <c r="I6" s="32">
        <v>0</v>
      </c>
      <c r="J6" s="31">
        <v>21</v>
      </c>
      <c r="K6" s="32">
        <v>21</v>
      </c>
      <c r="L6" s="31">
        <v>21</v>
      </c>
      <c r="M6" s="32">
        <v>21</v>
      </c>
      <c r="N6" s="31">
        <v>21</v>
      </c>
      <c r="O6" s="32">
        <v>21</v>
      </c>
      <c r="P6" s="31">
        <v>21</v>
      </c>
      <c r="Q6" s="32">
        <v>21</v>
      </c>
      <c r="R6" s="31">
        <v>21</v>
      </c>
      <c r="S6" s="32">
        <v>21</v>
      </c>
      <c r="T6" s="31">
        <v>21</v>
      </c>
      <c r="U6" s="32">
        <v>0</v>
      </c>
      <c r="V6" s="31">
        <v>21</v>
      </c>
      <c r="W6" s="32">
        <v>0</v>
      </c>
      <c r="X6" s="31">
        <v>21</v>
      </c>
      <c r="Y6" s="32">
        <v>0</v>
      </c>
      <c r="Z6" s="31">
        <v>21</v>
      </c>
      <c r="AA6" s="32">
        <v>0</v>
      </c>
      <c r="AB6" s="31">
        <v>21</v>
      </c>
      <c r="AC6" s="32">
        <v>0</v>
      </c>
      <c r="AD6" s="31">
        <v>21</v>
      </c>
      <c r="AE6" s="32">
        <v>0</v>
      </c>
      <c r="AF6" s="31">
        <v>21</v>
      </c>
      <c r="AG6" s="32">
        <v>0</v>
      </c>
      <c r="AH6" s="31">
        <v>21</v>
      </c>
      <c r="AI6" s="32">
        <v>0</v>
      </c>
      <c r="AJ6" s="31">
        <v>21</v>
      </c>
      <c r="AK6" s="32">
        <v>0</v>
      </c>
      <c r="AL6" s="31">
        <v>21</v>
      </c>
      <c r="AM6" s="32">
        <v>0</v>
      </c>
      <c r="AN6" s="31">
        <v>21</v>
      </c>
      <c r="AO6" s="32">
        <v>0</v>
      </c>
      <c r="AP6" s="31">
        <f t="shared" si="0"/>
        <v>336</v>
      </c>
      <c r="AQ6" s="31">
        <f t="shared" si="1"/>
        <v>105</v>
      </c>
      <c r="AR6" s="31">
        <f>人工成本预算!D6</f>
        <v>336</v>
      </c>
      <c r="AS6" s="31">
        <f t="shared" si="2"/>
        <v>231</v>
      </c>
      <c r="AT6" s="33">
        <f t="shared" si="3"/>
        <v>0.3125</v>
      </c>
    </row>
    <row r="7" spans="1:46">
      <c r="A7" s="30" t="s">
        <v>120</v>
      </c>
      <c r="B7" s="31">
        <v>0</v>
      </c>
      <c r="C7" s="32">
        <v>0</v>
      </c>
      <c r="D7" s="31">
        <v>21</v>
      </c>
      <c r="E7" s="32">
        <v>21</v>
      </c>
      <c r="F7" s="31">
        <v>21</v>
      </c>
      <c r="G7" s="32">
        <v>21</v>
      </c>
      <c r="H7" s="31">
        <v>21</v>
      </c>
      <c r="I7" s="32">
        <v>21</v>
      </c>
      <c r="J7" s="31">
        <v>21</v>
      </c>
      <c r="K7" s="32">
        <v>21</v>
      </c>
      <c r="L7" s="31">
        <v>21</v>
      </c>
      <c r="M7" s="32">
        <v>21</v>
      </c>
      <c r="N7" s="31">
        <v>21</v>
      </c>
      <c r="O7" s="32">
        <v>21</v>
      </c>
      <c r="P7" s="31">
        <v>21</v>
      </c>
      <c r="Q7" s="32">
        <v>21</v>
      </c>
      <c r="R7" s="31">
        <v>21</v>
      </c>
      <c r="S7" s="32">
        <v>21</v>
      </c>
      <c r="T7" s="31">
        <v>31</v>
      </c>
      <c r="U7" s="32">
        <v>0</v>
      </c>
      <c r="V7" s="31">
        <v>42</v>
      </c>
      <c r="W7" s="32">
        <v>0</v>
      </c>
      <c r="X7" s="31">
        <v>42</v>
      </c>
      <c r="Y7" s="32">
        <v>0</v>
      </c>
      <c r="Z7" s="31">
        <v>42</v>
      </c>
      <c r="AA7" s="32">
        <v>0</v>
      </c>
      <c r="AB7" s="31">
        <v>42</v>
      </c>
      <c r="AC7" s="32">
        <v>0</v>
      </c>
      <c r="AD7" s="31">
        <v>42</v>
      </c>
      <c r="AE7" s="32">
        <v>0</v>
      </c>
      <c r="AF7" s="31">
        <v>42</v>
      </c>
      <c r="AG7" s="32">
        <v>0</v>
      </c>
      <c r="AH7" s="31">
        <v>42</v>
      </c>
      <c r="AI7" s="32">
        <v>0</v>
      </c>
      <c r="AJ7" s="31">
        <v>42</v>
      </c>
      <c r="AK7" s="32">
        <v>0</v>
      </c>
      <c r="AL7" s="31">
        <v>21</v>
      </c>
      <c r="AM7" s="32">
        <v>0</v>
      </c>
      <c r="AN7" s="31">
        <v>21</v>
      </c>
      <c r="AO7" s="32">
        <v>0</v>
      </c>
      <c r="AP7" s="31">
        <f t="shared" si="0"/>
        <v>577</v>
      </c>
      <c r="AQ7" s="31">
        <f t="shared" si="1"/>
        <v>168</v>
      </c>
      <c r="AR7" s="31">
        <f>人工成本预算!D7</f>
        <v>577</v>
      </c>
      <c r="AS7" s="31">
        <f t="shared" si="2"/>
        <v>409</v>
      </c>
      <c r="AT7" s="33">
        <f t="shared" si="3"/>
        <v>0.291161178509532</v>
      </c>
    </row>
    <row r="8" spans="1:46">
      <c r="A8" s="30" t="s">
        <v>142</v>
      </c>
      <c r="B8" s="31">
        <v>0</v>
      </c>
      <c r="C8" s="32">
        <v>0</v>
      </c>
      <c r="D8" s="31">
        <v>0</v>
      </c>
      <c r="E8" s="32">
        <v>0</v>
      </c>
      <c r="F8" s="31">
        <v>0</v>
      </c>
      <c r="G8" s="32">
        <v>0</v>
      </c>
      <c r="H8" s="31">
        <v>0</v>
      </c>
      <c r="I8" s="32">
        <v>0</v>
      </c>
      <c r="J8" s="31">
        <v>21</v>
      </c>
      <c r="K8" s="32">
        <v>21</v>
      </c>
      <c r="L8" s="31">
        <v>21</v>
      </c>
      <c r="M8" s="32">
        <v>21</v>
      </c>
      <c r="N8" s="31">
        <v>21</v>
      </c>
      <c r="O8" s="32">
        <v>21</v>
      </c>
      <c r="P8" s="31">
        <v>21</v>
      </c>
      <c r="Q8" s="32">
        <v>21</v>
      </c>
      <c r="R8" s="31">
        <v>21</v>
      </c>
      <c r="S8" s="32">
        <v>21</v>
      </c>
      <c r="T8" s="31">
        <v>31</v>
      </c>
      <c r="U8" s="32">
        <v>0</v>
      </c>
      <c r="V8" s="31">
        <v>42</v>
      </c>
      <c r="W8" s="32">
        <v>0</v>
      </c>
      <c r="X8" s="31">
        <v>42</v>
      </c>
      <c r="Y8" s="32">
        <v>0</v>
      </c>
      <c r="Z8" s="31">
        <v>42</v>
      </c>
      <c r="AA8" s="32">
        <v>0</v>
      </c>
      <c r="AB8" s="31">
        <v>42</v>
      </c>
      <c r="AC8" s="32">
        <v>0</v>
      </c>
      <c r="AD8" s="31">
        <v>42</v>
      </c>
      <c r="AE8" s="32">
        <v>0</v>
      </c>
      <c r="AF8" s="31">
        <v>42</v>
      </c>
      <c r="AG8" s="32">
        <v>0</v>
      </c>
      <c r="AH8" s="31">
        <v>42</v>
      </c>
      <c r="AI8" s="32">
        <v>0</v>
      </c>
      <c r="AJ8" s="31">
        <v>21</v>
      </c>
      <c r="AK8" s="32">
        <v>0</v>
      </c>
      <c r="AL8" s="31">
        <v>21</v>
      </c>
      <c r="AM8" s="32">
        <v>0</v>
      </c>
      <c r="AN8" s="31">
        <v>21</v>
      </c>
      <c r="AO8" s="32">
        <v>0</v>
      </c>
      <c r="AP8" s="31">
        <f t="shared" si="0"/>
        <v>493</v>
      </c>
      <c r="AQ8" s="31">
        <f t="shared" si="1"/>
        <v>105</v>
      </c>
      <c r="AR8" s="31">
        <f>人工成本预算!D8</f>
        <v>493</v>
      </c>
      <c r="AS8" s="31">
        <f t="shared" si="2"/>
        <v>388</v>
      </c>
      <c r="AT8" s="33">
        <f t="shared" si="3"/>
        <v>0.212981744421907</v>
      </c>
    </row>
    <row r="9" spans="1:46">
      <c r="A9" s="30" t="s">
        <v>173</v>
      </c>
      <c r="B9" s="31">
        <v>0</v>
      </c>
      <c r="C9" s="32">
        <v>0</v>
      </c>
      <c r="D9" s="31">
        <v>0</v>
      </c>
      <c r="E9" s="32">
        <v>0</v>
      </c>
      <c r="F9" s="31">
        <v>0</v>
      </c>
      <c r="G9" s="32">
        <v>0</v>
      </c>
      <c r="H9" s="31">
        <v>0</v>
      </c>
      <c r="I9" s="32">
        <v>0</v>
      </c>
      <c r="J9" s="31">
        <v>0</v>
      </c>
      <c r="K9" s="32">
        <v>0</v>
      </c>
      <c r="L9" s="31">
        <v>0</v>
      </c>
      <c r="M9" s="32">
        <v>0</v>
      </c>
      <c r="N9" s="31">
        <v>0</v>
      </c>
      <c r="O9" s="32">
        <v>0</v>
      </c>
      <c r="P9" s="31">
        <v>0</v>
      </c>
      <c r="Q9" s="32">
        <v>0</v>
      </c>
      <c r="R9" s="31">
        <v>0</v>
      </c>
      <c r="S9" s="32">
        <v>0</v>
      </c>
      <c r="T9" s="31">
        <v>0</v>
      </c>
      <c r="U9" s="32">
        <v>0</v>
      </c>
      <c r="V9" s="31">
        <v>21</v>
      </c>
      <c r="W9" s="32">
        <v>0</v>
      </c>
      <c r="X9" s="31">
        <v>21</v>
      </c>
      <c r="Y9" s="32">
        <v>0</v>
      </c>
      <c r="Z9" s="31">
        <v>0</v>
      </c>
      <c r="AA9" s="32">
        <v>0</v>
      </c>
      <c r="AB9" s="31">
        <v>0</v>
      </c>
      <c r="AC9" s="32">
        <v>0</v>
      </c>
      <c r="AD9" s="31">
        <v>0</v>
      </c>
      <c r="AE9" s="32">
        <v>0</v>
      </c>
      <c r="AF9" s="31">
        <v>0</v>
      </c>
      <c r="AG9" s="32">
        <v>0</v>
      </c>
      <c r="AH9" s="31">
        <v>0</v>
      </c>
      <c r="AI9" s="32">
        <v>0</v>
      </c>
      <c r="AJ9" s="31">
        <v>0</v>
      </c>
      <c r="AK9" s="32">
        <v>0</v>
      </c>
      <c r="AL9" s="31">
        <v>0</v>
      </c>
      <c r="AM9" s="32">
        <v>0</v>
      </c>
      <c r="AN9" s="31">
        <v>0</v>
      </c>
      <c r="AO9" s="32">
        <v>0</v>
      </c>
      <c r="AP9" s="31">
        <f t="shared" si="0"/>
        <v>42</v>
      </c>
      <c r="AQ9" s="31">
        <f t="shared" si="1"/>
        <v>0</v>
      </c>
      <c r="AR9" s="31">
        <f>人工成本预算!D9</f>
        <v>42</v>
      </c>
      <c r="AS9" s="31">
        <f t="shared" si="2"/>
        <v>42</v>
      </c>
      <c r="AT9" s="33">
        <f t="shared" si="3"/>
        <v>0</v>
      </c>
    </row>
    <row r="10" spans="1:46">
      <c r="A10" s="30" t="s">
        <v>175</v>
      </c>
      <c r="B10" s="31">
        <v>0</v>
      </c>
      <c r="C10" s="32">
        <v>0</v>
      </c>
      <c r="D10" s="31">
        <v>0</v>
      </c>
      <c r="E10" s="32">
        <v>0</v>
      </c>
      <c r="F10" s="31">
        <v>0</v>
      </c>
      <c r="G10" s="32">
        <v>0</v>
      </c>
      <c r="H10" s="31">
        <v>0</v>
      </c>
      <c r="I10" s="32">
        <v>0</v>
      </c>
      <c r="J10" s="31">
        <v>0</v>
      </c>
      <c r="K10" s="32">
        <v>0</v>
      </c>
      <c r="L10" s="31">
        <v>0</v>
      </c>
      <c r="M10" s="32">
        <v>0</v>
      </c>
      <c r="N10" s="31">
        <v>0</v>
      </c>
      <c r="O10" s="32">
        <v>0</v>
      </c>
      <c r="P10" s="31">
        <v>0</v>
      </c>
      <c r="Q10" s="32">
        <v>0</v>
      </c>
      <c r="R10" s="31">
        <v>0</v>
      </c>
      <c r="S10" s="32">
        <v>0</v>
      </c>
      <c r="T10" s="31">
        <v>22</v>
      </c>
      <c r="U10" s="32">
        <v>0</v>
      </c>
      <c r="V10" s="31">
        <v>42</v>
      </c>
      <c r="W10" s="32">
        <v>0</v>
      </c>
      <c r="X10" s="31">
        <v>42</v>
      </c>
      <c r="Y10" s="32">
        <v>0</v>
      </c>
      <c r="Z10" s="31">
        <v>42</v>
      </c>
      <c r="AA10" s="32">
        <v>0</v>
      </c>
      <c r="AB10" s="31">
        <v>42</v>
      </c>
      <c r="AC10" s="32">
        <v>0</v>
      </c>
      <c r="AD10" s="31">
        <v>42</v>
      </c>
      <c r="AE10" s="32">
        <v>0</v>
      </c>
      <c r="AF10" s="31">
        <v>42</v>
      </c>
      <c r="AG10" s="32">
        <v>0</v>
      </c>
      <c r="AH10" s="31">
        <v>42</v>
      </c>
      <c r="AI10" s="32">
        <v>0</v>
      </c>
      <c r="AJ10" s="31">
        <v>42</v>
      </c>
      <c r="AK10" s="32">
        <v>0</v>
      </c>
      <c r="AL10" s="31">
        <v>42</v>
      </c>
      <c r="AM10" s="32">
        <v>0</v>
      </c>
      <c r="AN10" s="31">
        <v>21</v>
      </c>
      <c r="AO10" s="32">
        <v>0</v>
      </c>
      <c r="AP10" s="31">
        <f t="shared" si="0"/>
        <v>421</v>
      </c>
      <c r="AQ10" s="31">
        <f t="shared" si="1"/>
        <v>0</v>
      </c>
      <c r="AR10" s="31">
        <f>人工成本预算!D10</f>
        <v>421</v>
      </c>
      <c r="AS10" s="31">
        <f t="shared" si="2"/>
        <v>421</v>
      </c>
      <c r="AT10" s="33">
        <f t="shared" si="3"/>
        <v>0</v>
      </c>
    </row>
    <row r="11" spans="1:46">
      <c r="A11" s="30" t="s">
        <v>177</v>
      </c>
      <c r="B11" s="31">
        <v>0</v>
      </c>
      <c r="C11" s="32">
        <v>0</v>
      </c>
      <c r="D11" s="31">
        <v>0</v>
      </c>
      <c r="E11" s="32">
        <v>0</v>
      </c>
      <c r="F11" s="31">
        <v>0</v>
      </c>
      <c r="G11" s="32">
        <v>0</v>
      </c>
      <c r="H11" s="31">
        <v>0</v>
      </c>
      <c r="I11" s="32">
        <v>0</v>
      </c>
      <c r="J11" s="31">
        <v>0</v>
      </c>
      <c r="K11" s="32">
        <v>0</v>
      </c>
      <c r="L11" s="31">
        <v>0</v>
      </c>
      <c r="M11" s="32">
        <v>0</v>
      </c>
      <c r="N11" s="31">
        <v>0</v>
      </c>
      <c r="O11" s="32">
        <v>0</v>
      </c>
      <c r="P11" s="31">
        <v>0</v>
      </c>
      <c r="Q11" s="32">
        <v>0</v>
      </c>
      <c r="R11" s="31">
        <v>0</v>
      </c>
      <c r="S11" s="32">
        <v>0</v>
      </c>
      <c r="T11" s="31">
        <v>80</v>
      </c>
      <c r="U11" s="32">
        <v>0</v>
      </c>
      <c r="V11" s="31">
        <v>210</v>
      </c>
      <c r="W11" s="32">
        <v>0</v>
      </c>
      <c r="X11" s="31">
        <v>210</v>
      </c>
      <c r="Y11" s="32">
        <v>0</v>
      </c>
      <c r="Z11" s="31">
        <v>210</v>
      </c>
      <c r="AA11" s="32">
        <v>0</v>
      </c>
      <c r="AB11" s="31">
        <v>210</v>
      </c>
      <c r="AC11" s="32">
        <v>0</v>
      </c>
      <c r="AD11" s="31">
        <v>210</v>
      </c>
      <c r="AE11" s="32">
        <v>0</v>
      </c>
      <c r="AF11" s="31">
        <v>210</v>
      </c>
      <c r="AG11" s="32">
        <v>0</v>
      </c>
      <c r="AH11" s="31">
        <v>210</v>
      </c>
      <c r="AI11" s="32">
        <v>0</v>
      </c>
      <c r="AJ11" s="31">
        <v>126</v>
      </c>
      <c r="AK11" s="32">
        <v>0</v>
      </c>
      <c r="AL11" s="31">
        <v>84</v>
      </c>
      <c r="AM11" s="32">
        <v>0</v>
      </c>
      <c r="AN11" s="31">
        <v>63</v>
      </c>
      <c r="AO11" s="32">
        <v>0</v>
      </c>
      <c r="AP11" s="31">
        <f t="shared" si="0"/>
        <v>1823</v>
      </c>
      <c r="AQ11" s="31">
        <f t="shared" si="1"/>
        <v>0</v>
      </c>
      <c r="AR11" s="31">
        <f>人工成本预算!D11</f>
        <v>1823</v>
      </c>
      <c r="AS11" s="31">
        <f t="shared" si="2"/>
        <v>1823</v>
      </c>
      <c r="AT11" s="33">
        <f t="shared" si="3"/>
        <v>0</v>
      </c>
    </row>
    <row r="12" spans="1:46">
      <c r="A12" s="30" t="s">
        <v>137</v>
      </c>
      <c r="B12" s="31">
        <v>0</v>
      </c>
      <c r="C12" s="32">
        <v>0</v>
      </c>
      <c r="D12" s="31">
        <v>0</v>
      </c>
      <c r="E12" s="32">
        <v>0</v>
      </c>
      <c r="F12" s="31">
        <v>0</v>
      </c>
      <c r="G12" s="32">
        <v>0</v>
      </c>
      <c r="H12" s="31">
        <v>0</v>
      </c>
      <c r="I12" s="32">
        <v>0</v>
      </c>
      <c r="J12" s="31">
        <v>0</v>
      </c>
      <c r="K12" s="32">
        <v>0</v>
      </c>
      <c r="L12" s="31">
        <v>0</v>
      </c>
      <c r="M12" s="32">
        <v>0</v>
      </c>
      <c r="N12" s="31">
        <v>0</v>
      </c>
      <c r="O12" s="32">
        <v>0</v>
      </c>
      <c r="P12" s="31">
        <v>0</v>
      </c>
      <c r="Q12" s="32">
        <v>0</v>
      </c>
      <c r="R12" s="31">
        <v>0</v>
      </c>
      <c r="S12" s="32">
        <v>0</v>
      </c>
      <c r="T12" s="31">
        <v>0</v>
      </c>
      <c r="U12" s="32">
        <v>0</v>
      </c>
      <c r="V12" s="31">
        <v>21</v>
      </c>
      <c r="W12" s="32">
        <v>0</v>
      </c>
      <c r="X12" s="31">
        <v>21</v>
      </c>
      <c r="Y12" s="32">
        <v>0</v>
      </c>
      <c r="Z12" s="31">
        <v>21</v>
      </c>
      <c r="AA12" s="32">
        <v>0</v>
      </c>
      <c r="AB12" s="31">
        <v>21</v>
      </c>
      <c r="AC12" s="32">
        <v>0</v>
      </c>
      <c r="AD12" s="31">
        <v>21</v>
      </c>
      <c r="AE12" s="32">
        <v>0</v>
      </c>
      <c r="AF12" s="31">
        <v>21</v>
      </c>
      <c r="AG12" s="32">
        <v>0</v>
      </c>
      <c r="AH12" s="31">
        <v>21</v>
      </c>
      <c r="AI12" s="32">
        <v>0</v>
      </c>
      <c r="AJ12" s="31">
        <v>21</v>
      </c>
      <c r="AK12" s="32">
        <v>0</v>
      </c>
      <c r="AL12" s="31">
        <v>21</v>
      </c>
      <c r="AM12" s="32">
        <v>0</v>
      </c>
      <c r="AN12" s="31">
        <v>21</v>
      </c>
      <c r="AO12" s="32">
        <v>0</v>
      </c>
      <c r="AP12" s="31">
        <f t="shared" si="0"/>
        <v>210</v>
      </c>
      <c r="AQ12" s="31">
        <f t="shared" si="1"/>
        <v>0</v>
      </c>
      <c r="AR12" s="31">
        <f>人工成本预算!D12</f>
        <v>210</v>
      </c>
      <c r="AS12" s="31">
        <f t="shared" si="2"/>
        <v>210</v>
      </c>
      <c r="AT12" s="33">
        <f t="shared" si="3"/>
        <v>0</v>
      </c>
    </row>
    <row r="13" spans="1:46">
      <c r="A13" s="30" t="s">
        <v>180</v>
      </c>
      <c r="B13" s="31">
        <v>0</v>
      </c>
      <c r="C13" s="32">
        <v>0</v>
      </c>
      <c r="D13" s="31">
        <v>0</v>
      </c>
      <c r="E13" s="32">
        <v>0</v>
      </c>
      <c r="F13" s="31">
        <v>0</v>
      </c>
      <c r="G13" s="32">
        <v>0</v>
      </c>
      <c r="H13" s="31">
        <v>0</v>
      </c>
      <c r="I13" s="32">
        <v>0</v>
      </c>
      <c r="J13" s="31">
        <v>0</v>
      </c>
      <c r="K13" s="32">
        <v>0</v>
      </c>
      <c r="L13" s="31">
        <v>0</v>
      </c>
      <c r="M13" s="32">
        <v>0</v>
      </c>
      <c r="N13" s="31">
        <v>0</v>
      </c>
      <c r="O13" s="32">
        <v>0</v>
      </c>
      <c r="P13" s="31">
        <v>0</v>
      </c>
      <c r="Q13" s="32">
        <v>0</v>
      </c>
      <c r="R13" s="31">
        <v>0</v>
      </c>
      <c r="S13" s="32">
        <v>0</v>
      </c>
      <c r="T13" s="31">
        <v>0</v>
      </c>
      <c r="U13" s="32">
        <v>0</v>
      </c>
      <c r="V13" s="31">
        <v>42</v>
      </c>
      <c r="W13" s="32">
        <v>0</v>
      </c>
      <c r="X13" s="31">
        <v>63</v>
      </c>
      <c r="Y13" s="32">
        <v>0</v>
      </c>
      <c r="Z13" s="31">
        <v>63</v>
      </c>
      <c r="AA13" s="32">
        <v>0</v>
      </c>
      <c r="AB13" s="31">
        <v>63</v>
      </c>
      <c r="AC13" s="32">
        <v>0</v>
      </c>
      <c r="AD13" s="31">
        <v>63</v>
      </c>
      <c r="AE13" s="32">
        <v>0</v>
      </c>
      <c r="AF13" s="31">
        <v>42</v>
      </c>
      <c r="AG13" s="32">
        <v>0</v>
      </c>
      <c r="AH13" s="31">
        <v>42</v>
      </c>
      <c r="AI13" s="32">
        <v>0</v>
      </c>
      <c r="AJ13" s="31">
        <v>21</v>
      </c>
      <c r="AK13" s="32">
        <v>0</v>
      </c>
      <c r="AL13" s="31">
        <v>21</v>
      </c>
      <c r="AM13" s="32">
        <v>0</v>
      </c>
      <c r="AN13" s="31">
        <v>21</v>
      </c>
      <c r="AO13" s="32">
        <v>0</v>
      </c>
      <c r="AP13" s="31">
        <f t="shared" si="0"/>
        <v>441</v>
      </c>
      <c r="AQ13" s="31">
        <f t="shared" si="1"/>
        <v>0</v>
      </c>
      <c r="AR13" s="31">
        <f>人工成本预算!D13</f>
        <v>441</v>
      </c>
      <c r="AS13" s="31">
        <f t="shared" si="2"/>
        <v>441</v>
      </c>
      <c r="AT13" s="33">
        <f t="shared" si="3"/>
        <v>0</v>
      </c>
    </row>
    <row r="14" ht="17.55" customHeight="1" spans="1:46">
      <c r="A14" s="30" t="s">
        <v>131</v>
      </c>
      <c r="B14" s="31">
        <v>0</v>
      </c>
      <c r="C14" s="32">
        <v>0</v>
      </c>
      <c r="D14" s="31">
        <v>0</v>
      </c>
      <c r="E14" s="32">
        <v>0</v>
      </c>
      <c r="F14" s="31">
        <v>0</v>
      </c>
      <c r="G14" s="32">
        <v>0</v>
      </c>
      <c r="H14" s="31">
        <v>0</v>
      </c>
      <c r="I14" s="32">
        <v>0</v>
      </c>
      <c r="J14" s="31">
        <v>0</v>
      </c>
      <c r="K14" s="32">
        <v>0</v>
      </c>
      <c r="L14" s="31">
        <v>0</v>
      </c>
      <c r="M14" s="32">
        <v>0</v>
      </c>
      <c r="N14" s="31">
        <v>0</v>
      </c>
      <c r="O14" s="32">
        <v>0</v>
      </c>
      <c r="P14" s="31">
        <v>0</v>
      </c>
      <c r="Q14" s="32">
        <v>0</v>
      </c>
      <c r="R14" s="31">
        <v>0</v>
      </c>
      <c r="S14" s="32">
        <v>0</v>
      </c>
      <c r="T14" s="31">
        <v>0</v>
      </c>
      <c r="U14" s="32">
        <v>0</v>
      </c>
      <c r="V14" s="31">
        <v>21</v>
      </c>
      <c r="W14" s="32">
        <v>0</v>
      </c>
      <c r="X14" s="31">
        <v>21</v>
      </c>
      <c r="Y14" s="32">
        <v>0</v>
      </c>
      <c r="Z14" s="31">
        <v>21</v>
      </c>
      <c r="AA14" s="32">
        <v>0</v>
      </c>
      <c r="AB14" s="31">
        <v>21</v>
      </c>
      <c r="AC14" s="32">
        <v>0</v>
      </c>
      <c r="AD14" s="31">
        <v>21</v>
      </c>
      <c r="AE14" s="32">
        <v>0</v>
      </c>
      <c r="AF14" s="31">
        <v>21</v>
      </c>
      <c r="AG14" s="32">
        <v>0</v>
      </c>
      <c r="AH14" s="31">
        <v>21</v>
      </c>
      <c r="AI14" s="32">
        <v>0</v>
      </c>
      <c r="AJ14" s="31">
        <v>21</v>
      </c>
      <c r="AK14" s="32">
        <v>0</v>
      </c>
      <c r="AL14" s="31">
        <v>21</v>
      </c>
      <c r="AM14" s="32">
        <v>0</v>
      </c>
      <c r="AN14" s="31">
        <v>21</v>
      </c>
      <c r="AO14" s="32">
        <v>0</v>
      </c>
      <c r="AP14" s="31">
        <f t="shared" si="0"/>
        <v>210</v>
      </c>
      <c r="AQ14" s="31">
        <f t="shared" si="1"/>
        <v>0</v>
      </c>
      <c r="AR14" s="31">
        <f>人工成本预算!D14</f>
        <v>210</v>
      </c>
      <c r="AS14" s="31">
        <f t="shared" si="2"/>
        <v>210</v>
      </c>
      <c r="AT14" s="33">
        <f t="shared" si="3"/>
        <v>0</v>
      </c>
    </row>
    <row r="15" ht="17.55" customHeight="1" spans="1:46">
      <c r="A15" s="34" t="s">
        <v>211</v>
      </c>
      <c r="B15" s="31">
        <f t="shared" ref="B15:AR15" si="4">SUM(B5:B14)</f>
        <v>0</v>
      </c>
      <c r="C15" s="31">
        <f t="shared" si="4"/>
        <v>0</v>
      </c>
      <c r="D15" s="31">
        <f t="shared" si="4"/>
        <v>21</v>
      </c>
      <c r="E15" s="31">
        <f t="shared" si="4"/>
        <v>21</v>
      </c>
      <c r="F15" s="31">
        <f t="shared" si="4"/>
        <v>21</v>
      </c>
      <c r="G15" s="31">
        <f t="shared" si="4"/>
        <v>21</v>
      </c>
      <c r="H15" s="31">
        <f t="shared" si="4"/>
        <v>21</v>
      </c>
      <c r="I15" s="31">
        <f t="shared" si="4"/>
        <v>21</v>
      </c>
      <c r="J15" s="31">
        <f t="shared" si="4"/>
        <v>63</v>
      </c>
      <c r="K15" s="31">
        <f t="shared" si="4"/>
        <v>63</v>
      </c>
      <c r="L15" s="31">
        <f t="shared" si="4"/>
        <v>63</v>
      </c>
      <c r="M15" s="31">
        <f t="shared" si="4"/>
        <v>63</v>
      </c>
      <c r="N15" s="31">
        <f t="shared" si="4"/>
        <v>63</v>
      </c>
      <c r="O15" s="31">
        <f t="shared" si="4"/>
        <v>63</v>
      </c>
      <c r="P15" s="31">
        <f t="shared" si="4"/>
        <v>63</v>
      </c>
      <c r="Q15" s="31">
        <f t="shared" si="4"/>
        <v>63</v>
      </c>
      <c r="R15" s="31">
        <f t="shared" si="4"/>
        <v>63</v>
      </c>
      <c r="S15" s="31">
        <f t="shared" si="4"/>
        <v>63</v>
      </c>
      <c r="T15" s="31">
        <f t="shared" si="4"/>
        <v>185</v>
      </c>
      <c r="U15" s="31">
        <f t="shared" si="4"/>
        <v>0</v>
      </c>
      <c r="V15" s="31">
        <f t="shared" si="4"/>
        <v>462</v>
      </c>
      <c r="W15" s="31">
        <f t="shared" si="4"/>
        <v>0</v>
      </c>
      <c r="X15" s="31">
        <f t="shared" si="4"/>
        <v>483</v>
      </c>
      <c r="Y15" s="31">
        <f t="shared" si="4"/>
        <v>0</v>
      </c>
      <c r="Z15" s="31">
        <f t="shared" si="4"/>
        <v>462</v>
      </c>
      <c r="AA15" s="31">
        <f t="shared" si="4"/>
        <v>0</v>
      </c>
      <c r="AB15" s="31">
        <f t="shared" si="4"/>
        <v>462</v>
      </c>
      <c r="AC15" s="31">
        <f t="shared" si="4"/>
        <v>0</v>
      </c>
      <c r="AD15" s="31">
        <f t="shared" si="4"/>
        <v>462</v>
      </c>
      <c r="AE15" s="31">
        <f t="shared" si="4"/>
        <v>0</v>
      </c>
      <c r="AF15" s="31">
        <f t="shared" si="4"/>
        <v>441</v>
      </c>
      <c r="AG15" s="31">
        <f t="shared" si="4"/>
        <v>0</v>
      </c>
      <c r="AH15" s="31">
        <f t="shared" si="4"/>
        <v>441</v>
      </c>
      <c r="AI15" s="31">
        <f t="shared" si="4"/>
        <v>0</v>
      </c>
      <c r="AJ15" s="31">
        <f t="shared" si="4"/>
        <v>315</v>
      </c>
      <c r="AK15" s="31">
        <f t="shared" si="4"/>
        <v>0</v>
      </c>
      <c r="AL15" s="31">
        <f t="shared" si="4"/>
        <v>252</v>
      </c>
      <c r="AM15" s="31">
        <f t="shared" si="4"/>
        <v>0</v>
      </c>
      <c r="AN15" s="31">
        <f t="shared" si="4"/>
        <v>210</v>
      </c>
      <c r="AO15" s="31">
        <f t="shared" si="4"/>
        <v>0</v>
      </c>
      <c r="AP15" s="31">
        <f t="shared" si="4"/>
        <v>4553</v>
      </c>
      <c r="AQ15" s="31">
        <f t="shared" si="4"/>
        <v>378</v>
      </c>
      <c r="AR15" s="31">
        <f t="shared" si="4"/>
        <v>4553</v>
      </c>
      <c r="AS15" s="31">
        <f t="shared" si="2"/>
        <v>4175</v>
      </c>
      <c r="AT15" s="33">
        <f t="shared" si="3"/>
        <v>0.083022183175928</v>
      </c>
    </row>
    <row r="16" ht="17.55" customHeight="1" spans="1:46"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</row>
  </sheetData>
  <mergeCells count="21">
    <mergeCell ref="A2:H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AL3:AM3"/>
    <mergeCell ref="AN3:AO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showGridLines="0" workbookViewId="0">
      <pane ySplit="4" topLeftCell="A5" activePane="bottomLeft" state="frozen"/>
      <selection/>
      <selection pane="bottomLeft" activeCell="F25" sqref="F25"/>
    </sheetView>
  </sheetViews>
  <sheetFormatPr defaultColWidth="9" defaultRowHeight="16.8"/>
  <cols>
    <col min="1" max="2" width="14" style="1" customWidth="1"/>
    <col min="3" max="9" width="20" style="1" customWidth="1"/>
    <col min="10" max="10" width="34" style="1" customWidth="1"/>
    <col min="11" max="11" width="10" style="1" customWidth="1"/>
    <col min="12" max="12" width="16" style="1" customWidth="1"/>
  </cols>
  <sheetData>
    <row r="1" ht="25" customHeight="1" spans="1:12">
      <c r="A1" s="7" t="s">
        <v>212</v>
      </c>
      <c r="B1" s="7"/>
      <c r="C1" s="7"/>
      <c r="D1" s="7"/>
      <c r="E1" s="7"/>
      <c r="F1" s="7"/>
      <c r="G1" s="7"/>
      <c r="H1" s="7"/>
      <c r="I1" s="7"/>
      <c r="J1" s="7"/>
    </row>
    <row r="2" spans="1:12">
      <c r="A2" s="8" t="s">
        <v>213</v>
      </c>
    </row>
    <row r="4" ht="32" customHeight="1" spans="1:12">
      <c r="A4" s="2" t="s">
        <v>214</v>
      </c>
      <c r="B4" s="2" t="s">
        <v>57</v>
      </c>
      <c r="C4" s="2" t="s">
        <v>165</v>
      </c>
      <c r="D4" s="2" t="s">
        <v>215</v>
      </c>
      <c r="E4" s="2" t="s">
        <v>106</v>
      </c>
      <c r="F4" s="2" t="s">
        <v>216</v>
      </c>
      <c r="G4" s="2" t="s">
        <v>217</v>
      </c>
      <c r="H4" s="2" t="s">
        <v>218</v>
      </c>
      <c r="I4" s="2" t="s">
        <v>219</v>
      </c>
      <c r="J4" s="2" t="s">
        <v>220</v>
      </c>
      <c r="K4" s="17" t="s">
        <v>221</v>
      </c>
      <c r="L4" s="17" t="s">
        <v>222</v>
      </c>
    </row>
    <row r="5" spans="1:12">
      <c r="A5" s="18" t="s">
        <v>184</v>
      </c>
      <c r="B5" s="5">
        <f>月度投入明细!B15</f>
        <v>0</v>
      </c>
      <c r="C5" s="19">
        <f>B5*人工成本预算!$E$3</f>
        <v>0</v>
      </c>
      <c r="D5" s="20"/>
      <c r="E5" s="21">
        <f t="shared" ref="E5:E24" si="0">IF(D5="",C5,C5+D5)</f>
        <v>0</v>
      </c>
      <c r="F5" s="20"/>
      <c r="G5" s="20"/>
      <c r="H5" s="20"/>
      <c r="I5" s="21" t="str">
        <f t="shared" ref="I5:I25" si="1">IF(OR(E5="",H5=""),"",E5-H5)</f>
        <v/>
      </c>
      <c r="J5" s="22"/>
      <c r="K5" s="19">
        <f>月度投入明细!C15</f>
        <v>0</v>
      </c>
      <c r="L5" s="19">
        <f>K5*人工成本预算!$E$3</f>
        <v>0</v>
      </c>
    </row>
    <row r="6" spans="1:12">
      <c r="A6" s="18" t="s">
        <v>185</v>
      </c>
      <c r="B6" s="5">
        <f>月度投入明细!D15</f>
        <v>21</v>
      </c>
      <c r="C6" s="19">
        <f>B6*人工成本预算!$E$3</f>
        <v>29013.9468482319</v>
      </c>
      <c r="D6" s="20"/>
      <c r="E6" s="21">
        <f t="shared" si="0"/>
        <v>29013.9468482319</v>
      </c>
      <c r="F6" s="20"/>
      <c r="G6" s="20"/>
      <c r="H6" s="20"/>
      <c r="I6" s="21" t="str">
        <f t="shared" si="1"/>
        <v/>
      </c>
      <c r="J6" s="22"/>
      <c r="K6" s="19">
        <f>月度投入明细!E15</f>
        <v>21</v>
      </c>
      <c r="L6" s="19">
        <f>K6*人工成本预算!$E$3</f>
        <v>29013.9468482319</v>
      </c>
    </row>
    <row r="7" spans="1:12">
      <c r="A7" s="18" t="s">
        <v>186</v>
      </c>
      <c r="B7" s="5">
        <f>月度投入明细!F15</f>
        <v>21</v>
      </c>
      <c r="C7" s="19">
        <f>B7*人工成本预算!$E$3</f>
        <v>29013.9468482319</v>
      </c>
      <c r="D7" s="20"/>
      <c r="E7" s="21">
        <f t="shared" si="0"/>
        <v>29013.9468482319</v>
      </c>
      <c r="F7" s="20"/>
      <c r="G7" s="20"/>
      <c r="H7" s="20"/>
      <c r="I7" s="21" t="str">
        <f t="shared" si="1"/>
        <v/>
      </c>
      <c r="J7" s="22"/>
      <c r="K7" s="19">
        <f>月度投入明细!G15</f>
        <v>21</v>
      </c>
      <c r="L7" s="19">
        <f>K7*人工成本预算!$E$3</f>
        <v>29013.9468482319</v>
      </c>
    </row>
    <row r="8" spans="1:12">
      <c r="A8" s="18" t="s">
        <v>187</v>
      </c>
      <c r="B8" s="5">
        <f>月度投入明细!H15</f>
        <v>21</v>
      </c>
      <c r="C8" s="19">
        <f>B8*人工成本预算!$E$3</f>
        <v>29013.9468482319</v>
      </c>
      <c r="D8" s="20"/>
      <c r="E8" s="21">
        <f t="shared" si="0"/>
        <v>29013.9468482319</v>
      </c>
      <c r="F8" s="20"/>
      <c r="G8" s="20"/>
      <c r="H8" s="20"/>
      <c r="I8" s="21" t="str">
        <f t="shared" si="1"/>
        <v/>
      </c>
      <c r="J8" s="22"/>
      <c r="K8" s="19">
        <f>月度投入明细!I15</f>
        <v>21</v>
      </c>
      <c r="L8" s="19">
        <f>K8*人工成本预算!$E$3</f>
        <v>29013.9468482319</v>
      </c>
    </row>
    <row r="9" spans="1:12">
      <c r="A9" s="18" t="s">
        <v>188</v>
      </c>
      <c r="B9" s="5">
        <f>月度投入明细!J15</f>
        <v>63</v>
      </c>
      <c r="C9" s="19">
        <f>B9*人工成本预算!$E$3</f>
        <v>87041.8405446958</v>
      </c>
      <c r="D9" s="20"/>
      <c r="E9" s="21">
        <f t="shared" si="0"/>
        <v>87041.8405446958</v>
      </c>
      <c r="F9" s="20"/>
      <c r="G9" s="20"/>
      <c r="H9" s="20"/>
      <c r="I9" s="21" t="str">
        <f t="shared" si="1"/>
        <v/>
      </c>
      <c r="J9" s="22"/>
      <c r="K9" s="19">
        <f>月度投入明细!K15</f>
        <v>63</v>
      </c>
      <c r="L9" s="19">
        <f>K9*人工成本预算!$E$3</f>
        <v>87041.8405446958</v>
      </c>
    </row>
    <row r="10" spans="1:12">
      <c r="A10" s="18" t="s">
        <v>189</v>
      </c>
      <c r="B10" s="5">
        <f>月度投入明细!L15</f>
        <v>63</v>
      </c>
      <c r="C10" s="19">
        <f>B10*人工成本预算!$E$3</f>
        <v>87041.8405446958</v>
      </c>
      <c r="D10" s="20"/>
      <c r="E10" s="21">
        <f t="shared" si="0"/>
        <v>87041.8405446958</v>
      </c>
      <c r="F10" s="20"/>
      <c r="G10" s="20"/>
      <c r="H10" s="20"/>
      <c r="I10" s="21" t="str">
        <f t="shared" si="1"/>
        <v/>
      </c>
      <c r="J10" s="22"/>
      <c r="K10" s="19">
        <f>月度投入明细!M15</f>
        <v>63</v>
      </c>
      <c r="L10" s="19">
        <f>K10*人工成本预算!$E$3</f>
        <v>87041.8405446958</v>
      </c>
    </row>
    <row r="11" spans="1:12">
      <c r="A11" s="18" t="s">
        <v>190</v>
      </c>
      <c r="B11" s="5">
        <f>月度投入明细!N15</f>
        <v>63</v>
      </c>
      <c r="C11" s="19">
        <f>B11*人工成本预算!$E$3</f>
        <v>87041.8405446958</v>
      </c>
      <c r="D11" s="20"/>
      <c r="E11" s="21">
        <f t="shared" si="0"/>
        <v>87041.8405446958</v>
      </c>
      <c r="F11" s="20"/>
      <c r="G11" s="20"/>
      <c r="H11" s="20"/>
      <c r="I11" s="21" t="str">
        <f t="shared" si="1"/>
        <v/>
      </c>
      <c r="J11" s="22"/>
      <c r="K11" s="19">
        <f>月度投入明细!O15</f>
        <v>63</v>
      </c>
      <c r="L11" s="19">
        <f>K11*人工成本预算!$E$3</f>
        <v>87041.8405446958</v>
      </c>
    </row>
    <row r="12" spans="1:12">
      <c r="A12" s="18" t="s">
        <v>191</v>
      </c>
      <c r="B12" s="5">
        <f>月度投入明细!P15</f>
        <v>63</v>
      </c>
      <c r="C12" s="19">
        <f>B12*人工成本预算!$E$3</f>
        <v>87041.8405446958</v>
      </c>
      <c r="D12" s="20"/>
      <c r="E12" s="21">
        <f t="shared" si="0"/>
        <v>87041.8405446958</v>
      </c>
      <c r="F12" s="20"/>
      <c r="G12" s="20"/>
      <c r="H12" s="20"/>
      <c r="I12" s="21" t="str">
        <f t="shared" si="1"/>
        <v/>
      </c>
      <c r="J12" s="22"/>
      <c r="K12" s="19">
        <f>月度投入明细!Q15</f>
        <v>63</v>
      </c>
      <c r="L12" s="19">
        <f>K12*人工成本预算!$E$3</f>
        <v>87041.8405446958</v>
      </c>
    </row>
    <row r="13" spans="1:12">
      <c r="A13" s="18" t="s">
        <v>192</v>
      </c>
      <c r="B13" s="5">
        <f>月度投入明细!R15</f>
        <v>63</v>
      </c>
      <c r="C13" s="19">
        <f>B13*人工成本预算!$E$3</f>
        <v>87041.8405446958</v>
      </c>
      <c r="D13" s="20"/>
      <c r="E13" s="21">
        <f t="shared" si="0"/>
        <v>87041.8405446958</v>
      </c>
      <c r="F13" s="20"/>
      <c r="G13" s="20"/>
      <c r="H13" s="20"/>
      <c r="I13" s="21" t="str">
        <f t="shared" si="1"/>
        <v/>
      </c>
      <c r="J13" s="22"/>
      <c r="K13" s="19">
        <f>月度投入明细!S15</f>
        <v>63</v>
      </c>
      <c r="L13" s="19">
        <f>K13*人工成本预算!$E$3</f>
        <v>87041.8405446958</v>
      </c>
    </row>
    <row r="14" spans="1:12">
      <c r="A14" s="3" t="s">
        <v>193</v>
      </c>
      <c r="B14" s="5">
        <f>月度投入明细!T15</f>
        <v>185</v>
      </c>
      <c r="C14" s="19">
        <f>B14*人工成本预算!$E$3</f>
        <v>255599.055567758</v>
      </c>
      <c r="D14" s="20"/>
      <c r="E14" s="21">
        <f t="shared" si="0"/>
        <v>255599.055567758</v>
      </c>
      <c r="F14" s="20"/>
      <c r="G14" s="20"/>
      <c r="H14" s="20"/>
      <c r="I14" s="21" t="str">
        <f t="shared" si="1"/>
        <v/>
      </c>
      <c r="J14" s="9"/>
      <c r="K14" s="19">
        <f>月度投入明细!U15</f>
        <v>0</v>
      </c>
      <c r="L14" s="19">
        <f>K14*人工成本预算!$E$3</f>
        <v>0</v>
      </c>
    </row>
    <row r="15" spans="1:12">
      <c r="A15" s="3" t="s">
        <v>194</v>
      </c>
      <c r="B15" s="5">
        <f>月度投入明细!V15</f>
        <v>462</v>
      </c>
      <c r="C15" s="19">
        <f>B15*人工成本预算!$E$3</f>
        <v>638306.830661103</v>
      </c>
      <c r="D15" s="20"/>
      <c r="E15" s="21">
        <f t="shared" si="0"/>
        <v>638306.830661103</v>
      </c>
      <c r="F15" s="20"/>
      <c r="G15" s="20"/>
      <c r="H15" s="20"/>
      <c r="I15" s="21" t="str">
        <f t="shared" si="1"/>
        <v/>
      </c>
      <c r="J15" s="9"/>
      <c r="K15" s="19">
        <f>月度投入明细!W15</f>
        <v>0</v>
      </c>
      <c r="L15" s="19">
        <f>K15*人工成本预算!$E$3</f>
        <v>0</v>
      </c>
    </row>
    <row r="16" spans="1:12">
      <c r="A16" s="3" t="s">
        <v>195</v>
      </c>
      <c r="B16" s="5">
        <f>月度投入明细!X15</f>
        <v>483</v>
      </c>
      <c r="C16" s="19">
        <f>B16*人工成本预算!$E$3</f>
        <v>667320.777509334</v>
      </c>
      <c r="D16" s="20"/>
      <c r="E16" s="21">
        <f t="shared" si="0"/>
        <v>667320.777509334</v>
      </c>
      <c r="F16" s="20"/>
      <c r="G16" s="20"/>
      <c r="H16" s="20"/>
      <c r="I16" s="21" t="str">
        <f t="shared" si="1"/>
        <v/>
      </c>
      <c r="J16" s="9"/>
      <c r="K16" s="19">
        <f>月度投入明细!Y15</f>
        <v>0</v>
      </c>
      <c r="L16" s="19">
        <f>K16*人工成本预算!$E$3</f>
        <v>0</v>
      </c>
    </row>
    <row r="17" spans="1:12">
      <c r="A17" s="3" t="s">
        <v>196</v>
      </c>
      <c r="B17" s="5">
        <f>月度投入明细!Z15</f>
        <v>462</v>
      </c>
      <c r="C17" s="19">
        <f>B17*人工成本预算!$E$3</f>
        <v>638306.830661103</v>
      </c>
      <c r="D17" s="20"/>
      <c r="E17" s="21">
        <f t="shared" si="0"/>
        <v>638306.830661103</v>
      </c>
      <c r="F17" s="20"/>
      <c r="G17" s="20"/>
      <c r="H17" s="20"/>
      <c r="I17" s="21" t="str">
        <f t="shared" si="1"/>
        <v/>
      </c>
      <c r="J17" s="9"/>
      <c r="K17" s="19">
        <f>月度投入明细!AA15</f>
        <v>0</v>
      </c>
      <c r="L17" s="19">
        <f>K17*人工成本预算!$E$3</f>
        <v>0</v>
      </c>
    </row>
    <row r="18" spans="1:12">
      <c r="A18" s="3" t="s">
        <v>197</v>
      </c>
      <c r="B18" s="5">
        <f>月度投入明细!AB15</f>
        <v>462</v>
      </c>
      <c r="C18" s="19">
        <f>B18*人工成本预算!$E$3</f>
        <v>638306.830661103</v>
      </c>
      <c r="D18" s="20"/>
      <c r="E18" s="21">
        <f t="shared" si="0"/>
        <v>638306.830661103</v>
      </c>
      <c r="F18" s="20"/>
      <c r="G18" s="20"/>
      <c r="H18" s="20"/>
      <c r="I18" s="21" t="str">
        <f t="shared" si="1"/>
        <v/>
      </c>
      <c r="J18" s="9"/>
      <c r="K18" s="19">
        <f>月度投入明细!AC15</f>
        <v>0</v>
      </c>
      <c r="L18" s="19">
        <f>K18*人工成本预算!$E$3</f>
        <v>0</v>
      </c>
    </row>
    <row r="19" spans="1:12">
      <c r="A19" s="3" t="s">
        <v>198</v>
      </c>
      <c r="B19" s="5">
        <f>月度投入明细!AD15</f>
        <v>462</v>
      </c>
      <c r="C19" s="19">
        <f>B19*人工成本预算!$E$3</f>
        <v>638306.830661103</v>
      </c>
      <c r="D19" s="20"/>
      <c r="E19" s="21">
        <f t="shared" si="0"/>
        <v>638306.830661103</v>
      </c>
      <c r="F19" s="20"/>
      <c r="G19" s="20"/>
      <c r="H19" s="20"/>
      <c r="I19" s="21" t="str">
        <f t="shared" si="1"/>
        <v/>
      </c>
      <c r="J19" s="9"/>
      <c r="K19" s="19">
        <f>月度投入明细!AE15</f>
        <v>0</v>
      </c>
      <c r="L19" s="19">
        <f>K19*人工成本预算!$E$3</f>
        <v>0</v>
      </c>
    </row>
    <row r="20" spans="1:12">
      <c r="A20" s="3" t="s">
        <v>199</v>
      </c>
      <c r="B20" s="5">
        <f>月度投入明细!AF15</f>
        <v>441</v>
      </c>
      <c r="C20" s="19">
        <f>B20*人工成本预算!$E$3</f>
        <v>609292.883812871</v>
      </c>
      <c r="D20" s="20"/>
      <c r="E20" s="21">
        <f t="shared" si="0"/>
        <v>609292.883812871</v>
      </c>
      <c r="F20" s="20"/>
      <c r="G20" s="20"/>
      <c r="H20" s="20"/>
      <c r="I20" s="21" t="str">
        <f t="shared" si="1"/>
        <v/>
      </c>
      <c r="J20" s="9"/>
      <c r="K20" s="19">
        <f>月度投入明细!AG15</f>
        <v>0</v>
      </c>
      <c r="L20" s="19">
        <f>K20*人工成本预算!$E$3</f>
        <v>0</v>
      </c>
    </row>
    <row r="21" spans="1:12">
      <c r="A21" s="3" t="s">
        <v>200</v>
      </c>
      <c r="B21" s="5">
        <f>月度投入明细!AH15</f>
        <v>441</v>
      </c>
      <c r="C21" s="19">
        <f>B21*人工成本预算!$E$3</f>
        <v>609292.883812871</v>
      </c>
      <c r="D21" s="20"/>
      <c r="E21" s="21">
        <f t="shared" si="0"/>
        <v>609292.883812871</v>
      </c>
      <c r="F21" s="20"/>
      <c r="G21" s="20"/>
      <c r="H21" s="20"/>
      <c r="I21" s="21" t="str">
        <f t="shared" si="1"/>
        <v/>
      </c>
      <c r="J21" s="9"/>
      <c r="K21" s="19">
        <f>月度投入明细!AI15</f>
        <v>0</v>
      </c>
      <c r="L21" s="19">
        <f>K21*人工成本预算!$E$3</f>
        <v>0</v>
      </c>
    </row>
    <row r="22" spans="1:12">
      <c r="A22" s="3" t="s">
        <v>201</v>
      </c>
      <c r="B22" s="5">
        <f>月度投入明细!AJ15</f>
        <v>315</v>
      </c>
      <c r="C22" s="19">
        <f>B22*人工成本预算!$E$3</f>
        <v>435209.202723479</v>
      </c>
      <c r="D22" s="20"/>
      <c r="E22" s="21">
        <f t="shared" si="0"/>
        <v>435209.202723479</v>
      </c>
      <c r="F22" s="20"/>
      <c r="G22" s="20"/>
      <c r="H22" s="20"/>
      <c r="I22" s="21" t="str">
        <f t="shared" si="1"/>
        <v/>
      </c>
      <c r="J22" s="9"/>
      <c r="K22" s="19">
        <f>月度投入明细!AK15</f>
        <v>0</v>
      </c>
      <c r="L22" s="19">
        <f>K22*人工成本预算!$E$3</f>
        <v>0</v>
      </c>
    </row>
    <row r="23" spans="1:12">
      <c r="A23" s="3" t="s">
        <v>202</v>
      </c>
      <c r="B23" s="5">
        <f>月度投入明细!AL15</f>
        <v>252</v>
      </c>
      <c r="C23" s="19">
        <f>B23*人工成本预算!$E$3</f>
        <v>348167.362178783</v>
      </c>
      <c r="D23" s="20"/>
      <c r="E23" s="21">
        <f t="shared" si="0"/>
        <v>348167.362178783</v>
      </c>
      <c r="F23" s="20"/>
      <c r="G23" s="20"/>
      <c r="H23" s="20"/>
      <c r="I23" s="21" t="str">
        <f t="shared" si="1"/>
        <v/>
      </c>
      <c r="J23" s="9"/>
      <c r="K23" s="19">
        <f>月度投入明细!AM15</f>
        <v>0</v>
      </c>
      <c r="L23" s="19">
        <f>K23*人工成本预算!$E$3</f>
        <v>0</v>
      </c>
    </row>
    <row r="24" spans="1:12">
      <c r="A24" s="3" t="s">
        <v>203</v>
      </c>
      <c r="B24" s="5">
        <f>月度投入明细!AN15</f>
        <v>210</v>
      </c>
      <c r="C24" s="19">
        <f>B24*人工成本预算!$E$3</f>
        <v>290139.468482319</v>
      </c>
      <c r="D24" s="20"/>
      <c r="E24" s="21">
        <f t="shared" si="0"/>
        <v>290139.468482319</v>
      </c>
      <c r="F24" s="20"/>
      <c r="G24" s="20"/>
      <c r="H24" s="20"/>
      <c r="I24" s="21" t="str">
        <f t="shared" si="1"/>
        <v/>
      </c>
      <c r="J24" s="9"/>
      <c r="K24" s="19">
        <f>月度投入明细!AO15</f>
        <v>0</v>
      </c>
      <c r="L24" s="19">
        <f>K24*人工成本预算!$E$3</f>
        <v>0</v>
      </c>
    </row>
    <row r="25" spans="1:12">
      <c r="A25" s="23" t="s">
        <v>182</v>
      </c>
      <c r="B25" s="24">
        <f>SUM(B5:B24)</f>
        <v>4553</v>
      </c>
      <c r="C25" s="24">
        <f>SUM(C5:C24)</f>
        <v>6290500</v>
      </c>
      <c r="D25" s="24" t="str">
        <f>IF(COUNTA(D5:D24)=0,"",SUM(D5:D24))</f>
        <v/>
      </c>
      <c r="E25" s="25">
        <f>SUM(E5:E24)</f>
        <v>6290500</v>
      </c>
      <c r="F25" s="24" t="str">
        <f>IF(COUNTA(F5:F24)=0,"",SUM(F5:F24))</f>
        <v/>
      </c>
      <c r="G25" s="24" t="str">
        <f>IF(COUNTA(G5:G24)=0,"",SUM(G5:G24))</f>
        <v/>
      </c>
      <c r="H25" s="24" t="str">
        <f>IF(COUNTA(H5:H24)=0,"",SUM(H5:H24))</f>
        <v/>
      </c>
      <c r="I25" s="25" t="str">
        <f t="shared" si="1"/>
        <v/>
      </c>
      <c r="J25" s="23"/>
      <c r="K25" s="26">
        <f>SUM(K5:K24)</f>
        <v>378</v>
      </c>
      <c r="L25" s="26">
        <f>SUM(L5:L24)</f>
        <v>522251.043268175</v>
      </c>
    </row>
  </sheetData>
  <mergeCells count="1">
    <mergeCell ref="A2:J2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4" style="1" customWidth="1"/>
    <col min="2" max="2" width="26" style="1" customWidth="1"/>
    <col min="3" max="3" width="16" style="1" customWidth="1"/>
    <col min="4" max="4" width="42" style="1" customWidth="1"/>
    <col min="5" max="5" width="15" style="1" customWidth="1"/>
    <col min="6" max="7" width="16" style="1" customWidth="1"/>
    <col min="8" max="8" width="18" style="1" customWidth="1"/>
    <col min="9" max="10" width="20" style="1" customWidth="1"/>
  </cols>
  <sheetData>
    <row r="1" ht="25" customHeight="1" spans="1:10">
      <c r="A1" s="7" t="s">
        <v>77</v>
      </c>
      <c r="B1" s="7"/>
      <c r="C1" s="7"/>
      <c r="D1" s="7"/>
      <c r="E1" s="7"/>
      <c r="F1" s="7"/>
      <c r="G1" s="7"/>
      <c r="H1" s="7"/>
      <c r="I1" s="7"/>
      <c r="J1" s="7"/>
    </row>
    <row r="2" spans="1:10">
      <c r="A2" s="8" t="s">
        <v>223</v>
      </c>
    </row>
    <row r="4" ht="32" customHeight="1" spans="1:10">
      <c r="A4" s="2" t="s">
        <v>224</v>
      </c>
      <c r="B4" s="2" t="s">
        <v>225</v>
      </c>
      <c r="C4" s="2" t="s">
        <v>226</v>
      </c>
      <c r="D4" s="2" t="s">
        <v>227</v>
      </c>
      <c r="E4" s="2" t="s">
        <v>228</v>
      </c>
      <c r="F4" s="2" t="s">
        <v>229</v>
      </c>
      <c r="G4" s="2" t="s">
        <v>230</v>
      </c>
      <c r="H4" s="2" t="s">
        <v>231</v>
      </c>
      <c r="I4" s="2" t="s">
        <v>232</v>
      </c>
      <c r="J4" s="2" t="s">
        <v>233</v>
      </c>
    </row>
    <row r="5" spans="1:10">
      <c r="A5" s="3" t="s">
        <v>234</v>
      </c>
      <c r="B5" s="3" t="s">
        <v>235</v>
      </c>
      <c r="C5" s="3" t="s">
        <v>236</v>
      </c>
      <c r="D5" s="16" t="s">
        <v>237</v>
      </c>
      <c r="E5" s="3" t="s">
        <v>120</v>
      </c>
      <c r="F5" s="6">
        <v>46290</v>
      </c>
      <c r="G5" s="6">
        <v>46310</v>
      </c>
      <c r="H5" s="12"/>
      <c r="I5" s="9" t="s">
        <v>121</v>
      </c>
      <c r="J5" s="16" t="s">
        <v>238</v>
      </c>
    </row>
    <row r="6" spans="1:10">
      <c r="A6" s="3" t="s">
        <v>239</v>
      </c>
      <c r="B6" s="3" t="s">
        <v>124</v>
      </c>
      <c r="C6" s="3" t="s">
        <v>236</v>
      </c>
      <c r="D6" s="16" t="s">
        <v>240</v>
      </c>
      <c r="E6" s="3" t="s">
        <v>120</v>
      </c>
      <c r="F6" s="6">
        <v>46290</v>
      </c>
      <c r="G6" s="6">
        <v>46310</v>
      </c>
      <c r="H6" s="12"/>
      <c r="I6" s="9" t="s">
        <v>121</v>
      </c>
      <c r="J6" s="16" t="s">
        <v>238</v>
      </c>
    </row>
    <row r="7" spans="1:10">
      <c r="A7" s="3" t="s">
        <v>241</v>
      </c>
      <c r="B7" s="3" t="s">
        <v>126</v>
      </c>
      <c r="C7" s="3" t="s">
        <v>236</v>
      </c>
      <c r="D7" s="16" t="s">
        <v>242</v>
      </c>
      <c r="E7" s="3" t="s">
        <v>120</v>
      </c>
      <c r="F7" s="6">
        <v>46290</v>
      </c>
      <c r="G7" s="6">
        <v>46310</v>
      </c>
      <c r="H7" s="12"/>
      <c r="I7" s="9" t="s">
        <v>121</v>
      </c>
      <c r="J7" s="16" t="s">
        <v>238</v>
      </c>
    </row>
    <row r="8" spans="1:10">
      <c r="A8" s="3" t="s">
        <v>243</v>
      </c>
      <c r="B8" s="3" t="s">
        <v>129</v>
      </c>
      <c r="C8" s="3" t="s">
        <v>128</v>
      </c>
      <c r="D8" s="16" t="s">
        <v>244</v>
      </c>
      <c r="E8" s="3" t="s">
        <v>131</v>
      </c>
      <c r="F8" s="6">
        <v>46295</v>
      </c>
      <c r="G8" s="6">
        <v>46311</v>
      </c>
      <c r="H8" s="12"/>
      <c r="I8" s="9" t="s">
        <v>121</v>
      </c>
      <c r="J8" s="16" t="s">
        <v>245</v>
      </c>
    </row>
    <row r="9" spans="1:10">
      <c r="A9" s="3" t="s">
        <v>246</v>
      </c>
      <c r="B9" s="3" t="s">
        <v>135</v>
      </c>
      <c r="C9" s="3" t="s">
        <v>134</v>
      </c>
      <c r="D9" s="16" t="s">
        <v>247</v>
      </c>
      <c r="E9" s="3" t="s">
        <v>137</v>
      </c>
      <c r="F9" s="6">
        <v>46387</v>
      </c>
      <c r="G9" s="6">
        <v>46418</v>
      </c>
      <c r="H9" s="12"/>
      <c r="I9" s="9" t="s">
        <v>121</v>
      </c>
      <c r="J9" s="16" t="s">
        <v>248</v>
      </c>
    </row>
    <row r="10" spans="1:10">
      <c r="A10" s="3" t="s">
        <v>249</v>
      </c>
      <c r="B10" s="3" t="s">
        <v>140</v>
      </c>
      <c r="C10" s="3" t="s">
        <v>134</v>
      </c>
      <c r="D10" s="16" t="s">
        <v>250</v>
      </c>
      <c r="E10" s="3" t="s">
        <v>142</v>
      </c>
      <c r="F10" s="6">
        <v>46356</v>
      </c>
      <c r="G10" s="6">
        <v>46387</v>
      </c>
      <c r="H10" s="12"/>
      <c r="I10" s="9" t="s">
        <v>121</v>
      </c>
      <c r="J10" s="16" t="s">
        <v>251</v>
      </c>
    </row>
    <row r="11" spans="1:10">
      <c r="A11" s="3" t="s">
        <v>252</v>
      </c>
      <c r="B11" s="3" t="s">
        <v>145</v>
      </c>
      <c r="C11" s="3" t="s">
        <v>134</v>
      </c>
      <c r="D11" s="16" t="s">
        <v>253</v>
      </c>
      <c r="E11" s="3" t="s">
        <v>75</v>
      </c>
      <c r="F11" s="6">
        <v>46311</v>
      </c>
      <c r="G11" s="6">
        <v>46326</v>
      </c>
      <c r="H11" s="12"/>
      <c r="I11" s="9" t="s">
        <v>121</v>
      </c>
      <c r="J11" s="16" t="s">
        <v>254</v>
      </c>
    </row>
  </sheetData>
  <dataValidations count="1">
    <dataValidation type="list" sqref="I5:I104">
      <formula1>"待估算,询价中,待批准,已纳入预算"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5" width="16" style="1" customWidth="1"/>
    <col min="6" max="8" width="14" style="1" customWidth="1"/>
    <col min="9" max="14" width="18" style="1" customWidth="1"/>
    <col min="15" max="18" width="16" style="1" customWidth="1"/>
  </cols>
  <sheetData>
    <row r="1" ht="25" customHeight="1" spans="1:18">
      <c r="A1" s="7" t="s">
        <v>255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>
      <c r="A2" s="8" t="s">
        <v>256</v>
      </c>
    </row>
    <row r="4" ht="32" customHeight="1" spans="1:18">
      <c r="A4" s="2" t="s">
        <v>257</v>
      </c>
      <c r="B4" s="2" t="s">
        <v>224</v>
      </c>
      <c r="C4" s="2" t="s">
        <v>258</v>
      </c>
      <c r="D4" s="2" t="s">
        <v>259</v>
      </c>
      <c r="E4" s="2" t="s">
        <v>260</v>
      </c>
      <c r="F4" s="2" t="s">
        <v>261</v>
      </c>
      <c r="G4" s="2" t="s">
        <v>262</v>
      </c>
      <c r="H4" s="2" t="s">
        <v>263</v>
      </c>
      <c r="I4" s="2" t="s">
        <v>264</v>
      </c>
      <c r="J4" s="2" t="s">
        <v>265</v>
      </c>
      <c r="K4" s="2" t="s">
        <v>266</v>
      </c>
      <c r="L4" s="2" t="s">
        <v>267</v>
      </c>
      <c r="M4" s="2" t="s">
        <v>268</v>
      </c>
      <c r="N4" s="2" t="s">
        <v>269</v>
      </c>
      <c r="O4" s="2" t="s">
        <v>65</v>
      </c>
      <c r="P4" s="2" t="s">
        <v>270</v>
      </c>
      <c r="Q4" s="2" t="s">
        <v>271</v>
      </c>
      <c r="R4" s="2" t="s">
        <v>272</v>
      </c>
    </row>
    <row r="5" spans="1:18">
      <c r="A5" s="9"/>
      <c r="B5" s="9"/>
      <c r="C5" s="9"/>
      <c r="D5" s="9"/>
      <c r="E5" s="9"/>
      <c r="F5" s="10"/>
      <c r="G5" s="10"/>
      <c r="H5" s="10"/>
      <c r="I5" s="12"/>
      <c r="J5" s="12"/>
      <c r="K5" s="13" t="str">
        <f t="shared" ref="K5:K24" si="0">IF(I5="","",I5+J5)</f>
        <v/>
      </c>
      <c r="L5" s="12"/>
      <c r="M5" s="12"/>
      <c r="N5" s="13" t="str">
        <f t="shared" ref="N5:N24" si="1">IF(K5="","",K5-M5)</f>
        <v/>
      </c>
      <c r="O5" s="9"/>
      <c r="P5" s="9"/>
      <c r="Q5" s="9"/>
      <c r="R5" s="9"/>
    </row>
    <row r="6" spans="1:18">
      <c r="A6" s="9"/>
      <c r="B6" s="9"/>
      <c r="C6" s="9"/>
      <c r="D6" s="9"/>
      <c r="E6" s="9"/>
      <c r="F6" s="10"/>
      <c r="G6" s="10"/>
      <c r="H6" s="10"/>
      <c r="I6" s="12"/>
      <c r="J6" s="12"/>
      <c r="K6" s="13" t="str">
        <f t="shared" si="0"/>
        <v/>
      </c>
      <c r="L6" s="12"/>
      <c r="M6" s="12"/>
      <c r="N6" s="13" t="str">
        <f t="shared" si="1"/>
        <v/>
      </c>
      <c r="O6" s="9"/>
      <c r="P6" s="9"/>
      <c r="Q6" s="9"/>
      <c r="R6" s="9"/>
    </row>
    <row r="7" spans="1:18">
      <c r="A7" s="9"/>
      <c r="B7" s="9"/>
      <c r="C7" s="9"/>
      <c r="D7" s="9"/>
      <c r="E7" s="9"/>
      <c r="F7" s="10"/>
      <c r="G7" s="10"/>
      <c r="H7" s="10"/>
      <c r="I7" s="12"/>
      <c r="J7" s="12"/>
      <c r="K7" s="13" t="str">
        <f t="shared" si="0"/>
        <v/>
      </c>
      <c r="L7" s="12"/>
      <c r="M7" s="12"/>
      <c r="N7" s="13" t="str">
        <f t="shared" si="1"/>
        <v/>
      </c>
      <c r="O7" s="9"/>
      <c r="P7" s="9"/>
      <c r="Q7" s="9"/>
      <c r="R7" s="9"/>
    </row>
    <row r="8" spans="1:18">
      <c r="A8" s="9"/>
      <c r="B8" s="9"/>
      <c r="C8" s="9"/>
      <c r="D8" s="9"/>
      <c r="E8" s="9"/>
      <c r="F8" s="10"/>
      <c r="G8" s="10"/>
      <c r="H8" s="10"/>
      <c r="I8" s="12"/>
      <c r="J8" s="12"/>
      <c r="K8" s="13" t="str">
        <f t="shared" si="0"/>
        <v/>
      </c>
      <c r="L8" s="12"/>
      <c r="M8" s="12"/>
      <c r="N8" s="13" t="str">
        <f t="shared" si="1"/>
        <v/>
      </c>
      <c r="O8" s="9"/>
      <c r="P8" s="9"/>
      <c r="Q8" s="9"/>
      <c r="R8" s="9"/>
    </row>
    <row r="9" spans="1:18">
      <c r="A9" s="9"/>
      <c r="B9" s="9"/>
      <c r="C9" s="9"/>
      <c r="D9" s="9"/>
      <c r="E9" s="9"/>
      <c r="F9" s="10"/>
      <c r="G9" s="10"/>
      <c r="H9" s="10"/>
      <c r="I9" s="12"/>
      <c r="J9" s="12"/>
      <c r="K9" s="13" t="str">
        <f t="shared" si="0"/>
        <v/>
      </c>
      <c r="L9" s="12"/>
      <c r="M9" s="12"/>
      <c r="N9" s="13" t="str">
        <f t="shared" si="1"/>
        <v/>
      </c>
      <c r="O9" s="9"/>
      <c r="P9" s="9"/>
      <c r="Q9" s="9"/>
      <c r="R9" s="9"/>
    </row>
    <row r="10" spans="1:18">
      <c r="A10" s="9"/>
      <c r="B10" s="9"/>
      <c r="C10" s="9"/>
      <c r="D10" s="9"/>
      <c r="E10" s="9"/>
      <c r="F10" s="10"/>
      <c r="G10" s="10"/>
      <c r="H10" s="10"/>
      <c r="I10" s="12"/>
      <c r="J10" s="12"/>
      <c r="K10" s="13" t="str">
        <f t="shared" si="0"/>
        <v/>
      </c>
      <c r="L10" s="12"/>
      <c r="M10" s="12"/>
      <c r="N10" s="13" t="str">
        <f t="shared" si="1"/>
        <v/>
      </c>
      <c r="O10" s="9"/>
      <c r="P10" s="9"/>
      <c r="Q10" s="9"/>
      <c r="R10" s="9"/>
    </row>
    <row r="11" spans="1:18">
      <c r="A11" s="9"/>
      <c r="B11" s="9"/>
      <c r="C11" s="9"/>
      <c r="D11" s="9"/>
      <c r="E11" s="9"/>
      <c r="F11" s="10"/>
      <c r="G11" s="10"/>
      <c r="H11" s="10"/>
      <c r="I11" s="12"/>
      <c r="J11" s="12"/>
      <c r="K11" s="13" t="str">
        <f t="shared" si="0"/>
        <v/>
      </c>
      <c r="L11" s="12"/>
      <c r="M11" s="12"/>
      <c r="N11" s="13" t="str">
        <f t="shared" si="1"/>
        <v/>
      </c>
      <c r="O11" s="9"/>
      <c r="P11" s="9"/>
      <c r="Q11" s="9"/>
      <c r="R11" s="9"/>
    </row>
    <row r="12" spans="1:18">
      <c r="A12" s="9"/>
      <c r="B12" s="9"/>
      <c r="C12" s="9"/>
      <c r="D12" s="9"/>
      <c r="E12" s="9"/>
      <c r="F12" s="10"/>
      <c r="G12" s="10"/>
      <c r="H12" s="10"/>
      <c r="I12" s="12"/>
      <c r="J12" s="12"/>
      <c r="K12" s="13" t="str">
        <f t="shared" si="0"/>
        <v/>
      </c>
      <c r="L12" s="12"/>
      <c r="M12" s="12"/>
      <c r="N12" s="13" t="str">
        <f t="shared" si="1"/>
        <v/>
      </c>
      <c r="O12" s="9"/>
      <c r="P12" s="9"/>
      <c r="Q12" s="9"/>
      <c r="R12" s="9"/>
    </row>
    <row r="13" spans="1:18">
      <c r="A13" s="9"/>
      <c r="B13" s="9"/>
      <c r="C13" s="9"/>
      <c r="D13" s="9"/>
      <c r="E13" s="9"/>
      <c r="F13" s="10"/>
      <c r="G13" s="10"/>
      <c r="H13" s="10"/>
      <c r="I13" s="12"/>
      <c r="J13" s="12"/>
      <c r="K13" s="13" t="str">
        <f t="shared" si="0"/>
        <v/>
      </c>
      <c r="L13" s="12"/>
      <c r="M13" s="12"/>
      <c r="N13" s="13" t="str">
        <f t="shared" si="1"/>
        <v/>
      </c>
      <c r="O13" s="9"/>
      <c r="P13" s="9"/>
      <c r="Q13" s="9"/>
      <c r="R13" s="9"/>
    </row>
    <row r="14" spans="1:18">
      <c r="A14" s="9"/>
      <c r="B14" s="9"/>
      <c r="C14" s="9"/>
      <c r="D14" s="9"/>
      <c r="E14" s="9"/>
      <c r="F14" s="10"/>
      <c r="G14" s="10"/>
      <c r="H14" s="10"/>
      <c r="I14" s="12"/>
      <c r="J14" s="12"/>
      <c r="K14" s="13" t="str">
        <f t="shared" si="0"/>
        <v/>
      </c>
      <c r="L14" s="12"/>
      <c r="M14" s="12"/>
      <c r="N14" s="13" t="str">
        <f t="shared" si="1"/>
        <v/>
      </c>
      <c r="O14" s="9"/>
      <c r="P14" s="9"/>
      <c r="Q14" s="9"/>
      <c r="R14" s="9"/>
    </row>
    <row r="15" spans="1:18">
      <c r="A15" s="9"/>
      <c r="B15" s="9"/>
      <c r="C15" s="9"/>
      <c r="D15" s="9"/>
      <c r="E15" s="9"/>
      <c r="F15" s="10"/>
      <c r="G15" s="10"/>
      <c r="H15" s="10"/>
      <c r="I15" s="12"/>
      <c r="J15" s="12"/>
      <c r="K15" s="13" t="str">
        <f t="shared" si="0"/>
        <v/>
      </c>
      <c r="L15" s="12"/>
      <c r="M15" s="12"/>
      <c r="N15" s="13" t="str">
        <f t="shared" si="1"/>
        <v/>
      </c>
      <c r="O15" s="9"/>
      <c r="P15" s="9"/>
      <c r="Q15" s="9"/>
      <c r="R15" s="9"/>
    </row>
    <row r="16" spans="1:18">
      <c r="A16" s="9"/>
      <c r="B16" s="9"/>
      <c r="C16" s="9"/>
      <c r="D16" s="9"/>
      <c r="E16" s="9"/>
      <c r="F16" s="10"/>
      <c r="G16" s="10"/>
      <c r="H16" s="10"/>
      <c r="I16" s="12"/>
      <c r="J16" s="12"/>
      <c r="K16" s="13" t="str">
        <f t="shared" si="0"/>
        <v/>
      </c>
      <c r="L16" s="12"/>
      <c r="M16" s="12"/>
      <c r="N16" s="13" t="str">
        <f t="shared" si="1"/>
        <v/>
      </c>
      <c r="O16" s="9"/>
      <c r="P16" s="9"/>
      <c r="Q16" s="9"/>
      <c r="R16" s="9"/>
    </row>
    <row r="17" spans="1:18">
      <c r="A17" s="9"/>
      <c r="B17" s="9"/>
      <c r="C17" s="9"/>
      <c r="D17" s="9"/>
      <c r="E17" s="9"/>
      <c r="F17" s="10"/>
      <c r="G17" s="10"/>
      <c r="H17" s="10"/>
      <c r="I17" s="12"/>
      <c r="J17" s="12"/>
      <c r="K17" s="13" t="str">
        <f t="shared" si="0"/>
        <v/>
      </c>
      <c r="L17" s="12"/>
      <c r="M17" s="12"/>
      <c r="N17" s="13" t="str">
        <f t="shared" si="1"/>
        <v/>
      </c>
      <c r="O17" s="9"/>
      <c r="P17" s="9"/>
      <c r="Q17" s="9"/>
      <c r="R17" s="9"/>
    </row>
    <row r="18" spans="1:18">
      <c r="A18" s="9"/>
      <c r="B18" s="9"/>
      <c r="C18" s="9"/>
      <c r="D18" s="9"/>
      <c r="E18" s="9"/>
      <c r="F18" s="10"/>
      <c r="G18" s="10"/>
      <c r="H18" s="10"/>
      <c r="I18" s="12"/>
      <c r="J18" s="12"/>
      <c r="K18" s="13" t="str">
        <f t="shared" si="0"/>
        <v/>
      </c>
      <c r="L18" s="12"/>
      <c r="M18" s="12"/>
      <c r="N18" s="13" t="str">
        <f t="shared" si="1"/>
        <v/>
      </c>
      <c r="O18" s="9"/>
      <c r="P18" s="9"/>
      <c r="Q18" s="9"/>
      <c r="R18" s="9"/>
    </row>
    <row r="19" spans="1:18">
      <c r="A19" s="9"/>
      <c r="B19" s="9"/>
      <c r="C19" s="9"/>
      <c r="D19" s="9"/>
      <c r="E19" s="9"/>
      <c r="F19" s="10"/>
      <c r="G19" s="10"/>
      <c r="H19" s="10"/>
      <c r="I19" s="12"/>
      <c r="J19" s="12"/>
      <c r="K19" s="13" t="str">
        <f t="shared" si="0"/>
        <v/>
      </c>
      <c r="L19" s="12"/>
      <c r="M19" s="12"/>
      <c r="N19" s="13" t="str">
        <f t="shared" si="1"/>
        <v/>
      </c>
      <c r="O19" s="9"/>
      <c r="P19" s="9"/>
      <c r="Q19" s="9"/>
      <c r="R19" s="9"/>
    </row>
    <row r="20" spans="1:18">
      <c r="A20" s="9"/>
      <c r="B20" s="9"/>
      <c r="C20" s="9"/>
      <c r="D20" s="9"/>
      <c r="E20" s="9"/>
      <c r="F20" s="10"/>
      <c r="G20" s="10"/>
      <c r="H20" s="10"/>
      <c r="I20" s="12"/>
      <c r="J20" s="12"/>
      <c r="K20" s="13" t="str">
        <f t="shared" si="0"/>
        <v/>
      </c>
      <c r="L20" s="12"/>
      <c r="M20" s="12"/>
      <c r="N20" s="13" t="str">
        <f t="shared" si="1"/>
        <v/>
      </c>
      <c r="O20" s="9"/>
      <c r="P20" s="9"/>
      <c r="Q20" s="9"/>
      <c r="R20" s="9"/>
    </row>
    <row r="21" spans="1:18">
      <c r="A21" s="9"/>
      <c r="B21" s="9"/>
      <c r="C21" s="9"/>
      <c r="D21" s="9"/>
      <c r="E21" s="9"/>
      <c r="F21" s="10"/>
      <c r="G21" s="10"/>
      <c r="H21" s="10"/>
      <c r="I21" s="12"/>
      <c r="J21" s="12"/>
      <c r="K21" s="13" t="str">
        <f t="shared" si="0"/>
        <v/>
      </c>
      <c r="L21" s="12"/>
      <c r="M21" s="12"/>
      <c r="N21" s="13" t="str">
        <f t="shared" si="1"/>
        <v/>
      </c>
      <c r="O21" s="9"/>
      <c r="P21" s="9"/>
      <c r="Q21" s="9"/>
      <c r="R21" s="9"/>
    </row>
    <row r="22" spans="1:18">
      <c r="A22" s="9"/>
      <c r="B22" s="9"/>
      <c r="C22" s="9"/>
      <c r="D22" s="9"/>
      <c r="E22" s="9"/>
      <c r="F22" s="10"/>
      <c r="G22" s="10"/>
      <c r="H22" s="10"/>
      <c r="I22" s="12"/>
      <c r="J22" s="12"/>
      <c r="K22" s="13" t="str">
        <f t="shared" si="0"/>
        <v/>
      </c>
      <c r="L22" s="12"/>
      <c r="M22" s="12"/>
      <c r="N22" s="13" t="str">
        <f t="shared" si="1"/>
        <v/>
      </c>
      <c r="O22" s="9"/>
      <c r="P22" s="9"/>
      <c r="Q22" s="9"/>
      <c r="R22" s="9"/>
    </row>
    <row r="23" spans="1:18">
      <c r="A23" s="9"/>
      <c r="B23" s="9"/>
      <c r="C23" s="9"/>
      <c r="D23" s="9"/>
      <c r="E23" s="9"/>
      <c r="F23" s="10"/>
      <c r="G23" s="10"/>
      <c r="H23" s="10"/>
      <c r="I23" s="12"/>
      <c r="J23" s="12"/>
      <c r="K23" s="13" t="str">
        <f t="shared" si="0"/>
        <v/>
      </c>
      <c r="L23" s="12"/>
      <c r="M23" s="12"/>
      <c r="N23" s="13" t="str">
        <f t="shared" si="1"/>
        <v/>
      </c>
      <c r="O23" s="9"/>
      <c r="P23" s="9"/>
      <c r="Q23" s="9"/>
      <c r="R23" s="9"/>
    </row>
    <row r="24" spans="1:18">
      <c r="A24" s="9"/>
      <c r="B24" s="9"/>
      <c r="C24" s="9"/>
      <c r="D24" s="9"/>
      <c r="E24" s="9"/>
      <c r="F24" s="10"/>
      <c r="G24" s="10"/>
      <c r="H24" s="10"/>
      <c r="I24" s="12"/>
      <c r="J24" s="12"/>
      <c r="K24" s="13" t="str">
        <f t="shared" si="0"/>
        <v/>
      </c>
      <c r="L24" s="12"/>
      <c r="M24" s="12"/>
      <c r="N24" s="13" t="str">
        <f t="shared" si="1"/>
        <v/>
      </c>
      <c r="O24" s="9"/>
      <c r="P24" s="9"/>
      <c r="Q24" s="9"/>
      <c r="R24" s="9"/>
    </row>
  </sheetData>
  <dataValidations count="2">
    <dataValidation type="list" sqref="P5:P104">
      <formula1>"拟签订,履行中,暂停,已终止,已关闭"</formula1>
    </dataValidation>
    <dataValidation type="list" sqref="Q5:Q104">
      <formula1>"未开始,部分验收,验收通过,验收不通过"</formula1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16" style="1" customWidth="1"/>
    <col min="4" max="6" width="18" style="1" customWidth="1"/>
    <col min="7" max="9" width="28" style="1" customWidth="1"/>
    <col min="10" max="12" width="16" style="1" customWidth="1"/>
    <col min="13" max="14" width="18" style="1" customWidth="1"/>
    <col min="15" max="15" width="24" style="1" customWidth="1"/>
  </cols>
  <sheetData>
    <row r="1" ht="25" customHeight="1" spans="1:15">
      <c r="A1" s="7" t="s">
        <v>33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>
      <c r="A2" s="8" t="s">
        <v>273</v>
      </c>
    </row>
    <row r="4" ht="32" customHeight="1" spans="1:15">
      <c r="A4" s="2" t="s">
        <v>274</v>
      </c>
      <c r="B4" s="2" t="s">
        <v>257</v>
      </c>
      <c r="C4" s="2" t="s">
        <v>275</v>
      </c>
      <c r="D4" s="2" t="s">
        <v>276</v>
      </c>
      <c r="E4" s="2" t="s">
        <v>277</v>
      </c>
      <c r="F4" s="2" t="s">
        <v>278</v>
      </c>
      <c r="G4" s="2" t="s">
        <v>279</v>
      </c>
      <c r="H4" s="2" t="s">
        <v>280</v>
      </c>
      <c r="I4" s="2" t="s">
        <v>281</v>
      </c>
      <c r="J4" s="2" t="s">
        <v>271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272</v>
      </c>
    </row>
    <row r="5" spans="1:15">
      <c r="A5" s="9"/>
      <c r="B5" s="9"/>
      <c r="C5" s="9"/>
      <c r="D5" s="10"/>
      <c r="E5" s="15"/>
      <c r="F5" s="12"/>
      <c r="G5" s="11"/>
      <c r="H5" s="11"/>
      <c r="I5" s="11"/>
      <c r="J5" s="9"/>
      <c r="K5" s="9"/>
      <c r="L5" s="9"/>
      <c r="M5" s="10"/>
      <c r="N5" s="12"/>
      <c r="O5" s="9"/>
    </row>
    <row r="6" spans="1:15">
      <c r="A6" s="9"/>
      <c r="B6" s="9"/>
      <c r="C6" s="9"/>
      <c r="D6" s="10"/>
      <c r="E6" s="15"/>
      <c r="F6" s="12"/>
      <c r="G6" s="11"/>
      <c r="H6" s="11"/>
      <c r="I6" s="11"/>
      <c r="J6" s="9"/>
      <c r="K6" s="9"/>
      <c r="L6" s="9"/>
      <c r="M6" s="10"/>
      <c r="N6" s="12"/>
      <c r="O6" s="9"/>
    </row>
    <row r="7" spans="1:15">
      <c r="A7" s="9"/>
      <c r="B7" s="9"/>
      <c r="C7" s="9"/>
      <c r="D7" s="10"/>
      <c r="E7" s="15"/>
      <c r="F7" s="12"/>
      <c r="G7" s="11"/>
      <c r="H7" s="11"/>
      <c r="I7" s="11"/>
      <c r="J7" s="9"/>
      <c r="K7" s="9"/>
      <c r="L7" s="9"/>
      <c r="M7" s="10"/>
      <c r="N7" s="12"/>
      <c r="O7" s="9"/>
    </row>
    <row r="8" spans="1:15">
      <c r="A8" s="9"/>
      <c r="B8" s="9"/>
      <c r="C8" s="9"/>
      <c r="D8" s="10"/>
      <c r="E8" s="15"/>
      <c r="F8" s="12"/>
      <c r="G8" s="11"/>
      <c r="H8" s="11"/>
      <c r="I8" s="11"/>
      <c r="J8" s="9"/>
      <c r="K8" s="9"/>
      <c r="L8" s="9"/>
      <c r="M8" s="10"/>
      <c r="N8" s="12"/>
      <c r="O8" s="9"/>
    </row>
    <row r="9" spans="1:15">
      <c r="A9" s="9"/>
      <c r="B9" s="9"/>
      <c r="C9" s="9"/>
      <c r="D9" s="10"/>
      <c r="E9" s="15"/>
      <c r="F9" s="12"/>
      <c r="G9" s="11"/>
      <c r="H9" s="11"/>
      <c r="I9" s="11"/>
      <c r="J9" s="9"/>
      <c r="K9" s="9"/>
      <c r="L9" s="9"/>
      <c r="M9" s="10"/>
      <c r="N9" s="12"/>
      <c r="O9" s="9"/>
    </row>
    <row r="10" spans="1:15">
      <c r="A10" s="9"/>
      <c r="B10" s="9"/>
      <c r="C10" s="9"/>
      <c r="D10" s="10"/>
      <c r="E10" s="15"/>
      <c r="F10" s="12"/>
      <c r="G10" s="11"/>
      <c r="H10" s="11"/>
      <c r="I10" s="11"/>
      <c r="J10" s="9"/>
      <c r="K10" s="9"/>
      <c r="L10" s="9"/>
      <c r="M10" s="10"/>
      <c r="N10" s="12"/>
      <c r="O10" s="9"/>
    </row>
    <row r="11" spans="1:15">
      <c r="A11" s="9"/>
      <c r="B11" s="9"/>
      <c r="C11" s="9"/>
      <c r="D11" s="10"/>
      <c r="E11" s="15"/>
      <c r="F11" s="12"/>
      <c r="G11" s="11"/>
      <c r="H11" s="11"/>
      <c r="I11" s="11"/>
      <c r="J11" s="9"/>
      <c r="K11" s="9"/>
      <c r="L11" s="9"/>
      <c r="M11" s="10"/>
      <c r="N11" s="12"/>
      <c r="O11" s="9"/>
    </row>
    <row r="12" spans="1:15">
      <c r="A12" s="9"/>
      <c r="B12" s="9"/>
      <c r="C12" s="9"/>
      <c r="D12" s="10"/>
      <c r="E12" s="15"/>
      <c r="F12" s="12"/>
      <c r="G12" s="11"/>
      <c r="H12" s="11"/>
      <c r="I12" s="11"/>
      <c r="J12" s="9"/>
      <c r="K12" s="9"/>
      <c r="L12" s="9"/>
      <c r="M12" s="10"/>
      <c r="N12" s="12"/>
      <c r="O12" s="9"/>
    </row>
    <row r="13" spans="1:15">
      <c r="A13" s="9"/>
      <c r="B13" s="9"/>
      <c r="C13" s="9"/>
      <c r="D13" s="10"/>
      <c r="E13" s="15"/>
      <c r="F13" s="12"/>
      <c r="G13" s="11"/>
      <c r="H13" s="11"/>
      <c r="I13" s="11"/>
      <c r="J13" s="9"/>
      <c r="K13" s="9"/>
      <c r="L13" s="9"/>
      <c r="M13" s="10"/>
      <c r="N13" s="12"/>
      <c r="O13" s="9"/>
    </row>
    <row r="14" spans="1:15">
      <c r="A14" s="9"/>
      <c r="B14" s="9"/>
      <c r="C14" s="9"/>
      <c r="D14" s="10"/>
      <c r="E14" s="15"/>
      <c r="F14" s="12"/>
      <c r="G14" s="11"/>
      <c r="H14" s="11"/>
      <c r="I14" s="11"/>
      <c r="J14" s="9"/>
      <c r="K14" s="9"/>
      <c r="L14" s="9"/>
      <c r="M14" s="10"/>
      <c r="N14" s="12"/>
      <c r="O14" s="9"/>
    </row>
    <row r="15" spans="1:15">
      <c r="A15" s="9"/>
      <c r="B15" s="9"/>
      <c r="C15" s="9"/>
      <c r="D15" s="10"/>
      <c r="E15" s="15"/>
      <c r="F15" s="12"/>
      <c r="G15" s="11"/>
      <c r="H15" s="11"/>
      <c r="I15" s="11"/>
      <c r="J15" s="9"/>
      <c r="K15" s="9"/>
      <c r="L15" s="9"/>
      <c r="M15" s="10"/>
      <c r="N15" s="12"/>
      <c r="O15" s="9"/>
    </row>
    <row r="16" spans="1:15">
      <c r="A16" s="9"/>
      <c r="B16" s="9"/>
      <c r="C16" s="9"/>
      <c r="D16" s="10"/>
      <c r="E16" s="15"/>
      <c r="F16" s="12"/>
      <c r="G16" s="11"/>
      <c r="H16" s="11"/>
      <c r="I16" s="11"/>
      <c r="J16" s="9"/>
      <c r="K16" s="9"/>
      <c r="L16" s="9"/>
      <c r="M16" s="10"/>
      <c r="N16" s="12"/>
      <c r="O16" s="9"/>
    </row>
    <row r="17" spans="1:15">
      <c r="A17" s="9"/>
      <c r="B17" s="9"/>
      <c r="C17" s="9"/>
      <c r="D17" s="10"/>
      <c r="E17" s="15"/>
      <c r="F17" s="12"/>
      <c r="G17" s="11"/>
      <c r="H17" s="11"/>
      <c r="I17" s="11"/>
      <c r="J17" s="9"/>
      <c r="K17" s="9"/>
      <c r="L17" s="9"/>
      <c r="M17" s="10"/>
      <c r="N17" s="12"/>
      <c r="O17" s="9"/>
    </row>
    <row r="18" spans="1:15">
      <c r="A18" s="9"/>
      <c r="B18" s="9"/>
      <c r="C18" s="9"/>
      <c r="D18" s="10"/>
      <c r="E18" s="15"/>
      <c r="F18" s="12"/>
      <c r="G18" s="11"/>
      <c r="H18" s="11"/>
      <c r="I18" s="11"/>
      <c r="J18" s="9"/>
      <c r="K18" s="9"/>
      <c r="L18" s="9"/>
      <c r="M18" s="10"/>
      <c r="N18" s="12"/>
      <c r="O18" s="9"/>
    </row>
    <row r="19" spans="1:15">
      <c r="A19" s="9"/>
      <c r="B19" s="9"/>
      <c r="C19" s="9"/>
      <c r="D19" s="10"/>
      <c r="E19" s="15"/>
      <c r="F19" s="12"/>
      <c r="G19" s="11"/>
      <c r="H19" s="11"/>
      <c r="I19" s="11"/>
      <c r="J19" s="9"/>
      <c r="K19" s="9"/>
      <c r="L19" s="9"/>
      <c r="M19" s="10"/>
      <c r="N19" s="12"/>
      <c r="O19" s="9"/>
    </row>
    <row r="20" spans="1:15">
      <c r="A20" s="9"/>
      <c r="B20" s="9"/>
      <c r="C20" s="9"/>
      <c r="D20" s="10"/>
      <c r="E20" s="15"/>
      <c r="F20" s="12"/>
      <c r="G20" s="11"/>
      <c r="H20" s="11"/>
      <c r="I20" s="11"/>
      <c r="J20" s="9"/>
      <c r="K20" s="9"/>
      <c r="L20" s="9"/>
      <c r="M20" s="10"/>
      <c r="N20" s="12"/>
      <c r="O20" s="9"/>
    </row>
    <row r="21" spans="1:15">
      <c r="A21" s="9"/>
      <c r="B21" s="9"/>
      <c r="C21" s="9"/>
      <c r="D21" s="10"/>
      <c r="E21" s="15"/>
      <c r="F21" s="12"/>
      <c r="G21" s="11"/>
      <c r="H21" s="11"/>
      <c r="I21" s="11"/>
      <c r="J21" s="9"/>
      <c r="K21" s="9"/>
      <c r="L21" s="9"/>
      <c r="M21" s="10"/>
      <c r="N21" s="12"/>
      <c r="O21" s="9"/>
    </row>
    <row r="22" spans="1:15">
      <c r="A22" s="9"/>
      <c r="B22" s="9"/>
      <c r="C22" s="9"/>
      <c r="D22" s="10"/>
      <c r="E22" s="15"/>
      <c r="F22" s="12"/>
      <c r="G22" s="11"/>
      <c r="H22" s="11"/>
      <c r="I22" s="11"/>
      <c r="J22" s="9"/>
      <c r="K22" s="9"/>
      <c r="L22" s="9"/>
      <c r="M22" s="10"/>
      <c r="N22" s="12"/>
      <c r="O22" s="9"/>
    </row>
    <row r="23" spans="1:15">
      <c r="A23" s="9"/>
      <c r="B23" s="9"/>
      <c r="C23" s="9"/>
      <c r="D23" s="10"/>
      <c r="E23" s="15"/>
      <c r="F23" s="12"/>
      <c r="G23" s="11"/>
      <c r="H23" s="11"/>
      <c r="I23" s="11"/>
      <c r="J23" s="9"/>
      <c r="K23" s="9"/>
      <c r="L23" s="9"/>
      <c r="M23" s="10"/>
      <c r="N23" s="12"/>
      <c r="O23" s="9"/>
    </row>
    <row r="24" spans="1:15">
      <c r="A24" s="9"/>
      <c r="B24" s="9"/>
      <c r="C24" s="9"/>
      <c r="D24" s="10"/>
      <c r="E24" s="15"/>
      <c r="F24" s="12"/>
      <c r="G24" s="11"/>
      <c r="H24" s="11"/>
      <c r="I24" s="11"/>
      <c r="J24" s="9"/>
      <c r="K24" s="9"/>
      <c r="L24" s="9"/>
      <c r="M24" s="10"/>
      <c r="N24" s="12"/>
      <c r="O24" s="9"/>
    </row>
    <row r="25" spans="1:15">
      <c r="A25" s="9"/>
      <c r="B25" s="9"/>
      <c r="C25" s="9"/>
      <c r="D25" s="10"/>
      <c r="E25" s="15"/>
      <c r="F25" s="12"/>
      <c r="G25" s="11"/>
      <c r="H25" s="11"/>
      <c r="I25" s="11"/>
      <c r="J25" s="9"/>
      <c r="K25" s="9"/>
      <c r="L25" s="9"/>
      <c r="M25" s="10"/>
      <c r="N25" s="12"/>
      <c r="O25" s="9"/>
    </row>
    <row r="26" spans="1:15">
      <c r="A26" s="9"/>
      <c r="B26" s="9"/>
      <c r="C26" s="9"/>
      <c r="D26" s="10"/>
      <c r="E26" s="15"/>
      <c r="F26" s="12"/>
      <c r="G26" s="11"/>
      <c r="H26" s="11"/>
      <c r="I26" s="11"/>
      <c r="J26" s="9"/>
      <c r="K26" s="9"/>
      <c r="L26" s="9"/>
      <c r="M26" s="10"/>
      <c r="N26" s="12"/>
      <c r="O26" s="9"/>
    </row>
    <row r="27" spans="1:15">
      <c r="A27" s="9"/>
      <c r="B27" s="9"/>
      <c r="C27" s="9"/>
      <c r="D27" s="10"/>
      <c r="E27" s="15"/>
      <c r="F27" s="12"/>
      <c r="G27" s="11"/>
      <c r="H27" s="11"/>
      <c r="I27" s="11"/>
      <c r="J27" s="9"/>
      <c r="K27" s="9"/>
      <c r="L27" s="9"/>
      <c r="M27" s="10"/>
      <c r="N27" s="12"/>
      <c r="O27" s="9"/>
    </row>
    <row r="28" spans="1:15">
      <c r="A28" s="9"/>
      <c r="B28" s="9"/>
      <c r="C28" s="9"/>
      <c r="D28" s="10"/>
      <c r="E28" s="15"/>
      <c r="F28" s="12"/>
      <c r="G28" s="11"/>
      <c r="H28" s="11"/>
      <c r="I28" s="11"/>
      <c r="J28" s="9"/>
      <c r="K28" s="9"/>
      <c r="L28" s="9"/>
      <c r="M28" s="10"/>
      <c r="N28" s="12"/>
      <c r="O28" s="9"/>
    </row>
    <row r="29" spans="1:15">
      <c r="A29" s="9"/>
      <c r="B29" s="9"/>
      <c r="C29" s="9"/>
      <c r="D29" s="10"/>
      <c r="E29" s="15"/>
      <c r="F29" s="12"/>
      <c r="G29" s="11"/>
      <c r="H29" s="11"/>
      <c r="I29" s="11"/>
      <c r="J29" s="9"/>
      <c r="K29" s="9"/>
      <c r="L29" s="9"/>
      <c r="M29" s="10"/>
      <c r="N29" s="12"/>
      <c r="O29" s="9"/>
    </row>
    <row r="30" spans="1:15">
      <c r="A30" s="9"/>
      <c r="B30" s="9"/>
      <c r="C30" s="9"/>
      <c r="D30" s="10"/>
      <c r="E30" s="15"/>
      <c r="F30" s="12"/>
      <c r="G30" s="11"/>
      <c r="H30" s="11"/>
      <c r="I30" s="11"/>
      <c r="J30" s="9"/>
      <c r="K30" s="9"/>
      <c r="L30" s="9"/>
      <c r="M30" s="10"/>
      <c r="N30" s="12"/>
      <c r="O30" s="9"/>
    </row>
    <row r="31" spans="1:15">
      <c r="A31" s="9"/>
      <c r="B31" s="9"/>
      <c r="C31" s="9"/>
      <c r="D31" s="10"/>
      <c r="E31" s="15"/>
      <c r="F31" s="12"/>
      <c r="G31" s="11"/>
      <c r="H31" s="11"/>
      <c r="I31" s="11"/>
      <c r="J31" s="9"/>
      <c r="K31" s="9"/>
      <c r="L31" s="9"/>
      <c r="M31" s="10"/>
      <c r="N31" s="12"/>
      <c r="O31" s="9"/>
    </row>
    <row r="32" spans="1:15">
      <c r="A32" s="9"/>
      <c r="B32" s="9"/>
      <c r="C32" s="9"/>
      <c r="D32" s="10"/>
      <c r="E32" s="15"/>
      <c r="F32" s="12"/>
      <c r="G32" s="11"/>
      <c r="H32" s="11"/>
      <c r="I32" s="11"/>
      <c r="J32" s="9"/>
      <c r="K32" s="9"/>
      <c r="L32" s="9"/>
      <c r="M32" s="10"/>
      <c r="N32" s="12"/>
      <c r="O32" s="9"/>
    </row>
    <row r="33" spans="1:15">
      <c r="A33" s="9"/>
      <c r="B33" s="9"/>
      <c r="C33" s="9"/>
      <c r="D33" s="10"/>
      <c r="E33" s="15"/>
      <c r="F33" s="12"/>
      <c r="G33" s="11"/>
      <c r="H33" s="11"/>
      <c r="I33" s="11"/>
      <c r="J33" s="9"/>
      <c r="K33" s="9"/>
      <c r="L33" s="9"/>
      <c r="M33" s="10"/>
      <c r="N33" s="12"/>
      <c r="O33" s="9"/>
    </row>
    <row r="34" spans="1:15">
      <c r="A34" s="9"/>
      <c r="B34" s="9"/>
      <c r="C34" s="9"/>
      <c r="D34" s="10"/>
      <c r="E34" s="15"/>
      <c r="F34" s="12"/>
      <c r="G34" s="11"/>
      <c r="H34" s="11"/>
      <c r="I34" s="11"/>
      <c r="J34" s="9"/>
      <c r="K34" s="9"/>
      <c r="L34" s="9"/>
      <c r="M34" s="10"/>
      <c r="N34" s="12"/>
      <c r="O34" s="9"/>
    </row>
  </sheetData>
  <dataValidations count="2">
    <dataValidation type="list" sqref="J5:J104">
      <formula1>"未提交,待验收,验收通过,验收不通过"</formula1>
    </dataValidation>
    <dataValidation type="list" sqref="L5:L104">
      <formula1>"未申请,审批中,已批准,已驳回,已支付"</formula1>
    </dataValidation>
  </dataValidation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22" sqref="E22"/>
    </sheetView>
  </sheetViews>
  <sheetFormatPr defaultColWidth="9" defaultRowHeight="16.8"/>
  <cols>
    <col min="1" max="5" width="16" style="1" customWidth="1"/>
    <col min="6" max="6" width="36" style="1" customWidth="1"/>
    <col min="7" max="10" width="19" style="1" customWidth="1"/>
    <col min="11" max="15" width="18" style="1" customWidth="1"/>
  </cols>
  <sheetData>
    <row r="1" ht="25" customHeight="1" spans="1:15">
      <c r="A1" s="7" t="s">
        <v>35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>
      <c r="A2" s="8" t="s">
        <v>286</v>
      </c>
    </row>
    <row r="4" ht="32" customHeight="1" spans="1:15">
      <c r="A4" s="2" t="s">
        <v>287</v>
      </c>
      <c r="B4" s="2" t="s">
        <v>288</v>
      </c>
      <c r="C4" s="2" t="s">
        <v>289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  <c r="I4" s="2" t="s">
        <v>295</v>
      </c>
      <c r="J4" s="2" t="s">
        <v>296</v>
      </c>
      <c r="K4" s="2" t="s">
        <v>297</v>
      </c>
      <c r="L4" s="2" t="s">
        <v>298</v>
      </c>
      <c r="M4" s="2" t="s">
        <v>299</v>
      </c>
      <c r="N4" s="2" t="s">
        <v>300</v>
      </c>
      <c r="O4" s="2" t="s">
        <v>301</v>
      </c>
    </row>
    <row r="5" spans="1:15">
      <c r="A5" s="9"/>
      <c r="B5" s="10"/>
      <c r="C5" s="9"/>
      <c r="D5" s="9"/>
      <c r="E5" s="9"/>
      <c r="F5" s="11"/>
      <c r="G5" s="12"/>
      <c r="H5" s="12"/>
      <c r="I5" s="12"/>
      <c r="J5" s="13" t="str">
        <f t="shared" ref="J5:J24" si="0">IF(COUNTA(G5:I5)=0,"",SUM(G5:I5))</f>
        <v/>
      </c>
      <c r="K5" s="14"/>
      <c r="L5" s="9"/>
      <c r="M5" s="9"/>
      <c r="N5" s="9"/>
      <c r="O5" s="9"/>
    </row>
    <row r="6" spans="1:15">
      <c r="A6" s="9"/>
      <c r="B6" s="10"/>
      <c r="C6" s="9"/>
      <c r="D6" s="9"/>
      <c r="E6" s="9"/>
      <c r="F6" s="11"/>
      <c r="G6" s="12"/>
      <c r="H6" s="12"/>
      <c r="I6" s="12"/>
      <c r="J6" s="13" t="str">
        <f t="shared" si="0"/>
        <v/>
      </c>
      <c r="K6" s="14"/>
      <c r="L6" s="9"/>
      <c r="M6" s="9"/>
      <c r="N6" s="9"/>
      <c r="O6" s="9"/>
    </row>
    <row r="7" spans="1:15">
      <c r="A7" s="9"/>
      <c r="B7" s="10"/>
      <c r="C7" s="9"/>
      <c r="D7" s="9"/>
      <c r="E7" s="9"/>
      <c r="F7" s="11"/>
      <c r="G7" s="12"/>
      <c r="H7" s="12"/>
      <c r="I7" s="12"/>
      <c r="J7" s="13" t="str">
        <f t="shared" si="0"/>
        <v/>
      </c>
      <c r="K7" s="14"/>
      <c r="L7" s="9"/>
      <c r="M7" s="9"/>
      <c r="N7" s="9"/>
      <c r="O7" s="9"/>
    </row>
    <row r="8" spans="1:15">
      <c r="A8" s="9"/>
      <c r="B8" s="10"/>
      <c r="C8" s="9"/>
      <c r="D8" s="9"/>
      <c r="E8" s="9"/>
      <c r="F8" s="11"/>
      <c r="G8" s="12"/>
      <c r="H8" s="12"/>
      <c r="I8" s="12"/>
      <c r="J8" s="13" t="str">
        <f t="shared" si="0"/>
        <v/>
      </c>
      <c r="K8" s="14"/>
      <c r="L8" s="9"/>
      <c r="M8" s="9"/>
      <c r="N8" s="9"/>
      <c r="O8" s="9"/>
    </row>
    <row r="9" spans="1:15">
      <c r="A9" s="9"/>
      <c r="B9" s="10"/>
      <c r="C9" s="9"/>
      <c r="D9" s="9"/>
      <c r="E9" s="9"/>
      <c r="F9" s="11"/>
      <c r="G9" s="12"/>
      <c r="H9" s="12"/>
      <c r="I9" s="12"/>
      <c r="J9" s="13" t="str">
        <f t="shared" si="0"/>
        <v/>
      </c>
      <c r="K9" s="14"/>
      <c r="L9" s="9"/>
      <c r="M9" s="9"/>
      <c r="N9" s="9"/>
      <c r="O9" s="9"/>
    </row>
    <row r="10" spans="1:15">
      <c r="A10" s="9"/>
      <c r="B10" s="10"/>
      <c r="C10" s="9"/>
      <c r="D10" s="9"/>
      <c r="E10" s="9"/>
      <c r="F10" s="11"/>
      <c r="G10" s="12"/>
      <c r="H10" s="12"/>
      <c r="I10" s="12"/>
      <c r="J10" s="13" t="str">
        <f t="shared" si="0"/>
        <v/>
      </c>
      <c r="K10" s="14"/>
      <c r="L10" s="9"/>
      <c r="M10" s="9"/>
      <c r="N10" s="9"/>
      <c r="O10" s="9"/>
    </row>
    <row r="11" spans="1:15">
      <c r="A11" s="9"/>
      <c r="B11" s="10"/>
      <c r="C11" s="9"/>
      <c r="D11" s="9"/>
      <c r="E11" s="9"/>
      <c r="F11" s="11"/>
      <c r="G11" s="12"/>
      <c r="H11" s="12"/>
      <c r="I11" s="12"/>
      <c r="J11" s="13" t="str">
        <f t="shared" si="0"/>
        <v/>
      </c>
      <c r="K11" s="14"/>
      <c r="L11" s="9"/>
      <c r="M11" s="9"/>
      <c r="N11" s="9"/>
      <c r="O11" s="9"/>
    </row>
    <row r="12" spans="1:15">
      <c r="A12" s="9"/>
      <c r="B12" s="10"/>
      <c r="C12" s="9"/>
      <c r="D12" s="9"/>
      <c r="E12" s="9"/>
      <c r="F12" s="11"/>
      <c r="G12" s="12"/>
      <c r="H12" s="12"/>
      <c r="I12" s="12"/>
      <c r="J12" s="13" t="str">
        <f t="shared" si="0"/>
        <v/>
      </c>
      <c r="K12" s="14"/>
      <c r="L12" s="9"/>
      <c r="M12" s="9"/>
      <c r="N12" s="9"/>
      <c r="O12" s="9"/>
    </row>
    <row r="13" spans="1:15">
      <c r="A13" s="9"/>
      <c r="B13" s="10"/>
      <c r="C13" s="9"/>
      <c r="D13" s="9"/>
      <c r="E13" s="9"/>
      <c r="F13" s="11"/>
      <c r="G13" s="12"/>
      <c r="H13" s="12"/>
      <c r="I13" s="12"/>
      <c r="J13" s="13" t="str">
        <f t="shared" si="0"/>
        <v/>
      </c>
      <c r="K13" s="14"/>
      <c r="L13" s="9"/>
      <c r="M13" s="9"/>
      <c r="N13" s="9"/>
      <c r="O13" s="9"/>
    </row>
    <row r="14" spans="1:15">
      <c r="A14" s="9"/>
      <c r="B14" s="10"/>
      <c r="C14" s="9"/>
      <c r="D14" s="9"/>
      <c r="E14" s="9"/>
      <c r="F14" s="11"/>
      <c r="G14" s="12"/>
      <c r="H14" s="12"/>
      <c r="I14" s="12"/>
      <c r="J14" s="13" t="str">
        <f t="shared" si="0"/>
        <v/>
      </c>
      <c r="K14" s="14"/>
      <c r="L14" s="9"/>
      <c r="M14" s="9"/>
      <c r="N14" s="9"/>
      <c r="O14" s="9"/>
    </row>
    <row r="15" spans="1:15">
      <c r="A15" s="9"/>
      <c r="B15" s="10"/>
      <c r="C15" s="9"/>
      <c r="D15" s="9"/>
      <c r="E15" s="9"/>
      <c r="F15" s="11"/>
      <c r="G15" s="12"/>
      <c r="H15" s="12"/>
      <c r="I15" s="12"/>
      <c r="J15" s="13" t="str">
        <f t="shared" si="0"/>
        <v/>
      </c>
      <c r="K15" s="14"/>
      <c r="L15" s="9"/>
      <c r="M15" s="9"/>
      <c r="N15" s="9"/>
      <c r="O15" s="9"/>
    </row>
    <row r="16" spans="1:15">
      <c r="A16" s="9"/>
      <c r="B16" s="10"/>
      <c r="C16" s="9"/>
      <c r="D16" s="9"/>
      <c r="E16" s="9"/>
      <c r="F16" s="11"/>
      <c r="G16" s="12"/>
      <c r="H16" s="12"/>
      <c r="I16" s="12"/>
      <c r="J16" s="13" t="str">
        <f t="shared" si="0"/>
        <v/>
      </c>
      <c r="K16" s="14"/>
      <c r="L16" s="9"/>
      <c r="M16" s="9"/>
      <c r="N16" s="9"/>
      <c r="O16" s="9"/>
    </row>
    <row r="17" spans="1:15">
      <c r="A17" s="9"/>
      <c r="B17" s="10"/>
      <c r="C17" s="9"/>
      <c r="D17" s="9"/>
      <c r="E17" s="9"/>
      <c r="F17" s="11"/>
      <c r="G17" s="12"/>
      <c r="H17" s="12"/>
      <c r="I17" s="12"/>
      <c r="J17" s="13" t="str">
        <f t="shared" si="0"/>
        <v/>
      </c>
      <c r="K17" s="14"/>
      <c r="L17" s="9"/>
      <c r="M17" s="9"/>
      <c r="N17" s="9"/>
      <c r="O17" s="9"/>
    </row>
    <row r="18" spans="1:15">
      <c r="A18" s="9"/>
      <c r="B18" s="10"/>
      <c r="C18" s="9"/>
      <c r="D18" s="9"/>
      <c r="E18" s="9"/>
      <c r="F18" s="11"/>
      <c r="G18" s="12"/>
      <c r="H18" s="12"/>
      <c r="I18" s="12"/>
      <c r="J18" s="13" t="str">
        <f t="shared" si="0"/>
        <v/>
      </c>
      <c r="K18" s="14"/>
      <c r="L18" s="9"/>
      <c r="M18" s="9"/>
      <c r="N18" s="9"/>
      <c r="O18" s="9"/>
    </row>
    <row r="19" spans="1:15">
      <c r="A19" s="9"/>
      <c r="B19" s="10"/>
      <c r="C19" s="9"/>
      <c r="D19" s="9"/>
      <c r="E19" s="9"/>
      <c r="F19" s="11"/>
      <c r="G19" s="12"/>
      <c r="H19" s="12"/>
      <c r="I19" s="12"/>
      <c r="J19" s="13" t="str">
        <f t="shared" si="0"/>
        <v/>
      </c>
      <c r="K19" s="14"/>
      <c r="L19" s="9"/>
      <c r="M19" s="9"/>
      <c r="N19" s="9"/>
      <c r="O19" s="9"/>
    </row>
    <row r="20" spans="1:15">
      <c r="A20" s="9"/>
      <c r="B20" s="10"/>
      <c r="C20" s="9"/>
      <c r="D20" s="9"/>
      <c r="E20" s="9"/>
      <c r="F20" s="11"/>
      <c r="G20" s="12"/>
      <c r="H20" s="12"/>
      <c r="I20" s="12"/>
      <c r="J20" s="13" t="str">
        <f t="shared" si="0"/>
        <v/>
      </c>
      <c r="K20" s="14"/>
      <c r="L20" s="9"/>
      <c r="M20" s="9"/>
      <c r="N20" s="9"/>
      <c r="O20" s="9"/>
    </row>
    <row r="21" spans="1:15">
      <c r="A21" s="9"/>
      <c r="B21" s="10"/>
      <c r="C21" s="9"/>
      <c r="D21" s="9"/>
      <c r="E21" s="9"/>
      <c r="F21" s="11"/>
      <c r="G21" s="12"/>
      <c r="H21" s="12"/>
      <c r="I21" s="12"/>
      <c r="J21" s="13" t="str">
        <f t="shared" si="0"/>
        <v/>
      </c>
      <c r="K21" s="14"/>
      <c r="L21" s="9"/>
      <c r="M21" s="9"/>
      <c r="N21" s="9"/>
      <c r="O21" s="9"/>
    </row>
    <row r="22" spans="1:15">
      <c r="A22" s="9"/>
      <c r="B22" s="10"/>
      <c r="C22" s="9"/>
      <c r="D22" s="9"/>
      <c r="E22" s="9"/>
      <c r="F22" s="11"/>
      <c r="G22" s="12"/>
      <c r="H22" s="12"/>
      <c r="I22" s="12"/>
      <c r="J22" s="13" t="str">
        <f t="shared" si="0"/>
        <v/>
      </c>
      <c r="K22" s="14"/>
      <c r="L22" s="9"/>
      <c r="M22" s="9"/>
      <c r="N22" s="9"/>
      <c r="O22" s="9"/>
    </row>
    <row r="23" spans="1:15">
      <c r="A23" s="9"/>
      <c r="B23" s="10"/>
      <c r="C23" s="9"/>
      <c r="D23" s="9"/>
      <c r="E23" s="9"/>
      <c r="F23" s="11"/>
      <c r="G23" s="12"/>
      <c r="H23" s="12"/>
      <c r="I23" s="12"/>
      <c r="J23" s="13" t="str">
        <f t="shared" si="0"/>
        <v/>
      </c>
      <c r="K23" s="14"/>
      <c r="L23" s="9"/>
      <c r="M23" s="9"/>
      <c r="N23" s="9"/>
      <c r="O23" s="9"/>
    </row>
    <row r="24" spans="1:15">
      <c r="A24" s="9"/>
      <c r="B24" s="10"/>
      <c r="C24" s="9"/>
      <c r="D24" s="9"/>
      <c r="E24" s="9"/>
      <c r="F24" s="11"/>
      <c r="G24" s="12"/>
      <c r="H24" s="12"/>
      <c r="I24" s="12"/>
      <c r="J24" s="13" t="str">
        <f t="shared" si="0"/>
        <v/>
      </c>
      <c r="K24" s="14"/>
      <c r="L24" s="9"/>
      <c r="M24" s="9"/>
      <c r="N24" s="9"/>
      <c r="O24" s="9"/>
    </row>
  </sheetData>
  <dataValidations count="2">
    <dataValidation type="list" sqref="M5:M104">
      <formula1>"待评审,批准,有条件批准,拒绝,暂缓"</formula1>
    </dataValidation>
    <dataValidation type="list" sqref="O5:O104">
      <formula1>"不适用,待更新,已更新"</formula1>
    </dataValidation>
  </dataValidation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showGridLines="0" workbookViewId="0">
      <selection activeCell="A1" sqref="A1"/>
    </sheetView>
  </sheetViews>
  <sheetFormatPr defaultColWidth="9" defaultRowHeight="16.8" outlineLevelCol="1"/>
  <cols>
    <col min="1" max="1" width="24" style="1" customWidth="1"/>
    <col min="2" max="2" width="62" style="1" customWidth="1"/>
  </cols>
  <sheetData>
    <row r="1" ht="32" customHeight="1" spans="1:2">
      <c r="A1" s="2" t="s">
        <v>302</v>
      </c>
      <c r="B1" s="2" t="s">
        <v>303</v>
      </c>
    </row>
    <row r="2" spans="1:2">
      <c r="A2" s="3" t="s">
        <v>304</v>
      </c>
      <c r="B2" s="3" t="s">
        <v>305</v>
      </c>
    </row>
    <row r="3" spans="1:2">
      <c r="A3" s="3" t="s">
        <v>306</v>
      </c>
      <c r="B3" s="3" t="s">
        <v>3</v>
      </c>
    </row>
    <row r="4" spans="1:2">
      <c r="A4" s="3" t="s">
        <v>307</v>
      </c>
      <c r="B4" s="3" t="s">
        <v>308</v>
      </c>
    </row>
    <row r="5" spans="1:2">
      <c r="A5" s="3" t="s">
        <v>309</v>
      </c>
      <c r="B5" s="4">
        <v>46288</v>
      </c>
    </row>
    <row r="6" spans="1:2">
      <c r="A6" s="3" t="s">
        <v>310</v>
      </c>
      <c r="B6" s="3" t="s">
        <v>311</v>
      </c>
    </row>
    <row r="7" spans="1:2">
      <c r="A7" s="3" t="s">
        <v>58</v>
      </c>
      <c r="B7" s="5">
        <f>人工成本预算!E3</f>
        <v>1381.61651658247</v>
      </c>
    </row>
    <row r="8" spans="1:2">
      <c r="A8" s="3" t="s">
        <v>312</v>
      </c>
      <c r="B8" s="5">
        <f>B7/8</f>
        <v>172.702064572809</v>
      </c>
    </row>
    <row r="9" spans="1:2">
      <c r="A9" s="3" t="s">
        <v>57</v>
      </c>
      <c r="B9" s="5">
        <f>人工成本预算!D15</f>
        <v>4553</v>
      </c>
    </row>
    <row r="10" spans="1:2">
      <c r="A10" s="3" t="s">
        <v>56</v>
      </c>
      <c r="B10" s="5">
        <f>B7*B9</f>
        <v>6290500</v>
      </c>
    </row>
    <row r="11" spans="1:2">
      <c r="A11" s="3" t="s">
        <v>59</v>
      </c>
      <c r="B11" s="5">
        <v>7</v>
      </c>
    </row>
    <row r="12" spans="1:2">
      <c r="A12" s="3" t="s">
        <v>313</v>
      </c>
      <c r="B12" s="5">
        <f>人工成本预算!C15</f>
        <v>23</v>
      </c>
    </row>
    <row r="13" spans="1:2">
      <c r="A13" s="3" t="s">
        <v>314</v>
      </c>
      <c r="B13" s="6">
        <v>46315</v>
      </c>
    </row>
    <row r="14" spans="1:2">
      <c r="A14" s="3" t="s">
        <v>315</v>
      </c>
      <c r="B14" s="6">
        <v>46538</v>
      </c>
    </row>
    <row r="15" spans="1:2">
      <c r="A15" s="3" t="s">
        <v>316</v>
      </c>
      <c r="B15" s="3" t="s">
        <v>317</v>
      </c>
    </row>
    <row r="16" spans="1:2">
      <c r="A16" s="3" t="s">
        <v>318</v>
      </c>
      <c r="B16" s="3" t="s">
        <v>319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成本总览</vt:lpstr>
      <vt:lpstr>预算基线</vt:lpstr>
      <vt:lpstr>人工成本预算</vt:lpstr>
      <vt:lpstr>月度投入明细</vt:lpstr>
      <vt:lpstr>成本偏差分析</vt:lpstr>
      <vt:lpstr>采购包计划</vt:lpstr>
      <vt:lpstr>合同台账</vt:lpstr>
      <vt:lpstr>付款里程碑</vt:lpstr>
      <vt:lpstr>成本变更台账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zlyyh</cp:lastModifiedBy>
  <dcterms:created xsi:type="dcterms:W3CDTF">2026-09-22T07:18:00Z</dcterms:created>
  <dcterms:modified xsi:type="dcterms:W3CDTF">2026-09-24T14:15:21Z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BFB384ED9A3E212216E6AC6A44143DA4_42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
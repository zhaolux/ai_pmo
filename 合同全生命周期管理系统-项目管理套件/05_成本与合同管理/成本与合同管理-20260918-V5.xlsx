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660" tabRatio="600" firstSheet="0" activeTab="2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成本总览" sheetId="2" state="visible" r:id="rId2"/>
    <sheet xmlns:r="http://schemas.openxmlformats.org/officeDocument/2006/relationships" name="预算基线" sheetId="3" state="visible" r:id="rId3"/>
    <sheet xmlns:r="http://schemas.openxmlformats.org/officeDocument/2006/relationships" name="人工成本预算" sheetId="4" state="visible" r:id="rId4"/>
    <sheet xmlns:r="http://schemas.openxmlformats.org/officeDocument/2006/relationships" name="月度投入明细" sheetId="5" state="visible" r:id="rId5"/>
    <sheet xmlns:r="http://schemas.openxmlformats.org/officeDocument/2006/relationships" name="成本偏差分析" sheetId="6" state="visible" r:id="rId6"/>
    <sheet xmlns:r="http://schemas.openxmlformats.org/officeDocument/2006/relationships" name="采购包计划" sheetId="7" state="visible" r:id="rId7"/>
    <sheet xmlns:r="http://schemas.openxmlformats.org/officeDocument/2006/relationships" name="合同台账" sheetId="8" state="visible" r:id="rId8"/>
    <sheet xmlns:r="http://schemas.openxmlformats.org/officeDocument/2006/relationships" name="付款里程碑" sheetId="9" state="visible" r:id="rId9"/>
    <sheet xmlns:r="http://schemas.openxmlformats.org/officeDocument/2006/relationships" name="成本变更台账" sheetId="10" state="visible" r:id="rId10"/>
    <sheet xmlns:r="http://schemas.openxmlformats.org/officeDocument/2006/relationships" name="_数据接口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\¥#,##0;[Red]\(\¥#,##0\);\-"/>
    <numFmt numFmtId="166" formatCode="#,##0.0;[Red]\(#,##0.0\);\-"/>
    <numFmt numFmtId="167" formatCode="0.0%"/>
    <numFmt numFmtId="168" formatCode="&quot;￥&quot;#,##0.00;&quot;￥&quot;\-#,##0.00"/>
  </numFmts>
  <fonts count="38">
    <font>
      <name val="Carlito"/>
      <charset val="134"/>
      <sz val="11"/>
    </font>
    <font>
      <name val="Arial"/>
      <charset val="134"/>
      <b val="1"/>
      <color rgb="FFFFFFFF"/>
      <sz val="10"/>
    </font>
    <font>
      <name val="Arial"/>
      <charset val="134"/>
      <color rgb="FF243447"/>
      <sz val="10"/>
    </font>
    <font>
      <name val="Arial"/>
      <charset val="134"/>
      <b val="1"/>
      <color rgb="FF1F4E78"/>
      <sz val="15"/>
    </font>
    <font>
      <name val="Arial"/>
      <charset val="134"/>
      <i val="1"/>
      <color rgb="FF667788"/>
      <sz val="10"/>
    </font>
    <font>
      <name val="Arial"/>
      <charset val="134"/>
      <color rgb="FF0000FF"/>
      <sz val="10"/>
    </font>
    <font>
      <name val="Arial"/>
      <charset val="134"/>
      <color rgb="FF008000"/>
      <sz val="10"/>
    </font>
    <font>
      <name val="Arial"/>
      <charset val="134"/>
      <b val="1"/>
      <color rgb="FF243447"/>
      <sz val="10"/>
    </font>
    <font>
      <name val="Carlito"/>
      <charset val="134"/>
      <color theme="0"/>
      <sz val="11"/>
    </font>
    <font>
      <name val="Carlito"/>
      <charset val="134"/>
      <color rgb="FF008000"/>
      <sz val="10"/>
    </font>
    <font>
      <name val="宋体-简"/>
      <charset val="134"/>
      <b val="1"/>
      <color rgb="FF243447"/>
      <sz val="10"/>
    </font>
    <font>
      <name val="Arial"/>
      <charset val="134"/>
      <b val="1"/>
      <color rgb="FF1F4E78"/>
      <sz val="10"/>
    </font>
    <font>
      <name val="Arial"/>
      <charset val="134"/>
      <b val="1"/>
      <color rgb="FF375623"/>
      <sz val="11"/>
    </font>
    <font>
      <name val="Arial"/>
      <charset val="134"/>
      <color rgb="FF385D7A"/>
      <sz val="9"/>
    </font>
    <font>
      <name val="Carlito"/>
      <charset val="134"/>
      <color rgb="FF243447"/>
      <sz val="10"/>
    </font>
    <font>
      <name val="Arial"/>
      <charset val="134"/>
      <b val="1"/>
      <color rgb="FF1F4E78"/>
      <sz val="16"/>
    </font>
    <font>
      <name val="Arial"/>
      <charset val="134"/>
      <i val="1"/>
      <color rgb="FF666666"/>
      <sz val="10"/>
    </font>
    <font>
      <name val="Arial"/>
      <charset val="134"/>
      <color rgb="FF404040"/>
      <sz val="10"/>
    </font>
    <font>
      <name val="Arial"/>
      <charset val="134"/>
      <b val="1"/>
      <color rgb="FF1F4E78"/>
      <sz val="11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42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30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D7"/>
      </top>
      <bottom/>
      <diagonal/>
    </border>
    <border>
      <left/>
      <right style="thin">
        <color rgb="FFB4C6D7"/>
      </right>
      <top style="thin">
        <color rgb="FFB4C6D7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50">
    <xf numFmtId="0" fontId="0" fillId="0" borderId="0" applyAlignment="1">
      <alignment vertical="center"/>
    </xf>
    <xf numFmtId="43" fontId="19" fillId="0" borderId="0" applyAlignment="1">
      <alignment vertical="center"/>
    </xf>
    <xf numFmtId="44" fontId="19" fillId="0" borderId="0" applyAlignment="1">
      <alignment vertical="center"/>
    </xf>
    <xf numFmtId="9" fontId="19" fillId="0" borderId="0" applyAlignment="1">
      <alignment vertical="center"/>
    </xf>
    <xf numFmtId="41" fontId="19" fillId="0" borderId="0" applyAlignment="1">
      <alignment vertical="center"/>
    </xf>
    <xf numFmtId="42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19" fillId="11" borderId="16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17" applyAlignment="1">
      <alignment vertical="center"/>
    </xf>
    <xf numFmtId="0" fontId="26" fillId="0" borderId="17" applyAlignment="1">
      <alignment vertical="center"/>
    </xf>
    <xf numFmtId="0" fontId="27" fillId="0" borderId="18" applyAlignment="1">
      <alignment vertical="center"/>
    </xf>
    <xf numFmtId="0" fontId="27" fillId="0" borderId="0" applyAlignment="1">
      <alignment vertical="center"/>
    </xf>
    <xf numFmtId="0" fontId="28" fillId="12" borderId="19" applyAlignment="1">
      <alignment vertical="center"/>
    </xf>
    <xf numFmtId="0" fontId="29" fillId="13" borderId="20" applyAlignment="1">
      <alignment vertical="center"/>
    </xf>
    <xf numFmtId="0" fontId="30" fillId="13" borderId="19" applyAlignment="1">
      <alignment vertical="center"/>
    </xf>
    <xf numFmtId="0" fontId="31" fillId="14" borderId="21" applyAlignment="1">
      <alignment vertical="center"/>
    </xf>
    <xf numFmtId="0" fontId="32" fillId="0" borderId="22" applyAlignment="1">
      <alignment vertical="center"/>
    </xf>
    <xf numFmtId="0" fontId="33" fillId="0" borderId="23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6" fillId="17" borderId="0" applyAlignment="1">
      <alignment vertical="center"/>
    </xf>
    <xf numFmtId="0" fontId="37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37" fillId="21" borderId="0" applyAlignment="1">
      <alignment vertical="center"/>
    </xf>
    <xf numFmtId="0" fontId="37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37" fillId="25" borderId="0" applyAlignment="1">
      <alignment vertical="center"/>
    </xf>
    <xf numFmtId="0" fontId="37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37" fillId="29" borderId="0" applyAlignment="1">
      <alignment vertical="center"/>
    </xf>
    <xf numFmtId="0" fontId="37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37" fillId="33" borderId="0" applyAlignment="1">
      <alignment vertical="center"/>
    </xf>
    <xf numFmtId="0" fontId="37" fillId="34" borderId="0" applyAlignment="1">
      <alignment vertical="center"/>
    </xf>
    <xf numFmtId="0" fontId="19" fillId="35" borderId="0" applyAlignment="1">
      <alignment vertical="center"/>
    </xf>
    <xf numFmtId="0" fontId="19" fillId="36" borderId="0" applyAlignment="1">
      <alignment vertical="center"/>
    </xf>
    <xf numFmtId="0" fontId="37" fillId="37" borderId="0" applyAlignment="1">
      <alignment vertical="center"/>
    </xf>
    <xf numFmtId="0" fontId="37" fillId="38" borderId="0" applyAlignment="1">
      <alignment vertical="center"/>
    </xf>
    <xf numFmtId="0" fontId="19" fillId="39" borderId="0" applyAlignment="1">
      <alignment vertical="center"/>
    </xf>
    <xf numFmtId="0" fontId="19" fillId="40" borderId="0" applyAlignment="1">
      <alignment vertical="center"/>
    </xf>
    <xf numFmtId="0" fontId="37" fillId="41" borderId="0" applyAlignment="1">
      <alignment vertical="center"/>
    </xf>
    <xf numFmtId="0" fontId="0" fillId="0" borderId="0"/>
  </cellStyleXfs>
  <cellXfs count="89">
    <xf numFmtId="0" fontId="0" fillId="0" borderId="0" pivotButton="0" quotePrefix="0" xfId="49"/>
    <xf numFmtId="0" fontId="0" fillId="0" borderId="0" pivotButton="0" quotePrefix="0" xfId="0"/>
    <xf numFmtId="0" fontId="1" fillId="2" borderId="1" applyAlignment="1" pivotButton="0" quotePrefix="0" xfId="49">
      <alignment horizontal="center" vertical="center" wrapText="1"/>
    </xf>
    <xf numFmtId="0" fontId="2" fillId="0" borderId="1" applyAlignment="1" pivotButton="0" quotePrefix="0" xfId="49">
      <alignment vertical="center"/>
    </xf>
    <xf numFmtId="164" fontId="2" fillId="0" borderId="1" applyAlignment="1" pivotButton="0" quotePrefix="0" xfId="0">
      <alignment vertical="center"/>
    </xf>
    <xf numFmtId="4" fontId="2" fillId="0" borderId="1" applyAlignment="1" pivotButton="0" quotePrefix="0" xfId="0">
      <alignment vertical="center"/>
    </xf>
    <xf numFmtId="164" fontId="2" fillId="0" borderId="1" applyAlignment="1" pivotButton="0" quotePrefix="0" xfId="49">
      <alignment vertical="center"/>
    </xf>
    <xf numFmtId="0" fontId="3" fillId="0" borderId="0" pivotButton="0" quotePrefix="0" xfId="49"/>
    <xf numFmtId="0" fontId="4" fillId="0" borderId="0" pivotButton="0" quotePrefix="0" xfId="49"/>
    <xf numFmtId="0" fontId="5" fillId="3" borderId="1" applyAlignment="1" pivotButton="0" quotePrefix="0" xfId="49">
      <alignment vertical="center"/>
    </xf>
    <xf numFmtId="164" fontId="5" fillId="3" borderId="1" applyAlignment="1" pivotButton="0" quotePrefix="0" xfId="49">
      <alignment vertical="center"/>
    </xf>
    <xf numFmtId="0" fontId="5" fillId="3" borderId="1" applyAlignment="1" pivotButton="0" quotePrefix="0" xfId="49">
      <alignment vertical="center" wrapText="1"/>
    </xf>
    <xf numFmtId="165" fontId="5" fillId="3" borderId="1" applyAlignment="1" pivotButton="0" quotePrefix="0" xfId="49">
      <alignment vertical="center"/>
    </xf>
    <xf numFmtId="165" fontId="2" fillId="4" borderId="1" applyAlignment="1" pivotButton="0" quotePrefix="0" xfId="49">
      <alignment vertical="center"/>
    </xf>
    <xf numFmtId="166" fontId="5" fillId="3" borderId="1" applyAlignment="1" pivotButton="0" quotePrefix="0" xfId="49">
      <alignment vertical="center"/>
    </xf>
    <xf numFmtId="167" fontId="5" fillId="3" borderId="1" applyAlignment="1" pivotButton="0" quotePrefix="0" xfId="49">
      <alignment vertical="center"/>
    </xf>
    <xf numFmtId="0" fontId="2" fillId="0" borderId="1" applyAlignment="1" pivotButton="0" quotePrefix="0" xfId="49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4" fontId="6" fillId="0" borderId="1" applyAlignment="1" pivotButton="0" quotePrefix="0" xfId="0">
      <alignment vertical="center"/>
    </xf>
    <xf numFmtId="4" fontId="5" fillId="3" borderId="1" applyAlignment="1" pivotButton="0" quotePrefix="0" xfId="0">
      <alignment vertical="center"/>
    </xf>
    <xf numFmtId="4" fontId="2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7" fillId="0" borderId="1" applyAlignment="1" pivotButton="0" quotePrefix="0" xfId="49">
      <alignment vertical="center"/>
    </xf>
    <xf numFmtId="4" fontId="7" fillId="0" borderId="1" applyAlignment="1" pivotButton="0" quotePrefix="0" xfId="0">
      <alignment vertical="center"/>
    </xf>
    <xf numFmtId="4" fontId="7" fillId="4" borderId="1" applyAlignment="1" pivotButton="0" quotePrefix="0" xfId="0">
      <alignment vertical="center"/>
    </xf>
    <xf numFmtId="4" fontId="7" fillId="0" borderId="1" pivotButton="0" quotePrefix="0" xfId="0"/>
    <xf numFmtId="0" fontId="0" fillId="0" borderId="0" applyAlignment="1" pivotButton="0" quotePrefix="0" xfId="49">
      <alignment wrapText="1"/>
    </xf>
    <xf numFmtId="0" fontId="0" fillId="0" borderId="2" pivotButton="0" quotePrefix="0" xfId="0"/>
    <xf numFmtId="0" fontId="8" fillId="5" borderId="0" applyAlignment="1" pivotButton="0" quotePrefix="0" xfId="49">
      <alignment horizontal="center"/>
    </xf>
    <xf numFmtId="0" fontId="6" fillId="4" borderId="1" applyAlignment="1" pivotButton="0" quotePrefix="0" xfId="0">
      <alignment horizontal="center"/>
    </xf>
    <xf numFmtId="3" fontId="6" fillId="4" borderId="1" applyAlignment="1" pivotButton="0" quotePrefix="0" xfId="0">
      <alignment horizontal="center"/>
    </xf>
    <xf numFmtId="3" fontId="9" fillId="4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0" fontId="1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1" fillId="6" borderId="4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0" fontId="13" fillId="8" borderId="6" applyAlignment="1" pivotButton="0" quotePrefix="0" xfId="0">
      <alignment vertical="center" wrapText="1"/>
    </xf>
    <xf numFmtId="0" fontId="0" fillId="0" borderId="7" pivotButton="0" quotePrefix="0" xfId="0"/>
    <xf numFmtId="0" fontId="2" fillId="0" borderId="1" applyAlignment="1" pivotButton="0" quotePrefix="0" xfId="49">
      <alignment horizontal="center" vertical="center"/>
    </xf>
    <xf numFmtId="166" fontId="2" fillId="0" borderId="1" applyAlignment="1" pivotButton="0" quotePrefix="0" xfId="49">
      <alignment horizontal="center" vertical="center"/>
    </xf>
    <xf numFmtId="166" fontId="5" fillId="3" borderId="1" applyAlignment="1" pivotButton="0" quotePrefix="0" xfId="49">
      <alignment horizontal="center" vertical="center"/>
    </xf>
    <xf numFmtId="4" fontId="6" fillId="4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7" fillId="0" borderId="3" applyAlignment="1" pivotButton="0" quotePrefix="0" xfId="49">
      <alignment horizontal="center" vertical="center"/>
    </xf>
    <xf numFmtId="166" fontId="7" fillId="0" borderId="3" applyAlignment="1" pivotButton="0" quotePrefix="0" xfId="49">
      <alignment horizontal="center" vertical="center"/>
    </xf>
    <xf numFmtId="4" fontId="7" fillId="0" borderId="3" applyAlignment="1" pivotButton="0" quotePrefix="0" xfId="0">
      <alignment horizontal="center" vertical="center"/>
    </xf>
    <xf numFmtId="0" fontId="7" fillId="0" borderId="3" applyAlignment="1" pivotButton="0" quotePrefix="0" xfId="49">
      <alignment vertical="center"/>
    </xf>
    <xf numFmtId="3" fontId="5" fillId="3" borderId="1" applyAlignment="1" pivotButton="0" quotePrefix="0" xfId="0">
      <alignment vertical="center"/>
    </xf>
    <xf numFmtId="168" fontId="5" fillId="3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3" fontId="2" fillId="0" borderId="1" applyAlignment="1" pivotButton="0" quotePrefix="0" xfId="0">
      <alignment vertical="center"/>
    </xf>
    <xf numFmtId="168" fontId="5" fillId="3" borderId="1" applyAlignment="1" pivotButton="0" quotePrefix="0" xfId="49">
      <alignment vertical="center"/>
    </xf>
    <xf numFmtId="168" fontId="2" fillId="0" borderId="1" applyAlignment="1" pivotButton="0" quotePrefix="0" xfId="49">
      <alignment vertical="center"/>
    </xf>
    <xf numFmtId="165" fontId="2" fillId="0" borderId="1" applyAlignment="1" pivotButton="0" quotePrefix="0" xfId="49">
      <alignment vertical="center"/>
    </xf>
    <xf numFmtId="0" fontId="7" fillId="9" borderId="1" applyAlignment="1" pivotButton="0" quotePrefix="0" xfId="49">
      <alignment vertical="center"/>
    </xf>
    <xf numFmtId="0" fontId="11" fillId="9" borderId="8" applyAlignment="1" pivotButton="0" quotePrefix="0" xfId="49">
      <alignment vertical="center"/>
    </xf>
    <xf numFmtId="0" fontId="11" fillId="9" borderId="9" applyAlignment="1" pivotButton="0" quotePrefix="0" xfId="49">
      <alignment vertical="center"/>
    </xf>
    <xf numFmtId="0" fontId="11" fillId="9" borderId="10" applyAlignment="1" pivotButton="0" quotePrefix="0" xfId="49">
      <alignment vertical="center"/>
    </xf>
    <xf numFmtId="0" fontId="2" fillId="10" borderId="1" applyAlignment="1" pivotButton="0" quotePrefix="0" xfId="49">
      <alignment vertical="center"/>
    </xf>
    <xf numFmtId="0" fontId="14" fillId="0" borderId="1" applyAlignment="1" pivotButton="0" quotePrefix="0" xfId="49">
      <alignment vertical="center" wrapText="1"/>
    </xf>
    <xf numFmtId="0" fontId="0" fillId="0" borderId="11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vertical="center" wrapText="1"/>
    </xf>
    <xf numFmtId="0" fontId="17" fillId="3" borderId="12" applyAlignment="1" pivotButton="0" quotePrefix="0" xfId="0">
      <alignment vertical="center" wrapText="1"/>
    </xf>
    <xf numFmtId="0" fontId="18" fillId="6" borderId="12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1" fillId="6" borderId="12" applyAlignment="1" pivotButton="0" quotePrefix="0" xfId="0">
      <alignment vertical="center" wrapText="1"/>
    </xf>
    <xf numFmtId="0" fontId="17" fillId="8" borderId="15" applyAlignment="1" pivotButton="0" quotePrefix="0" xfId="0">
      <alignment vertical="center" wrapText="1"/>
    </xf>
    <xf numFmtId="165" fontId="2" fillId="0" borderId="1" applyAlignment="1" pivotButton="0" quotePrefix="0" xfId="49">
      <alignment vertical="center"/>
    </xf>
    <xf numFmtId="164" fontId="2" fillId="0" borderId="1" applyAlignment="1" pivotButton="0" quotePrefix="0" xfId="49">
      <alignment vertical="center"/>
    </xf>
    <xf numFmtId="168" fontId="5" fillId="3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168" fontId="5" fillId="3" borderId="1" applyAlignment="1" pivotButton="0" quotePrefix="0" xfId="49">
      <alignment vertical="center"/>
    </xf>
    <xf numFmtId="168" fontId="2" fillId="0" borderId="1" applyAlignment="1" pivotButton="0" quotePrefix="0" xfId="49">
      <alignment vertical="center"/>
    </xf>
    <xf numFmtId="166" fontId="2" fillId="0" borderId="1" applyAlignment="1" pivotButton="0" quotePrefix="0" xfId="49">
      <alignment horizontal="center" vertical="center"/>
    </xf>
    <xf numFmtId="166" fontId="5" fillId="3" borderId="1" applyAlignment="1" pivotButton="0" quotePrefix="0" xfId="49">
      <alignment horizontal="center" vertical="center"/>
    </xf>
    <xf numFmtId="166" fontId="7" fillId="0" borderId="3" applyAlignment="1" pivotButton="0" quotePrefix="0" xfId="49">
      <alignment horizontal="center" vertical="center"/>
    </xf>
    <xf numFmtId="167" fontId="6" fillId="0" borderId="1" applyAlignment="1" pivotButton="0" quotePrefix="0" xfId="0">
      <alignment horizontal="center"/>
    </xf>
    <xf numFmtId="165" fontId="5" fillId="3" borderId="1" applyAlignment="1" pivotButton="0" quotePrefix="0" xfId="49">
      <alignment vertical="center"/>
    </xf>
    <xf numFmtId="164" fontId="5" fillId="3" borderId="1" applyAlignment="1" pivotButton="0" quotePrefix="0" xfId="49">
      <alignment vertical="center"/>
    </xf>
    <xf numFmtId="165" fontId="2" fillId="4" borderId="1" applyAlignment="1" pivotButton="0" quotePrefix="0" xfId="49">
      <alignment vertical="center"/>
    </xf>
    <xf numFmtId="167" fontId="5" fillId="3" borderId="1" applyAlignment="1" pivotButton="0" quotePrefix="0" xfId="49">
      <alignment vertical="center"/>
    </xf>
    <xf numFmtId="166" fontId="5" fillId="3" borderId="1" applyAlignment="1" pivotButton="0" quotePrefix="0" xfId="49">
      <alignment vertical="center"/>
    </xf>
    <xf numFmtId="164" fontId="2" fillId="0" borderId="1" applyAlignment="1" pivotButton="0" quotePrefix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7F8C8D"/>
    <outlinePr summaryBelow="1" summaryRight="1"/>
    <pageSetUpPr/>
  </sheetPr>
  <dimension ref="A1:H39"/>
  <sheetViews>
    <sheetView showGridLines="0" workbookViewId="0">
      <pane ySplit="2" topLeftCell="A3" activePane="bottomLeft" state="frozen"/>
      <selection activeCell="A1" sqref="A1"/>
      <selection pane="bottomLeft" activeCell="B15" sqref="B15:H15"/>
    </sheetView>
  </sheetViews>
  <sheetFormatPr baseColWidth="8" defaultColWidth="9" defaultRowHeight="16.8"/>
  <cols>
    <col width="10" customWidth="1" style="1" min="1" max="1"/>
    <col width="28" customWidth="1" style="1" min="2" max="2"/>
    <col width="62" customWidth="1" style="1" min="3" max="3"/>
    <col width="14" customWidth="1" style="1" min="4" max="8"/>
  </cols>
  <sheetData>
    <row r="1" ht="28" customHeight="1" s="1">
      <c r="A1" s="63" t="inlineStr">
        <is>
          <t>成本与合同管理-20260918-V5 使用说明</t>
        </is>
      </c>
    </row>
    <row r="2" ht="28" customHeight="1" s="1">
      <c r="A2" s="64" t="inlineStr">
        <is>
          <t>管理预算基线、人工成本、采购包、合同、付款和成本偏差。</t>
        </is>
      </c>
    </row>
    <row r="3" ht="22" customHeight="1" s="1">
      <c r="A3" s="65" t="n"/>
      <c r="B3" s="65" t="n"/>
      <c r="C3" s="65" t="n"/>
      <c r="D3" s="65" t="n"/>
      <c r="E3" s="65" t="n"/>
      <c r="F3" s="65" t="n"/>
      <c r="G3" s="65" t="n"/>
      <c r="H3" s="65" t="n"/>
    </row>
    <row r="4" ht="22" customHeight="1" s="1">
      <c r="A4" s="66" t="inlineStr">
        <is>
          <t>项目</t>
        </is>
      </c>
      <c r="B4" s="67" t="inlineStr">
        <is>
          <t>能源行业合同全生命周期管理系统</t>
        </is>
      </c>
      <c r="C4" s="65" t="n"/>
      <c r="D4" s="65" t="n"/>
      <c r="E4" s="65" t="n"/>
      <c r="F4" s="65" t="n"/>
      <c r="G4" s="65" t="n"/>
      <c r="H4" s="65" t="n"/>
    </row>
    <row r="5" ht="22" customHeight="1" s="1">
      <c r="A5" s="66" t="inlineStr">
        <is>
          <t>适用对象</t>
        </is>
      </c>
      <c r="B5" s="67" t="inlineStr">
        <is>
          <t>项目经理、采购负责人、财务负责人、合同管理员</t>
        </is>
      </c>
      <c r="C5" s="65" t="n"/>
      <c r="D5" s="65" t="n"/>
      <c r="E5" s="65" t="n"/>
      <c r="F5" s="65" t="n"/>
      <c r="G5" s="65" t="n"/>
      <c r="H5" s="65" t="n"/>
    </row>
    <row r="6" ht="22" customHeight="1" s="1">
      <c r="A6" s="66" t="inlineStr">
        <is>
          <t>更新频率</t>
        </is>
      </c>
      <c r="B6" s="67" t="inlineStr">
        <is>
          <t>成本实际发生或合同付款状态变化时更新；每月复核偏差。</t>
        </is>
      </c>
      <c r="C6" s="65" t="n"/>
      <c r="D6" s="65" t="n"/>
      <c r="E6" s="65" t="n"/>
      <c r="F6" s="65" t="n"/>
      <c r="G6" s="65" t="n"/>
      <c r="H6" s="65" t="n"/>
    </row>
    <row r="7" ht="22" customHeight="1" s="1">
      <c r="A7" s="66" t="inlineStr">
        <is>
          <t>版本日期</t>
        </is>
      </c>
      <c r="B7" s="67" t="inlineStr">
        <is>
          <t>2026-09-17</t>
        </is>
      </c>
      <c r="C7" s="65" t="n"/>
      <c r="D7" s="65" t="n"/>
      <c r="E7" s="65" t="n"/>
      <c r="F7" s="65" t="n"/>
      <c r="G7" s="65" t="n"/>
      <c r="H7" s="65" t="n"/>
    </row>
    <row r="8" ht="22" customHeight="1" s="1">
      <c r="A8" s="66" t="inlineStr">
        <is>
          <t>颜色约定</t>
        </is>
      </c>
      <c r="B8" s="67" t="inlineStr">
        <is>
          <t>浅蓝表头；黄色为人工输入区；白色/灰色通常为公式、说明或系统数据。</t>
        </is>
      </c>
      <c r="C8" s="65" t="n"/>
      <c r="D8" s="65" t="n"/>
      <c r="E8" s="65" t="n"/>
      <c r="F8" s="65" t="n"/>
      <c r="G8" s="65" t="n"/>
      <c r="H8" s="65" t="n"/>
    </row>
    <row r="9" ht="22" customHeight="1" s="1">
      <c r="A9" s="65" t="n"/>
      <c r="B9" s="65" t="n"/>
      <c r="C9" s="65" t="n"/>
      <c r="D9" s="65" t="n"/>
      <c r="E9" s="65" t="n"/>
      <c r="F9" s="65" t="n"/>
      <c r="G9" s="65" t="n"/>
      <c r="H9" s="65" t="n"/>
    </row>
    <row r="10" ht="22" customHeight="1" s="1">
      <c r="A10" s="68" t="inlineStr">
        <is>
          <t>推荐使用流程</t>
        </is>
      </c>
      <c r="B10" s="69" t="n"/>
      <c r="C10" s="69" t="n"/>
      <c r="D10" s="69" t="n"/>
      <c r="E10" s="69" t="n"/>
      <c r="F10" s="69" t="n"/>
      <c r="G10" s="69" t="n"/>
      <c r="H10" s="70" t="n"/>
    </row>
    <row r="11" ht="22" customHeight="1" s="1">
      <c r="A11" s="65" t="n">
        <v>1</v>
      </c>
      <c r="B11" s="65" t="inlineStr">
        <is>
          <t>维护各角色人日单价；计划人天由《月度投入明细》（角色×月份，人工维护）合计自动生成，平均人日单价由总人工成本÷总人天自动计算</t>
        </is>
      </c>
    </row>
    <row r="12" ht="22" customHeight="1" s="1">
      <c r="A12" s="65" t="n">
        <v>2</v>
      </c>
      <c r="B12" s="65" t="inlineStr">
        <is>
          <t>维护采购包及合同台账</t>
        </is>
      </c>
    </row>
    <row r="13" ht="22" customHeight="1" s="1">
      <c r="A13" s="65" t="n">
        <v>3</v>
      </c>
      <c r="B13" s="65" t="inlineStr">
        <is>
          <t>登记付款里程碑和证据</t>
        </is>
      </c>
    </row>
    <row r="14" ht="22" customHeight="1" s="1">
      <c r="A14" s="65" t="n">
        <v>4</v>
      </c>
      <c r="B14" s="65" t="inlineStr">
        <is>
          <t>记录成本变更并履行审批</t>
        </is>
      </c>
    </row>
    <row r="15" ht="22" customHeight="1" s="1">
      <c r="A15" s="65" t="n">
        <v>5</v>
      </c>
      <c r="B15" s="65" t="inlineStr">
        <is>
          <t>复核成本偏差和预测完工成本</t>
        </is>
      </c>
    </row>
    <row r="16" ht="22" customHeight="1" s="1">
      <c r="A16" s="65" t="n"/>
      <c r="B16" s="65" t="n"/>
      <c r="C16" s="65" t="n"/>
      <c r="D16" s="65" t="n"/>
      <c r="E16" s="65" t="n"/>
      <c r="F16" s="65" t="n"/>
      <c r="G16" s="65" t="n"/>
      <c r="H16" s="65" t="n"/>
    </row>
    <row r="17" ht="22" customHeight="1" s="1">
      <c r="A17" s="65" t="n"/>
      <c r="B17" s="65" t="n"/>
      <c r="C17" s="65" t="n"/>
      <c r="D17" s="65" t="n"/>
      <c r="E17" s="65" t="n"/>
      <c r="F17" s="65" t="n"/>
      <c r="G17" s="65" t="n"/>
      <c r="H17" s="65" t="n"/>
    </row>
    <row r="18" ht="22" customHeight="1" s="1">
      <c r="A18" s="68" t="inlineStr">
        <is>
          <t>工作表导航</t>
        </is>
      </c>
      <c r="B18" s="69" t="n"/>
      <c r="C18" s="69" t="n"/>
      <c r="D18" s="69" t="n"/>
      <c r="E18" s="69" t="n"/>
      <c r="F18" s="69" t="n"/>
      <c r="G18" s="69" t="n"/>
      <c r="H18" s="70" t="n"/>
    </row>
    <row r="19" ht="22" customHeight="1" s="1">
      <c r="A19" s="71" t="inlineStr">
        <is>
          <t>顺序</t>
        </is>
      </c>
      <c r="B19" s="71" t="inlineStr">
        <is>
          <t>工作表</t>
        </is>
      </c>
      <c r="C19" s="71" t="inlineStr">
        <is>
          <t>用途</t>
        </is>
      </c>
      <c r="D19" s="65" t="n"/>
      <c r="E19" s="65" t="n"/>
      <c r="F19" s="65" t="n"/>
      <c r="G19" s="65" t="n"/>
      <c r="H19" s="65" t="n"/>
    </row>
    <row r="20" ht="22" customHeight="1" s="1">
      <c r="A20" s="66" t="n">
        <v>1</v>
      </c>
      <c r="B20" s="66" t="inlineStr">
        <is>
          <t>成本总览</t>
        </is>
      </c>
      <c r="C20" s="66" t="inlineStr">
        <is>
          <t>查看预算、合同和偏差关键指标。</t>
        </is>
      </c>
      <c r="D20" s="65" t="n"/>
      <c r="E20" s="65" t="n"/>
      <c r="F20" s="65" t="n"/>
      <c r="G20" s="65" t="n"/>
      <c r="H20" s="65" t="n"/>
    </row>
    <row r="21" ht="22" customHeight="1" s="1">
      <c r="A21" s="66" t="n">
        <v>2</v>
      </c>
      <c r="B21" s="66" t="inlineStr">
        <is>
          <t>预算基线</t>
        </is>
      </c>
      <c r="C21" s="66" t="inlineStr">
        <is>
          <t>维护批准预算结构。</t>
        </is>
      </c>
      <c r="D21" s="65" t="n"/>
      <c r="E21" s="65" t="n"/>
      <c r="F21" s="65" t="n"/>
      <c r="G21" s="65" t="n"/>
      <c r="H21" s="65" t="n"/>
    </row>
    <row r="22" ht="22" customHeight="1" s="1">
      <c r="A22" s="66" t="n">
        <v>3</v>
      </c>
      <c r="B22" s="66" t="inlineStr">
        <is>
          <t>按角色维护单价与人数；计划人天唯一来源为《月度投入明细》（角色×月份人工维护，计划合计列），总览及月度汇总统一引用自动平均人日单价</t>
        </is>
      </c>
      <c r="C22" s="66" t="inlineStr">
        <is>
          <t>按角色和投入估算人工成本。</t>
        </is>
      </c>
      <c r="D22" s="65" t="n"/>
      <c r="E22" s="65" t="n"/>
      <c r="F22" s="65" t="n"/>
      <c r="G22" s="65" t="n"/>
      <c r="H22" s="65" t="n"/>
    </row>
    <row r="23" ht="22" customHeight="1" s="1">
      <c r="A23" s="66" t="inlineStr">
        <is>
          <t>月度投入明细</t>
        </is>
      </c>
      <c r="B23" s="66" t="inlineStr">
        <is>
          <t>角色×月份计划/实际投入人天的唯一录入来源（项目团队按月维护，已含2027-08）；人工成本预算 D 列引用本表计划合计列，预算人天列自动核对；差异列为计划-实际进度偏差，完成率=实际/计划</t>
        </is>
      </c>
      <c r="C23" s="66" t="inlineStr">
        <is>
          <t>规划外采范围、采购方式和时间。</t>
        </is>
      </c>
      <c r="D23" s="65" t="n"/>
      <c r="E23" s="65" t="n"/>
      <c r="F23" s="65" t="n"/>
      <c r="G23" s="65" t="n"/>
      <c r="H23" s="65" t="n"/>
    </row>
    <row r="24" ht="22" customHeight="1" s="1">
      <c r="A24" s="66" t="n">
        <v>5</v>
      </c>
      <c r="B24" s="66" t="inlineStr">
        <is>
          <t>合同台账</t>
        </is>
      </c>
      <c r="C24" s="66" t="inlineStr">
        <is>
          <t>维护采购合同核心信息。</t>
        </is>
      </c>
      <c r="D24" s="65" t="n"/>
      <c r="E24" s="65" t="n"/>
      <c r="F24" s="65" t="n"/>
      <c r="G24" s="65" t="n"/>
      <c r="H24" s="65" t="n"/>
    </row>
    <row r="25" ht="22" customHeight="1" s="1">
      <c r="A25" s="66" t="n">
        <v>6</v>
      </c>
      <c r="B25" s="66" t="inlineStr">
        <is>
          <t>付款里程碑</t>
        </is>
      </c>
      <c r="C25" s="66" t="inlineStr">
        <is>
          <t>跟踪付款条件、金额和证据。</t>
        </is>
      </c>
      <c r="D25" s="65" t="n"/>
      <c r="E25" s="65" t="n"/>
      <c r="F25" s="65" t="n"/>
      <c r="G25" s="65" t="n"/>
      <c r="H25" s="65" t="n"/>
    </row>
    <row r="26" ht="22" customHeight="1" s="1">
      <c r="A26" s="66" t="n">
        <v>7</v>
      </c>
      <c r="B26" s="66" t="inlineStr">
        <is>
          <t>成本变更台账</t>
        </is>
      </c>
      <c r="C26" s="66" t="inlineStr">
        <is>
          <t>登记预算或合同金额变更。</t>
        </is>
      </c>
      <c r="D26" s="65" t="n"/>
      <c r="E26" s="65" t="n"/>
      <c r="F26" s="65" t="n"/>
      <c r="G26" s="65" t="n"/>
      <c r="H26" s="65" t="n"/>
    </row>
    <row r="27" ht="22" customHeight="1" s="1">
      <c r="A27" s="66" t="n">
        <v>8</v>
      </c>
      <c r="B27" s="66" t="inlineStr">
        <is>
          <t>成本偏差分析</t>
        </is>
      </c>
      <c r="C27" s="66" t="inlineStr">
        <is>
          <t>比较预算、实际和预测。</t>
        </is>
      </c>
      <c r="D27" s="65" t="n"/>
      <c r="E27" s="65" t="n"/>
      <c r="F27" s="65" t="n"/>
      <c r="G27" s="65" t="n"/>
      <c r="H27" s="65" t="n"/>
    </row>
    <row r="28" ht="22" customHeight="1" s="1">
      <c r="A28" s="66" t="n">
        <v>9</v>
      </c>
      <c r="B28" s="66" t="inlineStr">
        <is>
          <t>_数据接口</t>
        </is>
      </c>
      <c r="C28" s="66" t="inlineStr">
        <is>
          <t>供Python脚本和AI PMO读取，人工一般不直接修改。</t>
        </is>
      </c>
      <c r="D28" s="65" t="n"/>
      <c r="E28" s="65" t="n"/>
      <c r="F28" s="65" t="n"/>
      <c r="G28" s="65" t="n"/>
      <c r="H28" s="65" t="n"/>
    </row>
    <row r="29" ht="22" customHeight="1" s="1">
      <c r="A29" s="65" t="n"/>
      <c r="B29" s="65" t="n"/>
      <c r="C29" s="65" t="n"/>
      <c r="D29" s="65" t="n"/>
      <c r="E29" s="65" t="n"/>
      <c r="F29" s="65" t="n"/>
      <c r="G29" s="65" t="n"/>
      <c r="H29" s="65" t="n"/>
    </row>
    <row r="30" ht="22" customHeight="1" s="1">
      <c r="A30" s="68" t="inlineStr">
        <is>
          <t>维护与检查规则</t>
        </is>
      </c>
      <c r="B30" s="69" t="n"/>
      <c r="C30" s="69" t="n"/>
      <c r="D30" s="69" t="n"/>
      <c r="E30" s="69" t="n"/>
      <c r="F30" s="69" t="n"/>
      <c r="G30" s="69" t="n"/>
      <c r="H30" s="70" t="n"/>
    </row>
    <row r="31" ht="22" customHeight="1" s="1">
      <c r="A31" s="65" t="n">
        <v>1</v>
      </c>
      <c r="B31" s="65" t="inlineStr">
        <is>
          <t>先维护唯一编号、责任人、计划日期和状态，再补充说明与证据。</t>
        </is>
      </c>
    </row>
    <row r="32" ht="22" customHeight="1" s="1">
      <c r="A32" s="65" t="n">
        <v>2</v>
      </c>
      <c r="B32" s="65" t="inlineStr">
        <is>
          <t>状态变化时同步更新实际日期、完成比例、阻塞原因或验证结果。</t>
        </is>
      </c>
    </row>
    <row r="33" ht="22" customHeight="1" s="1">
      <c r="A33" s="65" t="n">
        <v>3</v>
      </c>
      <c r="B33" s="65" t="inlineStr">
        <is>
          <t>涉及基线、预算、范围、合同或上线门禁的变化，须先履行评审或审批。</t>
        </is>
      </c>
    </row>
    <row r="34" ht="22" customHeight="1" s="1">
      <c r="A34" s="65" t="n">
        <v>4</v>
      </c>
      <c r="B34" s="65" t="inlineStr">
        <is>
          <t>不要覆盖公式、汇总区、图表数据区和“_数据接口”中的系统字段。</t>
        </is>
      </c>
    </row>
    <row r="35" ht="22" customHeight="1" s="1">
      <c r="A35" s="65" t="n">
        <v>5</v>
      </c>
      <c r="B35" s="65" t="inlineStr">
        <is>
          <t>每周检查空责任人、逾期未完成、状态与日期矛盾、缺少证据和公式错误。</t>
        </is>
      </c>
    </row>
    <row r="36" ht="22" customHeight="1" s="1">
      <c r="A36" s="65" t="n">
        <v>6</v>
      </c>
      <c r="B36" s="65" t="inlineStr">
        <is>
          <t>文件升级后，将被替换版本移入本模块_archive目录，不在正式目录保留多个现行版本。</t>
        </is>
      </c>
    </row>
    <row r="37" ht="31" customHeight="1" s="1">
      <c r="A37" s="72" t="inlineStr">
        <is>
          <t>平均单价公式</t>
        </is>
      </c>
      <c r="B37" s="72" t="inlineStr">
        <is>
          <t>人工成本预算E3=角色人工成本明细合计÷总计划人天；该单元格不手工填写</t>
        </is>
      </c>
      <c r="C37" s="72" t="n"/>
    </row>
    <row r="38" ht="31" customHeight="1" s="1">
      <c r="A38" s="72" t="inlineStr">
        <is>
          <t>换算规则</t>
        </is>
      </c>
      <c r="B38" s="72" t="inlineStr">
        <is>
          <t>1人日=8小时；平均小时单价=平均人日单价÷8</t>
        </is>
      </c>
      <c r="C38" s="72" t="n"/>
    </row>
    <row r="39" ht="46" customHeight="1" s="1">
      <c r="A39" s="72" t="inlineStr">
        <is>
          <t>成本保护</t>
        </is>
      </c>
      <c r="B39" s="72" t="inlineStr">
        <is>
          <t>保留用户确认的角色单价和计划人天；修改角色单价或人天后，应复核平均单价及预算批准状态</t>
        </is>
      </c>
      <c r="C39" s="72" t="n"/>
    </row>
  </sheetData>
  <mergeCells count="16">
    <mergeCell ref="A18:H18"/>
    <mergeCell ref="B36:H36"/>
    <mergeCell ref="B14:H14"/>
    <mergeCell ref="B32:H32"/>
    <mergeCell ref="A30:H30"/>
    <mergeCell ref="B13:H13"/>
    <mergeCell ref="B35:H35"/>
    <mergeCell ref="A2:H2"/>
    <mergeCell ref="B12:H12"/>
    <mergeCell ref="A10:H10"/>
    <mergeCell ref="B15:H15"/>
    <mergeCell ref="B33:H33"/>
    <mergeCell ref="A1:H1"/>
    <mergeCell ref="B11:H11"/>
    <mergeCell ref="B34:H34"/>
    <mergeCell ref="B31:H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topLeftCell="A6" workbookViewId="0">
      <selection activeCell="C28" sqref="C28"/>
    </sheetView>
  </sheetViews>
  <sheetFormatPr baseColWidth="8" defaultColWidth="9" defaultRowHeight="16.8"/>
  <cols>
    <col width="22" customWidth="1" style="1" min="1" max="1"/>
    <col width="48" customWidth="1" style="1" min="2" max="2"/>
    <col width="17" customWidth="1" style="1" min="3" max="3"/>
    <col width="15" customWidth="1" style="1" min="4" max="4"/>
    <col width="41.5367647058824" customWidth="1" style="1" min="5" max="5"/>
    <col width="32" customWidth="1" style="1" min="6" max="6"/>
    <col width="15" customWidth="1" style="1" min="7" max="12"/>
  </cols>
  <sheetData>
    <row r="1" ht="25" customHeight="1" s="1">
      <c r="A1" s="7" t="inlineStr">
        <is>
          <t>成本与合同管理总览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</row>
    <row r="2">
      <c r="A2" s="8" t="inlineStr">
        <is>
          <t>数据日期：2026-09-24。平均人日单价按“角色人工成本合计÷总计划人天”自动反算；采购、基础设施及专业服务尚未取得有效报价。</t>
        </is>
      </c>
    </row>
    <row r="4">
      <c r="A4" s="56" t="inlineStr">
        <is>
          <t>已量化人工预算</t>
        </is>
      </c>
      <c r="B4" s="56" t="n"/>
      <c r="C4" s="56" t="inlineStr">
        <is>
          <t>计划人天</t>
        </is>
      </c>
      <c r="D4" s="56" t="n"/>
      <c r="E4" s="56" t="inlineStr">
        <is>
          <t>人日单价</t>
        </is>
      </c>
      <c r="F4" s="56" t="n"/>
      <c r="G4" s="56" t="inlineStr">
        <is>
          <t>待估算采购包</t>
        </is>
      </c>
      <c r="H4" s="56" t="n"/>
      <c r="I4" s="56" t="inlineStr">
        <is>
          <t>已签合同数</t>
        </is>
      </c>
      <c r="J4" s="56" t="n"/>
      <c r="K4" s="56" t="inlineStr">
        <is>
          <t>已付款金额</t>
        </is>
      </c>
      <c r="L4" s="56" t="n"/>
    </row>
    <row r="5">
      <c r="A5" s="5">
        <f>预算基线!J5</f>
        <v>6070900</v>
      </c>
      <c r="B5" s="5" t="n"/>
      <c r="C5" s="5">
        <f>人工成本预算!D15</f>
        <v>4337</v>
      </c>
      <c r="D5" s="5" t="n"/>
      <c r="E5" s="5">
        <f>人工成本预算!E3</f>
        <v>1399.79248328338</v>
      </c>
      <c r="F5" s="3" t="n"/>
      <c r="G5" s="3" t="n">
        <v>7</v>
      </c>
      <c r="H5" s="3" t="n"/>
      <c r="I5" s="3" t="n">
        <v>0</v>
      </c>
      <c r="J5" s="3" t="n"/>
      <c r="K5" s="73" t="n">
        <v>0</v>
      </c>
      <c r="L5" s="3" t="n"/>
    </row>
    <row r="8">
      <c r="A8" s="57" t="inlineStr">
        <is>
          <t>预算与合同控制门禁</t>
        </is>
      </c>
      <c r="B8" s="58" t="n"/>
      <c r="C8" s="58" t="n"/>
      <c r="D8" s="58" t="n"/>
      <c r="E8" s="58" t="n"/>
      <c r="F8" s="59" t="n"/>
    </row>
    <row r="9" ht="32" customHeight="1" s="1">
      <c r="A9" s="2" t="inlineStr">
        <is>
          <t>控制项</t>
        </is>
      </c>
      <c r="B9" s="2" t="inlineStr">
        <is>
          <t>当前状态</t>
        </is>
      </c>
      <c r="C9" s="2" t="inlineStr">
        <is>
          <t>责任人</t>
        </is>
      </c>
      <c r="D9" s="2" t="inlineStr">
        <is>
          <t>最迟日期</t>
        </is>
      </c>
      <c r="E9" s="2" t="inlineStr">
        <is>
          <t>通过标准</t>
        </is>
      </c>
      <c r="F9" s="2" t="inlineStr">
        <is>
          <t>证据位置</t>
        </is>
      </c>
    </row>
    <row r="10">
      <c r="A10" s="3" t="inlineStr">
        <is>
          <t>项目总预算批准</t>
        </is>
      </c>
      <c r="B10" s="60" t="inlineStr">
        <is>
          <t>未通过</t>
        </is>
      </c>
      <c r="C10" s="3" t="inlineStr">
        <is>
          <t>项目集经理</t>
        </is>
      </c>
      <c r="D10" s="74" t="n">
        <v>46311</v>
      </c>
      <c r="E10" s="16" t="inlineStr">
        <is>
          <t>人工、采购、基础设施、服务和预备费全部量化并批准</t>
        </is>
      </c>
      <c r="F10" s="16" t="inlineStr">
        <is>
          <t>预算批准记录</t>
        </is>
      </c>
    </row>
    <row r="11">
      <c r="A11" s="3" t="inlineStr">
        <is>
          <t>采购包预算完成</t>
        </is>
      </c>
      <c r="B11" s="60" t="inlineStr">
        <is>
          <t>未通过</t>
        </is>
      </c>
      <c r="C11" s="3" t="inlineStr">
        <is>
          <t>项目经理</t>
        </is>
      </c>
      <c r="D11" s="74" t="n">
        <v>46310</v>
      </c>
      <c r="E11" s="16" t="inlineStr">
        <is>
          <t>7个采购包取得可比报价或批准估算依据</t>
        </is>
      </c>
      <c r="F11" s="16" t="inlineStr">
        <is>
          <t>采购包计划</t>
        </is>
      </c>
    </row>
    <row r="12">
      <c r="A12" s="3" t="inlineStr">
        <is>
          <t>合同与需求基线一致</t>
        </is>
      </c>
      <c r="B12" s="60" t="inlineStr">
        <is>
          <t>未通过</t>
        </is>
      </c>
      <c r="C12" s="3" t="inlineStr">
        <is>
          <t>项目经理</t>
        </is>
      </c>
      <c r="D12" s="74" t="n">
        <v>46326</v>
      </c>
      <c r="E12" s="16" t="inlineStr">
        <is>
          <t>合同范围、交付物、验收和需求基线可追踪</t>
        </is>
      </c>
      <c r="F12" s="16" t="inlineStr">
        <is>
          <t>合同台账</t>
        </is>
      </c>
    </row>
    <row r="13">
      <c r="A13" s="3" t="inlineStr">
        <is>
          <t>付款与验收挂钩</t>
        </is>
      </c>
      <c r="B13" s="60" t="inlineStr">
        <is>
          <t>未通过</t>
        </is>
      </c>
      <c r="C13" s="3" t="inlineStr">
        <is>
          <t>项目经理</t>
        </is>
      </c>
      <c r="D13" s="74" t="n">
        <v>46326</v>
      </c>
      <c r="E13" s="16" t="inlineStr">
        <is>
          <t>每笔付款均有明确交付物、验收证据和批准条件</t>
        </is>
      </c>
      <c r="F13" s="16" t="inlineStr">
        <is>
          <t>付款里程碑</t>
        </is>
      </c>
    </row>
    <row r="14">
      <c r="A14" s="3" t="inlineStr">
        <is>
          <t>成本变更纳入控制</t>
        </is>
      </c>
      <c r="B14" s="60" t="inlineStr">
        <is>
          <t>未通过</t>
        </is>
      </c>
      <c r="C14" s="3" t="inlineStr">
        <is>
          <t>项目集经理</t>
        </is>
      </c>
      <c r="D14" s="74" t="n">
        <v>46315</v>
      </c>
      <c r="E14" s="16" t="inlineStr">
        <is>
          <t>预算基线变动均有影响分析和批准记录</t>
        </is>
      </c>
      <c r="F14" s="16" t="inlineStr">
        <is>
          <t>成本变更台账</t>
        </is>
      </c>
    </row>
    <row r="15">
      <c r="A15" s="3" t="inlineStr">
        <is>
          <t>成本偏差定期复核</t>
        </is>
      </c>
      <c r="B15" s="60" t="inlineStr">
        <is>
          <t>未通过</t>
        </is>
      </c>
      <c r="C15" s="3" t="inlineStr">
        <is>
          <t>项目经理</t>
        </is>
      </c>
      <c r="D15" s="74" t="n">
        <v>46356</v>
      </c>
      <c r="E15" s="16" t="inlineStr">
        <is>
          <t>按月更新承诺、实际、预测完成成本和偏差原因</t>
        </is>
      </c>
      <c r="F15" s="16" t="inlineStr">
        <is>
          <t>成本偏差分析</t>
        </is>
      </c>
    </row>
    <row r="18">
      <c r="A18" s="57" t="inlineStr">
        <is>
          <t>当前判断</t>
        </is>
      </c>
      <c r="B18" s="58" t="n"/>
      <c r="C18" s="58" t="n"/>
      <c r="D18" s="58" t="n"/>
      <c r="E18" s="58" t="n"/>
      <c r="F18" s="59" t="n"/>
    </row>
    <row r="19">
      <c r="A19" s="16" t="inlineStr">
        <is>
          <t>1</t>
        </is>
      </c>
      <c r="B19" s="61" t="inlineStr">
        <is>
          <t>人工成本607.09万元（4,337人天，按角色×月份月度投入明细汇总）只是项目预算的一部分；十项预算已全量化、合计1,525.22万元（含应急与管理储备各15%），待D-003批准后生效，批准前仍不得视为项目总预算。</t>
        </is>
      </c>
      <c r="C19" s="62" t="n"/>
      <c r="D19" s="28" t="n"/>
      <c r="E19" s="16" t="n"/>
      <c r="F19" s="16" t="n"/>
    </row>
    <row r="20">
      <c r="A20" s="16" t="inlineStr">
        <is>
          <t>2</t>
        </is>
      </c>
      <c r="B20" s="61" t="inlineStr">
        <is>
          <t>CA、电子文档和BI产品已完成POC评分与候选报价对比：按类别第一中选P-05中科签（193万）/P-08云档科技（184万）/P-16迅报软件（125万）三年TCO量化BUD-002—004；报价与评分为示例数据，待书面核验、会签签认及D-003批准后生效。</t>
        </is>
      </c>
      <c r="C20" s="62" t="n"/>
      <c r="D20" s="28" t="n"/>
      <c r="E20" s="16" t="n"/>
      <c r="F20" s="16" t="n"/>
    </row>
    <row r="21">
      <c r="A21" s="16" t="inlineStr">
        <is>
          <t>3</t>
        </is>
      </c>
      <c r="B21" s="61" t="inlineStr">
        <is>
          <t>合同付款节点应绑定交付物与验收证据，避免仅按日期或工作量付款。</t>
        </is>
      </c>
      <c r="C21" s="62" t="n"/>
      <c r="D21" s="28" t="n"/>
      <c r="E21" s="16" t="n"/>
      <c r="F21" s="16" t="n"/>
    </row>
    <row r="22">
      <c r="A22" s="16" t="inlineStr">
        <is>
          <t>4</t>
        </is>
      </c>
      <c r="B22" s="61" t="inlineStr">
        <is>
          <t>新增范围应同时评估人工、采购、进度和后续运维成本，并更新成本基线。</t>
        </is>
      </c>
      <c r="C22" s="62" t="n"/>
      <c r="D22" s="28" t="n"/>
      <c r="E22" s="16" t="n"/>
      <c r="F22" s="16" t="n"/>
    </row>
  </sheetData>
  <mergeCells count="5">
    <mergeCell ref="B19:D19"/>
    <mergeCell ref="B22:D22"/>
    <mergeCell ref="A2:K2"/>
    <mergeCell ref="B21:D21"/>
    <mergeCell ref="B20:D20"/>
  </mergeCells>
  <conditionalFormatting sqref="B10:B15">
    <cfRule type="containsText" priority="1" operator="between" dxfId="0" text="未通过">
      <formula>NOT(ISERROR(SEARCH("未通过",B10)))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tabSelected="1" workbookViewId="0">
      <pane xSplit="3" ySplit="4" topLeftCell="G5" activePane="bottomRight" state="frozen"/>
      <selection activeCell="A1" sqref="A1"/>
      <selection pane="topRight" activeCell="A1" sqref="A1"/>
      <selection pane="bottomLeft" activeCell="A1" sqref="A1"/>
      <selection pane="bottomRight" activeCell="H17" sqref="H17"/>
    </sheetView>
  </sheetViews>
  <sheetFormatPr baseColWidth="8" defaultColWidth="9" defaultRowHeight="16.8"/>
  <cols>
    <col width="12" customWidth="1" style="1" min="1" max="1"/>
    <col width="16" customWidth="1" style="1" min="2" max="2"/>
    <col width="25" customWidth="1" style="1" min="3" max="3"/>
    <col width="17" customWidth="1" style="1" min="4" max="4"/>
    <col width="28" customWidth="1" style="1" min="5" max="5"/>
    <col width="14" customWidth="1" style="1" min="6" max="7"/>
    <col width="17" customWidth="1" style="1" min="8" max="10"/>
    <col width="15" customWidth="1" style="1" min="11" max="12"/>
    <col width="32" customWidth="1" style="1" min="13" max="13"/>
  </cols>
  <sheetData>
    <row r="1" ht="25" customHeight="1" s="1">
      <c r="A1" s="7" t="inlineStr">
        <is>
          <t>项目预算基线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</row>
    <row r="2">
      <c r="A2" s="8" t="inlineStr">
        <is>
          <t>人工成本由“人工成本预算”的总计划人天×自动反算平均人日单价计算；缺少来源金额的其他成本项显示为“待估算”，不按0元处理。</t>
        </is>
      </c>
    </row>
    <row r="4" ht="32" customHeight="1" s="1">
      <c r="A4" s="2" t="inlineStr">
        <is>
          <t>预算ID</t>
        </is>
      </c>
      <c r="B4" s="2" t="inlineStr">
        <is>
          <t>成本类别</t>
        </is>
      </c>
      <c r="C4" s="2" t="inlineStr">
        <is>
          <t>成本项目</t>
        </is>
      </c>
      <c r="D4" s="2" t="inlineStr">
        <is>
          <t>一次性/经常性</t>
        </is>
      </c>
      <c r="E4" s="2" t="inlineStr">
        <is>
          <t>计量依据</t>
        </is>
      </c>
      <c r="F4" s="2" t="inlineStr">
        <is>
          <t>数量</t>
        </is>
      </c>
      <c r="G4" s="2" t="inlineStr">
        <is>
          <t>单价(元)</t>
        </is>
      </c>
      <c r="H4" s="2" t="inlineStr">
        <is>
          <t>初始预算(元)</t>
        </is>
      </c>
      <c r="I4" s="2" t="inlineStr">
        <is>
          <t>批准变更(元)</t>
        </is>
      </c>
      <c r="J4" s="2" t="inlineStr">
        <is>
          <t>当前预算(元)</t>
        </is>
      </c>
      <c r="K4" s="2" t="inlineStr">
        <is>
          <t>责任人</t>
        </is>
      </c>
      <c r="L4" s="2" t="inlineStr">
        <is>
          <t>估算状态</t>
        </is>
      </c>
      <c r="M4" s="2" t="inlineStr">
        <is>
          <t>估算依据/说明</t>
        </is>
      </c>
    </row>
    <row r="5">
      <c r="A5" s="3" t="inlineStr">
        <is>
          <t>BUD-001</t>
        </is>
      </c>
      <c r="B5" s="3" t="inlineStr">
        <is>
          <t>建设成本</t>
        </is>
      </c>
      <c r="C5" s="3" t="inlineStr">
        <is>
          <t>项目人工</t>
        </is>
      </c>
      <c r="D5" s="3" t="inlineStr">
        <is>
          <t>一次性</t>
        </is>
      </c>
      <c r="E5" s="16" t="str">
        <f>人工成本预算!D15&amp;"人天"</f>
        <v>4337人天</v>
      </c>
      <c r="F5" s="49">
        <f>人工成本预算!D15</f>
        <v>4337</v>
      </c>
      <c r="G5" s="75">
        <f>人工成本预算!E3</f>
        <v>1399.79248328338</v>
      </c>
      <c r="H5" s="76">
        <f>F5*G5</f>
        <v>6070900</v>
      </c>
      <c r="I5" s="75" t="n">
        <v>0</v>
      </c>
      <c r="J5" s="52">
        <f>IF(H5="","",H5+I5)</f>
        <v>6070900</v>
      </c>
      <c r="K5" s="3" t="inlineStr">
        <is>
          <t>项目经理</t>
        </is>
      </c>
      <c r="L5" s="9" t="inlineStr">
        <is>
          <t>已量化</t>
        </is>
      </c>
      <c r="M5" s="11" t="inlineStr">
        <is>
          <t>人工成本预算：计划人天×平均人日单价</t>
        </is>
      </c>
    </row>
    <row r="6" ht="31" customHeight="1" s="1">
      <c r="A6" s="3" t="inlineStr">
        <is>
          <t>BUD-002</t>
        </is>
      </c>
      <c r="B6" s="3" t="inlineStr">
        <is>
          <t>软件成本</t>
        </is>
      </c>
      <c r="C6" s="3" t="inlineStr">
        <is>
          <t>CA及电子签章</t>
        </is>
      </c>
      <c r="D6" s="3" t="inlineStr">
        <is>
          <t>一次性+经常性</t>
        </is>
      </c>
      <c r="E6" s="16" t="inlineStr">
        <is>
          <t>中选P-05中科签三年TCO：一次性148万+维保15万/年×3</t>
        </is>
      </c>
      <c r="F6" s="9" t="n">
        <v>1</v>
      </c>
      <c r="G6" s="77" t="n">
        <v>1930000</v>
      </c>
      <c r="H6" s="78">
        <f>F6*G6</f>
        <v>1930000</v>
      </c>
      <c r="I6" s="77" t="n">
        <v>0</v>
      </c>
      <c r="J6" s="73">
        <f>IF(H6="","",H6+I6)</f>
        <v>1930000</v>
      </c>
      <c r="K6" s="3" t="inlineStr">
        <is>
          <t>技术经理</t>
        </is>
      </c>
      <c r="L6" s="9" t="inlineStr">
        <is>
          <t>已量化</t>
        </is>
      </c>
      <c r="M6" s="11" t="inlineStr">
        <is>
          <t>等待POC和厂商报价</t>
        </is>
      </c>
    </row>
    <row r="7" ht="31" customHeight="1" s="1">
      <c r="A7" s="3" t="inlineStr">
        <is>
          <t>BUD-003</t>
        </is>
      </c>
      <c r="B7" s="3" t="inlineStr">
        <is>
          <t>软件成本</t>
        </is>
      </c>
      <c r="C7" s="3" t="inlineStr">
        <is>
          <t>电子文档产品</t>
        </is>
      </c>
      <c r="D7" s="3" t="inlineStr">
        <is>
          <t>一次性+经常性</t>
        </is>
      </c>
      <c r="E7" s="16" t="inlineStr">
        <is>
          <t>中选P-08云档科技三年TCO：一次性142万+维保14万/年×3</t>
        </is>
      </c>
      <c r="F7" s="9" t="n">
        <v>1</v>
      </c>
      <c r="G7" s="77" t="n">
        <v>1840000</v>
      </c>
      <c r="H7" s="78">
        <f>F7*G7</f>
        <v>1840000</v>
      </c>
      <c r="I7" s="77" t="n">
        <v>0</v>
      </c>
      <c r="J7" s="73">
        <f>IF(H7="","",H7+I7)</f>
        <v>1840000</v>
      </c>
      <c r="K7" s="3" t="inlineStr">
        <is>
          <t>技术经理</t>
        </is>
      </c>
      <c r="L7" s="9" t="inlineStr">
        <is>
          <t>已量化</t>
        </is>
      </c>
      <c r="M7" s="11" t="inlineStr">
        <is>
          <t>等待POC和厂商报价</t>
        </is>
      </c>
    </row>
    <row r="8" ht="31" customHeight="1" s="1">
      <c r="A8" s="3" t="inlineStr">
        <is>
          <t>BUD-004</t>
        </is>
      </c>
      <c r="B8" s="3" t="inlineStr">
        <is>
          <t>软件成本</t>
        </is>
      </c>
      <c r="C8" s="3" t="inlineStr">
        <is>
          <t>BI报表产品</t>
        </is>
      </c>
      <c r="D8" s="3" t="inlineStr">
        <is>
          <t>一次性+经常性</t>
        </is>
      </c>
      <c r="E8" s="16" t="inlineStr">
        <is>
          <t>中选P-16迅报软件三年TCO：一次性95万+维保10万/年×3</t>
        </is>
      </c>
      <c r="F8" s="9" t="n">
        <v>1</v>
      </c>
      <c r="G8" s="77" t="n">
        <v>1250000</v>
      </c>
      <c r="H8" s="78">
        <f>F8*G8</f>
        <v>1250000</v>
      </c>
      <c r="I8" s="77" t="n">
        <v>0</v>
      </c>
      <c r="J8" s="73">
        <f>IF(H8="","",H8+I8)</f>
        <v>1250000</v>
      </c>
      <c r="K8" s="3" t="inlineStr">
        <is>
          <t>技术经理</t>
        </is>
      </c>
      <c r="L8" s="9" t="inlineStr">
        <is>
          <t>已量化</t>
        </is>
      </c>
      <c r="M8" s="11" t="inlineStr">
        <is>
          <t>等待POC和厂商报价</t>
        </is>
      </c>
    </row>
    <row r="9">
      <c r="A9" s="3" t="inlineStr">
        <is>
          <t>BUD-005</t>
        </is>
      </c>
      <c r="B9" s="3" t="inlineStr">
        <is>
          <t>基础设施</t>
        </is>
      </c>
      <c r="C9" s="3" t="inlineStr">
        <is>
          <t>云资源与基础设施</t>
        </is>
      </c>
      <c r="D9" s="3" t="inlineStr">
        <is>
          <t>一次性+经常性</t>
        </is>
      </c>
      <c r="E9" s="16" t="inlineStr">
        <is>
          <t>PKG-004计划金额（开发/测试/生产/备份容灾资源估算，架构基线后确认）</t>
        </is>
      </c>
      <c r="F9" s="9" t="n">
        <v>1</v>
      </c>
      <c r="G9" s="77">
        <f>采购包计划!H8</f>
        <v>1800000</v>
      </c>
      <c r="H9" s="78">
        <f>F9*G9</f>
        <v>1800000</v>
      </c>
      <c r="I9" s="77" t="n">
        <v>0</v>
      </c>
      <c r="J9" s="73">
        <f>IF(H9="","",H9+I9)</f>
        <v>1800000</v>
      </c>
      <c r="K9" s="3" t="inlineStr">
        <is>
          <t>配置人员</t>
        </is>
      </c>
      <c r="L9" s="9" t="inlineStr">
        <is>
          <t>已量化</t>
        </is>
      </c>
      <c r="M9" s="11" t="inlineStr">
        <is>
          <t>等待架构与容量基线</t>
        </is>
      </c>
    </row>
    <row r="10">
      <c r="A10" s="3" t="inlineStr">
        <is>
          <t>BUD-006</t>
        </is>
      </c>
      <c r="B10" s="3" t="inlineStr">
        <is>
          <t>专业服务</t>
        </is>
      </c>
      <c r="C10" s="3" t="inlineStr">
        <is>
          <t>安全测评与专业测试</t>
        </is>
      </c>
      <c r="D10" s="3" t="inlineStr">
        <is>
          <t>一次性</t>
        </is>
      </c>
      <c r="E10" s="16" t="inlineStr">
        <is>
          <t>PKG-005计划金额（安全/性能/第三方测评范围估算，测试策略后确认）</t>
        </is>
      </c>
      <c r="F10" s="9" t="n">
        <v>1</v>
      </c>
      <c r="G10" s="77">
        <f>采购包计划!H9</f>
        <v>180000</v>
      </c>
      <c r="H10" s="78">
        <f>F10*G10</f>
        <v>180000</v>
      </c>
      <c r="I10" s="77" t="n">
        <v>0</v>
      </c>
      <c r="J10" s="73">
        <f>IF(H10="","",H10+I10)</f>
        <v>180000</v>
      </c>
      <c r="K10" s="3" t="inlineStr">
        <is>
          <t>高级测试人员</t>
        </is>
      </c>
      <c r="L10" s="9" t="inlineStr">
        <is>
          <t>已量化</t>
        </is>
      </c>
      <c r="M10" s="11" t="inlineStr">
        <is>
          <t>等待测试策略与询价</t>
        </is>
      </c>
    </row>
    <row r="11">
      <c r="A11" s="3" t="inlineStr">
        <is>
          <t>BUD-007</t>
        </is>
      </c>
      <c r="B11" s="3" t="inlineStr">
        <is>
          <t>专业服务</t>
        </is>
      </c>
      <c r="C11" s="3" t="inlineStr">
        <is>
          <t>数据迁移服务</t>
        </is>
      </c>
      <c r="D11" s="3" t="inlineStr">
        <is>
          <t>一次性</t>
        </is>
      </c>
      <c r="E11" s="16" t="inlineStr">
        <is>
          <t>PKG-006计划金额（存量数据清洗/转换/迁移工作量估算，数据范围后确认）</t>
        </is>
      </c>
      <c r="F11" s="9" t="n">
        <v>1</v>
      </c>
      <c r="G11" s="77">
        <f>采购包计划!H10</f>
        <v>200000</v>
      </c>
      <c r="H11" s="78">
        <f>F11*G11</f>
        <v>200000</v>
      </c>
      <c r="I11" s="77" t="n">
        <v>0</v>
      </c>
      <c r="J11" s="73">
        <f>IF(H11="","",H11+I11)</f>
        <v>200000</v>
      </c>
      <c r="K11" s="3" t="inlineStr">
        <is>
          <t>产品经理</t>
        </is>
      </c>
      <c r="L11" s="9" t="inlineStr">
        <is>
          <t>已量化</t>
        </is>
      </c>
      <c r="M11" s="11" t="inlineStr">
        <is>
          <t>等待数据范围与质量评估</t>
        </is>
      </c>
    </row>
    <row r="12">
      <c r="A12" s="3" t="inlineStr">
        <is>
          <t>BUD-008</t>
        </is>
      </c>
      <c r="B12" s="3" t="inlineStr">
        <is>
          <t>专业服务</t>
        </is>
      </c>
      <c r="C12" s="3" t="inlineStr">
        <is>
          <t>外部实施与专项支持</t>
        </is>
      </c>
      <c r="D12" s="3" t="inlineStr">
        <is>
          <t>一次性</t>
        </is>
      </c>
      <c r="E12" s="16" t="inlineStr">
        <is>
          <t>PKG-007计划金额（产品实施/接口支持/上线保障边界估算，合同边界后确认）</t>
        </is>
      </c>
      <c r="F12" s="9" t="n">
        <v>1</v>
      </c>
      <c r="G12" s="77">
        <f>采购包计划!H11</f>
        <v>160000</v>
      </c>
      <c r="H12" s="78">
        <f>F12*G12</f>
        <v>160000</v>
      </c>
      <c r="I12" s="77" t="n">
        <v>0</v>
      </c>
      <c r="J12" s="73">
        <f>IF(H12="","",H12+I12)</f>
        <v>160000</v>
      </c>
      <c r="K12" s="3" t="inlineStr">
        <is>
          <t>项目经理</t>
        </is>
      </c>
      <c r="L12" s="9" t="inlineStr">
        <is>
          <t>已量化</t>
        </is>
      </c>
      <c r="M12" s="11" t="inlineStr">
        <is>
          <t>等待工作说明书与报价</t>
        </is>
      </c>
    </row>
    <row r="13">
      <c r="A13" s="3" t="inlineStr">
        <is>
          <t>BUD-009</t>
        </is>
      </c>
      <c r="B13" s="3" t="inlineStr">
        <is>
          <t>风险储备</t>
        </is>
      </c>
      <c r="C13" s="3" t="inlineStr">
        <is>
          <t>应急储备</t>
        </is>
      </c>
      <c r="D13" s="3" t="inlineStr">
        <is>
          <t>一次性</t>
        </is>
      </c>
      <c r="E13" s="16" t="inlineStr">
        <is>
          <t>经批准的已知风险应对</t>
        </is>
      </c>
      <c r="F13" s="9" t="n"/>
      <c r="G13" s="77" t="n"/>
      <c r="H13" s="78">
        <f>H5*15%</f>
        <v>910635</v>
      </c>
      <c r="I13" s="77" t="n">
        <v>0</v>
      </c>
      <c r="J13" s="73">
        <f>IF(H13="","",H13+I13)</f>
        <v>910635</v>
      </c>
      <c r="K13" s="3" t="inlineStr">
        <is>
          <t>项目集经理</t>
        </is>
      </c>
      <c r="L13" s="9" t="inlineStr">
        <is>
          <t>已量化</t>
        </is>
      </c>
      <c r="M13" s="11" t="inlineStr">
        <is>
          <t>基于量化风险分析确定</t>
        </is>
      </c>
    </row>
    <row r="14">
      <c r="A14" s="3" t="inlineStr">
        <is>
          <t>BUD-010</t>
        </is>
      </c>
      <c r="B14" s="3" t="inlineStr">
        <is>
          <t>管理储备</t>
        </is>
      </c>
      <c r="C14" s="3" t="inlineStr">
        <is>
          <t>管理储备</t>
        </is>
      </c>
      <c r="D14" s="3" t="inlineStr">
        <is>
          <t>一次性</t>
        </is>
      </c>
      <c r="E14" s="16" t="inlineStr">
        <is>
          <t>未知风险和管理裁量</t>
        </is>
      </c>
      <c r="F14" s="9" t="n"/>
      <c r="G14" s="77" t="n"/>
      <c r="H14" s="78">
        <f>H5*15%</f>
        <v>910635</v>
      </c>
      <c r="I14" s="77" t="n">
        <v>0</v>
      </c>
      <c r="J14" s="73">
        <f>IF(H14="","",H14+I14)</f>
        <v>910635</v>
      </c>
      <c r="K14" s="3" t="inlineStr">
        <is>
          <t>项目集经理</t>
        </is>
      </c>
      <c r="L14" s="9" t="inlineStr">
        <is>
          <t>已量化</t>
        </is>
      </c>
      <c r="M14" s="11" t="inlineStr">
        <is>
          <t>经管理层批准后单列</t>
        </is>
      </c>
    </row>
  </sheetData>
  <mergeCells count="1">
    <mergeCell ref="A2:M2"/>
  </mergeCells>
  <conditionalFormatting sqref="L5:L104">
    <cfRule type="containsText" priority="1" operator="between" dxfId="0" text="待估算">
      <formula>NOT(ISERROR(SEARCH("待估算",L5)))</formula>
    </cfRule>
  </conditionalFormatting>
  <dataValidations count="1">
    <dataValidation sqref="L5:L104" showDropDown="0" showInputMessage="0" showErrorMessage="0" allowBlank="0" type="list">
      <formula1>"待估算,估算中,已量化,已批准"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activeCell="A1" sqref="A1"/>
      <selection pane="bottomLeft" activeCell="D24" sqref="D24"/>
    </sheetView>
  </sheetViews>
  <sheetFormatPr baseColWidth="8" defaultColWidth="9" defaultRowHeight="16.8"/>
  <cols>
    <col width="14" customWidth="1" style="1" min="1" max="1"/>
    <col width="20" customWidth="1" style="1" min="2" max="2"/>
    <col width="16" customWidth="1" style="1" min="3" max="5"/>
    <col width="22" customWidth="1" style="1" min="6" max="6"/>
    <col width="32.7647058823529" customWidth="1" style="1" min="7" max="7"/>
  </cols>
  <sheetData>
    <row r="1" ht="25" customHeight="1" s="1">
      <c r="A1" s="7" t="inlineStr">
        <is>
          <t>人工成本预算</t>
        </is>
      </c>
      <c r="B1" s="7" t="n"/>
      <c r="C1" s="7" t="n"/>
      <c r="D1" s="7" t="n"/>
      <c r="E1" s="7" t="n"/>
      <c r="F1" s="7" t="n"/>
      <c r="G1" s="7" t="n"/>
    </row>
    <row r="2">
      <c r="A2" s="8" t="inlineStr">
        <is>
          <t>保留各角色人日单价和明细成本；平均人日单价自动按“角色人工成本合计÷总计划人天”计算，所有汇总成本统一引用该平均值。</t>
        </is>
      </c>
    </row>
    <row r="3" ht="27" customHeight="1" s="1">
      <c r="D3" s="36" t="inlineStr">
        <is>
          <t>平均人日单价(元)</t>
        </is>
      </c>
      <c r="E3" s="37">
        <f>IFERROR(SUM(F5:F14)/SUM(D5:D14),0)</f>
        <v>1399.79248328338</v>
      </c>
      <c r="F3" s="38" t="inlineStr">
        <is>
          <t>自动计算：角色人工成本合计÷总计划人天，不手工填写</t>
        </is>
      </c>
      <c r="G3" s="39" t="n"/>
    </row>
    <row r="4" ht="32" customHeight="1" s="1">
      <c r="A4" s="2" t="inlineStr">
        <is>
          <t>角色编码</t>
        </is>
      </c>
      <c r="B4" s="2" t="inlineStr">
        <is>
          <t>角色</t>
        </is>
      </c>
      <c r="C4" s="2" t="inlineStr">
        <is>
          <t>计划人数</t>
        </is>
      </c>
      <c r="D4" s="2" t="inlineStr">
        <is>
          <t>计划人天</t>
        </is>
      </c>
      <c r="E4" s="2" t="inlineStr">
        <is>
          <t>人日单价(元)</t>
        </is>
      </c>
      <c r="F4" s="2" t="inlineStr">
        <is>
          <t>计划人工成本(元)</t>
        </is>
      </c>
      <c r="G4" s="2" t="inlineStr">
        <is>
          <t>估算说明</t>
        </is>
      </c>
    </row>
    <row r="5">
      <c r="A5" s="40" t="inlineStr">
        <is>
          <t>PGM</t>
        </is>
      </c>
      <c r="B5" s="40" t="inlineStr">
        <is>
          <t>项目集经理</t>
        </is>
      </c>
      <c r="C5" s="79" t="n">
        <v>0</v>
      </c>
      <c r="D5" s="80">
        <f>月度投入明细!AP5</f>
        <v>0</v>
      </c>
      <c r="E5" s="43" t="n">
        <v>1900</v>
      </c>
      <c r="F5" s="44">
        <f>D5*E5</f>
        <v>0</v>
      </c>
      <c r="G5" s="3" t="inlineStr">
        <is>
          <t>按角色单价计算明细；汇总使用平均人日单价</t>
        </is>
      </c>
    </row>
    <row r="6">
      <c r="A6" s="40" t="inlineStr">
        <is>
          <t>PM</t>
        </is>
      </c>
      <c r="B6" s="40" t="inlineStr">
        <is>
          <t>项目经理</t>
        </is>
      </c>
      <c r="C6" s="79" t="n">
        <v>1</v>
      </c>
      <c r="D6" s="80">
        <f>月度投入明细!AP6</f>
        <v>336</v>
      </c>
      <c r="E6" s="43" t="n">
        <v>1700</v>
      </c>
      <c r="F6" s="44">
        <f>D6*E6</f>
        <v>571200</v>
      </c>
      <c r="G6" s="3" t="inlineStr">
        <is>
          <t>按角色单价计算明细；汇总使用平均人日单价</t>
        </is>
      </c>
    </row>
    <row r="7">
      <c r="A7" s="40" t="inlineStr">
        <is>
          <t>TM</t>
        </is>
      </c>
      <c r="B7" s="40" t="inlineStr">
        <is>
          <t>技术经理</t>
        </is>
      </c>
      <c r="C7" s="79" t="n">
        <v>2</v>
      </c>
      <c r="D7" s="80">
        <f>月度投入明细!AP7</f>
        <v>577</v>
      </c>
      <c r="E7" s="43" t="n">
        <v>1600</v>
      </c>
      <c r="F7" s="44">
        <f>D7*E7</f>
        <v>923200</v>
      </c>
      <c r="G7" s="3" t="inlineStr">
        <is>
          <t>按角色单价计算明细；汇总使用平均人日单价</t>
        </is>
      </c>
    </row>
    <row r="8">
      <c r="A8" s="40" t="inlineStr">
        <is>
          <t>PDM</t>
        </is>
      </c>
      <c r="B8" s="40" t="inlineStr">
        <is>
          <t>产品经理</t>
        </is>
      </c>
      <c r="C8" s="79" t="n">
        <v>2</v>
      </c>
      <c r="D8" s="80">
        <f>月度投入明细!AP8</f>
        <v>487</v>
      </c>
      <c r="E8" s="43" t="n">
        <v>1600</v>
      </c>
      <c r="F8" s="44">
        <f>D8*E8</f>
        <v>779200</v>
      </c>
      <c r="G8" s="3" t="inlineStr">
        <is>
          <t>按角色单价计算明细；汇总使用平均人日单价</t>
        </is>
      </c>
    </row>
    <row r="9">
      <c r="A9" s="40" t="inlineStr">
        <is>
          <t>UI</t>
        </is>
      </c>
      <c r="B9" s="40" t="inlineStr">
        <is>
          <t>美工</t>
        </is>
      </c>
      <c r="C9" s="79" t="n">
        <v>1</v>
      </c>
      <c r="D9" s="80">
        <f>月度投入明细!AP9</f>
        <v>42</v>
      </c>
      <c r="E9" s="43" t="n">
        <v>900</v>
      </c>
      <c r="F9" s="44">
        <f>D9*E9</f>
        <v>37800</v>
      </c>
      <c r="G9" s="3" t="inlineStr">
        <is>
          <t>按角色单价计算明细；汇总使用平均人日单价</t>
        </is>
      </c>
    </row>
    <row r="10">
      <c r="A10" s="40" t="inlineStr">
        <is>
          <t>SDEV</t>
        </is>
      </c>
      <c r="B10" s="40" t="inlineStr">
        <is>
          <t>高级开发人员</t>
        </is>
      </c>
      <c r="C10" s="79" t="n">
        <v>2</v>
      </c>
      <c r="D10" s="80">
        <f>月度投入明细!AP10</f>
        <v>421</v>
      </c>
      <c r="E10" s="43" t="n">
        <v>1500</v>
      </c>
      <c r="F10" s="44">
        <f>D10*E10</f>
        <v>631500</v>
      </c>
      <c r="G10" s="3" t="inlineStr">
        <is>
          <t>按角色单价计算明细；汇总使用平均人日单价</t>
        </is>
      </c>
    </row>
    <row r="11">
      <c r="A11" s="40" t="inlineStr">
        <is>
          <t>MDEV</t>
        </is>
      </c>
      <c r="B11" s="40" t="inlineStr">
        <is>
          <t>中级开发人员</t>
        </is>
      </c>
      <c r="C11" s="79" t="n">
        <v>10</v>
      </c>
      <c r="D11" s="80">
        <f>月度投入明细!AP11</f>
        <v>1823</v>
      </c>
      <c r="E11" s="43" t="n">
        <v>1300</v>
      </c>
      <c r="F11" s="44">
        <f>D11*E11</f>
        <v>2369900</v>
      </c>
      <c r="G11" s="3" t="inlineStr">
        <is>
          <t>按角色单价计算明细；汇总使用平均人日单价</t>
        </is>
      </c>
    </row>
    <row r="12">
      <c r="A12" s="40" t="inlineStr">
        <is>
          <t>SQA</t>
        </is>
      </c>
      <c r="B12" s="40" t="inlineStr">
        <is>
          <t>高级测试人员</t>
        </is>
      </c>
      <c r="C12" s="79" t="n">
        <v>1</v>
      </c>
      <c r="D12" s="80">
        <f>月度投入明细!AP12</f>
        <v>210</v>
      </c>
      <c r="E12" s="43" t="n">
        <v>1300</v>
      </c>
      <c r="F12" s="44">
        <f>D12*E12</f>
        <v>273000</v>
      </c>
      <c r="G12" s="3" t="inlineStr">
        <is>
          <t>按角色单价计算明细；汇总使用平均人日单价</t>
        </is>
      </c>
    </row>
    <row r="13">
      <c r="A13" s="40" t="inlineStr">
        <is>
          <t>MQA</t>
        </is>
      </c>
      <c r="B13" s="40" t="inlineStr">
        <is>
          <t>中级测试人员</t>
        </is>
      </c>
      <c r="C13" s="79" t="n">
        <v>3</v>
      </c>
      <c r="D13" s="80">
        <f>月度投入明细!AP13</f>
        <v>441</v>
      </c>
      <c r="E13" s="43" t="n">
        <v>1100</v>
      </c>
      <c r="F13" s="44">
        <f>D13*E13</f>
        <v>485100</v>
      </c>
      <c r="G13" s="3" t="inlineStr">
        <is>
          <t>按角色单价计算明细；汇总使用平均人日单价</t>
        </is>
      </c>
    </row>
    <row r="14" ht="17.55" customHeight="1" s="1">
      <c r="A14" s="40" t="inlineStr">
        <is>
          <t>CM</t>
        </is>
      </c>
      <c r="B14" s="40" t="inlineStr">
        <is>
          <t>配置人员</t>
        </is>
      </c>
      <c r="C14" s="79" t="n">
        <v>0</v>
      </c>
      <c r="D14" s="80">
        <f>月度投入明细!AP14</f>
        <v>0</v>
      </c>
      <c r="E14" s="43" t="n">
        <v>1000</v>
      </c>
      <c r="F14" s="44">
        <f>D14*E14</f>
        <v>0</v>
      </c>
      <c r="G14" s="3" t="inlineStr">
        <is>
          <t>按角色单价计算明细；汇总使用平均人日单价</t>
        </is>
      </c>
    </row>
    <row r="15" ht="17.55" customHeight="1" s="1">
      <c r="A15" s="45" t="inlineStr">
        <is>
          <t>合计</t>
        </is>
      </c>
      <c r="B15" s="45" t="n"/>
      <c r="C15" s="81">
        <f>SUM(C5:C14)</f>
        <v>22</v>
      </c>
      <c r="D15" s="81">
        <f>SUM(D5:D14)</f>
        <v>4337</v>
      </c>
      <c r="E15" s="47">
        <f>$E$3</f>
        <v>1399.79248328338</v>
      </c>
      <c r="F15" s="47">
        <f>D15*E15</f>
        <v>6070900</v>
      </c>
      <c r="G15" s="48" t="n"/>
    </row>
    <row r="16" ht="17.55" customHeight="1" s="1"/>
  </sheetData>
  <mergeCells count="2">
    <mergeCell ref="F3:G3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"/>
  <sheetViews>
    <sheetView showGridLines="0" workbookViewId="0">
      <pane xSplit="1" ySplit="4" topLeftCell="AE5" activePane="bottomRight" state="frozen"/>
      <selection activeCell="A1" sqref="A1"/>
      <selection pane="topRight" activeCell="A1" sqref="A1"/>
      <selection pane="bottomLeft" activeCell="A1" sqref="A1"/>
      <selection pane="bottomRight" activeCell="AJ21" sqref="AJ21"/>
    </sheetView>
  </sheetViews>
  <sheetFormatPr baseColWidth="8" defaultColWidth="9" defaultRowHeight="16.8"/>
  <cols>
    <col width="16" customWidth="1" style="1" min="1" max="1"/>
    <col width="10" customWidth="1" style="1" min="2" max="41"/>
    <col width="12" customWidth="1" style="1" min="42" max="46"/>
  </cols>
  <sheetData>
    <row r="1">
      <c r="A1" s="0" t="inlineStr">
        <is>
          <t>月度投入明细</t>
        </is>
      </c>
    </row>
    <row r="2" ht="40" customHeight="1" s="1">
      <c r="A2" s="27" t="inlineStr">
        <is>
          <t>按角色×月份的计划/实际投入人天，由项目团队维护；计划列为人工成本预算计划人天的唯一来源（人工成本预算 D 列引用本表“计划合计”列，预算人天列保持与人工成本预算核对）；差异列=计划合计−实际合计，反映投入进度偏差；完成率=实际合计/计划合计；每月按实际排产更新实际列，修改后平均人日单价与人工成本自动重算。</t>
        </is>
      </c>
    </row>
    <row r="3">
      <c r="B3" s="17" t="inlineStr">
        <is>
          <t>2026-01</t>
        </is>
      </c>
      <c r="C3" s="28" t="n"/>
      <c r="D3" s="17" t="inlineStr">
        <is>
          <t>2026-02</t>
        </is>
      </c>
      <c r="E3" s="28" t="n"/>
      <c r="F3" s="17" t="inlineStr">
        <is>
          <t>2026-03</t>
        </is>
      </c>
      <c r="G3" s="28" t="n"/>
      <c r="H3" s="17" t="inlineStr">
        <is>
          <t>2026-04</t>
        </is>
      </c>
      <c r="I3" s="28" t="n"/>
      <c r="J3" s="17" t="inlineStr">
        <is>
          <t>2026-05</t>
        </is>
      </c>
      <c r="K3" s="28" t="n"/>
      <c r="L3" s="17" t="inlineStr">
        <is>
          <t>2026-06</t>
        </is>
      </c>
      <c r="M3" s="28" t="n"/>
      <c r="N3" s="17" t="inlineStr">
        <is>
          <t>2026-07</t>
        </is>
      </c>
      <c r="O3" s="28" t="n"/>
      <c r="P3" s="17" t="inlineStr">
        <is>
          <t>2026-08</t>
        </is>
      </c>
      <c r="Q3" s="28" t="n"/>
      <c r="R3" s="17" t="inlineStr">
        <is>
          <t>2026-09</t>
        </is>
      </c>
      <c r="S3" s="28" t="n"/>
      <c r="T3" s="17" t="inlineStr">
        <is>
          <t>2026-10</t>
        </is>
      </c>
      <c r="U3" s="28" t="n"/>
      <c r="V3" s="17" t="inlineStr">
        <is>
          <t>2026-11</t>
        </is>
      </c>
      <c r="W3" s="28" t="n"/>
      <c r="X3" s="17" t="inlineStr">
        <is>
          <t>2026-12</t>
        </is>
      </c>
      <c r="Y3" s="28" t="n"/>
      <c r="Z3" s="17" t="inlineStr">
        <is>
          <t>2027-01</t>
        </is>
      </c>
      <c r="AA3" s="28" t="n"/>
      <c r="AB3" s="17" t="inlineStr">
        <is>
          <t>2027-02</t>
        </is>
      </c>
      <c r="AC3" s="28" t="n"/>
      <c r="AD3" s="17" t="inlineStr">
        <is>
          <t>2027-03</t>
        </is>
      </c>
      <c r="AE3" s="28" t="n"/>
      <c r="AF3" s="17" t="inlineStr">
        <is>
          <t>2027-04</t>
        </is>
      </c>
      <c r="AG3" s="28" t="n"/>
      <c r="AH3" s="17" t="inlineStr">
        <is>
          <t>2027-05</t>
        </is>
      </c>
      <c r="AI3" s="28" t="n"/>
      <c r="AJ3" s="17" t="inlineStr">
        <is>
          <t>2027-06</t>
        </is>
      </c>
      <c r="AK3" s="28" t="n"/>
      <c r="AL3" s="17" t="inlineStr">
        <is>
          <t>2027-07</t>
        </is>
      </c>
      <c r="AM3" s="28" t="n"/>
      <c r="AN3" s="17" t="inlineStr">
        <is>
          <t>2027-08</t>
        </is>
      </c>
      <c r="AO3" s="28" t="n"/>
    </row>
    <row r="4" ht="31" customHeight="1" s="1">
      <c r="A4" s="29" t="inlineStr">
        <is>
          <t>角色</t>
        </is>
      </c>
      <c r="B4" s="17" t="inlineStr">
        <is>
          <t>计划</t>
        </is>
      </c>
      <c r="C4" s="17" t="inlineStr">
        <is>
          <t>实际</t>
        </is>
      </c>
      <c r="D4" s="17" t="inlineStr">
        <is>
          <t>计划</t>
        </is>
      </c>
      <c r="E4" s="17" t="inlineStr">
        <is>
          <t>实际</t>
        </is>
      </c>
      <c r="F4" s="17" t="inlineStr">
        <is>
          <t>计划</t>
        </is>
      </c>
      <c r="G4" s="17" t="inlineStr">
        <is>
          <t>实际</t>
        </is>
      </c>
      <c r="H4" s="17" t="inlineStr">
        <is>
          <t>计划</t>
        </is>
      </c>
      <c r="I4" s="17" t="inlineStr">
        <is>
          <t>实际</t>
        </is>
      </c>
      <c r="J4" s="17" t="inlineStr">
        <is>
          <t>计划</t>
        </is>
      </c>
      <c r="K4" s="17" t="inlineStr">
        <is>
          <t>实际</t>
        </is>
      </c>
      <c r="L4" s="17" t="inlineStr">
        <is>
          <t>计划</t>
        </is>
      </c>
      <c r="M4" s="17" t="inlineStr">
        <is>
          <t>实际</t>
        </is>
      </c>
      <c r="N4" s="17" t="inlineStr">
        <is>
          <t>计划</t>
        </is>
      </c>
      <c r="O4" s="17" t="inlineStr">
        <is>
          <t>实际</t>
        </is>
      </c>
      <c r="P4" s="17" t="inlineStr">
        <is>
          <t>计划</t>
        </is>
      </c>
      <c r="Q4" s="17" t="inlineStr">
        <is>
          <t>实际</t>
        </is>
      </c>
      <c r="R4" s="17" t="inlineStr">
        <is>
          <t>计划</t>
        </is>
      </c>
      <c r="S4" s="17" t="inlineStr">
        <is>
          <t>实际</t>
        </is>
      </c>
      <c r="T4" s="17" t="inlineStr">
        <is>
          <t>计划</t>
        </is>
      </c>
      <c r="U4" s="17" t="inlineStr">
        <is>
          <t>实际</t>
        </is>
      </c>
      <c r="V4" s="17" t="inlineStr">
        <is>
          <t>计划</t>
        </is>
      </c>
      <c r="W4" s="17" t="inlineStr">
        <is>
          <t>实际</t>
        </is>
      </c>
      <c r="X4" s="17" t="inlineStr">
        <is>
          <t>计划</t>
        </is>
      </c>
      <c r="Y4" s="17" t="inlineStr">
        <is>
          <t>实际</t>
        </is>
      </c>
      <c r="Z4" s="17" t="inlineStr">
        <is>
          <t>计划</t>
        </is>
      </c>
      <c r="AA4" s="17" t="inlineStr">
        <is>
          <t>实际</t>
        </is>
      </c>
      <c r="AB4" s="17" t="inlineStr">
        <is>
          <t>计划</t>
        </is>
      </c>
      <c r="AC4" s="17" t="inlineStr">
        <is>
          <t>实际</t>
        </is>
      </c>
      <c r="AD4" s="17" t="inlineStr">
        <is>
          <t>计划</t>
        </is>
      </c>
      <c r="AE4" s="17" t="inlineStr">
        <is>
          <t>实际</t>
        </is>
      </c>
      <c r="AF4" s="17" t="inlineStr">
        <is>
          <t>计划</t>
        </is>
      </c>
      <c r="AG4" s="17" t="inlineStr">
        <is>
          <t>实际</t>
        </is>
      </c>
      <c r="AH4" s="17" t="inlineStr">
        <is>
          <t>计划</t>
        </is>
      </c>
      <c r="AI4" s="17" t="inlineStr">
        <is>
          <t>实际</t>
        </is>
      </c>
      <c r="AJ4" s="17" t="inlineStr">
        <is>
          <t>计划</t>
        </is>
      </c>
      <c r="AK4" s="17" t="inlineStr">
        <is>
          <t>实际</t>
        </is>
      </c>
      <c r="AL4" s="17" t="inlineStr">
        <is>
          <t>计划</t>
        </is>
      </c>
      <c r="AM4" s="17" t="inlineStr">
        <is>
          <t>实际</t>
        </is>
      </c>
      <c r="AN4" s="17" t="inlineStr">
        <is>
          <t>计划</t>
        </is>
      </c>
      <c r="AO4" s="17" t="inlineStr">
        <is>
          <t>实际</t>
        </is>
      </c>
      <c r="AP4" s="17" t="inlineStr">
        <is>
          <t>计划合计</t>
        </is>
      </c>
      <c r="AQ4" s="17" t="inlineStr">
        <is>
          <t>实际合计</t>
        </is>
      </c>
      <c r="AR4" s="17" t="inlineStr">
        <is>
          <t>预算人天</t>
        </is>
      </c>
      <c r="AS4" s="17" t="inlineStr">
        <is>
          <t>差异(计划-实际)</t>
        </is>
      </c>
      <c r="AT4" s="17" t="inlineStr">
        <is>
          <t>完成率(实际/计划)</t>
        </is>
      </c>
    </row>
    <row r="5">
      <c r="A5" s="30" t="inlineStr">
        <is>
          <t>项目集经理</t>
        </is>
      </c>
      <c r="B5" s="31" t="n">
        <v>0</v>
      </c>
      <c r="C5" s="32" t="n">
        <v>0</v>
      </c>
      <c r="D5" s="31" t="n">
        <v>0</v>
      </c>
      <c r="E5" s="32" t="n">
        <v>0</v>
      </c>
      <c r="F5" s="31" t="n">
        <v>0</v>
      </c>
      <c r="G5" s="32" t="n">
        <v>0</v>
      </c>
      <c r="H5" s="31" t="n">
        <v>0</v>
      </c>
      <c r="I5" s="32" t="n">
        <v>0</v>
      </c>
      <c r="J5" s="31" t="n">
        <v>0</v>
      </c>
      <c r="K5" s="32" t="n">
        <v>0</v>
      </c>
      <c r="L5" s="31" t="n">
        <v>0</v>
      </c>
      <c r="M5" s="32" t="n">
        <v>0</v>
      </c>
      <c r="N5" s="31" t="n">
        <v>0</v>
      </c>
      <c r="O5" s="32" t="n">
        <v>0</v>
      </c>
      <c r="P5" s="31" t="n">
        <v>0</v>
      </c>
      <c r="Q5" s="32" t="n">
        <v>0</v>
      </c>
      <c r="R5" s="31" t="n">
        <v>0</v>
      </c>
      <c r="S5" s="32" t="n">
        <v>0</v>
      </c>
      <c r="T5" s="31" t="n">
        <v>0</v>
      </c>
      <c r="U5" s="32" t="n">
        <v>0</v>
      </c>
      <c r="V5" s="31" t="n">
        <v>0</v>
      </c>
      <c r="W5" s="32" t="n">
        <v>0</v>
      </c>
      <c r="X5" s="31" t="n">
        <v>0</v>
      </c>
      <c r="Y5" s="32" t="n">
        <v>0</v>
      </c>
      <c r="Z5" s="31" t="n">
        <v>0</v>
      </c>
      <c r="AA5" s="32" t="n">
        <v>0</v>
      </c>
      <c r="AB5" s="31" t="n">
        <v>0</v>
      </c>
      <c r="AC5" s="32" t="n">
        <v>0</v>
      </c>
      <c r="AD5" s="31" t="n">
        <v>0</v>
      </c>
      <c r="AE5" s="32" t="n">
        <v>0</v>
      </c>
      <c r="AF5" s="31" t="n">
        <v>0</v>
      </c>
      <c r="AG5" s="32" t="n">
        <v>0</v>
      </c>
      <c r="AH5" s="31" t="n">
        <v>0</v>
      </c>
      <c r="AI5" s="32" t="n">
        <v>0</v>
      </c>
      <c r="AJ5" s="31" t="n">
        <v>0</v>
      </c>
      <c r="AK5" s="32" t="n">
        <v>0</v>
      </c>
      <c r="AL5" s="31" t="n">
        <v>0</v>
      </c>
      <c r="AM5" s="32" t="n">
        <v>0</v>
      </c>
      <c r="AN5" s="31" t="n">
        <v>0</v>
      </c>
      <c r="AO5" s="32" t="n">
        <v>0</v>
      </c>
      <c r="AP5" s="31">
        <f>SUMIF($B$4:$AO$4,"计划",B5:AO5)</f>
        <v>0</v>
      </c>
      <c r="AQ5" s="31">
        <f>SUMIF($B$4:$AO$4,"实际",B5:AO5)</f>
        <v>0</v>
      </c>
      <c r="AR5" s="31">
        <f>人工成本预算!D5</f>
        <v>0</v>
      </c>
      <c r="AS5" s="31">
        <f>AP5-AQ5</f>
        <v>0</v>
      </c>
      <c r="AT5" s="82">
        <f>IF(AP5=0,"",AQ5/AP5)</f>
        <v/>
      </c>
    </row>
    <row r="6">
      <c r="A6" s="30" t="inlineStr">
        <is>
          <t>项目经理</t>
        </is>
      </c>
      <c r="B6" s="31" t="n">
        <v>0</v>
      </c>
      <c r="C6" s="32" t="n">
        <v>0</v>
      </c>
      <c r="D6" s="31" t="n">
        <v>0</v>
      </c>
      <c r="E6" s="32" t="n">
        <v>0</v>
      </c>
      <c r="F6" s="31" t="n">
        <v>0</v>
      </c>
      <c r="G6" s="32" t="n">
        <v>0</v>
      </c>
      <c r="H6" s="31" t="n">
        <v>0</v>
      </c>
      <c r="I6" s="32" t="n">
        <v>0</v>
      </c>
      <c r="J6" s="31" t="n">
        <v>21</v>
      </c>
      <c r="K6" s="32" t="n">
        <v>21</v>
      </c>
      <c r="L6" s="31" t="n">
        <v>21</v>
      </c>
      <c r="M6" s="32" t="n">
        <v>21</v>
      </c>
      <c r="N6" s="31" t="n">
        <v>21</v>
      </c>
      <c r="O6" s="32" t="n">
        <v>21</v>
      </c>
      <c r="P6" s="31" t="n">
        <v>21</v>
      </c>
      <c r="Q6" s="32" t="n">
        <v>21</v>
      </c>
      <c r="R6" s="31" t="n">
        <v>21</v>
      </c>
      <c r="S6" s="32" t="n">
        <v>21</v>
      </c>
      <c r="T6" s="31" t="n">
        <v>21</v>
      </c>
      <c r="U6" s="32" t="n">
        <v>0</v>
      </c>
      <c r="V6" s="31" t="n">
        <v>21</v>
      </c>
      <c r="W6" s="32" t="n">
        <v>0</v>
      </c>
      <c r="X6" s="31" t="n">
        <v>21</v>
      </c>
      <c r="Y6" s="32" t="n">
        <v>0</v>
      </c>
      <c r="Z6" s="31" t="n">
        <v>21</v>
      </c>
      <c r="AA6" s="32" t="n">
        <v>0</v>
      </c>
      <c r="AB6" s="31" t="n">
        <v>21</v>
      </c>
      <c r="AC6" s="32" t="n">
        <v>0</v>
      </c>
      <c r="AD6" s="31" t="n">
        <v>21</v>
      </c>
      <c r="AE6" s="32" t="n">
        <v>0</v>
      </c>
      <c r="AF6" s="31" t="n">
        <v>21</v>
      </c>
      <c r="AG6" s="32" t="n">
        <v>0</v>
      </c>
      <c r="AH6" s="31" t="n">
        <v>21</v>
      </c>
      <c r="AI6" s="32" t="n">
        <v>0</v>
      </c>
      <c r="AJ6" s="31" t="n">
        <v>21</v>
      </c>
      <c r="AK6" s="32" t="n">
        <v>0</v>
      </c>
      <c r="AL6" s="31" t="n">
        <v>21</v>
      </c>
      <c r="AM6" s="32" t="n">
        <v>0</v>
      </c>
      <c r="AN6" s="31" t="n">
        <v>21</v>
      </c>
      <c r="AO6" s="32" t="n">
        <v>0</v>
      </c>
      <c r="AP6" s="31">
        <f>SUMIF($B$4:$AO$4,"计划",B6:AO6)</f>
        <v>336</v>
      </c>
      <c r="AQ6" s="31">
        <f>SUMIF($B$4:$AO$4,"实际",B6:AO6)</f>
        <v>105</v>
      </c>
      <c r="AR6" s="31">
        <f>人工成本预算!D6</f>
        <v>336</v>
      </c>
      <c r="AS6" s="31">
        <f>AP6-AQ6</f>
        <v>231</v>
      </c>
      <c r="AT6" s="82">
        <f>IF(AP6=0,"",AQ6/AP6)</f>
        <v>0.3125</v>
      </c>
    </row>
    <row r="7">
      <c r="A7" s="30" t="inlineStr">
        <is>
          <t>技术经理</t>
        </is>
      </c>
      <c r="B7" s="31" t="n">
        <v>0</v>
      </c>
      <c r="C7" s="32" t="n">
        <v>0</v>
      </c>
      <c r="D7" s="31" t="n">
        <v>21</v>
      </c>
      <c r="E7" s="32" t="n">
        <v>21</v>
      </c>
      <c r="F7" s="31" t="n">
        <v>21</v>
      </c>
      <c r="G7" s="32" t="n">
        <v>21</v>
      </c>
      <c r="H7" s="31" t="n">
        <v>21</v>
      </c>
      <c r="I7" s="32" t="n">
        <v>21</v>
      </c>
      <c r="J7" s="31" t="n">
        <v>21</v>
      </c>
      <c r="K7" s="32" t="n">
        <v>21</v>
      </c>
      <c r="L7" s="31" t="n">
        <v>21</v>
      </c>
      <c r="M7" s="32" t="n">
        <v>21</v>
      </c>
      <c r="N7" s="31" t="n">
        <v>21</v>
      </c>
      <c r="O7" s="32" t="n">
        <v>21</v>
      </c>
      <c r="P7" s="31" t="n">
        <v>21</v>
      </c>
      <c r="Q7" s="32" t="n">
        <v>21</v>
      </c>
      <c r="R7" s="31" t="n">
        <v>21</v>
      </c>
      <c r="S7" s="32" t="n">
        <v>21</v>
      </c>
      <c r="T7" s="31" t="n">
        <v>31</v>
      </c>
      <c r="U7" s="32" t="n">
        <v>0</v>
      </c>
      <c r="V7" s="31" t="n">
        <v>42</v>
      </c>
      <c r="W7" s="32" t="n">
        <v>0</v>
      </c>
      <c r="X7" s="31" t="n">
        <v>42</v>
      </c>
      <c r="Y7" s="32" t="n">
        <v>0</v>
      </c>
      <c r="Z7" s="31" t="n">
        <v>42</v>
      </c>
      <c r="AA7" s="32" t="n">
        <v>0</v>
      </c>
      <c r="AB7" s="31" t="n">
        <v>42</v>
      </c>
      <c r="AC7" s="32" t="n">
        <v>0</v>
      </c>
      <c r="AD7" s="31" t="n">
        <v>42</v>
      </c>
      <c r="AE7" s="32" t="n">
        <v>0</v>
      </c>
      <c r="AF7" s="31" t="n">
        <v>42</v>
      </c>
      <c r="AG7" s="32" t="n">
        <v>0</v>
      </c>
      <c r="AH7" s="31" t="n">
        <v>42</v>
      </c>
      <c r="AI7" s="32" t="n">
        <v>0</v>
      </c>
      <c r="AJ7" s="31" t="n">
        <v>42</v>
      </c>
      <c r="AK7" s="32" t="n">
        <v>0</v>
      </c>
      <c r="AL7" s="31" t="n">
        <v>21</v>
      </c>
      <c r="AM7" s="32" t="n">
        <v>0</v>
      </c>
      <c r="AN7" s="31" t="n">
        <v>21</v>
      </c>
      <c r="AO7" s="32" t="n">
        <v>0</v>
      </c>
      <c r="AP7" s="31">
        <f>SUMIF($B$4:$AO$4,"计划",B7:AO7)</f>
        <v>577</v>
      </c>
      <c r="AQ7" s="31">
        <f>SUMIF($B$4:$AO$4,"实际",B7:AO7)</f>
        <v>168</v>
      </c>
      <c r="AR7" s="31">
        <f>人工成本预算!D7</f>
        <v>577</v>
      </c>
      <c r="AS7" s="31">
        <f>AP7-AQ7</f>
        <v>409</v>
      </c>
      <c r="AT7" s="82">
        <f>IF(AP7=0,"",AQ7/AP7)</f>
        <v>0.291161178509532</v>
      </c>
    </row>
    <row r="8">
      <c r="A8" s="30" t="inlineStr">
        <is>
          <t>产品经理</t>
        </is>
      </c>
      <c r="B8" s="31" t="n">
        <v>0</v>
      </c>
      <c r="C8" s="32" t="n">
        <v>0</v>
      </c>
      <c r="D8" s="31" t="n">
        <v>0</v>
      </c>
      <c r="E8" s="32" t="n">
        <v>0</v>
      </c>
      <c r="F8" s="31" t="n">
        <v>0</v>
      </c>
      <c r="G8" s="32" t="n">
        <v>0</v>
      </c>
      <c r="H8" s="31" t="n">
        <v>0</v>
      </c>
      <c r="I8" s="32" t="n">
        <v>0</v>
      </c>
      <c r="J8" s="31" t="n">
        <v>15</v>
      </c>
      <c r="K8" s="32" t="n">
        <v>15</v>
      </c>
      <c r="L8" s="31" t="n">
        <v>21</v>
      </c>
      <c r="M8" s="32" t="n">
        <v>21</v>
      </c>
      <c r="N8" s="31" t="n">
        <v>21</v>
      </c>
      <c r="O8" s="32" t="n">
        <v>21</v>
      </c>
      <c r="P8" s="31" t="n">
        <v>21</v>
      </c>
      <c r="Q8" s="32" t="n">
        <v>21</v>
      </c>
      <c r="R8" s="31" t="n">
        <v>21</v>
      </c>
      <c r="S8" s="32" t="n">
        <v>21</v>
      </c>
      <c r="T8" s="31" t="n">
        <v>31</v>
      </c>
      <c r="U8" s="32" t="n">
        <v>0</v>
      </c>
      <c r="V8" s="31" t="n">
        <v>42</v>
      </c>
      <c r="W8" s="32" t="n">
        <v>0</v>
      </c>
      <c r="X8" s="31" t="n">
        <v>42</v>
      </c>
      <c r="Y8" s="32" t="n">
        <v>0</v>
      </c>
      <c r="Z8" s="31" t="n">
        <v>42</v>
      </c>
      <c r="AA8" s="32" t="n">
        <v>0</v>
      </c>
      <c r="AB8" s="31" t="n">
        <v>42</v>
      </c>
      <c r="AC8" s="32" t="n">
        <v>0</v>
      </c>
      <c r="AD8" s="31" t="n">
        <v>42</v>
      </c>
      <c r="AE8" s="32" t="n">
        <v>0</v>
      </c>
      <c r="AF8" s="31" t="n">
        <v>42</v>
      </c>
      <c r="AG8" s="32" t="n">
        <v>0</v>
      </c>
      <c r="AH8" s="31" t="n">
        <v>42</v>
      </c>
      <c r="AI8" s="32" t="n">
        <v>0</v>
      </c>
      <c r="AJ8" s="31" t="n">
        <v>21</v>
      </c>
      <c r="AK8" s="32" t="n">
        <v>0</v>
      </c>
      <c r="AL8" s="31" t="n">
        <v>21</v>
      </c>
      <c r="AM8" s="32" t="n">
        <v>0</v>
      </c>
      <c r="AN8" s="31" t="n">
        <v>21</v>
      </c>
      <c r="AO8" s="32" t="n">
        <v>0</v>
      </c>
      <c r="AP8" s="31">
        <f>SUMIF($B$4:$AO$4,"计划",B8:AO8)</f>
        <v>487</v>
      </c>
      <c r="AQ8" s="31">
        <f>SUMIF($B$4:$AO$4,"实际",B8:AO8)</f>
        <v>99</v>
      </c>
      <c r="AR8" s="31">
        <f>人工成本预算!D8</f>
        <v>487</v>
      </c>
      <c r="AS8" s="31">
        <f>AP8-AQ8</f>
        <v>388</v>
      </c>
      <c r="AT8" s="82">
        <f>IF(AP8=0,"",AQ8/AP8)</f>
        <v>0.203285420944559</v>
      </c>
    </row>
    <row r="9">
      <c r="A9" s="30" t="inlineStr">
        <is>
          <t>美工</t>
        </is>
      </c>
      <c r="B9" s="31" t="n">
        <v>0</v>
      </c>
      <c r="C9" s="32" t="n">
        <v>0</v>
      </c>
      <c r="D9" s="31" t="n">
        <v>0</v>
      </c>
      <c r="E9" s="32" t="n">
        <v>0</v>
      </c>
      <c r="F9" s="31" t="n">
        <v>0</v>
      </c>
      <c r="G9" s="32" t="n">
        <v>0</v>
      </c>
      <c r="H9" s="31" t="n">
        <v>0</v>
      </c>
      <c r="I9" s="32" t="n">
        <v>0</v>
      </c>
      <c r="J9" s="31" t="n">
        <v>0</v>
      </c>
      <c r="K9" s="32" t="n">
        <v>0</v>
      </c>
      <c r="L9" s="31" t="n">
        <v>0</v>
      </c>
      <c r="M9" s="32" t="n">
        <v>0</v>
      </c>
      <c r="N9" s="31" t="n">
        <v>0</v>
      </c>
      <c r="O9" s="32" t="n">
        <v>0</v>
      </c>
      <c r="P9" s="31" t="n">
        <v>0</v>
      </c>
      <c r="Q9" s="32" t="n">
        <v>0</v>
      </c>
      <c r="R9" s="31" t="n">
        <v>0</v>
      </c>
      <c r="S9" s="32" t="n">
        <v>0</v>
      </c>
      <c r="T9" s="31" t="n">
        <v>0</v>
      </c>
      <c r="U9" s="32" t="n">
        <v>0</v>
      </c>
      <c r="V9" s="31" t="n">
        <v>21</v>
      </c>
      <c r="W9" s="32" t="n">
        <v>0</v>
      </c>
      <c r="X9" s="31" t="n">
        <v>21</v>
      </c>
      <c r="Y9" s="32" t="n">
        <v>0</v>
      </c>
      <c r="Z9" s="31" t="n">
        <v>0</v>
      </c>
      <c r="AA9" s="32" t="n">
        <v>0</v>
      </c>
      <c r="AB9" s="31" t="n">
        <v>0</v>
      </c>
      <c r="AC9" s="32" t="n">
        <v>0</v>
      </c>
      <c r="AD9" s="31" t="n">
        <v>0</v>
      </c>
      <c r="AE9" s="32" t="n">
        <v>0</v>
      </c>
      <c r="AF9" s="31" t="n">
        <v>0</v>
      </c>
      <c r="AG9" s="32" t="n">
        <v>0</v>
      </c>
      <c r="AH9" s="31" t="n">
        <v>0</v>
      </c>
      <c r="AI9" s="32" t="n">
        <v>0</v>
      </c>
      <c r="AJ9" s="31" t="n">
        <v>0</v>
      </c>
      <c r="AK9" s="32" t="n">
        <v>0</v>
      </c>
      <c r="AL9" s="31" t="n">
        <v>0</v>
      </c>
      <c r="AM9" s="32" t="n">
        <v>0</v>
      </c>
      <c r="AN9" s="31" t="n">
        <v>0</v>
      </c>
      <c r="AO9" s="32" t="n">
        <v>0</v>
      </c>
      <c r="AP9" s="31">
        <f>SUMIF($B$4:$AO$4,"计划",B9:AO9)</f>
        <v>42</v>
      </c>
      <c r="AQ9" s="31">
        <f>SUMIF($B$4:$AO$4,"实际",B9:AO9)</f>
        <v>0</v>
      </c>
      <c r="AR9" s="31">
        <f>人工成本预算!D9</f>
        <v>42</v>
      </c>
      <c r="AS9" s="31">
        <f>AP9-AQ9</f>
        <v>42</v>
      </c>
      <c r="AT9" s="82">
        <f>IF(AP9=0,"",AQ9/AP9)</f>
        <v>0</v>
      </c>
    </row>
    <row r="10">
      <c r="A10" s="30" t="inlineStr">
        <is>
          <t>高级开发人员</t>
        </is>
      </c>
      <c r="B10" s="31" t="n">
        <v>0</v>
      </c>
      <c r="C10" s="32" t="n">
        <v>0</v>
      </c>
      <c r="D10" s="31" t="n">
        <v>0</v>
      </c>
      <c r="E10" s="32" t="n">
        <v>0</v>
      </c>
      <c r="F10" s="31" t="n">
        <v>0</v>
      </c>
      <c r="G10" s="32" t="n">
        <v>0</v>
      </c>
      <c r="H10" s="31" t="n">
        <v>0</v>
      </c>
      <c r="I10" s="32" t="n">
        <v>0</v>
      </c>
      <c r="J10" s="31" t="n">
        <v>0</v>
      </c>
      <c r="K10" s="32" t="n">
        <v>0</v>
      </c>
      <c r="L10" s="31" t="n">
        <v>0</v>
      </c>
      <c r="M10" s="32" t="n">
        <v>0</v>
      </c>
      <c r="N10" s="31" t="n">
        <v>0</v>
      </c>
      <c r="O10" s="32" t="n">
        <v>0</v>
      </c>
      <c r="P10" s="31" t="n">
        <v>0</v>
      </c>
      <c r="Q10" s="32" t="n">
        <v>0</v>
      </c>
      <c r="R10" s="31" t="n">
        <v>0</v>
      </c>
      <c r="S10" s="32" t="n">
        <v>0</v>
      </c>
      <c r="T10" s="31" t="n">
        <v>22</v>
      </c>
      <c r="U10" s="32" t="n">
        <v>0</v>
      </c>
      <c r="V10" s="31" t="n">
        <v>42</v>
      </c>
      <c r="W10" s="32" t="n">
        <v>0</v>
      </c>
      <c r="X10" s="31" t="n">
        <v>42</v>
      </c>
      <c r="Y10" s="32" t="n">
        <v>0</v>
      </c>
      <c r="Z10" s="31" t="n">
        <v>42</v>
      </c>
      <c r="AA10" s="32" t="n">
        <v>0</v>
      </c>
      <c r="AB10" s="31" t="n">
        <v>42</v>
      </c>
      <c r="AC10" s="32" t="n">
        <v>0</v>
      </c>
      <c r="AD10" s="31" t="n">
        <v>42</v>
      </c>
      <c r="AE10" s="32" t="n">
        <v>0</v>
      </c>
      <c r="AF10" s="31" t="n">
        <v>42</v>
      </c>
      <c r="AG10" s="32" t="n">
        <v>0</v>
      </c>
      <c r="AH10" s="31" t="n">
        <v>42</v>
      </c>
      <c r="AI10" s="32" t="n">
        <v>0</v>
      </c>
      <c r="AJ10" s="31" t="n">
        <v>42</v>
      </c>
      <c r="AK10" s="32" t="n">
        <v>0</v>
      </c>
      <c r="AL10" s="31" t="n">
        <v>42</v>
      </c>
      <c r="AM10" s="32" t="n">
        <v>0</v>
      </c>
      <c r="AN10" s="31" t="n">
        <v>21</v>
      </c>
      <c r="AO10" s="32" t="n">
        <v>0</v>
      </c>
      <c r="AP10" s="31">
        <f>SUMIF($B$4:$AO$4,"计划",B10:AO10)</f>
        <v>421</v>
      </c>
      <c r="AQ10" s="31">
        <f>SUMIF($B$4:$AO$4,"实际",B10:AO10)</f>
        <v>0</v>
      </c>
      <c r="AR10" s="31">
        <f>人工成本预算!D10</f>
        <v>421</v>
      </c>
      <c r="AS10" s="31">
        <f>AP10-AQ10</f>
        <v>421</v>
      </c>
      <c r="AT10" s="82">
        <f>IF(AP10=0,"",AQ10/AP10)</f>
        <v>0</v>
      </c>
    </row>
    <row r="11">
      <c r="A11" s="30" t="inlineStr">
        <is>
          <t>中级开发人员</t>
        </is>
      </c>
      <c r="B11" s="31" t="n">
        <v>0</v>
      </c>
      <c r="C11" s="32" t="n">
        <v>0</v>
      </c>
      <c r="D11" s="31" t="n">
        <v>0</v>
      </c>
      <c r="E11" s="32" t="n">
        <v>0</v>
      </c>
      <c r="F11" s="31" t="n">
        <v>0</v>
      </c>
      <c r="G11" s="32" t="n">
        <v>0</v>
      </c>
      <c r="H11" s="31" t="n">
        <v>0</v>
      </c>
      <c r="I11" s="32" t="n">
        <v>0</v>
      </c>
      <c r="J11" s="31" t="n">
        <v>0</v>
      </c>
      <c r="K11" s="32" t="n">
        <v>0</v>
      </c>
      <c r="L11" s="31" t="n">
        <v>0</v>
      </c>
      <c r="M11" s="32" t="n">
        <v>0</v>
      </c>
      <c r="N11" s="31" t="n">
        <v>0</v>
      </c>
      <c r="O11" s="32" t="n">
        <v>0</v>
      </c>
      <c r="P11" s="31" t="n">
        <v>0</v>
      </c>
      <c r="Q11" s="32" t="n">
        <v>0</v>
      </c>
      <c r="R11" s="31" t="n">
        <v>0</v>
      </c>
      <c r="S11" s="32" t="n">
        <v>0</v>
      </c>
      <c r="T11" s="31" t="n">
        <v>80</v>
      </c>
      <c r="U11" s="32" t="n">
        <v>0</v>
      </c>
      <c r="V11" s="31" t="n">
        <v>210</v>
      </c>
      <c r="W11" s="32" t="n">
        <v>0</v>
      </c>
      <c r="X11" s="31" t="n">
        <v>210</v>
      </c>
      <c r="Y11" s="32" t="n">
        <v>0</v>
      </c>
      <c r="Z11" s="31" t="n">
        <v>210</v>
      </c>
      <c r="AA11" s="32" t="n">
        <v>0</v>
      </c>
      <c r="AB11" s="31" t="n">
        <v>210</v>
      </c>
      <c r="AC11" s="32" t="n">
        <v>0</v>
      </c>
      <c r="AD11" s="31" t="n">
        <v>210</v>
      </c>
      <c r="AE11" s="32" t="n">
        <v>0</v>
      </c>
      <c r="AF11" s="31" t="n">
        <v>210</v>
      </c>
      <c r="AG11" s="32" t="n">
        <v>0</v>
      </c>
      <c r="AH11" s="31" t="n">
        <v>210</v>
      </c>
      <c r="AI11" s="32" t="n">
        <v>0</v>
      </c>
      <c r="AJ11" s="31" t="n">
        <v>126</v>
      </c>
      <c r="AK11" s="32" t="n">
        <v>0</v>
      </c>
      <c r="AL11" s="31" t="n">
        <v>84</v>
      </c>
      <c r="AM11" s="32" t="n">
        <v>0</v>
      </c>
      <c r="AN11" s="31" t="n">
        <v>63</v>
      </c>
      <c r="AO11" s="32" t="n">
        <v>0</v>
      </c>
      <c r="AP11" s="31">
        <f>SUMIF($B$4:$AO$4,"计划",B11:AO11)</f>
        <v>1823</v>
      </c>
      <c r="AQ11" s="31">
        <f>SUMIF($B$4:$AO$4,"实际",B11:AO11)</f>
        <v>0</v>
      </c>
      <c r="AR11" s="31">
        <f>人工成本预算!D11</f>
        <v>1823</v>
      </c>
      <c r="AS11" s="31">
        <f>AP11-AQ11</f>
        <v>1823</v>
      </c>
      <c r="AT11" s="82">
        <f>IF(AP11=0,"",AQ11/AP11)</f>
        <v>0</v>
      </c>
    </row>
    <row r="12">
      <c r="A12" s="30" t="inlineStr">
        <is>
          <t>高级测试人员</t>
        </is>
      </c>
      <c r="B12" s="31" t="n">
        <v>0</v>
      </c>
      <c r="C12" s="32" t="n">
        <v>0</v>
      </c>
      <c r="D12" s="31" t="n">
        <v>0</v>
      </c>
      <c r="E12" s="32" t="n">
        <v>0</v>
      </c>
      <c r="F12" s="31" t="n">
        <v>0</v>
      </c>
      <c r="G12" s="32" t="n">
        <v>0</v>
      </c>
      <c r="H12" s="31" t="n">
        <v>0</v>
      </c>
      <c r="I12" s="32" t="n">
        <v>0</v>
      </c>
      <c r="J12" s="31" t="n">
        <v>0</v>
      </c>
      <c r="K12" s="32" t="n">
        <v>0</v>
      </c>
      <c r="L12" s="31" t="n">
        <v>0</v>
      </c>
      <c r="M12" s="32" t="n">
        <v>0</v>
      </c>
      <c r="N12" s="31" t="n">
        <v>0</v>
      </c>
      <c r="O12" s="32" t="n">
        <v>0</v>
      </c>
      <c r="P12" s="31" t="n">
        <v>0</v>
      </c>
      <c r="Q12" s="32" t="n">
        <v>0</v>
      </c>
      <c r="R12" s="31" t="n">
        <v>0</v>
      </c>
      <c r="S12" s="32" t="n">
        <v>0</v>
      </c>
      <c r="T12" s="31" t="n">
        <v>0</v>
      </c>
      <c r="U12" s="32" t="n">
        <v>0</v>
      </c>
      <c r="V12" s="31" t="n">
        <v>21</v>
      </c>
      <c r="W12" s="32" t="n">
        <v>0</v>
      </c>
      <c r="X12" s="31" t="n">
        <v>21</v>
      </c>
      <c r="Y12" s="32" t="n">
        <v>0</v>
      </c>
      <c r="Z12" s="31" t="n">
        <v>21</v>
      </c>
      <c r="AA12" s="32" t="n">
        <v>0</v>
      </c>
      <c r="AB12" s="31" t="n">
        <v>21</v>
      </c>
      <c r="AC12" s="32" t="n">
        <v>0</v>
      </c>
      <c r="AD12" s="31" t="n">
        <v>21</v>
      </c>
      <c r="AE12" s="32" t="n">
        <v>0</v>
      </c>
      <c r="AF12" s="31" t="n">
        <v>21</v>
      </c>
      <c r="AG12" s="32" t="n">
        <v>0</v>
      </c>
      <c r="AH12" s="31" t="n">
        <v>21</v>
      </c>
      <c r="AI12" s="32" t="n">
        <v>0</v>
      </c>
      <c r="AJ12" s="31" t="n">
        <v>21</v>
      </c>
      <c r="AK12" s="32" t="n">
        <v>0</v>
      </c>
      <c r="AL12" s="31" t="n">
        <v>21</v>
      </c>
      <c r="AM12" s="32" t="n">
        <v>0</v>
      </c>
      <c r="AN12" s="31" t="n">
        <v>21</v>
      </c>
      <c r="AO12" s="32" t="n">
        <v>0</v>
      </c>
      <c r="AP12" s="31">
        <f>SUMIF($B$4:$AO$4,"计划",B12:AO12)</f>
        <v>210</v>
      </c>
      <c r="AQ12" s="31">
        <f>SUMIF($B$4:$AO$4,"实际",B12:AO12)</f>
        <v>0</v>
      </c>
      <c r="AR12" s="31">
        <f>人工成本预算!D12</f>
        <v>210</v>
      </c>
      <c r="AS12" s="31">
        <f>AP12-AQ12</f>
        <v>210</v>
      </c>
      <c r="AT12" s="82">
        <f>IF(AP12=0,"",AQ12/AP12)</f>
        <v>0</v>
      </c>
    </row>
    <row r="13">
      <c r="A13" s="30" t="inlineStr">
        <is>
          <t>中级测试人员</t>
        </is>
      </c>
      <c r="B13" s="31" t="n">
        <v>0</v>
      </c>
      <c r="C13" s="32" t="n">
        <v>0</v>
      </c>
      <c r="D13" s="31" t="n">
        <v>0</v>
      </c>
      <c r="E13" s="32" t="n">
        <v>0</v>
      </c>
      <c r="F13" s="31" t="n">
        <v>0</v>
      </c>
      <c r="G13" s="32" t="n">
        <v>0</v>
      </c>
      <c r="H13" s="31" t="n">
        <v>0</v>
      </c>
      <c r="I13" s="32" t="n">
        <v>0</v>
      </c>
      <c r="J13" s="31" t="n">
        <v>0</v>
      </c>
      <c r="K13" s="32" t="n">
        <v>0</v>
      </c>
      <c r="L13" s="31" t="n">
        <v>0</v>
      </c>
      <c r="M13" s="32" t="n">
        <v>0</v>
      </c>
      <c r="N13" s="31" t="n">
        <v>0</v>
      </c>
      <c r="O13" s="32" t="n">
        <v>0</v>
      </c>
      <c r="P13" s="31" t="n">
        <v>0</v>
      </c>
      <c r="Q13" s="32" t="n">
        <v>0</v>
      </c>
      <c r="R13" s="31" t="n">
        <v>0</v>
      </c>
      <c r="S13" s="32" t="n">
        <v>0</v>
      </c>
      <c r="T13" s="31" t="n">
        <v>0</v>
      </c>
      <c r="U13" s="32" t="n">
        <v>0</v>
      </c>
      <c r="V13" s="31" t="n">
        <v>42</v>
      </c>
      <c r="W13" s="32" t="n">
        <v>0</v>
      </c>
      <c r="X13" s="31" t="n">
        <v>42</v>
      </c>
      <c r="Y13" s="32" t="n">
        <v>0</v>
      </c>
      <c r="Z13" s="31" t="n">
        <v>63</v>
      </c>
      <c r="AA13" s="32" t="n">
        <v>0</v>
      </c>
      <c r="AB13" s="31" t="n">
        <v>63</v>
      </c>
      <c r="AC13" s="32" t="n">
        <v>0</v>
      </c>
      <c r="AD13" s="31" t="n">
        <v>63</v>
      </c>
      <c r="AE13" s="32" t="n">
        <v>0</v>
      </c>
      <c r="AF13" s="31" t="n">
        <v>63</v>
      </c>
      <c r="AG13" s="32" t="n">
        <v>0</v>
      </c>
      <c r="AH13" s="31" t="n">
        <v>42</v>
      </c>
      <c r="AI13" s="32" t="n">
        <v>0</v>
      </c>
      <c r="AJ13" s="31" t="n">
        <v>21</v>
      </c>
      <c r="AK13" s="32" t="n">
        <v>0</v>
      </c>
      <c r="AL13" s="31" t="n">
        <v>21</v>
      </c>
      <c r="AM13" s="32" t="n">
        <v>0</v>
      </c>
      <c r="AN13" s="31" t="n">
        <v>21</v>
      </c>
      <c r="AO13" s="32" t="n">
        <v>0</v>
      </c>
      <c r="AP13" s="31">
        <f>SUMIF($B$4:$AO$4,"计划",B13:AO13)</f>
        <v>441</v>
      </c>
      <c r="AQ13" s="31">
        <f>SUMIF($B$4:$AO$4,"实际",B13:AO13)</f>
        <v>0</v>
      </c>
      <c r="AR13" s="31">
        <f>人工成本预算!D13</f>
        <v>441</v>
      </c>
      <c r="AS13" s="31">
        <f>AP13-AQ13</f>
        <v>441</v>
      </c>
      <c r="AT13" s="82">
        <f>IF(AP13=0,"",AQ13/AP13)</f>
        <v>0</v>
      </c>
    </row>
    <row r="14" ht="17.55" customHeight="1" s="1">
      <c r="A14" s="30" t="inlineStr">
        <is>
          <t>配置人员</t>
        </is>
      </c>
      <c r="B14" s="31" t="n">
        <v>0</v>
      </c>
      <c r="C14" s="32" t="n">
        <v>0</v>
      </c>
      <c r="D14" s="31" t="n">
        <v>0</v>
      </c>
      <c r="E14" s="32" t="n">
        <v>0</v>
      </c>
      <c r="F14" s="31" t="n">
        <v>0</v>
      </c>
      <c r="G14" s="32" t="n">
        <v>0</v>
      </c>
      <c r="H14" s="31" t="n">
        <v>0</v>
      </c>
      <c r="I14" s="32" t="n">
        <v>0</v>
      </c>
      <c r="J14" s="31" t="n">
        <v>0</v>
      </c>
      <c r="K14" s="32" t="n">
        <v>0</v>
      </c>
      <c r="L14" s="31" t="n">
        <v>0</v>
      </c>
      <c r="M14" s="32" t="n">
        <v>0</v>
      </c>
      <c r="N14" s="31" t="n">
        <v>0</v>
      </c>
      <c r="O14" s="32" t="n">
        <v>0</v>
      </c>
      <c r="P14" s="31" t="n">
        <v>0</v>
      </c>
      <c r="Q14" s="32" t="n">
        <v>0</v>
      </c>
      <c r="R14" s="31" t="n">
        <v>0</v>
      </c>
      <c r="S14" s="32" t="n">
        <v>0</v>
      </c>
      <c r="T14" s="31" t="n">
        <v>0</v>
      </c>
      <c r="U14" s="32" t="n">
        <v>0</v>
      </c>
      <c r="V14" s="31" t="n">
        <v>0</v>
      </c>
      <c r="W14" s="32" t="n">
        <v>0</v>
      </c>
      <c r="X14" s="31" t="n">
        <v>0</v>
      </c>
      <c r="Y14" s="32" t="n">
        <v>0</v>
      </c>
      <c r="Z14" s="31" t="n">
        <v>0</v>
      </c>
      <c r="AA14" s="32" t="n">
        <v>0</v>
      </c>
      <c r="AB14" s="31" t="n">
        <v>0</v>
      </c>
      <c r="AC14" s="32" t="n">
        <v>0</v>
      </c>
      <c r="AD14" s="31" t="n">
        <v>0</v>
      </c>
      <c r="AE14" s="32" t="n">
        <v>0</v>
      </c>
      <c r="AF14" s="31" t="n">
        <v>0</v>
      </c>
      <c r="AG14" s="32" t="n">
        <v>0</v>
      </c>
      <c r="AH14" s="31" t="n">
        <v>0</v>
      </c>
      <c r="AI14" s="32" t="n">
        <v>0</v>
      </c>
      <c r="AJ14" s="31" t="n">
        <v>0</v>
      </c>
      <c r="AK14" s="32" t="n">
        <v>0</v>
      </c>
      <c r="AL14" s="31" t="n">
        <v>0</v>
      </c>
      <c r="AM14" s="32" t="n">
        <v>0</v>
      </c>
      <c r="AN14" s="31" t="n">
        <v>0</v>
      </c>
      <c r="AO14" s="32" t="n">
        <v>0</v>
      </c>
      <c r="AP14" s="31">
        <f>SUMIF($B$4:$AO$4,"计划",B14:AO14)</f>
        <v>0</v>
      </c>
      <c r="AQ14" s="31">
        <f>SUMIF($B$4:$AO$4,"实际",B14:AO14)</f>
        <v>0</v>
      </c>
      <c r="AR14" s="31">
        <f>人工成本预算!D14</f>
        <v>0</v>
      </c>
      <c r="AS14" s="31">
        <f>AP14-AQ14</f>
        <v>0</v>
      </c>
      <c r="AT14" s="82">
        <f>IF(AP14=0,"",AQ14/AP14)</f>
        <v/>
      </c>
    </row>
    <row r="15" ht="17.55" customHeight="1" s="1">
      <c r="A15" s="34" t="inlineStr">
        <is>
          <t>合计人天</t>
        </is>
      </c>
      <c r="B15" s="31">
        <f>SUM(B5:B14)</f>
        <v>0</v>
      </c>
      <c r="C15" s="31">
        <f>SUM(C5:C14)</f>
        <v>0</v>
      </c>
      <c r="D15" s="31">
        <f>SUM(D5:D14)</f>
        <v>21</v>
      </c>
      <c r="E15" s="31">
        <f>SUM(E5:E14)</f>
        <v>21</v>
      </c>
      <c r="F15" s="31">
        <f>SUM(F5:F14)</f>
        <v>21</v>
      </c>
      <c r="G15" s="31">
        <f>SUM(G5:G14)</f>
        <v>21</v>
      </c>
      <c r="H15" s="31">
        <f>SUM(H5:H14)</f>
        <v>21</v>
      </c>
      <c r="I15" s="31">
        <f>SUM(I5:I14)</f>
        <v>21</v>
      </c>
      <c r="J15" s="31">
        <f>SUM(J5:J14)</f>
        <v>57</v>
      </c>
      <c r="K15" s="31">
        <f>SUM(K5:K14)</f>
        <v>57</v>
      </c>
      <c r="L15" s="31">
        <f>SUM(L5:L14)</f>
        <v>63</v>
      </c>
      <c r="M15" s="31">
        <f>SUM(M5:M14)</f>
        <v>63</v>
      </c>
      <c r="N15" s="31">
        <f>SUM(N5:N14)</f>
        <v>63</v>
      </c>
      <c r="O15" s="31">
        <f>SUM(O5:O14)</f>
        <v>63</v>
      </c>
      <c r="P15" s="31">
        <f>SUM(P5:P14)</f>
        <v>63</v>
      </c>
      <c r="Q15" s="31">
        <f>SUM(Q5:Q14)</f>
        <v>63</v>
      </c>
      <c r="R15" s="31">
        <f>SUM(R5:R14)</f>
        <v>63</v>
      </c>
      <c r="S15" s="31">
        <f>SUM(S5:S14)</f>
        <v>63</v>
      </c>
      <c r="T15" s="31">
        <f>SUM(T5:T14)</f>
        <v>185</v>
      </c>
      <c r="U15" s="31">
        <f>SUM(U5:U14)</f>
        <v>0</v>
      </c>
      <c r="V15" s="31">
        <f>SUM(V5:V14)</f>
        <v>441</v>
      </c>
      <c r="W15" s="31">
        <f>SUM(W5:W14)</f>
        <v>0</v>
      </c>
      <c r="X15" s="31">
        <f>SUM(X5:X14)</f>
        <v>441</v>
      </c>
      <c r="Y15" s="31">
        <f>SUM(Y5:Y14)</f>
        <v>0</v>
      </c>
      <c r="Z15" s="31">
        <f>SUM(Z5:Z14)</f>
        <v>441</v>
      </c>
      <c r="AA15" s="31">
        <f>SUM(AA5:AA14)</f>
        <v>0</v>
      </c>
      <c r="AB15" s="31">
        <f>SUM(AB5:AB14)</f>
        <v>441</v>
      </c>
      <c r="AC15" s="31">
        <f>SUM(AC5:AC14)</f>
        <v>0</v>
      </c>
      <c r="AD15" s="31">
        <f>SUM(AD5:AD14)</f>
        <v>441</v>
      </c>
      <c r="AE15" s="31">
        <f>SUM(AE5:AE14)</f>
        <v>0</v>
      </c>
      <c r="AF15" s="31">
        <f>SUM(AF5:AF14)</f>
        <v>441</v>
      </c>
      <c r="AG15" s="31">
        <f>SUM(AG5:AG14)</f>
        <v>0</v>
      </c>
      <c r="AH15" s="31">
        <f>SUM(AH5:AH14)</f>
        <v>420</v>
      </c>
      <c r="AI15" s="31">
        <f>SUM(AI5:AI14)</f>
        <v>0</v>
      </c>
      <c r="AJ15" s="31">
        <f>SUM(AJ5:AJ14)</f>
        <v>294</v>
      </c>
      <c r="AK15" s="31">
        <f>SUM(AK5:AK14)</f>
        <v>0</v>
      </c>
      <c r="AL15" s="31">
        <f>SUM(AL5:AL14)</f>
        <v>231</v>
      </c>
      <c r="AM15" s="31">
        <f>SUM(AM5:AM14)</f>
        <v>0</v>
      </c>
      <c r="AN15" s="31">
        <f>SUM(AN5:AN14)</f>
        <v>189</v>
      </c>
      <c r="AO15" s="31">
        <f>SUM(AO5:AO14)</f>
        <v>0</v>
      </c>
      <c r="AP15" s="31">
        <f>SUM(AP5:AP14)</f>
        <v>4337</v>
      </c>
      <c r="AQ15" s="31">
        <f>SUM(AQ5:AQ14)</f>
        <v>372</v>
      </c>
      <c r="AR15" s="31">
        <f>SUM(AR5:AR14)</f>
        <v>4337</v>
      </c>
      <c r="AS15" s="31">
        <f>AP15-AQ15</f>
        <v>3965</v>
      </c>
      <c r="AT15" s="82">
        <f>IF(AP15=0,"",AQ15/AP15)</f>
        <v>0.0857735762047498</v>
      </c>
    </row>
    <row r="16" ht="17.55" customHeight="1" s="1"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</row>
  </sheetData>
  <mergeCells count="21">
    <mergeCell ref="AD3:AE3"/>
    <mergeCell ref="AF3:AG3"/>
    <mergeCell ref="AH3:AI3"/>
    <mergeCell ref="AN3:AO3"/>
    <mergeCell ref="B3:C3"/>
    <mergeCell ref="F3:G3"/>
    <mergeCell ref="L3:M3"/>
    <mergeCell ref="N3:O3"/>
    <mergeCell ref="X3:Y3"/>
    <mergeCell ref="Z3:AA3"/>
    <mergeCell ref="AJ3:AK3"/>
    <mergeCell ref="AL3:AM3"/>
    <mergeCell ref="A2:H2"/>
    <mergeCell ref="R3:S3"/>
    <mergeCell ref="D3:E3"/>
    <mergeCell ref="H3:I3"/>
    <mergeCell ref="J3:K3"/>
    <mergeCell ref="P3:Q3"/>
    <mergeCell ref="T3:U3"/>
    <mergeCell ref="V3:W3"/>
    <mergeCell ref="AB3:A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topLeftCell="E1" workbookViewId="0">
      <pane ySplit="4" topLeftCell="A5" activePane="bottomLeft" state="frozen"/>
      <selection activeCell="A1" sqref="A1"/>
      <selection pane="bottomLeft" activeCell="D5" sqref="D5"/>
    </sheetView>
  </sheetViews>
  <sheetFormatPr baseColWidth="8" defaultColWidth="9" defaultRowHeight="16.8"/>
  <cols>
    <col width="14" customWidth="1" style="1" min="1" max="2"/>
    <col width="20" customWidth="1" style="1" min="3" max="9"/>
    <col width="34" customWidth="1" style="1" min="10" max="10"/>
    <col width="10" customWidth="1" style="1" min="11" max="11"/>
    <col width="16" customWidth="1" style="1" min="12" max="12"/>
  </cols>
  <sheetData>
    <row r="1" ht="25" customHeight="1" s="1">
      <c r="A1" s="7" t="inlineStr">
        <is>
          <t>月度成本偏差分析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</row>
    <row r="2">
      <c r="A2" s="8" t="inlineStr">
        <is>
          <t>计划人工成本按月度计划人天×自动反算平均人日单价分布。承诺、实际和完工估算需每月更新；空白表示尚无可靠数据。K/L 列实际人天及折算成本自动取自《月度投入明细》实际列，无需手工填写。</t>
        </is>
      </c>
    </row>
    <row r="4" ht="32" customHeight="1" s="1">
      <c r="A4" s="2" t="inlineStr">
        <is>
          <t>月份</t>
        </is>
      </c>
      <c r="B4" s="2" t="inlineStr">
        <is>
          <t>计划人天</t>
        </is>
      </c>
      <c r="C4" s="2" t="inlineStr">
        <is>
          <t>计划人工成本(元)</t>
        </is>
      </c>
      <c r="D4" s="2" t="inlineStr">
        <is>
          <t>采购/其他预算(元)</t>
        </is>
      </c>
      <c r="E4" s="2" t="inlineStr">
        <is>
          <t>当前预算(元)</t>
        </is>
      </c>
      <c r="F4" s="2" t="inlineStr">
        <is>
          <t>承诺成本(元)</t>
        </is>
      </c>
      <c r="G4" s="2" t="inlineStr">
        <is>
          <t>实际成本(元)</t>
        </is>
      </c>
      <c r="H4" s="2" t="inlineStr">
        <is>
          <t>完工估算EAC(元)</t>
        </is>
      </c>
      <c r="I4" s="2" t="inlineStr">
        <is>
          <t>预算偏差(元)</t>
        </is>
      </c>
      <c r="J4" s="2" t="inlineStr">
        <is>
          <t>偏差说明</t>
        </is>
      </c>
      <c r="K4" s="17" t="inlineStr">
        <is>
          <t>实际人天</t>
        </is>
      </c>
      <c r="L4" s="17" t="inlineStr">
        <is>
          <t>实际人天折算成本(元)</t>
        </is>
      </c>
    </row>
    <row r="5">
      <c r="A5" s="18" t="inlineStr">
        <is>
          <t>2026-01</t>
        </is>
      </c>
      <c r="B5" s="5">
        <f>月度投入明细!B15</f>
        <v>0</v>
      </c>
      <c r="C5" s="19">
        <f>B5*人工成本预算!$E$3</f>
        <v>0</v>
      </c>
      <c r="D5" s="20" t="n"/>
      <c r="E5" s="21">
        <f>IF(D5="",C5,C5+D5)</f>
        <v>0</v>
      </c>
      <c r="F5" s="20" t="n"/>
      <c r="G5" s="20" t="n"/>
      <c r="H5" s="20" t="n"/>
      <c r="I5" s="21">
        <f>IF(OR(E5="",H5=""),"",E5-H5)</f>
        <v/>
      </c>
      <c r="J5" s="22" t="n"/>
      <c r="K5" s="19">
        <f>月度投入明细!C15</f>
        <v>0</v>
      </c>
      <c r="L5" s="19">
        <f>K5*人工成本预算!$E$3</f>
        <v>0</v>
      </c>
    </row>
    <row r="6">
      <c r="A6" s="18" t="inlineStr">
        <is>
          <t>2026-02</t>
        </is>
      </c>
      <c r="B6" s="5">
        <f>月度投入明细!D15</f>
        <v>21</v>
      </c>
      <c r="C6" s="19">
        <f>B6*人工成本预算!$E$3</f>
        <v>29395.6421489509</v>
      </c>
      <c r="D6" s="20" t="n"/>
      <c r="E6" s="21">
        <f>IF(D6="",C6,C6+D6)</f>
        <v>29395.6421489509</v>
      </c>
      <c r="F6" s="20" t="n"/>
      <c r="G6" s="20" t="n"/>
      <c r="H6" s="20" t="n"/>
      <c r="I6" s="21">
        <f>IF(OR(E6="",H6=""),"",E6-H6)</f>
        <v/>
      </c>
      <c r="J6" s="22" t="n"/>
      <c r="K6" s="19">
        <f>月度投入明细!E15</f>
        <v>21</v>
      </c>
      <c r="L6" s="19">
        <f>K6*人工成本预算!$E$3</f>
        <v>29395.6421489509</v>
      </c>
    </row>
    <row r="7">
      <c r="A7" s="18" t="inlineStr">
        <is>
          <t>2026-03</t>
        </is>
      </c>
      <c r="B7" s="5">
        <f>月度投入明细!F15</f>
        <v>21</v>
      </c>
      <c r="C7" s="19">
        <f>B7*人工成本预算!$E$3</f>
        <v>29395.6421489509</v>
      </c>
      <c r="D7" s="20" t="n"/>
      <c r="E7" s="21">
        <f>IF(D7="",C7,C7+D7)</f>
        <v>29395.6421489509</v>
      </c>
      <c r="F7" s="20" t="n"/>
      <c r="G7" s="20" t="n"/>
      <c r="H7" s="20" t="n"/>
      <c r="I7" s="21">
        <f>IF(OR(E7="",H7=""),"",E7-H7)</f>
        <v/>
      </c>
      <c r="J7" s="22" t="n"/>
      <c r="K7" s="19">
        <f>月度投入明细!G15</f>
        <v>21</v>
      </c>
      <c r="L7" s="19">
        <f>K7*人工成本预算!$E$3</f>
        <v>29395.6421489509</v>
      </c>
    </row>
    <row r="8">
      <c r="A8" s="18" t="inlineStr">
        <is>
          <t>2026-04</t>
        </is>
      </c>
      <c r="B8" s="5">
        <f>月度投入明细!H15</f>
        <v>21</v>
      </c>
      <c r="C8" s="19">
        <f>B8*人工成本预算!$E$3</f>
        <v>29395.6421489509</v>
      </c>
      <c r="D8" s="20" t="n"/>
      <c r="E8" s="21">
        <f>IF(D8="",C8,C8+D8)</f>
        <v>29395.6421489509</v>
      </c>
      <c r="F8" s="20" t="n"/>
      <c r="G8" s="20" t="n"/>
      <c r="H8" s="20" t="n"/>
      <c r="I8" s="21">
        <f>IF(OR(E8="",H8=""),"",E8-H8)</f>
        <v/>
      </c>
      <c r="J8" s="22" t="n"/>
      <c r="K8" s="19">
        <f>月度投入明细!I15</f>
        <v>21</v>
      </c>
      <c r="L8" s="19">
        <f>K8*人工成本预算!$E$3</f>
        <v>29395.6421489509</v>
      </c>
    </row>
    <row r="9">
      <c r="A9" s="18" t="inlineStr">
        <is>
          <t>2026-05</t>
        </is>
      </c>
      <c r="B9" s="5">
        <f>月度投入明细!J15</f>
        <v>57</v>
      </c>
      <c r="C9" s="19">
        <f>B9*人工成本预算!$E$3</f>
        <v>79788.1715471524</v>
      </c>
      <c r="D9" s="20" t="n"/>
      <c r="E9" s="21">
        <f>IF(D9="",C9,C9+D9)</f>
        <v>79788.1715471524</v>
      </c>
      <c r="F9" s="20" t="n"/>
      <c r="G9" s="20" t="n"/>
      <c r="H9" s="20" t="n"/>
      <c r="I9" s="21">
        <f>IF(OR(E9="",H9=""),"",E9-H9)</f>
        <v/>
      </c>
      <c r="J9" s="22" t="n"/>
      <c r="K9" s="19">
        <f>月度投入明细!K15</f>
        <v>57</v>
      </c>
      <c r="L9" s="19">
        <f>K9*人工成本预算!$E$3</f>
        <v>79788.1715471524</v>
      </c>
    </row>
    <row r="10">
      <c r="A10" s="18" t="inlineStr">
        <is>
          <t>2026-06</t>
        </is>
      </c>
      <c r="B10" s="5">
        <f>月度投入明细!L15</f>
        <v>63</v>
      </c>
      <c r="C10" s="19">
        <f>B10*人工成本预算!$E$3</f>
        <v>88186.9264468527</v>
      </c>
      <c r="D10" s="20" t="n"/>
      <c r="E10" s="21">
        <f>IF(D10="",C10,C10+D10)</f>
        <v>88186.9264468527</v>
      </c>
      <c r="F10" s="20" t="n"/>
      <c r="G10" s="20" t="n"/>
      <c r="H10" s="20" t="n"/>
      <c r="I10" s="21">
        <f>IF(OR(E10="",H10=""),"",E10-H10)</f>
        <v/>
      </c>
      <c r="J10" s="22" t="n"/>
      <c r="K10" s="19">
        <f>月度投入明细!M15</f>
        <v>63</v>
      </c>
      <c r="L10" s="19">
        <f>K10*人工成本预算!$E$3</f>
        <v>88186.9264468527</v>
      </c>
    </row>
    <row r="11">
      <c r="A11" s="18" t="inlineStr">
        <is>
          <t>2026-07</t>
        </is>
      </c>
      <c r="B11" s="5">
        <f>月度投入明细!N15</f>
        <v>63</v>
      </c>
      <c r="C11" s="19">
        <f>B11*人工成本预算!$E$3</f>
        <v>88186.9264468527</v>
      </c>
      <c r="D11" s="20" t="n"/>
      <c r="E11" s="21">
        <f>IF(D11="",C11,C11+D11)</f>
        <v>88186.9264468527</v>
      </c>
      <c r="F11" s="20" t="n"/>
      <c r="G11" s="20" t="n"/>
      <c r="H11" s="20" t="n"/>
      <c r="I11" s="21">
        <f>IF(OR(E11="",H11=""),"",E11-H11)</f>
        <v/>
      </c>
      <c r="J11" s="22" t="n"/>
      <c r="K11" s="19">
        <f>月度投入明细!O15</f>
        <v>63</v>
      </c>
      <c r="L11" s="19">
        <f>K11*人工成本预算!$E$3</f>
        <v>88186.9264468527</v>
      </c>
    </row>
    <row r="12">
      <c r="A12" s="18" t="inlineStr">
        <is>
          <t>2026-08</t>
        </is>
      </c>
      <c r="B12" s="5">
        <f>月度投入明细!P15</f>
        <v>63</v>
      </c>
      <c r="C12" s="19">
        <f>B12*人工成本预算!$E$3</f>
        <v>88186.9264468527</v>
      </c>
      <c r="D12" s="20" t="n"/>
      <c r="E12" s="21">
        <f>IF(D12="",C12,C12+D12)</f>
        <v>88186.9264468527</v>
      </c>
      <c r="F12" s="20" t="n"/>
      <c r="G12" s="20" t="n"/>
      <c r="H12" s="20" t="n"/>
      <c r="I12" s="21">
        <f>IF(OR(E12="",H12=""),"",E12-H12)</f>
        <v/>
      </c>
      <c r="J12" s="22" t="n"/>
      <c r="K12" s="19">
        <f>月度投入明细!Q15</f>
        <v>63</v>
      </c>
      <c r="L12" s="19">
        <f>K12*人工成本预算!$E$3</f>
        <v>88186.9264468527</v>
      </c>
    </row>
    <row r="13">
      <c r="A13" s="18" t="inlineStr">
        <is>
          <t>2026-09</t>
        </is>
      </c>
      <c r="B13" s="5">
        <f>月度投入明细!R15</f>
        <v>63</v>
      </c>
      <c r="C13" s="19">
        <f>B13*人工成本预算!$E$3</f>
        <v>88186.9264468527</v>
      </c>
      <c r="D13" s="20" t="n"/>
      <c r="E13" s="21">
        <f>IF(D13="",C13,C13+D13)</f>
        <v>88186.9264468527</v>
      </c>
      <c r="F13" s="20" t="n"/>
      <c r="G13" s="20" t="n"/>
      <c r="H13" s="20" t="n"/>
      <c r="I13" s="21">
        <f>IF(OR(E13="",H13=""),"",E13-H13)</f>
        <v/>
      </c>
      <c r="J13" s="22" t="n"/>
      <c r="K13" s="19">
        <f>月度投入明细!S15</f>
        <v>63</v>
      </c>
      <c r="L13" s="19">
        <f>K13*人工成本预算!$E$3</f>
        <v>88186.9264468527</v>
      </c>
    </row>
    <row r="14">
      <c r="A14" s="3" t="inlineStr">
        <is>
          <t>2026-10</t>
        </is>
      </c>
      <c r="B14" s="5">
        <f>月度投入明细!T15</f>
        <v>185</v>
      </c>
      <c r="C14" s="19">
        <f>B14*人工成本预算!$E$3</f>
        <v>258961.609407424</v>
      </c>
      <c r="D14" s="20" t="n"/>
      <c r="E14" s="21">
        <f>IF(D14="",C14,C14+D14)</f>
        <v>258961.609407424</v>
      </c>
      <c r="F14" s="20" t="n"/>
      <c r="G14" s="20" t="n"/>
      <c r="H14" s="20" t="n"/>
      <c r="I14" s="21">
        <f>IF(OR(E14="",H14=""),"",E14-H14)</f>
        <v/>
      </c>
      <c r="J14" s="9" t="n"/>
      <c r="K14" s="19">
        <f>月度投入明细!U15</f>
        <v>0</v>
      </c>
      <c r="L14" s="19">
        <f>K14*人工成本预算!$E$3</f>
        <v>0</v>
      </c>
    </row>
    <row r="15">
      <c r="A15" s="3" t="inlineStr">
        <is>
          <t>2026-11</t>
        </is>
      </c>
      <c r="B15" s="5">
        <f>月度投入明细!V15</f>
        <v>441</v>
      </c>
      <c r="C15" s="19">
        <f>B15*人工成本预算!$E$3</f>
        <v>617308.485127969</v>
      </c>
      <c r="D15" s="20" t="n"/>
      <c r="E15" s="21">
        <f>IF(D15="",C15,C15+D15)</f>
        <v>617308.485127969</v>
      </c>
      <c r="F15" s="20" t="n"/>
      <c r="G15" s="20" t="n"/>
      <c r="H15" s="20" t="n"/>
      <c r="I15" s="21">
        <f>IF(OR(E15="",H15=""),"",E15-H15)</f>
        <v/>
      </c>
      <c r="J15" s="9" t="n"/>
      <c r="K15" s="19">
        <f>月度投入明细!W15</f>
        <v>0</v>
      </c>
      <c r="L15" s="19">
        <f>K15*人工成本预算!$E$3</f>
        <v>0</v>
      </c>
    </row>
    <row r="16">
      <c r="A16" s="3" t="inlineStr">
        <is>
          <t>2026-12</t>
        </is>
      </c>
      <c r="B16" s="5">
        <f>月度投入明细!X15</f>
        <v>441</v>
      </c>
      <c r="C16" s="19">
        <f>B16*人工成本预算!$E$3</f>
        <v>617308.485127969</v>
      </c>
      <c r="D16" s="20" t="n"/>
      <c r="E16" s="21">
        <f>IF(D16="",C16,C16+D16)</f>
        <v>617308.485127969</v>
      </c>
      <c r="F16" s="20" t="n"/>
      <c r="G16" s="20" t="n"/>
      <c r="H16" s="20" t="n"/>
      <c r="I16" s="21">
        <f>IF(OR(E16="",H16=""),"",E16-H16)</f>
        <v/>
      </c>
      <c r="J16" s="9" t="n"/>
      <c r="K16" s="19">
        <f>月度投入明细!Y15</f>
        <v>0</v>
      </c>
      <c r="L16" s="19">
        <f>K16*人工成本预算!$E$3</f>
        <v>0</v>
      </c>
    </row>
    <row r="17">
      <c r="A17" s="3" t="inlineStr">
        <is>
          <t>2027-01</t>
        </is>
      </c>
      <c r="B17" s="5">
        <f>月度投入明细!Z15</f>
        <v>441</v>
      </c>
      <c r="C17" s="19">
        <f>B17*人工成本预算!$E$3</f>
        <v>617308.485127969</v>
      </c>
      <c r="D17" s="20" t="n"/>
      <c r="E17" s="21">
        <f>IF(D17="",C17,C17+D17)</f>
        <v>617308.485127969</v>
      </c>
      <c r="F17" s="20" t="n"/>
      <c r="G17" s="20" t="n"/>
      <c r="H17" s="20" t="n"/>
      <c r="I17" s="21">
        <f>IF(OR(E17="",H17=""),"",E17-H17)</f>
        <v/>
      </c>
      <c r="J17" s="9" t="n"/>
      <c r="K17" s="19">
        <f>月度投入明细!AA15</f>
        <v>0</v>
      </c>
      <c r="L17" s="19">
        <f>K17*人工成本预算!$E$3</f>
        <v>0</v>
      </c>
    </row>
    <row r="18">
      <c r="A18" s="3" t="inlineStr">
        <is>
          <t>2027-02</t>
        </is>
      </c>
      <c r="B18" s="5">
        <f>月度投入明细!AB15</f>
        <v>441</v>
      </c>
      <c r="C18" s="19">
        <f>B18*人工成本预算!$E$3</f>
        <v>617308.485127969</v>
      </c>
      <c r="D18" s="20" t="n"/>
      <c r="E18" s="21">
        <f>IF(D18="",C18,C18+D18)</f>
        <v>617308.485127969</v>
      </c>
      <c r="F18" s="20" t="n"/>
      <c r="G18" s="20" t="n"/>
      <c r="H18" s="20" t="n"/>
      <c r="I18" s="21">
        <f>IF(OR(E18="",H18=""),"",E18-H18)</f>
        <v/>
      </c>
      <c r="J18" s="9" t="n"/>
      <c r="K18" s="19">
        <f>月度投入明细!AC15</f>
        <v>0</v>
      </c>
      <c r="L18" s="19">
        <f>K18*人工成本预算!$E$3</f>
        <v>0</v>
      </c>
    </row>
    <row r="19">
      <c r="A19" s="3" t="inlineStr">
        <is>
          <t>2027-03</t>
        </is>
      </c>
      <c r="B19" s="5">
        <f>月度投入明细!AD15</f>
        <v>441</v>
      </c>
      <c r="C19" s="19">
        <f>B19*人工成本预算!$E$3</f>
        <v>617308.485127969</v>
      </c>
      <c r="D19" s="20" t="n"/>
      <c r="E19" s="21">
        <f>IF(D19="",C19,C19+D19)</f>
        <v>617308.485127969</v>
      </c>
      <c r="F19" s="20" t="n"/>
      <c r="G19" s="20" t="n"/>
      <c r="H19" s="20" t="n"/>
      <c r="I19" s="21">
        <f>IF(OR(E19="",H19=""),"",E19-H19)</f>
        <v/>
      </c>
      <c r="J19" s="9" t="n"/>
      <c r="K19" s="19">
        <f>月度投入明细!AE15</f>
        <v>0</v>
      </c>
      <c r="L19" s="19">
        <f>K19*人工成本预算!$E$3</f>
        <v>0</v>
      </c>
    </row>
    <row r="20">
      <c r="A20" s="3" t="inlineStr">
        <is>
          <t>2027-04</t>
        </is>
      </c>
      <c r="B20" s="5">
        <f>月度投入明细!AF15</f>
        <v>441</v>
      </c>
      <c r="C20" s="19">
        <f>B20*人工成本预算!$E$3</f>
        <v>617308.485127969</v>
      </c>
      <c r="D20" s="20" t="n"/>
      <c r="E20" s="21">
        <f>IF(D20="",C20,C20+D20)</f>
        <v>617308.485127969</v>
      </c>
      <c r="F20" s="20" t="n"/>
      <c r="G20" s="20" t="n"/>
      <c r="H20" s="20" t="n"/>
      <c r="I20" s="21">
        <f>IF(OR(E20="",H20=""),"",E20-H20)</f>
        <v/>
      </c>
      <c r="J20" s="9" t="n"/>
      <c r="K20" s="19">
        <f>月度投入明细!AG15</f>
        <v>0</v>
      </c>
      <c r="L20" s="19">
        <f>K20*人工成本预算!$E$3</f>
        <v>0</v>
      </c>
    </row>
    <row r="21">
      <c r="A21" s="3" t="inlineStr">
        <is>
          <t>2027-05</t>
        </is>
      </c>
      <c r="B21" s="5">
        <f>月度投入明细!AH15</f>
        <v>420</v>
      </c>
      <c r="C21" s="19">
        <f>B21*人工成本预算!$E$3</f>
        <v>587912.842979018</v>
      </c>
      <c r="D21" s="20" t="n"/>
      <c r="E21" s="21">
        <f>IF(D21="",C21,C21+D21)</f>
        <v>587912.842979018</v>
      </c>
      <c r="F21" s="20" t="n"/>
      <c r="G21" s="20" t="n"/>
      <c r="H21" s="20" t="n"/>
      <c r="I21" s="21">
        <f>IF(OR(E21="",H21=""),"",E21-H21)</f>
        <v/>
      </c>
      <c r="J21" s="9" t="n"/>
      <c r="K21" s="19">
        <f>月度投入明细!AI15</f>
        <v>0</v>
      </c>
      <c r="L21" s="19">
        <f>K21*人工成本预算!$E$3</f>
        <v>0</v>
      </c>
    </row>
    <row r="22">
      <c r="A22" s="3" t="inlineStr">
        <is>
          <t>2027-06</t>
        </is>
      </c>
      <c r="B22" s="5">
        <f>月度投入明细!AJ15</f>
        <v>294</v>
      </c>
      <c r="C22" s="19">
        <f>B22*人工成本预算!$E$3</f>
        <v>411538.990085312</v>
      </c>
      <c r="D22" s="20" t="n"/>
      <c r="E22" s="21">
        <f>IF(D22="",C22,C22+D22)</f>
        <v>411538.990085312</v>
      </c>
      <c r="F22" s="20" t="n"/>
      <c r="G22" s="20" t="n"/>
      <c r="H22" s="20" t="n"/>
      <c r="I22" s="21">
        <f>IF(OR(E22="",H22=""),"",E22-H22)</f>
        <v/>
      </c>
      <c r="J22" s="9" t="n"/>
      <c r="K22" s="19">
        <f>月度投入明细!AK15</f>
        <v>0</v>
      </c>
      <c r="L22" s="19">
        <f>K22*人工成本预算!$E$3</f>
        <v>0</v>
      </c>
    </row>
    <row r="23">
      <c r="A23" s="3" t="inlineStr">
        <is>
          <t>2027-07</t>
        </is>
      </c>
      <c r="B23" s="5">
        <f>月度投入明细!AL15</f>
        <v>231</v>
      </c>
      <c r="C23" s="19">
        <f>B23*人工成本预算!$E$3</f>
        <v>323352.06363846</v>
      </c>
      <c r="D23" s="20" t="n"/>
      <c r="E23" s="21">
        <f>IF(D23="",C23,C23+D23)</f>
        <v>323352.06363846</v>
      </c>
      <c r="F23" s="20" t="n"/>
      <c r="G23" s="20" t="n"/>
      <c r="H23" s="20" t="n"/>
      <c r="I23" s="21">
        <f>IF(OR(E23="",H23=""),"",E23-H23)</f>
        <v/>
      </c>
      <c r="J23" s="9" t="n"/>
      <c r="K23" s="19">
        <f>月度投入明细!AM15</f>
        <v>0</v>
      </c>
      <c r="L23" s="19">
        <f>K23*人工成本预算!$E$3</f>
        <v>0</v>
      </c>
    </row>
    <row r="24">
      <c r="A24" s="3" t="inlineStr">
        <is>
          <t>2027-08</t>
        </is>
      </c>
      <c r="B24" s="5">
        <f>月度投入明细!AN15</f>
        <v>189</v>
      </c>
      <c r="C24" s="19">
        <f>B24*人工成本预算!$E$3</f>
        <v>264560.779340558</v>
      </c>
      <c r="D24" s="20" t="n"/>
      <c r="E24" s="21">
        <f>IF(D24="",C24,C24+D24)</f>
        <v>264560.779340558</v>
      </c>
      <c r="F24" s="20" t="n"/>
      <c r="G24" s="20" t="n"/>
      <c r="H24" s="20" t="n"/>
      <c r="I24" s="21">
        <f>IF(OR(E24="",H24=""),"",E24-H24)</f>
        <v/>
      </c>
      <c r="J24" s="9" t="n"/>
      <c r="K24" s="19">
        <f>月度投入明细!AO15</f>
        <v>0</v>
      </c>
      <c r="L24" s="19">
        <f>K24*人工成本预算!$E$3</f>
        <v>0</v>
      </c>
    </row>
    <row r="25">
      <c r="A25" s="23" t="inlineStr">
        <is>
          <t>合计</t>
        </is>
      </c>
      <c r="B25" s="24">
        <f>SUM(B5:B24)</f>
        <v>4337</v>
      </c>
      <c r="C25" s="24">
        <f>SUM(C5:C24)</f>
        <v>6070900</v>
      </c>
      <c r="D25" s="24">
        <f>IF(COUNTA(D5:D24)=0,"",SUM(D5:D24))</f>
        <v/>
      </c>
      <c r="E25" s="25">
        <f>SUM(E5:E24)</f>
        <v>6070900</v>
      </c>
      <c r="F25" s="24">
        <f>IF(COUNTA(F5:F24)=0,"",SUM(F5:F24))</f>
        <v/>
      </c>
      <c r="G25" s="24">
        <f>IF(COUNTA(G5:G24)=0,"",SUM(G5:G24))</f>
        <v/>
      </c>
      <c r="H25" s="24">
        <f>IF(COUNTA(H5:H24)=0,"",SUM(H5:H24))</f>
        <v/>
      </c>
      <c r="I25" s="25">
        <f>IF(OR(E25="",H25=""),"",E25-H25)</f>
        <v/>
      </c>
      <c r="J25" s="23" t="n"/>
      <c r="K25" s="26">
        <f>SUM(K5:K24)</f>
        <v>372</v>
      </c>
      <c r="L25" s="26">
        <f>SUM(L5:L24)</f>
        <v>520722.803781416</v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xSplit="2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G18" sqref="G18"/>
    </sheetView>
  </sheetViews>
  <sheetFormatPr baseColWidth="8" defaultColWidth="9" defaultRowHeight="16.8"/>
  <cols>
    <col width="14" customWidth="1" style="1" min="1" max="1"/>
    <col width="26" customWidth="1" style="1" min="2" max="2"/>
    <col width="16" customWidth="1" style="1" min="3" max="3"/>
    <col width="42" customWidth="1" style="1" min="4" max="4"/>
    <col width="15" customWidth="1" style="1" min="5" max="5"/>
    <col width="16" customWidth="1" style="1" min="6" max="7"/>
    <col width="18" customWidth="1" style="1" min="8" max="8"/>
    <col width="20" customWidth="1" style="1" min="9" max="10"/>
  </cols>
  <sheetData>
    <row r="1" ht="25" customHeight="1" s="1">
      <c r="A1" s="7" t="inlineStr">
        <is>
          <t>采购包计划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</row>
    <row r="2">
      <c r="A2" s="8" t="inlineStr">
        <is>
          <t>用于形成询价、比选、合同签订和预算纳入的前置清单。计划金额为空表示尚未取得可靠估算。</t>
        </is>
      </c>
    </row>
    <row r="4" ht="32" customHeight="1" s="1">
      <c r="A4" s="2" t="inlineStr">
        <is>
          <t>采购包ID</t>
        </is>
      </c>
      <c r="B4" s="2" t="inlineStr">
        <is>
          <t>采购包名称</t>
        </is>
      </c>
      <c r="C4" s="2" t="inlineStr">
        <is>
          <t>采购类型</t>
        </is>
      </c>
      <c r="D4" s="2" t="inlineStr">
        <is>
          <t>范围与计价边界</t>
        </is>
      </c>
      <c r="E4" s="2" t="inlineStr">
        <is>
          <t>负责人</t>
        </is>
      </c>
      <c r="F4" s="2" t="inlineStr">
        <is>
          <t>估算完成日期</t>
        </is>
      </c>
      <c r="G4" s="2" t="inlineStr">
        <is>
          <t>计划签约日期</t>
        </is>
      </c>
      <c r="H4" s="2" t="inlineStr">
        <is>
          <t>计划金额(元)</t>
        </is>
      </c>
      <c r="I4" s="2" t="inlineStr">
        <is>
          <t>预算状态</t>
        </is>
      </c>
      <c r="J4" s="2" t="inlineStr">
        <is>
          <t>前置条件</t>
        </is>
      </c>
    </row>
    <row r="5">
      <c r="A5" s="3" t="inlineStr">
        <is>
          <t>PKG-001</t>
        </is>
      </c>
      <c r="B5" s="3" t="inlineStr">
        <is>
          <t>CA及电子签章产品</t>
        </is>
      </c>
      <c r="C5" s="3" t="inlineStr">
        <is>
          <t>软件/服务</t>
        </is>
      </c>
      <c r="D5" s="16" t="inlineStr">
        <is>
          <t>POC结论、许可模式和接口费用确认</t>
        </is>
      </c>
      <c r="E5" s="3" t="inlineStr">
        <is>
          <t>技术经理</t>
        </is>
      </c>
      <c r="F5" s="74" t="n">
        <v>46290</v>
      </c>
      <c r="G5" s="74" t="n">
        <v>46310</v>
      </c>
      <c r="H5" s="83" t="n">
        <v>1930000</v>
      </c>
      <c r="I5" s="9" t="inlineStr">
        <is>
          <t>已纳入预算</t>
        </is>
      </c>
      <c r="J5" s="16" t="inlineStr">
        <is>
          <t>POC后确认</t>
        </is>
      </c>
    </row>
    <row r="6">
      <c r="A6" s="3" t="inlineStr">
        <is>
          <t>PKG-002</t>
        </is>
      </c>
      <c r="B6" s="3" t="inlineStr">
        <is>
          <t>电子文档产品</t>
        </is>
      </c>
      <c r="C6" s="3" t="inlineStr">
        <is>
          <t>软件/服务</t>
        </is>
      </c>
      <c r="D6" s="16" t="inlineStr">
        <is>
          <t>模板、预览、转换、水印、归档及性能费用确认</t>
        </is>
      </c>
      <c r="E6" s="3" t="inlineStr">
        <is>
          <t>技术经理</t>
        </is>
      </c>
      <c r="F6" s="74" t="n">
        <v>46290</v>
      </c>
      <c r="G6" s="74" t="n">
        <v>46310</v>
      </c>
      <c r="H6" s="83" t="n">
        <v>1840000</v>
      </c>
      <c r="I6" s="9" t="inlineStr">
        <is>
          <t>已纳入预算</t>
        </is>
      </c>
      <c r="J6" s="16" t="inlineStr">
        <is>
          <t>POC后确认</t>
        </is>
      </c>
    </row>
    <row r="7">
      <c r="A7" s="3" t="inlineStr">
        <is>
          <t>PKG-003</t>
        </is>
      </c>
      <c r="B7" s="3" t="inlineStr">
        <is>
          <t>BI报表产品</t>
        </is>
      </c>
      <c r="C7" s="3" t="inlineStr">
        <is>
          <t>软件/服务</t>
        </is>
      </c>
      <c r="D7" s="16" t="inlineStr">
        <is>
          <t>许可、用户数、服务器和实施费用确认</t>
        </is>
      </c>
      <c r="E7" s="3" t="inlineStr">
        <is>
          <t>技术经理</t>
        </is>
      </c>
      <c r="F7" s="74" t="n">
        <v>46290</v>
      </c>
      <c r="G7" s="74" t="n">
        <v>46310</v>
      </c>
      <c r="H7" s="83" t="n">
        <v>1250000</v>
      </c>
      <c r="I7" s="9" t="inlineStr">
        <is>
          <t>已纳入预算</t>
        </is>
      </c>
      <c r="J7" s="16" t="inlineStr">
        <is>
          <t>POC后确认</t>
        </is>
      </c>
    </row>
    <row r="8">
      <c r="A8" s="3" t="inlineStr">
        <is>
          <t>PKG-004</t>
        </is>
      </c>
      <c r="B8" s="3" t="inlineStr">
        <is>
          <t>云资源与基础设施</t>
        </is>
      </c>
      <c r="C8" s="3" t="inlineStr">
        <is>
          <t>基础设施</t>
        </is>
      </c>
      <c r="D8" s="16" t="inlineStr">
        <is>
          <t>开发、测试、生产、备份和容灾资源确认</t>
        </is>
      </c>
      <c r="E8" s="3" t="inlineStr">
        <is>
          <t>配置人员</t>
        </is>
      </c>
      <c r="F8" s="74" t="n">
        <v>46295</v>
      </c>
      <c r="G8" s="74" t="n">
        <v>46311</v>
      </c>
      <c r="H8" s="83" t="n">
        <v>1800000</v>
      </c>
      <c r="I8" s="9" t="inlineStr">
        <is>
          <t>已纳入预算</t>
        </is>
      </c>
      <c r="J8" s="16" t="inlineStr">
        <is>
          <t>架构基线后确认</t>
        </is>
      </c>
    </row>
    <row r="9">
      <c r="A9" s="3" t="inlineStr">
        <is>
          <t>PKG-005</t>
        </is>
      </c>
      <c r="B9" s="3" t="inlineStr">
        <is>
          <t>安全测评与专业测试</t>
        </is>
      </c>
      <c r="C9" s="3" t="inlineStr">
        <is>
          <t>专业服务</t>
        </is>
      </c>
      <c r="D9" s="16" t="inlineStr">
        <is>
          <t>安全、性能及第三方测评范围确认</t>
        </is>
      </c>
      <c r="E9" s="3" t="inlineStr">
        <is>
          <t>高级测试人员</t>
        </is>
      </c>
      <c r="F9" s="74" t="n">
        <v>46387</v>
      </c>
      <c r="G9" s="74" t="n">
        <v>46418</v>
      </c>
      <c r="H9" s="83" t="n">
        <v>180000</v>
      </c>
      <c r="I9" s="9" t="inlineStr">
        <is>
          <t>已纳入预算</t>
        </is>
      </c>
      <c r="J9" s="16" t="inlineStr">
        <is>
          <t>测试策略后确认</t>
        </is>
      </c>
    </row>
    <row r="10">
      <c r="A10" s="3" t="inlineStr">
        <is>
          <t>PKG-006</t>
        </is>
      </c>
      <c r="B10" s="3" t="inlineStr">
        <is>
          <t>数据迁移服务</t>
        </is>
      </c>
      <c r="C10" s="3" t="inlineStr">
        <is>
          <t>专业服务</t>
        </is>
      </c>
      <c r="D10" s="16" t="inlineStr">
        <is>
          <t>存量数据范围、质量、清洗和迁移工作量确认</t>
        </is>
      </c>
      <c r="E10" s="3" t="inlineStr">
        <is>
          <t>产品经理</t>
        </is>
      </c>
      <c r="F10" s="74" t="n">
        <v>46356</v>
      </c>
      <c r="G10" s="74" t="n">
        <v>46387</v>
      </c>
      <c r="H10" s="83" t="n">
        <v>200000</v>
      </c>
      <c r="I10" s="9" t="inlineStr">
        <is>
          <t>已纳入预算</t>
        </is>
      </c>
      <c r="J10" s="16" t="inlineStr">
        <is>
          <t>数据范围后确认</t>
        </is>
      </c>
    </row>
    <row r="11">
      <c r="A11" s="3" t="inlineStr">
        <is>
          <t>PKG-007</t>
        </is>
      </c>
      <c r="B11" s="3" t="inlineStr">
        <is>
          <t>外部实施与专项支持</t>
        </is>
      </c>
      <c r="C11" s="3" t="inlineStr">
        <is>
          <t>专业服务</t>
        </is>
      </c>
      <c r="D11" s="16" t="inlineStr">
        <is>
          <t>产品实施、接口支持和上线保障边界确认</t>
        </is>
      </c>
      <c r="E11" s="3" t="inlineStr">
        <is>
          <t>项目经理</t>
        </is>
      </c>
      <c r="F11" s="74" t="n">
        <v>46311</v>
      </c>
      <c r="G11" s="74" t="n">
        <v>46326</v>
      </c>
      <c r="H11" s="83" t="n">
        <v>160000</v>
      </c>
      <c r="I11" s="9" t="inlineStr">
        <is>
          <t>已纳入预算</t>
        </is>
      </c>
      <c r="J11" s="16" t="inlineStr">
        <is>
          <t>合同边界后确认</t>
        </is>
      </c>
    </row>
  </sheetData>
  <dataValidations count="1">
    <dataValidation sqref="I5:I104" showDropDown="0" showInputMessage="0" showErrorMessage="0" allowBlank="0" type="list">
      <formula1>"待估算,询价中,待批准,已纳入预算"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5"/>
    <col width="14" customWidth="1" style="1" min="6" max="8"/>
    <col width="18" customWidth="1" style="1" min="9" max="14"/>
    <col width="16" customWidth="1" style="1" min="15" max="18"/>
  </cols>
  <sheetData>
    <row r="1" ht="25" customHeight="1" s="1">
      <c r="A1" s="7" t="inlineStr">
        <is>
          <t>采购合同台账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</row>
    <row r="2">
      <c r="A2" s="8" t="inlineStr">
        <is>
          <t>签约后录入合同范围、金额、交付物、验收、付款和变更信息。</t>
        </is>
      </c>
    </row>
    <row r="4" ht="32" customHeight="1" s="1">
      <c r="A4" s="2" t="inlineStr">
        <is>
          <t>合同ID</t>
        </is>
      </c>
      <c r="B4" s="2" t="inlineStr">
        <is>
          <t>采购包ID</t>
        </is>
      </c>
      <c r="C4" s="2" t="inlineStr">
        <is>
          <t>合同名称</t>
        </is>
      </c>
      <c r="D4" s="2" t="inlineStr">
        <is>
          <t>供应商</t>
        </is>
      </c>
      <c r="E4" s="2" t="inlineStr">
        <is>
          <t>合同类型</t>
        </is>
      </c>
      <c r="F4" s="2" t="inlineStr">
        <is>
          <t>签订日期</t>
        </is>
      </c>
      <c r="G4" s="2" t="inlineStr">
        <is>
          <t>开始日期</t>
        </is>
      </c>
      <c r="H4" s="2" t="inlineStr">
        <is>
          <t>结束日期</t>
        </is>
      </c>
      <c r="I4" s="2" t="inlineStr">
        <is>
          <t>合同金额(元)</t>
        </is>
      </c>
      <c r="J4" s="2" t="inlineStr">
        <is>
          <t>已批准变更(元)</t>
        </is>
      </c>
      <c r="K4" s="2" t="inlineStr">
        <is>
          <t>当前合同额(元)</t>
        </is>
      </c>
      <c r="L4" s="2" t="inlineStr">
        <is>
          <t>已验收金额(元)</t>
        </is>
      </c>
      <c r="M4" s="2" t="inlineStr">
        <is>
          <t>已付款金额(元)</t>
        </is>
      </c>
      <c r="N4" s="2" t="inlineStr">
        <is>
          <t>未付款金额(元)</t>
        </is>
      </c>
      <c r="O4" s="2" t="inlineStr">
        <is>
          <t>责任人</t>
        </is>
      </c>
      <c r="P4" s="2" t="inlineStr">
        <is>
          <t>合同状态</t>
        </is>
      </c>
      <c r="Q4" s="2" t="inlineStr">
        <is>
          <t>验收状态</t>
        </is>
      </c>
      <c r="R4" s="2" t="inlineStr">
        <is>
          <t>备注</t>
        </is>
      </c>
    </row>
    <row r="5">
      <c r="A5" s="9" t="n"/>
      <c r="B5" s="9" t="n"/>
      <c r="C5" s="9" t="n"/>
      <c r="D5" s="9" t="n"/>
      <c r="E5" s="9" t="n"/>
      <c r="F5" s="84" t="n"/>
      <c r="G5" s="84" t="n"/>
      <c r="H5" s="84" t="n"/>
      <c r="I5" s="83" t="n"/>
      <c r="J5" s="83" t="n"/>
      <c r="K5" s="85">
        <f>IF(I5="","",I5+J5)</f>
        <v/>
      </c>
      <c r="L5" s="83" t="n"/>
      <c r="M5" s="83" t="n"/>
      <c r="N5" s="85">
        <f>IF(K5="","",K5-M5)</f>
        <v/>
      </c>
      <c r="O5" s="9" t="n"/>
      <c r="P5" s="9" t="n"/>
      <c r="Q5" s="9" t="n"/>
      <c r="R5" s="9" t="n"/>
    </row>
    <row r="6">
      <c r="A6" s="9" t="n"/>
      <c r="B6" s="9" t="n"/>
      <c r="C6" s="9" t="n"/>
      <c r="D6" s="9" t="n"/>
      <c r="E6" s="9" t="n"/>
      <c r="F6" s="84" t="n"/>
      <c r="G6" s="84" t="n"/>
      <c r="H6" s="84" t="n"/>
      <c r="I6" s="83" t="n"/>
      <c r="J6" s="83" t="n"/>
      <c r="K6" s="85">
        <f>IF(I6="","",I6+J6)</f>
        <v/>
      </c>
      <c r="L6" s="83" t="n"/>
      <c r="M6" s="83" t="n"/>
      <c r="N6" s="85">
        <f>IF(K6="","",K6-M6)</f>
        <v/>
      </c>
      <c r="O6" s="9" t="n"/>
      <c r="P6" s="9" t="n"/>
      <c r="Q6" s="9" t="n"/>
      <c r="R6" s="9" t="n"/>
    </row>
    <row r="7">
      <c r="A7" s="9" t="n"/>
      <c r="B7" s="9" t="n"/>
      <c r="C7" s="9" t="n"/>
      <c r="D7" s="9" t="n"/>
      <c r="E7" s="9" t="n"/>
      <c r="F7" s="84" t="n"/>
      <c r="G7" s="84" t="n"/>
      <c r="H7" s="84" t="n"/>
      <c r="I7" s="83" t="n"/>
      <c r="J7" s="83" t="n"/>
      <c r="K7" s="85">
        <f>IF(I7="","",I7+J7)</f>
        <v/>
      </c>
      <c r="L7" s="83" t="n"/>
      <c r="M7" s="83" t="n"/>
      <c r="N7" s="85">
        <f>IF(K7="","",K7-M7)</f>
        <v/>
      </c>
      <c r="O7" s="9" t="n"/>
      <c r="P7" s="9" t="n"/>
      <c r="Q7" s="9" t="n"/>
      <c r="R7" s="9" t="n"/>
    </row>
    <row r="8">
      <c r="A8" s="9" t="n"/>
      <c r="B8" s="9" t="n"/>
      <c r="C8" s="9" t="n"/>
      <c r="D8" s="9" t="n"/>
      <c r="E8" s="9" t="n"/>
      <c r="F8" s="84" t="n"/>
      <c r="G8" s="84" t="n"/>
      <c r="H8" s="84" t="n"/>
      <c r="I8" s="83" t="n"/>
      <c r="J8" s="83" t="n"/>
      <c r="K8" s="85">
        <f>IF(I8="","",I8+J8)</f>
        <v/>
      </c>
      <c r="L8" s="83" t="n"/>
      <c r="M8" s="83" t="n"/>
      <c r="N8" s="85">
        <f>IF(K8="","",K8-M8)</f>
        <v/>
      </c>
      <c r="O8" s="9" t="n"/>
      <c r="P8" s="9" t="n"/>
      <c r="Q8" s="9" t="n"/>
      <c r="R8" s="9" t="n"/>
    </row>
    <row r="9">
      <c r="A9" s="9" t="n"/>
      <c r="B9" s="9" t="n"/>
      <c r="C9" s="9" t="n"/>
      <c r="D9" s="9" t="n"/>
      <c r="E9" s="9" t="n"/>
      <c r="F9" s="84" t="n"/>
      <c r="G9" s="84" t="n"/>
      <c r="H9" s="84" t="n"/>
      <c r="I9" s="83" t="n"/>
      <c r="J9" s="83" t="n"/>
      <c r="K9" s="85">
        <f>IF(I9="","",I9+J9)</f>
        <v/>
      </c>
      <c r="L9" s="83" t="n"/>
      <c r="M9" s="83" t="n"/>
      <c r="N9" s="85">
        <f>IF(K9="","",K9-M9)</f>
        <v/>
      </c>
      <c r="O9" s="9" t="n"/>
      <c r="P9" s="9" t="n"/>
      <c r="Q9" s="9" t="n"/>
      <c r="R9" s="9" t="n"/>
    </row>
    <row r="10">
      <c r="A10" s="9" t="n"/>
      <c r="B10" s="9" t="n"/>
      <c r="C10" s="9" t="n"/>
      <c r="D10" s="9" t="n"/>
      <c r="E10" s="9" t="n"/>
      <c r="F10" s="84" t="n"/>
      <c r="G10" s="84" t="n"/>
      <c r="H10" s="84" t="n"/>
      <c r="I10" s="83" t="n"/>
      <c r="J10" s="83" t="n"/>
      <c r="K10" s="85">
        <f>IF(I10="","",I10+J10)</f>
        <v/>
      </c>
      <c r="L10" s="83" t="n"/>
      <c r="M10" s="83" t="n"/>
      <c r="N10" s="85">
        <f>IF(K10="","",K10-M10)</f>
        <v/>
      </c>
      <c r="O10" s="9" t="n"/>
      <c r="P10" s="9" t="n"/>
      <c r="Q10" s="9" t="n"/>
      <c r="R10" s="9" t="n"/>
    </row>
    <row r="11">
      <c r="A11" s="9" t="n"/>
      <c r="B11" s="9" t="n"/>
      <c r="C11" s="9" t="n"/>
      <c r="D11" s="9" t="n"/>
      <c r="E11" s="9" t="n"/>
      <c r="F11" s="84" t="n"/>
      <c r="G11" s="84" t="n"/>
      <c r="H11" s="84" t="n"/>
      <c r="I11" s="83" t="n"/>
      <c r="J11" s="83" t="n"/>
      <c r="K11" s="85">
        <f>IF(I11="","",I11+J11)</f>
        <v/>
      </c>
      <c r="L11" s="83" t="n"/>
      <c r="M11" s="83" t="n"/>
      <c r="N11" s="85">
        <f>IF(K11="","",K11-M11)</f>
        <v/>
      </c>
      <c r="O11" s="9" t="n"/>
      <c r="P11" s="9" t="n"/>
      <c r="Q11" s="9" t="n"/>
      <c r="R11" s="9" t="n"/>
    </row>
    <row r="12">
      <c r="A12" s="9" t="n"/>
      <c r="B12" s="9" t="n"/>
      <c r="C12" s="9" t="n"/>
      <c r="D12" s="9" t="n"/>
      <c r="E12" s="9" t="n"/>
      <c r="F12" s="84" t="n"/>
      <c r="G12" s="84" t="n"/>
      <c r="H12" s="84" t="n"/>
      <c r="I12" s="83" t="n"/>
      <c r="J12" s="83" t="n"/>
      <c r="K12" s="85">
        <f>IF(I12="","",I12+J12)</f>
        <v/>
      </c>
      <c r="L12" s="83" t="n"/>
      <c r="M12" s="83" t="n"/>
      <c r="N12" s="85">
        <f>IF(K12="","",K12-M12)</f>
        <v/>
      </c>
      <c r="O12" s="9" t="n"/>
      <c r="P12" s="9" t="n"/>
      <c r="Q12" s="9" t="n"/>
      <c r="R12" s="9" t="n"/>
    </row>
    <row r="13">
      <c r="A13" s="9" t="n"/>
      <c r="B13" s="9" t="n"/>
      <c r="C13" s="9" t="n"/>
      <c r="D13" s="9" t="n"/>
      <c r="E13" s="9" t="n"/>
      <c r="F13" s="84" t="n"/>
      <c r="G13" s="84" t="n"/>
      <c r="H13" s="84" t="n"/>
      <c r="I13" s="83" t="n"/>
      <c r="J13" s="83" t="n"/>
      <c r="K13" s="85">
        <f>IF(I13="","",I13+J13)</f>
        <v/>
      </c>
      <c r="L13" s="83" t="n"/>
      <c r="M13" s="83" t="n"/>
      <c r="N13" s="85">
        <f>IF(K13="","",K13-M13)</f>
        <v/>
      </c>
      <c r="O13" s="9" t="n"/>
      <c r="P13" s="9" t="n"/>
      <c r="Q13" s="9" t="n"/>
      <c r="R13" s="9" t="n"/>
    </row>
    <row r="14">
      <c r="A14" s="9" t="n"/>
      <c r="B14" s="9" t="n"/>
      <c r="C14" s="9" t="n"/>
      <c r="D14" s="9" t="n"/>
      <c r="E14" s="9" t="n"/>
      <c r="F14" s="84" t="n"/>
      <c r="G14" s="84" t="n"/>
      <c r="H14" s="84" t="n"/>
      <c r="I14" s="83" t="n"/>
      <c r="J14" s="83" t="n"/>
      <c r="K14" s="85">
        <f>IF(I14="","",I14+J14)</f>
        <v/>
      </c>
      <c r="L14" s="83" t="n"/>
      <c r="M14" s="83" t="n"/>
      <c r="N14" s="85">
        <f>IF(K14="","",K14-M14)</f>
        <v/>
      </c>
      <c r="O14" s="9" t="n"/>
      <c r="P14" s="9" t="n"/>
      <c r="Q14" s="9" t="n"/>
      <c r="R14" s="9" t="n"/>
    </row>
    <row r="15">
      <c r="A15" s="9" t="n"/>
      <c r="B15" s="9" t="n"/>
      <c r="C15" s="9" t="n"/>
      <c r="D15" s="9" t="n"/>
      <c r="E15" s="9" t="n"/>
      <c r="F15" s="84" t="n"/>
      <c r="G15" s="84" t="n"/>
      <c r="H15" s="84" t="n"/>
      <c r="I15" s="83" t="n"/>
      <c r="J15" s="83" t="n"/>
      <c r="K15" s="85">
        <f>IF(I15="","",I15+J15)</f>
        <v/>
      </c>
      <c r="L15" s="83" t="n"/>
      <c r="M15" s="83" t="n"/>
      <c r="N15" s="85">
        <f>IF(K15="","",K15-M15)</f>
        <v/>
      </c>
      <c r="O15" s="9" t="n"/>
      <c r="P15" s="9" t="n"/>
      <c r="Q15" s="9" t="n"/>
      <c r="R15" s="9" t="n"/>
    </row>
    <row r="16">
      <c r="A16" s="9" t="n"/>
      <c r="B16" s="9" t="n"/>
      <c r="C16" s="9" t="n"/>
      <c r="D16" s="9" t="n"/>
      <c r="E16" s="9" t="n"/>
      <c r="F16" s="84" t="n"/>
      <c r="G16" s="84" t="n"/>
      <c r="H16" s="84" t="n"/>
      <c r="I16" s="83" t="n"/>
      <c r="J16" s="83" t="n"/>
      <c r="K16" s="85">
        <f>IF(I16="","",I16+J16)</f>
        <v/>
      </c>
      <c r="L16" s="83" t="n"/>
      <c r="M16" s="83" t="n"/>
      <c r="N16" s="85">
        <f>IF(K16="","",K16-M16)</f>
        <v/>
      </c>
      <c r="O16" s="9" t="n"/>
      <c r="P16" s="9" t="n"/>
      <c r="Q16" s="9" t="n"/>
      <c r="R16" s="9" t="n"/>
    </row>
    <row r="17">
      <c r="A17" s="9" t="n"/>
      <c r="B17" s="9" t="n"/>
      <c r="C17" s="9" t="n"/>
      <c r="D17" s="9" t="n"/>
      <c r="E17" s="9" t="n"/>
      <c r="F17" s="84" t="n"/>
      <c r="G17" s="84" t="n"/>
      <c r="H17" s="84" t="n"/>
      <c r="I17" s="83" t="n"/>
      <c r="J17" s="83" t="n"/>
      <c r="K17" s="85">
        <f>IF(I17="","",I17+J17)</f>
        <v/>
      </c>
      <c r="L17" s="83" t="n"/>
      <c r="M17" s="83" t="n"/>
      <c r="N17" s="85">
        <f>IF(K17="","",K17-M17)</f>
        <v/>
      </c>
      <c r="O17" s="9" t="n"/>
      <c r="P17" s="9" t="n"/>
      <c r="Q17" s="9" t="n"/>
      <c r="R17" s="9" t="n"/>
    </row>
    <row r="18">
      <c r="A18" s="9" t="n"/>
      <c r="B18" s="9" t="n"/>
      <c r="C18" s="9" t="n"/>
      <c r="D18" s="9" t="n"/>
      <c r="E18" s="9" t="n"/>
      <c r="F18" s="84" t="n"/>
      <c r="G18" s="84" t="n"/>
      <c r="H18" s="84" t="n"/>
      <c r="I18" s="83" t="n"/>
      <c r="J18" s="83" t="n"/>
      <c r="K18" s="85">
        <f>IF(I18="","",I18+J18)</f>
        <v/>
      </c>
      <c r="L18" s="83" t="n"/>
      <c r="M18" s="83" t="n"/>
      <c r="N18" s="85">
        <f>IF(K18="","",K18-M18)</f>
        <v/>
      </c>
      <c r="O18" s="9" t="n"/>
      <c r="P18" s="9" t="n"/>
      <c r="Q18" s="9" t="n"/>
      <c r="R18" s="9" t="n"/>
    </row>
    <row r="19">
      <c r="A19" s="9" t="n"/>
      <c r="B19" s="9" t="n"/>
      <c r="C19" s="9" t="n"/>
      <c r="D19" s="9" t="n"/>
      <c r="E19" s="9" t="n"/>
      <c r="F19" s="84" t="n"/>
      <c r="G19" s="84" t="n"/>
      <c r="H19" s="84" t="n"/>
      <c r="I19" s="83" t="n"/>
      <c r="J19" s="83" t="n"/>
      <c r="K19" s="85">
        <f>IF(I19="","",I19+J19)</f>
        <v/>
      </c>
      <c r="L19" s="83" t="n"/>
      <c r="M19" s="83" t="n"/>
      <c r="N19" s="85">
        <f>IF(K19="","",K19-M19)</f>
        <v/>
      </c>
      <c r="O19" s="9" t="n"/>
      <c r="P19" s="9" t="n"/>
      <c r="Q19" s="9" t="n"/>
      <c r="R19" s="9" t="n"/>
    </row>
    <row r="20">
      <c r="A20" s="9" t="n"/>
      <c r="B20" s="9" t="n"/>
      <c r="C20" s="9" t="n"/>
      <c r="D20" s="9" t="n"/>
      <c r="E20" s="9" t="n"/>
      <c r="F20" s="84" t="n"/>
      <c r="G20" s="84" t="n"/>
      <c r="H20" s="84" t="n"/>
      <c r="I20" s="83" t="n"/>
      <c r="J20" s="83" t="n"/>
      <c r="K20" s="85">
        <f>IF(I20="","",I20+J20)</f>
        <v/>
      </c>
      <c r="L20" s="83" t="n"/>
      <c r="M20" s="83" t="n"/>
      <c r="N20" s="85">
        <f>IF(K20="","",K20-M20)</f>
        <v/>
      </c>
      <c r="O20" s="9" t="n"/>
      <c r="P20" s="9" t="n"/>
      <c r="Q20" s="9" t="n"/>
      <c r="R20" s="9" t="n"/>
    </row>
    <row r="21">
      <c r="A21" s="9" t="n"/>
      <c r="B21" s="9" t="n"/>
      <c r="C21" s="9" t="n"/>
      <c r="D21" s="9" t="n"/>
      <c r="E21" s="9" t="n"/>
      <c r="F21" s="84" t="n"/>
      <c r="G21" s="84" t="n"/>
      <c r="H21" s="84" t="n"/>
      <c r="I21" s="83" t="n"/>
      <c r="J21" s="83" t="n"/>
      <c r="K21" s="85">
        <f>IF(I21="","",I21+J21)</f>
        <v/>
      </c>
      <c r="L21" s="83" t="n"/>
      <c r="M21" s="83" t="n"/>
      <c r="N21" s="85">
        <f>IF(K21="","",K21-M21)</f>
        <v/>
      </c>
      <c r="O21" s="9" t="n"/>
      <c r="P21" s="9" t="n"/>
      <c r="Q21" s="9" t="n"/>
      <c r="R21" s="9" t="n"/>
    </row>
    <row r="22">
      <c r="A22" s="9" t="n"/>
      <c r="B22" s="9" t="n"/>
      <c r="C22" s="9" t="n"/>
      <c r="D22" s="9" t="n"/>
      <c r="E22" s="9" t="n"/>
      <c r="F22" s="84" t="n"/>
      <c r="G22" s="84" t="n"/>
      <c r="H22" s="84" t="n"/>
      <c r="I22" s="83" t="n"/>
      <c r="J22" s="83" t="n"/>
      <c r="K22" s="85">
        <f>IF(I22="","",I22+J22)</f>
        <v/>
      </c>
      <c r="L22" s="83" t="n"/>
      <c r="M22" s="83" t="n"/>
      <c r="N22" s="85">
        <f>IF(K22="","",K22-M22)</f>
        <v/>
      </c>
      <c r="O22" s="9" t="n"/>
      <c r="P22" s="9" t="n"/>
      <c r="Q22" s="9" t="n"/>
      <c r="R22" s="9" t="n"/>
    </row>
    <row r="23">
      <c r="A23" s="9" t="n"/>
      <c r="B23" s="9" t="n"/>
      <c r="C23" s="9" t="n"/>
      <c r="D23" s="9" t="n"/>
      <c r="E23" s="9" t="n"/>
      <c r="F23" s="84" t="n"/>
      <c r="G23" s="84" t="n"/>
      <c r="H23" s="84" t="n"/>
      <c r="I23" s="83" t="n"/>
      <c r="J23" s="83" t="n"/>
      <c r="K23" s="85">
        <f>IF(I23="","",I23+J23)</f>
        <v/>
      </c>
      <c r="L23" s="83" t="n"/>
      <c r="M23" s="83" t="n"/>
      <c r="N23" s="85">
        <f>IF(K23="","",K23-M23)</f>
        <v/>
      </c>
      <c r="O23" s="9" t="n"/>
      <c r="P23" s="9" t="n"/>
      <c r="Q23" s="9" t="n"/>
      <c r="R23" s="9" t="n"/>
    </row>
    <row r="24">
      <c r="A24" s="9" t="n"/>
      <c r="B24" s="9" t="n"/>
      <c r="C24" s="9" t="n"/>
      <c r="D24" s="9" t="n"/>
      <c r="E24" s="9" t="n"/>
      <c r="F24" s="84" t="n"/>
      <c r="G24" s="84" t="n"/>
      <c r="H24" s="84" t="n"/>
      <c r="I24" s="83" t="n"/>
      <c r="J24" s="83" t="n"/>
      <c r="K24" s="85">
        <f>IF(I24="","",I24+J24)</f>
        <v/>
      </c>
      <c r="L24" s="83" t="n"/>
      <c r="M24" s="83" t="n"/>
      <c r="N24" s="85">
        <f>IF(K24="","",K24-M24)</f>
        <v/>
      </c>
      <c r="O24" s="9" t="n"/>
      <c r="P24" s="9" t="n"/>
      <c r="Q24" s="9" t="n"/>
      <c r="R24" s="9" t="n"/>
    </row>
  </sheetData>
  <dataValidations count="2">
    <dataValidation sqref="P5:P104" showDropDown="0" showInputMessage="0" showErrorMessage="0" allowBlank="0" type="list">
      <formula1>"拟签订,履行中,暂停,已终止,已关闭"</formula1>
    </dataValidation>
    <dataValidation sqref="Q5:Q104" showDropDown="0" showInputMessage="0" showErrorMessage="0" allowBlank="0" type="list">
      <formula1>"未开始,部分验收,验收通过,验收不通过"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6" customWidth="1" style="1" min="1" max="3"/>
    <col width="18" customWidth="1" style="1" min="4" max="6"/>
    <col width="28" customWidth="1" style="1" min="7" max="9"/>
    <col width="16" customWidth="1" style="1" min="10" max="12"/>
    <col width="18" customWidth="1" style="1" min="13" max="14"/>
    <col width="24" customWidth="1" style="1" min="15" max="15"/>
  </cols>
  <sheetData>
    <row r="1" ht="25" customHeight="1" s="1">
      <c r="A1" s="7" t="inlineStr">
        <is>
          <t>付款里程碑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</row>
    <row r="2">
      <c r="A2" s="8" t="inlineStr">
        <is>
          <t>付款必须绑定合同、交付物、验收标准和批准证据。未取得验收证据的节点不得标记为可付款。</t>
        </is>
      </c>
    </row>
    <row r="4" ht="32" customHeight="1" s="1">
      <c r="A4" s="2" t="inlineStr">
        <is>
          <t>付款ID</t>
        </is>
      </c>
      <c r="B4" s="2" t="inlineStr">
        <is>
          <t>合同ID</t>
        </is>
      </c>
      <c r="C4" s="2" t="inlineStr">
        <is>
          <t>付款节点</t>
        </is>
      </c>
      <c r="D4" s="2" t="inlineStr">
        <is>
          <t>计划付款日期</t>
        </is>
      </c>
      <c r="E4" s="2" t="inlineStr">
        <is>
          <t>付款比例</t>
        </is>
      </c>
      <c r="F4" s="2" t="inlineStr">
        <is>
          <t>计划付款金额(元)</t>
        </is>
      </c>
      <c r="G4" s="2" t="inlineStr">
        <is>
          <t>对应交付物</t>
        </is>
      </c>
      <c r="H4" s="2" t="inlineStr">
        <is>
          <t>验收标准</t>
        </is>
      </c>
      <c r="I4" s="2" t="inlineStr">
        <is>
          <t>验收证据</t>
        </is>
      </c>
      <c r="J4" s="2" t="inlineStr">
        <is>
          <t>验收状态</t>
        </is>
      </c>
      <c r="K4" s="2" t="inlineStr">
        <is>
          <t>发票状态</t>
        </is>
      </c>
      <c r="L4" s="2" t="inlineStr">
        <is>
          <t>付款审批状态</t>
        </is>
      </c>
      <c r="M4" s="2" t="inlineStr">
        <is>
          <t>实际付款日期</t>
        </is>
      </c>
      <c r="N4" s="2" t="inlineStr">
        <is>
          <t>实际付款金额(元)</t>
        </is>
      </c>
      <c r="O4" s="2" t="inlineStr">
        <is>
          <t>备注</t>
        </is>
      </c>
    </row>
    <row r="5">
      <c r="A5" s="9" t="n"/>
      <c r="B5" s="9" t="n"/>
      <c r="C5" s="9" t="n"/>
      <c r="D5" s="84" t="n"/>
      <c r="E5" s="86" t="n"/>
      <c r="F5" s="83" t="n"/>
      <c r="G5" s="11" t="n"/>
      <c r="H5" s="11" t="n"/>
      <c r="I5" s="11" t="n"/>
      <c r="J5" s="9" t="n"/>
      <c r="K5" s="9" t="n"/>
      <c r="L5" s="9" t="n"/>
      <c r="M5" s="84" t="n"/>
      <c r="N5" s="83" t="n"/>
      <c r="O5" s="9" t="n"/>
    </row>
    <row r="6">
      <c r="A6" s="9" t="n"/>
      <c r="B6" s="9" t="n"/>
      <c r="C6" s="9" t="n"/>
      <c r="D6" s="84" t="n"/>
      <c r="E6" s="86" t="n"/>
      <c r="F6" s="83" t="n"/>
      <c r="G6" s="11" t="n"/>
      <c r="H6" s="11" t="n"/>
      <c r="I6" s="11" t="n"/>
      <c r="J6" s="9" t="n"/>
      <c r="K6" s="9" t="n"/>
      <c r="L6" s="9" t="n"/>
      <c r="M6" s="84" t="n"/>
      <c r="N6" s="83" t="n"/>
      <c r="O6" s="9" t="n"/>
    </row>
    <row r="7">
      <c r="A7" s="9" t="n"/>
      <c r="B7" s="9" t="n"/>
      <c r="C7" s="9" t="n"/>
      <c r="D7" s="84" t="n"/>
      <c r="E7" s="86" t="n"/>
      <c r="F7" s="83" t="n"/>
      <c r="G7" s="11" t="n"/>
      <c r="H7" s="11" t="n"/>
      <c r="I7" s="11" t="n"/>
      <c r="J7" s="9" t="n"/>
      <c r="K7" s="9" t="n"/>
      <c r="L7" s="9" t="n"/>
      <c r="M7" s="84" t="n"/>
      <c r="N7" s="83" t="n"/>
      <c r="O7" s="9" t="n"/>
    </row>
    <row r="8">
      <c r="A8" s="9" t="n"/>
      <c r="B8" s="9" t="n"/>
      <c r="C8" s="9" t="n"/>
      <c r="D8" s="84" t="n"/>
      <c r="E8" s="86" t="n"/>
      <c r="F8" s="83" t="n"/>
      <c r="G8" s="11" t="n"/>
      <c r="H8" s="11" t="n"/>
      <c r="I8" s="11" t="n"/>
      <c r="J8" s="9" t="n"/>
      <c r="K8" s="9" t="n"/>
      <c r="L8" s="9" t="n"/>
      <c r="M8" s="84" t="n"/>
      <c r="N8" s="83" t="n"/>
      <c r="O8" s="9" t="n"/>
    </row>
    <row r="9">
      <c r="A9" s="9" t="n"/>
      <c r="B9" s="9" t="n"/>
      <c r="C9" s="9" t="n"/>
      <c r="D9" s="84" t="n"/>
      <c r="E9" s="86" t="n"/>
      <c r="F9" s="83" t="n"/>
      <c r="G9" s="11" t="n"/>
      <c r="H9" s="11" t="n"/>
      <c r="I9" s="11" t="n"/>
      <c r="J9" s="9" t="n"/>
      <c r="K9" s="9" t="n"/>
      <c r="L9" s="9" t="n"/>
      <c r="M9" s="84" t="n"/>
      <c r="N9" s="83" t="n"/>
      <c r="O9" s="9" t="n"/>
    </row>
    <row r="10">
      <c r="A10" s="9" t="n"/>
      <c r="B10" s="9" t="n"/>
      <c r="C10" s="9" t="n"/>
      <c r="D10" s="84" t="n"/>
      <c r="E10" s="86" t="n"/>
      <c r="F10" s="83" t="n"/>
      <c r="G10" s="11" t="n"/>
      <c r="H10" s="11" t="n"/>
      <c r="I10" s="11" t="n"/>
      <c r="J10" s="9" t="n"/>
      <c r="K10" s="9" t="n"/>
      <c r="L10" s="9" t="n"/>
      <c r="M10" s="84" t="n"/>
      <c r="N10" s="83" t="n"/>
      <c r="O10" s="9" t="n"/>
    </row>
    <row r="11">
      <c r="A11" s="9" t="n"/>
      <c r="B11" s="9" t="n"/>
      <c r="C11" s="9" t="n"/>
      <c r="D11" s="84" t="n"/>
      <c r="E11" s="86" t="n"/>
      <c r="F11" s="83" t="n"/>
      <c r="G11" s="11" t="n"/>
      <c r="H11" s="11" t="n"/>
      <c r="I11" s="11" t="n"/>
      <c r="J11" s="9" t="n"/>
      <c r="K11" s="9" t="n"/>
      <c r="L11" s="9" t="n"/>
      <c r="M11" s="84" t="n"/>
      <c r="N11" s="83" t="n"/>
      <c r="O11" s="9" t="n"/>
    </row>
    <row r="12">
      <c r="A12" s="9" t="n"/>
      <c r="B12" s="9" t="n"/>
      <c r="C12" s="9" t="n"/>
      <c r="D12" s="84" t="n"/>
      <c r="E12" s="86" t="n"/>
      <c r="F12" s="83" t="n"/>
      <c r="G12" s="11" t="n"/>
      <c r="H12" s="11" t="n"/>
      <c r="I12" s="11" t="n"/>
      <c r="J12" s="9" t="n"/>
      <c r="K12" s="9" t="n"/>
      <c r="L12" s="9" t="n"/>
      <c r="M12" s="84" t="n"/>
      <c r="N12" s="83" t="n"/>
      <c r="O12" s="9" t="n"/>
    </row>
    <row r="13">
      <c r="A13" s="9" t="n"/>
      <c r="B13" s="9" t="n"/>
      <c r="C13" s="9" t="n"/>
      <c r="D13" s="84" t="n"/>
      <c r="E13" s="86" t="n"/>
      <c r="F13" s="83" t="n"/>
      <c r="G13" s="11" t="n"/>
      <c r="H13" s="11" t="n"/>
      <c r="I13" s="11" t="n"/>
      <c r="J13" s="9" t="n"/>
      <c r="K13" s="9" t="n"/>
      <c r="L13" s="9" t="n"/>
      <c r="M13" s="84" t="n"/>
      <c r="N13" s="83" t="n"/>
      <c r="O13" s="9" t="n"/>
    </row>
    <row r="14">
      <c r="A14" s="9" t="n"/>
      <c r="B14" s="9" t="n"/>
      <c r="C14" s="9" t="n"/>
      <c r="D14" s="84" t="n"/>
      <c r="E14" s="86" t="n"/>
      <c r="F14" s="83" t="n"/>
      <c r="G14" s="11" t="n"/>
      <c r="H14" s="11" t="n"/>
      <c r="I14" s="11" t="n"/>
      <c r="J14" s="9" t="n"/>
      <c r="K14" s="9" t="n"/>
      <c r="L14" s="9" t="n"/>
      <c r="M14" s="84" t="n"/>
      <c r="N14" s="83" t="n"/>
      <c r="O14" s="9" t="n"/>
    </row>
    <row r="15">
      <c r="A15" s="9" t="n"/>
      <c r="B15" s="9" t="n"/>
      <c r="C15" s="9" t="n"/>
      <c r="D15" s="84" t="n"/>
      <c r="E15" s="86" t="n"/>
      <c r="F15" s="83" t="n"/>
      <c r="G15" s="11" t="n"/>
      <c r="H15" s="11" t="n"/>
      <c r="I15" s="11" t="n"/>
      <c r="J15" s="9" t="n"/>
      <c r="K15" s="9" t="n"/>
      <c r="L15" s="9" t="n"/>
      <c r="M15" s="84" t="n"/>
      <c r="N15" s="83" t="n"/>
      <c r="O15" s="9" t="n"/>
    </row>
    <row r="16">
      <c r="A16" s="9" t="n"/>
      <c r="B16" s="9" t="n"/>
      <c r="C16" s="9" t="n"/>
      <c r="D16" s="84" t="n"/>
      <c r="E16" s="86" t="n"/>
      <c r="F16" s="83" t="n"/>
      <c r="G16" s="11" t="n"/>
      <c r="H16" s="11" t="n"/>
      <c r="I16" s="11" t="n"/>
      <c r="J16" s="9" t="n"/>
      <c r="K16" s="9" t="n"/>
      <c r="L16" s="9" t="n"/>
      <c r="M16" s="84" t="n"/>
      <c r="N16" s="83" t="n"/>
      <c r="O16" s="9" t="n"/>
    </row>
    <row r="17">
      <c r="A17" s="9" t="n"/>
      <c r="B17" s="9" t="n"/>
      <c r="C17" s="9" t="n"/>
      <c r="D17" s="84" t="n"/>
      <c r="E17" s="86" t="n"/>
      <c r="F17" s="83" t="n"/>
      <c r="G17" s="11" t="n"/>
      <c r="H17" s="11" t="n"/>
      <c r="I17" s="11" t="n"/>
      <c r="J17" s="9" t="n"/>
      <c r="K17" s="9" t="n"/>
      <c r="L17" s="9" t="n"/>
      <c r="M17" s="84" t="n"/>
      <c r="N17" s="83" t="n"/>
      <c r="O17" s="9" t="n"/>
    </row>
    <row r="18">
      <c r="A18" s="9" t="n"/>
      <c r="B18" s="9" t="n"/>
      <c r="C18" s="9" t="n"/>
      <c r="D18" s="84" t="n"/>
      <c r="E18" s="86" t="n"/>
      <c r="F18" s="83" t="n"/>
      <c r="G18" s="11" t="n"/>
      <c r="H18" s="11" t="n"/>
      <c r="I18" s="11" t="n"/>
      <c r="J18" s="9" t="n"/>
      <c r="K18" s="9" t="n"/>
      <c r="L18" s="9" t="n"/>
      <c r="M18" s="84" t="n"/>
      <c r="N18" s="83" t="n"/>
      <c r="O18" s="9" t="n"/>
    </row>
    <row r="19">
      <c r="A19" s="9" t="n"/>
      <c r="B19" s="9" t="n"/>
      <c r="C19" s="9" t="n"/>
      <c r="D19" s="84" t="n"/>
      <c r="E19" s="86" t="n"/>
      <c r="F19" s="83" t="n"/>
      <c r="G19" s="11" t="n"/>
      <c r="H19" s="11" t="n"/>
      <c r="I19" s="11" t="n"/>
      <c r="J19" s="9" t="n"/>
      <c r="K19" s="9" t="n"/>
      <c r="L19" s="9" t="n"/>
      <c r="M19" s="84" t="n"/>
      <c r="N19" s="83" t="n"/>
      <c r="O19" s="9" t="n"/>
    </row>
    <row r="20">
      <c r="A20" s="9" t="n"/>
      <c r="B20" s="9" t="n"/>
      <c r="C20" s="9" t="n"/>
      <c r="D20" s="84" t="n"/>
      <c r="E20" s="86" t="n"/>
      <c r="F20" s="83" t="n"/>
      <c r="G20" s="11" t="n"/>
      <c r="H20" s="11" t="n"/>
      <c r="I20" s="11" t="n"/>
      <c r="J20" s="9" t="n"/>
      <c r="K20" s="9" t="n"/>
      <c r="L20" s="9" t="n"/>
      <c r="M20" s="84" t="n"/>
      <c r="N20" s="83" t="n"/>
      <c r="O20" s="9" t="n"/>
    </row>
    <row r="21">
      <c r="A21" s="9" t="n"/>
      <c r="B21" s="9" t="n"/>
      <c r="C21" s="9" t="n"/>
      <c r="D21" s="84" t="n"/>
      <c r="E21" s="86" t="n"/>
      <c r="F21" s="83" t="n"/>
      <c r="G21" s="11" t="n"/>
      <c r="H21" s="11" t="n"/>
      <c r="I21" s="11" t="n"/>
      <c r="J21" s="9" t="n"/>
      <c r="K21" s="9" t="n"/>
      <c r="L21" s="9" t="n"/>
      <c r="M21" s="84" t="n"/>
      <c r="N21" s="83" t="n"/>
      <c r="O21" s="9" t="n"/>
    </row>
    <row r="22">
      <c r="A22" s="9" t="n"/>
      <c r="B22" s="9" t="n"/>
      <c r="C22" s="9" t="n"/>
      <c r="D22" s="84" t="n"/>
      <c r="E22" s="86" t="n"/>
      <c r="F22" s="83" t="n"/>
      <c r="G22" s="11" t="n"/>
      <c r="H22" s="11" t="n"/>
      <c r="I22" s="11" t="n"/>
      <c r="J22" s="9" t="n"/>
      <c r="K22" s="9" t="n"/>
      <c r="L22" s="9" t="n"/>
      <c r="M22" s="84" t="n"/>
      <c r="N22" s="83" t="n"/>
      <c r="O22" s="9" t="n"/>
    </row>
    <row r="23">
      <c r="A23" s="9" t="n"/>
      <c r="B23" s="9" t="n"/>
      <c r="C23" s="9" t="n"/>
      <c r="D23" s="84" t="n"/>
      <c r="E23" s="86" t="n"/>
      <c r="F23" s="83" t="n"/>
      <c r="G23" s="11" t="n"/>
      <c r="H23" s="11" t="n"/>
      <c r="I23" s="11" t="n"/>
      <c r="J23" s="9" t="n"/>
      <c r="K23" s="9" t="n"/>
      <c r="L23" s="9" t="n"/>
      <c r="M23" s="84" t="n"/>
      <c r="N23" s="83" t="n"/>
      <c r="O23" s="9" t="n"/>
    </row>
    <row r="24">
      <c r="A24" s="9" t="n"/>
      <c r="B24" s="9" t="n"/>
      <c r="C24" s="9" t="n"/>
      <c r="D24" s="84" t="n"/>
      <c r="E24" s="86" t="n"/>
      <c r="F24" s="83" t="n"/>
      <c r="G24" s="11" t="n"/>
      <c r="H24" s="11" t="n"/>
      <c r="I24" s="11" t="n"/>
      <c r="J24" s="9" t="n"/>
      <c r="K24" s="9" t="n"/>
      <c r="L24" s="9" t="n"/>
      <c r="M24" s="84" t="n"/>
      <c r="N24" s="83" t="n"/>
      <c r="O24" s="9" t="n"/>
    </row>
    <row r="25">
      <c r="A25" s="9" t="n"/>
      <c r="B25" s="9" t="n"/>
      <c r="C25" s="9" t="n"/>
      <c r="D25" s="84" t="n"/>
      <c r="E25" s="86" t="n"/>
      <c r="F25" s="83" t="n"/>
      <c r="G25" s="11" t="n"/>
      <c r="H25" s="11" t="n"/>
      <c r="I25" s="11" t="n"/>
      <c r="J25" s="9" t="n"/>
      <c r="K25" s="9" t="n"/>
      <c r="L25" s="9" t="n"/>
      <c r="M25" s="84" t="n"/>
      <c r="N25" s="83" t="n"/>
      <c r="O25" s="9" t="n"/>
    </row>
    <row r="26">
      <c r="A26" s="9" t="n"/>
      <c r="B26" s="9" t="n"/>
      <c r="C26" s="9" t="n"/>
      <c r="D26" s="84" t="n"/>
      <c r="E26" s="86" t="n"/>
      <c r="F26" s="83" t="n"/>
      <c r="G26" s="11" t="n"/>
      <c r="H26" s="11" t="n"/>
      <c r="I26" s="11" t="n"/>
      <c r="J26" s="9" t="n"/>
      <c r="K26" s="9" t="n"/>
      <c r="L26" s="9" t="n"/>
      <c r="M26" s="84" t="n"/>
      <c r="N26" s="83" t="n"/>
      <c r="O26" s="9" t="n"/>
    </row>
    <row r="27">
      <c r="A27" s="9" t="n"/>
      <c r="B27" s="9" t="n"/>
      <c r="C27" s="9" t="n"/>
      <c r="D27" s="84" t="n"/>
      <c r="E27" s="86" t="n"/>
      <c r="F27" s="83" t="n"/>
      <c r="G27" s="11" t="n"/>
      <c r="H27" s="11" t="n"/>
      <c r="I27" s="11" t="n"/>
      <c r="J27" s="9" t="n"/>
      <c r="K27" s="9" t="n"/>
      <c r="L27" s="9" t="n"/>
      <c r="M27" s="84" t="n"/>
      <c r="N27" s="83" t="n"/>
      <c r="O27" s="9" t="n"/>
    </row>
    <row r="28">
      <c r="A28" s="9" t="n"/>
      <c r="B28" s="9" t="n"/>
      <c r="C28" s="9" t="n"/>
      <c r="D28" s="84" t="n"/>
      <c r="E28" s="86" t="n"/>
      <c r="F28" s="83" t="n"/>
      <c r="G28" s="11" t="n"/>
      <c r="H28" s="11" t="n"/>
      <c r="I28" s="11" t="n"/>
      <c r="J28" s="9" t="n"/>
      <c r="K28" s="9" t="n"/>
      <c r="L28" s="9" t="n"/>
      <c r="M28" s="84" t="n"/>
      <c r="N28" s="83" t="n"/>
      <c r="O28" s="9" t="n"/>
    </row>
    <row r="29">
      <c r="A29" s="9" t="n"/>
      <c r="B29" s="9" t="n"/>
      <c r="C29" s="9" t="n"/>
      <c r="D29" s="84" t="n"/>
      <c r="E29" s="86" t="n"/>
      <c r="F29" s="83" t="n"/>
      <c r="G29" s="11" t="n"/>
      <c r="H29" s="11" t="n"/>
      <c r="I29" s="11" t="n"/>
      <c r="J29" s="9" t="n"/>
      <c r="K29" s="9" t="n"/>
      <c r="L29" s="9" t="n"/>
      <c r="M29" s="84" t="n"/>
      <c r="N29" s="83" t="n"/>
      <c r="O29" s="9" t="n"/>
    </row>
    <row r="30">
      <c r="A30" s="9" t="n"/>
      <c r="B30" s="9" t="n"/>
      <c r="C30" s="9" t="n"/>
      <c r="D30" s="84" t="n"/>
      <c r="E30" s="86" t="n"/>
      <c r="F30" s="83" t="n"/>
      <c r="G30" s="11" t="n"/>
      <c r="H30" s="11" t="n"/>
      <c r="I30" s="11" t="n"/>
      <c r="J30" s="9" t="n"/>
      <c r="K30" s="9" t="n"/>
      <c r="L30" s="9" t="n"/>
      <c r="M30" s="84" t="n"/>
      <c r="N30" s="83" t="n"/>
      <c r="O30" s="9" t="n"/>
    </row>
    <row r="31">
      <c r="A31" s="9" t="n"/>
      <c r="B31" s="9" t="n"/>
      <c r="C31" s="9" t="n"/>
      <c r="D31" s="84" t="n"/>
      <c r="E31" s="86" t="n"/>
      <c r="F31" s="83" t="n"/>
      <c r="G31" s="11" t="n"/>
      <c r="H31" s="11" t="n"/>
      <c r="I31" s="11" t="n"/>
      <c r="J31" s="9" t="n"/>
      <c r="K31" s="9" t="n"/>
      <c r="L31" s="9" t="n"/>
      <c r="M31" s="84" t="n"/>
      <c r="N31" s="83" t="n"/>
      <c r="O31" s="9" t="n"/>
    </row>
    <row r="32">
      <c r="A32" s="9" t="n"/>
      <c r="B32" s="9" t="n"/>
      <c r="C32" s="9" t="n"/>
      <c r="D32" s="84" t="n"/>
      <c r="E32" s="86" t="n"/>
      <c r="F32" s="83" t="n"/>
      <c r="G32" s="11" t="n"/>
      <c r="H32" s="11" t="n"/>
      <c r="I32" s="11" t="n"/>
      <c r="J32" s="9" t="n"/>
      <c r="K32" s="9" t="n"/>
      <c r="L32" s="9" t="n"/>
      <c r="M32" s="84" t="n"/>
      <c r="N32" s="83" t="n"/>
      <c r="O32" s="9" t="n"/>
    </row>
    <row r="33">
      <c r="A33" s="9" t="n"/>
      <c r="B33" s="9" t="n"/>
      <c r="C33" s="9" t="n"/>
      <c r="D33" s="84" t="n"/>
      <c r="E33" s="86" t="n"/>
      <c r="F33" s="83" t="n"/>
      <c r="G33" s="11" t="n"/>
      <c r="H33" s="11" t="n"/>
      <c r="I33" s="11" t="n"/>
      <c r="J33" s="9" t="n"/>
      <c r="K33" s="9" t="n"/>
      <c r="L33" s="9" t="n"/>
      <c r="M33" s="84" t="n"/>
      <c r="N33" s="83" t="n"/>
      <c r="O33" s="9" t="n"/>
    </row>
    <row r="34">
      <c r="A34" s="9" t="n"/>
      <c r="B34" s="9" t="n"/>
      <c r="C34" s="9" t="n"/>
      <c r="D34" s="84" t="n"/>
      <c r="E34" s="86" t="n"/>
      <c r="F34" s="83" t="n"/>
      <c r="G34" s="11" t="n"/>
      <c r="H34" s="11" t="n"/>
      <c r="I34" s="11" t="n"/>
      <c r="J34" s="9" t="n"/>
      <c r="K34" s="9" t="n"/>
      <c r="L34" s="9" t="n"/>
      <c r="M34" s="84" t="n"/>
      <c r="N34" s="83" t="n"/>
      <c r="O34" s="9" t="n"/>
    </row>
  </sheetData>
  <dataValidations count="2">
    <dataValidation sqref="J5:J104" showDropDown="0" showInputMessage="0" showErrorMessage="0" allowBlank="0" type="list">
      <formula1>"未提交,待验收,验收通过,验收不通过"</formula1>
    </dataValidation>
    <dataValidation sqref="L5:L104" showDropDown="0" showInputMessage="0" showErrorMessage="0" allowBlank="0" type="list">
      <formula1>"未申请,审批中,已批准,已驳回,已支付"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22" sqref="E22"/>
    </sheetView>
  </sheetViews>
  <sheetFormatPr baseColWidth="8" defaultColWidth="9" defaultRowHeight="16.8"/>
  <cols>
    <col width="16" customWidth="1" style="1" min="1" max="5"/>
    <col width="36" customWidth="1" style="1" min="6" max="6"/>
    <col width="19" customWidth="1" style="1" min="7" max="10"/>
    <col width="18" customWidth="1" style="1" min="11" max="15"/>
  </cols>
  <sheetData>
    <row r="1" ht="25" customHeight="1" s="1">
      <c r="A1" s="7" t="inlineStr">
        <is>
          <t>成本变更台账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</row>
    <row r="2">
      <c r="A2" s="8" t="inlineStr">
        <is>
          <t>记录导致预算或合同金额变化的事项；范围变更、索赔和价格调整均需保留批准依据。</t>
        </is>
      </c>
    </row>
    <row r="4" ht="32" customHeight="1" s="1">
      <c r="A4" s="2" t="inlineStr">
        <is>
          <t>成本变更ID</t>
        </is>
      </c>
      <c r="B4" s="2" t="inlineStr">
        <is>
          <t>提出日期</t>
        </is>
      </c>
      <c r="C4" s="2" t="inlineStr">
        <is>
          <t>来源类型</t>
        </is>
      </c>
      <c r="D4" s="2" t="inlineStr">
        <is>
          <t>关联范围变更</t>
        </is>
      </c>
      <c r="E4" s="2" t="inlineStr">
        <is>
          <t>关联合同</t>
        </is>
      </c>
      <c r="F4" s="2" t="inlineStr">
        <is>
          <t>变更说明</t>
        </is>
      </c>
      <c r="G4" s="2" t="inlineStr">
        <is>
          <t>人工成本影响(元)</t>
        </is>
      </c>
      <c r="H4" s="2" t="inlineStr">
        <is>
          <t>采购成本影响(元)</t>
        </is>
      </c>
      <c r="I4" s="2" t="inlineStr">
        <is>
          <t>运维成本影响(元)</t>
        </is>
      </c>
      <c r="J4" s="2" t="inlineStr">
        <is>
          <t>总成本影响(元)</t>
        </is>
      </c>
      <c r="K4" s="2" t="inlineStr">
        <is>
          <t>进度影响(天)</t>
        </is>
      </c>
      <c r="L4" s="2" t="inlineStr">
        <is>
          <t>评估人</t>
        </is>
      </c>
      <c r="M4" s="2" t="inlineStr">
        <is>
          <t>决策</t>
        </is>
      </c>
      <c r="N4" s="2" t="inlineStr">
        <is>
          <t>决策人/日期</t>
        </is>
      </c>
      <c r="O4" s="2" t="inlineStr">
        <is>
          <t>基线更新状态</t>
        </is>
      </c>
    </row>
    <row r="5">
      <c r="A5" s="9" t="n"/>
      <c r="B5" s="84" t="n"/>
      <c r="C5" s="9" t="n"/>
      <c r="D5" s="9" t="n"/>
      <c r="E5" s="9" t="n"/>
      <c r="F5" s="11" t="n"/>
      <c r="G5" s="83" t="n"/>
      <c r="H5" s="83" t="n"/>
      <c r="I5" s="83" t="n"/>
      <c r="J5" s="85">
        <f>IF(COUNTA(G5:I5)=0,"",SUM(G5:I5))</f>
        <v/>
      </c>
      <c r="K5" s="87" t="n"/>
      <c r="L5" s="9" t="n"/>
      <c r="M5" s="9" t="n"/>
      <c r="N5" s="9" t="n"/>
      <c r="O5" s="9" t="n"/>
    </row>
    <row r="6">
      <c r="A6" s="9" t="n"/>
      <c r="B6" s="84" t="n"/>
      <c r="C6" s="9" t="n"/>
      <c r="D6" s="9" t="n"/>
      <c r="E6" s="9" t="n"/>
      <c r="F6" s="11" t="n"/>
      <c r="G6" s="83" t="n"/>
      <c r="H6" s="83" t="n"/>
      <c r="I6" s="83" t="n"/>
      <c r="J6" s="85">
        <f>IF(COUNTA(G6:I6)=0,"",SUM(G6:I6))</f>
        <v/>
      </c>
      <c r="K6" s="87" t="n"/>
      <c r="L6" s="9" t="n"/>
      <c r="M6" s="9" t="n"/>
      <c r="N6" s="9" t="n"/>
      <c r="O6" s="9" t="n"/>
    </row>
    <row r="7">
      <c r="A7" s="9" t="n"/>
      <c r="B7" s="84" t="n"/>
      <c r="C7" s="9" t="n"/>
      <c r="D7" s="9" t="n"/>
      <c r="E7" s="9" t="n"/>
      <c r="F7" s="11" t="n"/>
      <c r="G7" s="83" t="n"/>
      <c r="H7" s="83" t="n"/>
      <c r="I7" s="83" t="n"/>
      <c r="J7" s="85">
        <f>IF(COUNTA(G7:I7)=0,"",SUM(G7:I7))</f>
        <v/>
      </c>
      <c r="K7" s="87" t="n"/>
      <c r="L7" s="9" t="n"/>
      <c r="M7" s="9" t="n"/>
      <c r="N7" s="9" t="n"/>
      <c r="O7" s="9" t="n"/>
    </row>
    <row r="8">
      <c r="A8" s="9" t="n"/>
      <c r="B8" s="84" t="n"/>
      <c r="C8" s="9" t="n"/>
      <c r="D8" s="9" t="n"/>
      <c r="E8" s="9" t="n"/>
      <c r="F8" s="11" t="n"/>
      <c r="G8" s="83" t="n"/>
      <c r="H8" s="83" t="n"/>
      <c r="I8" s="83" t="n"/>
      <c r="J8" s="85">
        <f>IF(COUNTA(G8:I8)=0,"",SUM(G8:I8))</f>
        <v/>
      </c>
      <c r="K8" s="87" t="n"/>
      <c r="L8" s="9" t="n"/>
      <c r="M8" s="9" t="n"/>
      <c r="N8" s="9" t="n"/>
      <c r="O8" s="9" t="n"/>
    </row>
    <row r="9">
      <c r="A9" s="9" t="n"/>
      <c r="B9" s="84" t="n"/>
      <c r="C9" s="9" t="n"/>
      <c r="D9" s="9" t="n"/>
      <c r="E9" s="9" t="n"/>
      <c r="F9" s="11" t="n"/>
      <c r="G9" s="83" t="n"/>
      <c r="H9" s="83" t="n"/>
      <c r="I9" s="83" t="n"/>
      <c r="J9" s="85">
        <f>IF(COUNTA(G9:I9)=0,"",SUM(G9:I9))</f>
        <v/>
      </c>
      <c r="K9" s="87" t="n"/>
      <c r="L9" s="9" t="n"/>
      <c r="M9" s="9" t="n"/>
      <c r="N9" s="9" t="n"/>
      <c r="O9" s="9" t="n"/>
    </row>
    <row r="10">
      <c r="A10" s="9" t="n"/>
      <c r="B10" s="84" t="n"/>
      <c r="C10" s="9" t="n"/>
      <c r="D10" s="9" t="n"/>
      <c r="E10" s="9" t="n"/>
      <c r="F10" s="11" t="n"/>
      <c r="G10" s="83" t="n"/>
      <c r="H10" s="83" t="n"/>
      <c r="I10" s="83" t="n"/>
      <c r="J10" s="85">
        <f>IF(COUNTA(G10:I10)=0,"",SUM(G10:I10))</f>
        <v/>
      </c>
      <c r="K10" s="87" t="n"/>
      <c r="L10" s="9" t="n"/>
      <c r="M10" s="9" t="n"/>
      <c r="N10" s="9" t="n"/>
      <c r="O10" s="9" t="n"/>
    </row>
    <row r="11">
      <c r="A11" s="9" t="n"/>
      <c r="B11" s="84" t="n"/>
      <c r="C11" s="9" t="n"/>
      <c r="D11" s="9" t="n"/>
      <c r="E11" s="9" t="n"/>
      <c r="F11" s="11" t="n"/>
      <c r="G11" s="83" t="n"/>
      <c r="H11" s="83" t="n"/>
      <c r="I11" s="83" t="n"/>
      <c r="J11" s="85">
        <f>IF(COUNTA(G11:I11)=0,"",SUM(G11:I11))</f>
        <v/>
      </c>
      <c r="K11" s="87" t="n"/>
      <c r="L11" s="9" t="n"/>
      <c r="M11" s="9" t="n"/>
      <c r="N11" s="9" t="n"/>
      <c r="O11" s="9" t="n"/>
    </row>
    <row r="12">
      <c r="A12" s="9" t="n"/>
      <c r="B12" s="84" t="n"/>
      <c r="C12" s="9" t="n"/>
      <c r="D12" s="9" t="n"/>
      <c r="E12" s="9" t="n"/>
      <c r="F12" s="11" t="n"/>
      <c r="G12" s="83" t="n"/>
      <c r="H12" s="83" t="n"/>
      <c r="I12" s="83" t="n"/>
      <c r="J12" s="85">
        <f>IF(COUNTA(G12:I12)=0,"",SUM(G12:I12))</f>
        <v/>
      </c>
      <c r="K12" s="87" t="n"/>
      <c r="L12" s="9" t="n"/>
      <c r="M12" s="9" t="n"/>
      <c r="N12" s="9" t="n"/>
      <c r="O12" s="9" t="n"/>
    </row>
    <row r="13">
      <c r="A13" s="9" t="n"/>
      <c r="B13" s="84" t="n"/>
      <c r="C13" s="9" t="n"/>
      <c r="D13" s="9" t="n"/>
      <c r="E13" s="9" t="n"/>
      <c r="F13" s="11" t="n"/>
      <c r="G13" s="83" t="n"/>
      <c r="H13" s="83" t="n"/>
      <c r="I13" s="83" t="n"/>
      <c r="J13" s="85">
        <f>IF(COUNTA(G13:I13)=0,"",SUM(G13:I13))</f>
        <v/>
      </c>
      <c r="K13" s="87" t="n"/>
      <c r="L13" s="9" t="n"/>
      <c r="M13" s="9" t="n"/>
      <c r="N13" s="9" t="n"/>
      <c r="O13" s="9" t="n"/>
    </row>
    <row r="14">
      <c r="A14" s="9" t="n"/>
      <c r="B14" s="84" t="n"/>
      <c r="C14" s="9" t="n"/>
      <c r="D14" s="9" t="n"/>
      <c r="E14" s="9" t="n"/>
      <c r="F14" s="11" t="n"/>
      <c r="G14" s="83" t="n"/>
      <c r="H14" s="83" t="n"/>
      <c r="I14" s="83" t="n"/>
      <c r="J14" s="85">
        <f>IF(COUNTA(G14:I14)=0,"",SUM(G14:I14))</f>
        <v/>
      </c>
      <c r="K14" s="87" t="n"/>
      <c r="L14" s="9" t="n"/>
      <c r="M14" s="9" t="n"/>
      <c r="N14" s="9" t="n"/>
      <c r="O14" s="9" t="n"/>
    </row>
    <row r="15">
      <c r="A15" s="9" t="n"/>
      <c r="B15" s="84" t="n"/>
      <c r="C15" s="9" t="n"/>
      <c r="D15" s="9" t="n"/>
      <c r="E15" s="9" t="n"/>
      <c r="F15" s="11" t="n"/>
      <c r="G15" s="83" t="n"/>
      <c r="H15" s="83" t="n"/>
      <c r="I15" s="83" t="n"/>
      <c r="J15" s="85">
        <f>IF(COUNTA(G15:I15)=0,"",SUM(G15:I15))</f>
        <v/>
      </c>
      <c r="K15" s="87" t="n"/>
      <c r="L15" s="9" t="n"/>
      <c r="M15" s="9" t="n"/>
      <c r="N15" s="9" t="n"/>
      <c r="O15" s="9" t="n"/>
    </row>
    <row r="16">
      <c r="A16" s="9" t="n"/>
      <c r="B16" s="84" t="n"/>
      <c r="C16" s="9" t="n"/>
      <c r="D16" s="9" t="n"/>
      <c r="E16" s="9" t="n"/>
      <c r="F16" s="11" t="n"/>
      <c r="G16" s="83" t="n"/>
      <c r="H16" s="83" t="n"/>
      <c r="I16" s="83" t="n"/>
      <c r="J16" s="85">
        <f>IF(COUNTA(G16:I16)=0,"",SUM(G16:I16))</f>
        <v/>
      </c>
      <c r="K16" s="87" t="n"/>
      <c r="L16" s="9" t="n"/>
      <c r="M16" s="9" t="n"/>
      <c r="N16" s="9" t="n"/>
      <c r="O16" s="9" t="n"/>
    </row>
    <row r="17">
      <c r="A17" s="9" t="n"/>
      <c r="B17" s="84" t="n"/>
      <c r="C17" s="9" t="n"/>
      <c r="D17" s="9" t="n"/>
      <c r="E17" s="9" t="n"/>
      <c r="F17" s="11" t="n"/>
      <c r="G17" s="83" t="n"/>
      <c r="H17" s="83" t="n"/>
      <c r="I17" s="83" t="n"/>
      <c r="J17" s="85">
        <f>IF(COUNTA(G17:I17)=0,"",SUM(G17:I17))</f>
        <v/>
      </c>
      <c r="K17" s="87" t="n"/>
      <c r="L17" s="9" t="n"/>
      <c r="M17" s="9" t="n"/>
      <c r="N17" s="9" t="n"/>
      <c r="O17" s="9" t="n"/>
    </row>
    <row r="18">
      <c r="A18" s="9" t="n"/>
      <c r="B18" s="84" t="n"/>
      <c r="C18" s="9" t="n"/>
      <c r="D18" s="9" t="n"/>
      <c r="E18" s="9" t="n"/>
      <c r="F18" s="11" t="n"/>
      <c r="G18" s="83" t="n"/>
      <c r="H18" s="83" t="n"/>
      <c r="I18" s="83" t="n"/>
      <c r="J18" s="85">
        <f>IF(COUNTA(G18:I18)=0,"",SUM(G18:I18))</f>
        <v/>
      </c>
      <c r="K18" s="87" t="n"/>
      <c r="L18" s="9" t="n"/>
      <c r="M18" s="9" t="n"/>
      <c r="N18" s="9" t="n"/>
      <c r="O18" s="9" t="n"/>
    </row>
    <row r="19">
      <c r="A19" s="9" t="n"/>
      <c r="B19" s="84" t="n"/>
      <c r="C19" s="9" t="n"/>
      <c r="D19" s="9" t="n"/>
      <c r="E19" s="9" t="n"/>
      <c r="F19" s="11" t="n"/>
      <c r="G19" s="83" t="n"/>
      <c r="H19" s="83" t="n"/>
      <c r="I19" s="83" t="n"/>
      <c r="J19" s="85">
        <f>IF(COUNTA(G19:I19)=0,"",SUM(G19:I19))</f>
        <v/>
      </c>
      <c r="K19" s="87" t="n"/>
      <c r="L19" s="9" t="n"/>
      <c r="M19" s="9" t="n"/>
      <c r="N19" s="9" t="n"/>
      <c r="O19" s="9" t="n"/>
    </row>
    <row r="20">
      <c r="A20" s="9" t="n"/>
      <c r="B20" s="84" t="n"/>
      <c r="C20" s="9" t="n"/>
      <c r="D20" s="9" t="n"/>
      <c r="E20" s="9" t="n"/>
      <c r="F20" s="11" t="n"/>
      <c r="G20" s="83" t="n"/>
      <c r="H20" s="83" t="n"/>
      <c r="I20" s="83" t="n"/>
      <c r="J20" s="85">
        <f>IF(COUNTA(G20:I20)=0,"",SUM(G20:I20))</f>
        <v/>
      </c>
      <c r="K20" s="87" t="n"/>
      <c r="L20" s="9" t="n"/>
      <c r="M20" s="9" t="n"/>
      <c r="N20" s="9" t="n"/>
      <c r="O20" s="9" t="n"/>
    </row>
    <row r="21">
      <c r="A21" s="9" t="n"/>
      <c r="B21" s="84" t="n"/>
      <c r="C21" s="9" t="n"/>
      <c r="D21" s="9" t="n"/>
      <c r="E21" s="9" t="n"/>
      <c r="F21" s="11" t="n"/>
      <c r="G21" s="83" t="n"/>
      <c r="H21" s="83" t="n"/>
      <c r="I21" s="83" t="n"/>
      <c r="J21" s="85">
        <f>IF(COUNTA(G21:I21)=0,"",SUM(G21:I21))</f>
        <v/>
      </c>
      <c r="K21" s="87" t="n"/>
      <c r="L21" s="9" t="n"/>
      <c r="M21" s="9" t="n"/>
      <c r="N21" s="9" t="n"/>
      <c r="O21" s="9" t="n"/>
    </row>
    <row r="22">
      <c r="A22" s="9" t="n"/>
      <c r="B22" s="84" t="n"/>
      <c r="C22" s="9" t="n"/>
      <c r="D22" s="9" t="n"/>
      <c r="E22" s="9" t="n"/>
      <c r="F22" s="11" t="n"/>
      <c r="G22" s="83" t="n"/>
      <c r="H22" s="83" t="n"/>
      <c r="I22" s="83" t="n"/>
      <c r="J22" s="85">
        <f>IF(COUNTA(G22:I22)=0,"",SUM(G22:I22))</f>
        <v/>
      </c>
      <c r="K22" s="87" t="n"/>
      <c r="L22" s="9" t="n"/>
      <c r="M22" s="9" t="n"/>
      <c r="N22" s="9" t="n"/>
      <c r="O22" s="9" t="n"/>
    </row>
    <row r="23">
      <c r="A23" s="9" t="n"/>
      <c r="B23" s="84" t="n"/>
      <c r="C23" s="9" t="n"/>
      <c r="D23" s="9" t="n"/>
      <c r="E23" s="9" t="n"/>
      <c r="F23" s="11" t="n"/>
      <c r="G23" s="83" t="n"/>
      <c r="H23" s="83" t="n"/>
      <c r="I23" s="83" t="n"/>
      <c r="J23" s="85">
        <f>IF(COUNTA(G23:I23)=0,"",SUM(G23:I23))</f>
        <v/>
      </c>
      <c r="K23" s="87" t="n"/>
      <c r="L23" s="9" t="n"/>
      <c r="M23" s="9" t="n"/>
      <c r="N23" s="9" t="n"/>
      <c r="O23" s="9" t="n"/>
    </row>
    <row r="24">
      <c r="A24" s="9" t="n"/>
      <c r="B24" s="84" t="n"/>
      <c r="C24" s="9" t="n"/>
      <c r="D24" s="9" t="n"/>
      <c r="E24" s="9" t="n"/>
      <c r="F24" s="11" t="n"/>
      <c r="G24" s="83" t="n"/>
      <c r="H24" s="83" t="n"/>
      <c r="I24" s="83" t="n"/>
      <c r="J24" s="85">
        <f>IF(COUNTA(G24:I24)=0,"",SUM(G24:I24))</f>
        <v/>
      </c>
      <c r="K24" s="87" t="n"/>
      <c r="L24" s="9" t="n"/>
      <c r="M24" s="9" t="n"/>
      <c r="N24" s="9" t="n"/>
      <c r="O24" s="9" t="n"/>
    </row>
  </sheetData>
  <dataValidations count="2">
    <dataValidation sqref="M5:M104" showDropDown="0" showInputMessage="0" showErrorMessage="0" allowBlank="0" type="list">
      <formula1>"待评审,批准,有条件批准,拒绝,暂缓"</formula1>
    </dataValidation>
    <dataValidation sqref="O5:O104" showDropDown="0" showInputMessage="0" showErrorMessage="0" allowBlank="0" type="list">
      <formula1>"不适用,待更新,已更新"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ColWidth="9" defaultRowHeight="16.8"/>
  <cols>
    <col width="24" customWidth="1" style="1" min="1" max="1"/>
    <col width="62" customWidth="1" style="1" min="2" max="2"/>
  </cols>
  <sheetData>
    <row r="1" ht="32" customHeight="1" s="1">
      <c r="A1" s="2" t="inlineStr">
        <is>
          <t>字段</t>
        </is>
      </c>
      <c r="B1" s="2" t="inlineStr">
        <is>
          <t>值</t>
        </is>
      </c>
    </row>
    <row r="2">
      <c r="A2" s="3" t="inlineStr">
        <is>
          <t>Project_ID</t>
        </is>
      </c>
      <c r="B2" s="3" t="inlineStr">
        <is>
          <t>ECM-2026</t>
        </is>
      </c>
    </row>
    <row r="3">
      <c r="A3" s="3" t="inlineStr">
        <is>
          <t>项目名称</t>
        </is>
      </c>
      <c r="B3" s="3" t="inlineStr">
        <is>
          <t>能源行业合同全生命周期管理系统</t>
        </is>
      </c>
    </row>
    <row r="4">
      <c r="A4" s="3" t="inlineStr">
        <is>
          <t>模块编码</t>
        </is>
      </c>
      <c r="B4" s="3" t="inlineStr">
        <is>
          <t>05</t>
        </is>
      </c>
    </row>
    <row r="5">
      <c r="A5" s="3" t="inlineStr">
        <is>
          <t>数据日期</t>
        </is>
      </c>
      <c r="B5" s="88" t="n">
        <v>46289</v>
      </c>
    </row>
    <row r="6">
      <c r="A6" s="3" t="inlineStr">
        <is>
          <t>币种</t>
        </is>
      </c>
      <c r="B6" s="3" t="inlineStr">
        <is>
          <t>CNY</t>
        </is>
      </c>
    </row>
    <row r="7">
      <c r="A7" s="3" t="inlineStr">
        <is>
          <t>人日单价</t>
        </is>
      </c>
      <c r="B7" s="5">
        <f>人工成本预算!E3</f>
        <v>1399.79248328338</v>
      </c>
    </row>
    <row r="8">
      <c r="A8" s="3" t="inlineStr">
        <is>
          <t>小时单价</t>
        </is>
      </c>
      <c r="B8" s="5">
        <f>B7/8</f>
        <v>174.974060410422</v>
      </c>
    </row>
    <row r="9">
      <c r="A9" s="3" t="inlineStr">
        <is>
          <t>计划人天</t>
        </is>
      </c>
      <c r="B9" s="5">
        <f>人工成本预算!D15</f>
        <v>4337</v>
      </c>
    </row>
    <row r="10">
      <c r="A10" s="3" t="inlineStr">
        <is>
          <t>已量化人工预算</t>
        </is>
      </c>
      <c r="B10" s="5">
        <f>B7*B9</f>
        <v>6070900</v>
      </c>
    </row>
    <row r="11">
      <c r="A11" s="3" t="inlineStr">
        <is>
          <t>待估算采购包</t>
        </is>
      </c>
      <c r="B11" s="5" t="n">
        <v>0</v>
      </c>
    </row>
    <row r="12">
      <c r="A12" s="3" t="inlineStr">
        <is>
          <t>计划总人数</t>
        </is>
      </c>
      <c r="B12" s="5">
        <f>人工成本预算!C15</f>
        <v>22</v>
      </c>
    </row>
    <row r="13">
      <c r="A13" s="3" t="inlineStr">
        <is>
          <t>正式启动日期</t>
        </is>
      </c>
      <c r="B13" s="74" t="n">
        <v>46315</v>
      </c>
    </row>
    <row r="14">
      <c r="A14" s="3" t="inlineStr">
        <is>
          <t>计划上线日期</t>
        </is>
      </c>
      <c r="B14" s="74" t="n">
        <v>46538</v>
      </c>
    </row>
    <row r="15">
      <c r="A15" s="3" t="inlineStr">
        <is>
          <t>预算完整性</t>
        </is>
      </c>
      <c r="B15" s="3" t="inlineStr">
        <is>
          <t>完整（待D-003批准）</t>
        </is>
      </c>
    </row>
    <row r="16">
      <c r="A16" s="3" t="inlineStr">
        <is>
          <t>中央数据库</t>
        </is>
      </c>
      <c r="B16" s="3" t="inlineStr">
        <is>
          <t>../90_项目数据中心/ai_pmo.db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2026-09-22T15:18:00Z</dcterms:created>
  <dcterms:modified xmlns:dcterms="http://purl.org/dc/terms/" xmlns:xsi="http://www.w3.org/2001/XMLSchema-instance" xsi:type="dcterms:W3CDTF">2026-09-24T07:23:28Z</dcterms:modified>
  <cp:lastModifiedBy>zlyyh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BFB384ED9A3E212216E6AC6A44143DA4_42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
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b55413398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总览" sheetId="1" r:id="R0872f4cf7a684770"/>
    <x:sheet xmlns:r="http://schemas.openxmlformats.org/officeDocument/2006/relationships" name="预算基线" sheetId="2" r:id="R12994dc84b76445c"/>
    <x:sheet xmlns:r="http://schemas.openxmlformats.org/officeDocument/2006/relationships" name="人工成本预算" sheetId="3" r:id="R0a8c174aa3734284"/>
    <x:sheet xmlns:r="http://schemas.openxmlformats.org/officeDocument/2006/relationships" name="采购包计划" sheetId="4" r:id="Rd3a0f7542c294e5d"/>
    <x:sheet xmlns:r="http://schemas.openxmlformats.org/officeDocument/2006/relationships" name="合同台账" sheetId="5" r:id="R0b0a83bfaba2441d"/>
    <x:sheet xmlns:r="http://schemas.openxmlformats.org/officeDocument/2006/relationships" name="付款里程碑" sheetId="6" r:id="Rdb2f624c15084d26"/>
    <x:sheet xmlns:r="http://schemas.openxmlformats.org/officeDocument/2006/relationships" name="成本变更台账" sheetId="7" r:id="Rea0b8104a0a14307"/>
    <x:sheet xmlns:r="http://schemas.openxmlformats.org/officeDocument/2006/relationships" name="成本偏差分析" sheetId="8" r:id="Rdca9502a14ef4990"/>
    <x:sheet xmlns:r="http://schemas.openxmlformats.org/officeDocument/2006/relationships" name="_数据接口" sheetId="9" r:id="Ra18d5edd371947de"/>
    <x:sheet xmlns:r="http://schemas.openxmlformats.org/officeDocument/2006/relationships" name="使用说明" sheetId="10" r:id="R4d9c87b4c2d1425a"/>
  </x:sheets>
</x:workbook>
</file>

<file path=xl/sharedStrings.xml><?xml version="1.0" encoding="utf-8"?>
<x:sst xmlns:x="http://schemas.openxmlformats.org/spreadsheetml/2006/main">
  <x:si>
    <x:t xml:space="preserve">成本与合同管理总览</x:t>
  </x:si>
  <x:si>
    <x:t xml:space="preserve">已量化人工预算</x:t>
  </x:si>
  <x:si>
    <x:t xml:space="preserve">计划人天</x:t>
  </x:si>
  <x:si>
    <x:t xml:space="preserve">人日单价</x:t>
  </x:si>
  <x:si>
    <x:t xml:space="preserve">待估算采购包</x:t>
  </x:si>
  <x:si>
    <x:t xml:space="preserve">已签合同数</x:t>
  </x:si>
  <x:si>
    <x:t xml:space="preserve">已付款金额</x:t>
  </x:si>
  <x:si>
    <x:t xml:space="preserve">预算与合同控制门禁</x:t>
  </x:si>
  <x:si>
    <x:t xml:space="preserve">控制项</x:t>
  </x:si>
  <x:si>
    <x:t xml:space="preserve">当前状态</x:t>
  </x:si>
  <x:si>
    <x:t xml:space="preserve">责任人</x:t>
  </x:si>
  <x:si>
    <x:t xml:space="preserve">最迟日期</x:t>
  </x:si>
  <x:si>
    <x:t xml:space="preserve">通过标准</x:t>
  </x:si>
  <x:si>
    <x:t xml:space="preserve">证据位置</x:t>
  </x:si>
  <x:si>
    <x:t xml:space="preserve">项目总预算批准</x:t>
  </x:si>
  <x:si>
    <x:t xml:space="preserve">未通过</x:t>
  </x:si>
  <x:si>
    <x:t xml:space="preserve">项目集经理</x:t>
  </x:si>
  <x:si>
    <x:t xml:space="preserve">人工、采购、基础设施、服务和预备费全部量化并批准</x:t>
  </x:si>
  <x:si>
    <x:t xml:space="preserve">预算批准记录</x:t>
  </x:si>
  <x:si>
    <x:t xml:space="preserve">采购包预算完成</x:t>
  </x:si>
  <x:si>
    <x:t xml:space="preserve">项目经理</x:t>
  </x:si>
  <x:si>
    <x:t xml:space="preserve">7个采购包取得可比报价或批准估算依据</x:t>
  </x:si>
  <x:si>
    <x:t xml:space="preserve">采购包计划</x:t>
  </x:si>
  <x:si>
    <x:t xml:space="preserve">合同与需求基线一致</x:t>
  </x:si>
  <x:si>
    <x:t xml:space="preserve">合同范围、交付物、验收和需求基线可追踪</x:t>
  </x:si>
  <x:si>
    <x:t xml:space="preserve">合同台账</x:t>
  </x:si>
  <x:si>
    <x:t xml:space="preserve">付款与验收挂钩</x:t>
  </x:si>
  <x:si>
    <x:t xml:space="preserve">每笔付款均有明确交付物、验收证据和批准条件</x:t>
  </x:si>
  <x:si>
    <x:t xml:space="preserve">付款里程碑</x:t>
  </x:si>
  <x:si>
    <x:t xml:space="preserve">成本变更纳入控制</x:t>
  </x:si>
  <x:si>
    <x:t xml:space="preserve">预算基线变动均有影响分析和批准记录</x:t>
  </x:si>
  <x:si>
    <x:t xml:space="preserve">成本变更台账</x:t>
  </x:si>
  <x:si>
    <x:t xml:space="preserve">成本偏差定期复核</x:t>
  </x:si>
  <x:si>
    <x:t xml:space="preserve">按月更新承诺、实际、预测完成成本和偏差原因</x:t>
  </x:si>
  <x:si>
    <x:t xml:space="preserve">成本偏差分析</x:t>
  </x:si>
  <x:si>
    <x:t xml:space="preserve">当前判断</x:t>
  </x:si>
  <x:si>
    <x:t xml:space="preserve">1</x:t>
  </x:si>
  <x:si>
    <x:t xml:space="preserve">当前只能确认人工成本136.2万元，不能把该金额视为项目总预算。</x:t>
  </x:si>
  <x:si>
    <x:t xml:space="preserve">2</x:t>
  </x:si>
  <x:si>
    <x:t xml:space="preserve">CA、电子文档和BI产品应在POC结论后形成许可、实施、接口和运维全口径报价。</x:t>
  </x:si>
  <x:si>
    <x:t xml:space="preserve">3</x:t>
  </x:si>
  <x:si>
    <x:t xml:space="preserve">合同付款节点应绑定交付物与验收证据，避免仅按日期或工作量付款。</x:t>
  </x:si>
  <x:si>
    <x:t xml:space="preserve">4</x:t>
  </x:si>
  <x:si>
    <x:t xml:space="preserve">新增范围应同时评估人工、采购、进度和后续运维成本，并更新成本基线。</x:t>
  </x:si>
  <x:si>
    <x:t xml:space="preserve">项目预算基线</x:t>
  </x:si>
  <x:si>
    <x:t xml:space="preserve">预算ID</x:t>
  </x:si>
  <x:si>
    <x:t xml:space="preserve">成本类别</x:t>
  </x:si>
  <x:si>
    <x:t xml:space="preserve">成本项目</x:t>
  </x:si>
  <x:si>
    <x:t xml:space="preserve">一次性/经常性</x:t>
  </x:si>
  <x:si>
    <x:t xml:space="preserve">计量依据</x:t>
  </x:si>
  <x:si>
    <x:t xml:space="preserve">数量</x:t>
  </x:si>
  <x:si>
    <x:t xml:space="preserve">单价(元)</x:t>
  </x:si>
  <x:si>
    <x:t xml:space="preserve">初始预算(元)</x:t>
  </x:si>
  <x:si>
    <x:t xml:space="preserve">批准变更(元)</x:t>
  </x:si>
  <x:si>
    <x:t xml:space="preserve">当前预算(元)</x:t>
  </x:si>
  <x:si>
    <x:t xml:space="preserve">估算状态</x:t>
  </x:si>
  <x:si>
    <x:t xml:space="preserve">估算依据/说明</x:t>
  </x:si>
  <x:si>
    <x:t xml:space="preserve">BUD-001</x:t>
  </x:si>
  <x:si>
    <x:t xml:space="preserve">建设成本</x:t>
  </x:si>
  <x:si>
    <x:t xml:space="preserve">项目人工</x:t>
  </x:si>
  <x:si>
    <x:t xml:space="preserve">一次性</x:t>
  </x:si>
  <x:si>
    <x:t xml:space="preserve">已量化</x:t>
  </x:si>
  <x:si>
    <x:t xml:space="preserve">BUD-002</x:t>
  </x:si>
  <x:si>
    <x:t xml:space="preserve">软件成本</x:t>
  </x:si>
  <x:si>
    <x:t xml:space="preserve">CA及电子签章</x:t>
  </x:si>
  <x:si>
    <x:t xml:space="preserve">一次性+经常性</x:t>
  </x:si>
  <x:si>
    <x:t xml:space="preserve">许可、实施及接口</x:t>
  </x:si>
  <x:si>
    <x:t xml:space="preserve">技术经理</x:t>
  </x:si>
  <x:si>
    <x:t xml:space="preserve">待估算</x:t>
  </x:si>
  <x:si>
    <x:t xml:space="preserve">等待POC和厂商报价</x:t>
  </x:si>
  <x:si>
    <x:t xml:space="preserve">BUD-003</x:t>
  </x:si>
  <x:si>
    <x:t xml:space="preserve">电子文档产品</x:t>
  </x:si>
  <x:si>
    <x:t xml:space="preserve">BUD-004</x:t>
  </x:si>
  <x:si>
    <x:t xml:space="preserve">BI报表产品</x:t>
  </x:si>
  <x:si>
    <x:t xml:space="preserve">BUD-005</x:t>
  </x:si>
  <x:si>
    <x:t xml:space="preserve">基础设施</x:t>
  </x:si>
  <x:si>
    <x:t xml:space="preserve">云资源与基础设施</x:t>
  </x:si>
  <x:si>
    <x:t xml:space="preserve">环境、存储、备份与容灾</x:t>
  </x:si>
  <x:si>
    <x:t xml:space="preserve">配置人员</x:t>
  </x:si>
  <x:si>
    <x:t xml:space="preserve">等待架构与容量基线</x:t>
  </x:si>
  <x:si>
    <x:t xml:space="preserve">BUD-006</x:t>
  </x:si>
  <x:si>
    <x:t xml:space="preserve">专业服务</x:t>
  </x:si>
  <x:si>
    <x:t xml:space="preserve">安全测评与专业测试</x:t>
  </x:si>
  <x:si>
    <x:t xml:space="preserve">安全、性能及第三方测评</x:t>
  </x:si>
  <x:si>
    <x:t xml:space="preserve">测试人员</x:t>
  </x:si>
  <x:si>
    <x:t xml:space="preserve">等待测试策略与询价</x:t>
  </x:si>
  <x:si>
    <x:t xml:space="preserve">BUD-007</x:t>
  </x:si>
  <x:si>
    <x:t xml:space="preserve">数据迁移服务</x:t>
  </x:si>
  <x:si>
    <x:t xml:space="preserve">清洗、转换、迁移和对账</x:t>
  </x:si>
  <x:si>
    <x:t xml:space="preserve">产品经理</x:t>
  </x:si>
  <x:si>
    <x:t xml:space="preserve">等待数据范围与质量评估</x:t>
  </x:si>
  <x:si>
    <x:t xml:space="preserve">BUD-008</x:t>
  </x:si>
  <x:si>
    <x:t xml:space="preserve">外部实施与专项支持</x:t>
  </x:si>
  <x:si>
    <x:t xml:space="preserve">产品实施、联调与上线保障</x:t>
  </x:si>
  <x:si>
    <x:t xml:space="preserve">等待工作说明书与报价</x:t>
  </x:si>
  <x:si>
    <x:t xml:space="preserve">BUD-009</x:t>
  </x:si>
  <x:si>
    <x:t xml:space="preserve">风险储备</x:t>
  </x:si>
  <x:si>
    <x:t xml:space="preserve">应急储备</x:t>
  </x:si>
  <x:si>
    <x:t xml:space="preserve">经批准的已知风险应对</x:t>
  </x:si>
  <x:si>
    <x:t xml:space="preserve">基于量化风险分析确定</x:t>
  </x:si>
  <x:si>
    <x:t xml:space="preserve">BUD-010</x:t>
  </x:si>
  <x:si>
    <x:t xml:space="preserve">管理储备</x:t>
  </x:si>
  <x:si>
    <x:t xml:space="preserve">未知风险和管理裁量</x:t>
  </x:si>
  <x:si>
    <x:t xml:space="preserve">经管理层批准后单列</x:t>
  </x:si>
  <x:si>
    <x:t xml:space="preserve">人工成本预算</x:t>
  </x:si>
  <x:si>
    <x:t xml:space="preserve">角色编码</x:t>
  </x:si>
  <x:si>
    <x:t xml:space="preserve">角色</x:t>
  </x:si>
  <x:si>
    <x:t xml:space="preserve">计划人数</x:t>
  </x:si>
  <x:si>
    <x:t xml:space="preserve">人日单价(元)</x:t>
  </x:si>
  <x:si>
    <x:t xml:space="preserve">计划人工成本(元)</x:t>
  </x:si>
  <x:si>
    <x:t xml:space="preserve">估算说明</x:t>
  </x:si>
  <x:si>
    <x:t xml:space="preserve">PGM</x:t>
  </x:si>
  <x:si>
    <x:t xml:space="preserve">PM</x:t>
  </x:si>
  <x:si>
    <x:t xml:space="preserve">TM</x:t>
  </x:si>
  <x:si>
    <x:t xml:space="preserve">PDM</x:t>
  </x:si>
  <x:si>
    <x:t xml:space="preserve">UI</x:t>
  </x:si>
  <x:si>
    <x:t xml:space="preserve">美工</x:t>
  </x:si>
  <x:si>
    <x:t xml:space="preserve">SDEV</x:t>
  </x:si>
  <x:si>
    <x:t xml:space="preserve">高级开发人员</x:t>
  </x:si>
  <x:si>
    <x:t xml:space="preserve">MDEV</x:t>
  </x:si>
  <x:si>
    <x:t xml:space="preserve">中级开发人员</x:t>
  </x:si>
  <x:si>
    <x:t xml:space="preserve">QA</x:t>
  </x:si>
  <x:si>
    <x:t xml:space="preserve">CM</x:t>
  </x:si>
  <x:si>
    <x:t xml:space="preserve">合计</x:t>
  </x:si>
  <x:si>
    <x:t xml:space="preserve">用于形成询价、比选、合同签订和预算纳入的前置清单。计划金额为空表示尚未取得可靠估算。</x:t>
  </x:si>
  <x:si>
    <x:t xml:space="preserve">采购包ID</x:t>
  </x:si>
  <x:si>
    <x:t xml:space="preserve">采购包名称</x:t>
  </x:si>
  <x:si>
    <x:t xml:space="preserve">采购类型</x:t>
  </x:si>
  <x:si>
    <x:t xml:space="preserve">范围与计价边界</x:t>
  </x:si>
  <x:si>
    <x:t xml:space="preserve">负责人</x:t>
  </x:si>
  <x:si>
    <x:t xml:space="preserve">估算完成日期</x:t>
  </x:si>
  <x:si>
    <x:t xml:space="preserve">计划签约日期</x:t>
  </x:si>
  <x:si>
    <x:t xml:space="preserve">计划金额(元)</x:t>
  </x:si>
  <x:si>
    <x:t xml:space="preserve">预算状态</x:t>
  </x:si>
  <x:si>
    <x:t xml:space="preserve">前置条件</x:t>
  </x:si>
  <x:si>
    <x:t xml:space="preserve">PKG-001</x:t>
  </x:si>
  <x:si>
    <x:t xml:space="preserve">CA及电子签章产品</x:t>
  </x:si>
  <x:si>
    <x:t xml:space="preserve">软件/服务</x:t>
  </x:si>
  <x:si>
    <x:t xml:space="preserve">POC结论、许可模式和接口费用确认</x:t>
  </x:si>
  <x:si>
    <x:t xml:space="preserve">POC后确认</x:t>
  </x:si>
  <x:si>
    <x:t xml:space="preserve">PKG-002</x:t>
  </x:si>
  <x:si>
    <x:t xml:space="preserve">模板、预览、转换、水印、归档及性能费用确认</x:t>
  </x:si>
  <x:si>
    <x:t xml:space="preserve">PKG-003</x:t>
  </x:si>
  <x:si>
    <x:t xml:space="preserve">许可、用户数、服务器和实施费用确认</x:t>
  </x:si>
  <x:si>
    <x:t xml:space="preserve">PKG-004</x:t>
  </x:si>
  <x:si>
    <x:t xml:space="preserve">开发、测试、生产、备份和容灾资源确认</x:t>
  </x:si>
  <x:si>
    <x:t xml:space="preserve">架构基线后确认</x:t>
  </x:si>
  <x:si>
    <x:t xml:space="preserve">PKG-005</x:t>
  </x:si>
  <x:si>
    <x:t xml:space="preserve">安全、性能及第三方测评范围确认</x:t>
  </x:si>
  <x:si>
    <x:t xml:space="preserve">测试策略后确认</x:t>
  </x:si>
  <x:si>
    <x:t xml:space="preserve">PKG-006</x:t>
  </x:si>
  <x:si>
    <x:t xml:space="preserve">存量数据范围、质量、清洗和迁移工作量确认</x:t>
  </x:si>
  <x:si>
    <x:t xml:space="preserve">数据范围后确认</x:t>
  </x:si>
  <x:si>
    <x:t xml:space="preserve">PKG-007</x:t>
  </x:si>
  <x:si>
    <x:t xml:space="preserve">产品实施、接口支持和上线保障边界确认</x:t>
  </x:si>
  <x:si>
    <x:t xml:space="preserve">合同边界后确认</x:t>
  </x:si>
  <x:si>
    <x:t xml:space="preserve">采购合同台账</x:t>
  </x:si>
  <x:si>
    <x:t xml:space="preserve">签约后录入合同范围、金额、交付物、验收、付款和变更信息。</x:t>
  </x:si>
  <x:si>
    <x:t xml:space="preserve">合同ID</x:t>
  </x:si>
  <x:si>
    <x:t xml:space="preserve">合同名称</x:t>
  </x:si>
  <x:si>
    <x:t xml:space="preserve">供应商</x:t>
  </x:si>
  <x:si>
    <x:t xml:space="preserve">合同类型</x:t>
  </x:si>
  <x:si>
    <x:t xml:space="preserve">签订日期</x:t>
  </x:si>
  <x:si>
    <x:t xml:space="preserve">开始日期</x:t>
  </x:si>
  <x:si>
    <x:t xml:space="preserve">结束日期</x:t>
  </x:si>
  <x:si>
    <x:t xml:space="preserve">合同金额(元)</x:t>
  </x:si>
  <x:si>
    <x:t xml:space="preserve">已批准变更(元)</x:t>
  </x:si>
  <x:si>
    <x:t xml:space="preserve">当前合同额(元)</x:t>
  </x:si>
  <x:si>
    <x:t xml:space="preserve">已验收金额(元)</x:t>
  </x:si>
  <x:si>
    <x:t xml:space="preserve">已付款金额(元)</x:t>
  </x:si>
  <x:si>
    <x:t xml:space="preserve">未付款金额(元)</x:t>
  </x:si>
  <x:si>
    <x:t xml:space="preserve">合同状态</x:t>
  </x:si>
  <x:si>
    <x:t xml:space="preserve">验收状态</x:t>
  </x:si>
  <x:si>
    <x:t xml:space="preserve">备注</x:t>
  </x:si>
  <x:si>
    <x:t xml:space="preserve">付款必须绑定合同、交付物、验收标准和批准证据。未取得验收证据的节点不得标记为可付款。</x:t>
  </x:si>
  <x:si>
    <x:t xml:space="preserve">付款ID</x:t>
  </x:si>
  <x:si>
    <x:t xml:space="preserve">付款节点</x:t>
  </x:si>
  <x:si>
    <x:t xml:space="preserve">计划付款日期</x:t>
  </x:si>
  <x:si>
    <x:t xml:space="preserve">付款比例</x:t>
  </x:si>
  <x:si>
    <x:t xml:space="preserve">计划付款金额(元)</x:t>
  </x:si>
  <x:si>
    <x:t xml:space="preserve">对应交付物</x:t>
  </x:si>
  <x:si>
    <x:t xml:space="preserve">验收标准</x:t>
  </x:si>
  <x:si>
    <x:t xml:space="preserve">验收证据</x:t>
  </x:si>
  <x:si>
    <x:t xml:space="preserve">发票状态</x:t>
  </x:si>
  <x:si>
    <x:t xml:space="preserve">付款审批状态</x:t>
  </x:si>
  <x:si>
    <x:t xml:space="preserve">实际付款日期</x:t>
  </x:si>
  <x:si>
    <x:t xml:space="preserve">实际付款金额(元)</x:t>
  </x:si>
  <x:si>
    <x:t xml:space="preserve">记录导致预算或合同金额变化的事项；范围变更、索赔和价格调整均需保留批准依据。</x:t>
  </x:si>
  <x:si>
    <x:t xml:space="preserve">成本变更ID</x:t>
  </x:si>
  <x:si>
    <x:t xml:space="preserve">提出日期</x:t>
  </x:si>
  <x:si>
    <x:t xml:space="preserve">来源类型</x:t>
  </x:si>
  <x:si>
    <x:t xml:space="preserve">关联范围变更</x:t>
  </x:si>
  <x:si>
    <x:t xml:space="preserve">关联合同</x:t>
  </x:si>
  <x:si>
    <x:t xml:space="preserve">变更说明</x:t>
  </x:si>
  <x:si>
    <x:t xml:space="preserve">人工成本影响(元)</x:t>
  </x:si>
  <x:si>
    <x:t xml:space="preserve">采购成本影响(元)</x:t>
  </x:si>
  <x:si>
    <x:t xml:space="preserve">运维成本影响(元)</x:t>
  </x:si>
  <x:si>
    <x:t xml:space="preserve">总成本影响(元)</x:t>
  </x:si>
  <x:si>
    <x:t xml:space="preserve">进度影响(天)</x:t>
  </x:si>
  <x:si>
    <x:t xml:space="preserve">评估人</x:t>
  </x:si>
  <x:si>
    <x:t xml:space="preserve">决策</x:t>
  </x:si>
  <x:si>
    <x:t xml:space="preserve">决策人/日期</x:t>
  </x:si>
  <x:si>
    <x:t xml:space="preserve">基线更新状态</x:t>
  </x:si>
  <x:si>
    <x:t xml:space="preserve">月度成本偏差分析</x:t>
  </x:si>
  <x:si>
    <x:t xml:space="preserve">月份</x:t>
  </x:si>
  <x:si>
    <x:t xml:space="preserve">采购/其他预算(元)</x:t>
  </x:si>
  <x:si>
    <x:t xml:space="preserve">承诺成本(元)</x:t>
  </x:si>
  <x:si>
    <x:t xml:space="preserve">实际成本(元)</x:t>
  </x:si>
  <x:si>
    <x:t xml:space="preserve">完工估算EAC(元)</x:t>
  </x:si>
  <x:si>
    <x:t xml:space="preserve">预算偏差(元)</x:t>
  </x:si>
  <x:si>
    <x:t xml:space="preserve">偏差说明</x:t>
  </x:si>
  <x:si>
    <x:t xml:space="preserve">2026-10</x:t>
  </x:si>
  <x:si>
    <x:t xml:space="preserve">2026-11</x:t>
  </x:si>
  <x:si>
    <x:t xml:space="preserve">2026-12</x:t>
  </x:si>
  <x:si>
    <x:t xml:space="preserve">2027-01</x:t>
  </x:si>
  <x:si>
    <x:t xml:space="preserve">2027-02</x:t>
  </x:si>
  <x:si>
    <x:t xml:space="preserve">2027-03</x:t>
  </x:si>
  <x:si>
    <x:t xml:space="preserve">2027-04</x:t>
  </x:si>
  <x:si>
    <x:t xml:space="preserve">2027-05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</x:si>
  <x:si>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</x:si>
  <x:si>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</x:si>
  <x:si>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</x:si>
  <x:si>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</x:si>
  <x:si>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</x:si>
  <x:si>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</x:si>
  <x:si>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</x:si>
  <x:si>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数据日期</x:t>
  </x:si>
  <x:si>
    <x:t xml:space="preserve">币种</x:t>
  </x:si>
  <x:si>
    <x:t xml:space="preserve">CNY</x:t>
  </x:si>
  <x:si>
    <x:t xml:space="preserve">小时单价</x:t>
  </x:si>
  <x:si>
    <x:t xml:space="preserve">计划总人数</x:t>
  </x:si>
  <x:si>
    <x:t xml:space="preserve">正式启动日期</x:t>
  </x:si>
  <x:si>
    <x:t xml:space="preserve">计划上线日期</x:t>
  </x:si>
  <x:si>
    <x:t xml:space="preserve">预算完整性</x:t>
  </x:si>
  <x:si>
    <x:t xml:space="preserve">不完整</x:t>
  </x:si>
  <x:si>
    <x:t xml:space="preserve">中央数据库</x:t>
  </x:si>
  <x:si>
    <x:t xml:space="preserve">../90_项目数据中心/ai_pmo.db</x:t>
  </x:si>
  <x:si>
    <x:t xml:space="preserve">管理预算基线、人工成本、采购包、合同、付款和成本偏差。</x:t>
  </x:si>
  <x:si>
    <x:t xml:space="preserve">项目</x:t>
  </x:si>
  <x:si>
    <x:t xml:space="preserve">适用对象</x:t>
  </x:si>
  <x:si>
    <x:t xml:space="preserve">项目经理、采购负责人、财务负责人、合同管理员</x:t>
  </x:si>
  <x:si>
    <x:t xml:space="preserve">更新频率</x:t>
  </x:si>
  <x:si>
    <x:t xml:space="preserve">成本实际发生或合同付款状态变化时更新；每月复核偏差。</x:t>
  </x:si>
  <x:si>
    <x:t xml:space="preserve">版本日期</x:t>
  </x:si>
  <x:si>
    <x:t xml:space="preserve">2026-09-17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</x:si>
  <x:si>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</x:si>
  <x:si>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</x:si>
  <x:si>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</x:si>
  <x:si>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维护采购包及合同台账</x:t>
  </x:si>
  <x:si>
    <x:t xml:space="preserve">登记付款里程碑和证据</x:t>
  </x:si>
  <x:si>
    <x:t xml:space="preserve">记录成本变更并履行审批</x:t>
  </x:si>
  <x:si>
    <x:t xml:space="preserve">复核成本偏差和预测完工成本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</x:si>
  <x:si>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</x:si>
  <x:si>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</x:si>
  <x:si>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</x:si>
  <x:si>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</x:si>
  <x:si>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成本总览</x:t>
  </x:si>
  <x:si>
    <x:t xml:space="preserve">查看预算、合同和偏差关键指标。</x:t>
  </x:si>
  <x:si>
    <x:t xml:space="preserve">预算基线</x:t>
  </x:si>
  <x:si>
    <x:t xml:space="preserve">维护批准预算结构。</x:t>
  </x:si>
  <x:si>
    <x:t xml:space="preserve">按角色和投入估算人工成本。</x:t>
  </x:si>
  <x:si>
    <x:t xml:space="preserve">规划外采范围、采购方式和时间。</x:t>
  </x:si>
  <x:si>
    <x:t xml:space="preserve">维护采购合同核心信息。</x:t>
  </x:si>
  <x:si>
    <x:t xml:space="preserve">跟踪付款条件、金额和证据。</x:t>
  </x:si>
  <x:si>
    <x:t xml:space="preserve">登记预算或合同金额变更。</x:t>
  </x:si>
  <x:si>
    <x:t xml:space="preserve">比较预算、实际和预测。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</x:si>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</x:sst>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\¥#,##0;[Red]\(\¥#,##0\);\-"/>
    <x:numFmt numFmtId="178" formatCode="#,##0.0;[Red]\(#,##0.0\);\-"/>
    <x:numFmt numFmtId="179" formatCode="0.0%"/>
    <x:numFmt numFmtId="200" formatCode="#,##0"/>
    <x:numFmt numFmtId="201" formatCode="yyyy-mm-dd"/>
    <x:numFmt numFmtId="202" formatCode="#,##0.00"/>
  </x:numFmts>
  <x:fonts count="34">
    <x:font>
      <x:sz val="11"/>
      <x:name val="Carlito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243447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1"/>
      <x:color rgb="FF9C6500"/>
      <x:name val="Arial"/>
    </x:font>
    <x:font>
      <x:sz val="9"/>
      <x:color rgb="FF385D7A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double">
        <x:color rgb="FF1F4E78"/>
      </x:bottom>
    </x:border>
    <x:border>
      <x:left style="thin">
        <x:color rgb="FF1F4E78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50">
    <x:xf numFmtId="0" fontId="13" fillId="0" borderId="0">
      <x:alignment vertical="center"/>
    </x:xf>
    <x:xf numFmtId="43" fontId="13" fillId="0" borderId="0" applyFont="0" applyFill="0" applyBorder="0" applyAlignment="0" applyProtection="0">
      <x:alignment vertical="center"/>
    </x:xf>
    <x:xf numFmtId="44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41" fontId="13" fillId="0" borderId="0" applyFont="0" applyFill="0" applyBorder="0" applyAlignment="0" applyProtection="0">
      <x:alignment vertical="center"/>
    </x:xf>
    <x:xf numFmtId="42" fontId="13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3" fillId="8" borderId="10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11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1" fillId="0" borderId="12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9" borderId="13" applyNumberFormat="0" applyAlignment="0" applyProtection="0">
      <x:alignment vertical="center"/>
    </x:xf>
    <x:xf numFmtId="0" fontId="23" fillId="10" borderId="14" applyNumberFormat="0" applyAlignment="0" applyProtection="0">
      <x:alignment vertical="center"/>
    </x:xf>
    <x:xf numFmtId="0" fontId="24" fillId="10" borderId="13" applyNumberFormat="0" applyAlignment="0" applyProtection="0">
      <x:alignment vertical="center"/>
    </x:xf>
    <x:xf numFmtId="0" fontId="25" fillId="11" borderId="15" applyNumberFormat="0" applyAlignment="0" applyProtection="0">
      <x:alignment vertical="center"/>
    </x:xf>
    <x:xf numFmtId="0" fontId="26" fillId="0" borderId="16" applyNumberFormat="0" applyFill="0" applyAlignment="0" applyProtection="0">
      <x:alignment vertical="center"/>
    </x:xf>
    <x:xf numFmtId="0" fontId="27" fillId="0" borderId="17" applyNumberFormat="0" applyFill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13" fillId="16" borderId="0" applyNumberFormat="0" applyBorder="0" applyAlignment="0" applyProtection="0">
      <x:alignment vertical="center"/>
    </x:xf>
    <x:xf numFmtId="0" fontId="13" fillId="17" borderId="0" applyNumberFormat="0" applyBorder="0" applyAlignment="0" applyProtection="0">
      <x:alignment vertical="center"/>
    </x:xf>
    <x:xf numFmtId="0" fontId="31" fillId="18" borderId="0" applyNumberFormat="0" applyBorder="0" applyAlignment="0" applyProtection="0">
      <x:alignment vertical="center"/>
    </x:xf>
    <x:xf numFmtId="0" fontId="31" fillId="19" borderId="0" applyNumberFormat="0" applyBorder="0" applyAlignment="0" applyProtection="0">
      <x:alignment vertical="center"/>
    </x:xf>
    <x:xf numFmtId="0" fontId="13" fillId="20" borderId="0" applyNumberFormat="0" applyBorder="0" applyAlignment="0" applyProtection="0">
      <x:alignment vertical="center"/>
    </x:xf>
    <x:xf numFmtId="0" fontId="13" fillId="21" borderId="0" applyNumberFormat="0" applyBorder="0" applyAlignment="0" applyProtection="0">
      <x:alignment vertical="center"/>
    </x:xf>
    <x:xf numFmtId="0" fontId="31" fillId="22" borderId="0" applyNumberFormat="0" applyBorder="0" applyAlignment="0" applyProtection="0">
      <x:alignment vertical="center"/>
    </x:xf>
    <x:xf numFmtId="0" fontId="31" fillId="23" borderId="0" applyNumberFormat="0" applyBorder="0" applyAlignment="0" applyProtection="0">
      <x:alignment vertical="center"/>
    </x:xf>
    <x:xf numFmtId="0" fontId="13" fillId="24" borderId="0" applyNumberFormat="0" applyBorder="0" applyAlignment="0" applyProtection="0">
      <x:alignment vertical="center"/>
    </x:xf>
    <x:xf numFmtId="0" fontId="13" fillId="25" borderId="0" applyNumberFormat="0" applyBorder="0" applyAlignment="0" applyProtection="0">
      <x:alignment vertical="center"/>
    </x:xf>
    <x:xf numFmtId="0" fontId="31" fillId="26" borderId="0" applyNumberFormat="0" applyBorder="0" applyAlignment="0" applyProtection="0">
      <x:alignment vertical="center"/>
    </x:xf>
    <x:xf numFmtId="0" fontId="31" fillId="27" borderId="0" applyNumberFormat="0" applyBorder="0" applyAlignment="0" applyProtection="0">
      <x:alignment vertical="center"/>
    </x:xf>
    <x:xf numFmtId="0" fontId="13" fillId="28" borderId="0" applyNumberFormat="0" applyBorder="0" applyAlignment="0" applyProtection="0">
      <x:alignment vertical="center"/>
    </x:xf>
    <x:xf numFmtId="0" fontId="13" fillId="29" borderId="0" applyNumberFormat="0" applyBorder="0" applyAlignment="0" applyProtection="0">
      <x:alignment vertical="center"/>
    </x:xf>
    <x:xf numFmtId="0" fontId="31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13" fillId="32" borderId="0" applyNumberFormat="0" applyBorder="0" applyAlignment="0" applyProtection="0">
      <x:alignment vertical="center"/>
    </x:xf>
    <x:xf numFmtId="0" fontId="13" fillId="33" borderId="0" applyNumberFormat="0" applyBorder="0" applyAlignment="0" applyProtection="0">
      <x:alignment vertical="center"/>
    </x:xf>
    <x:xf numFmtId="0" fontId="31" fillId="34" borderId="0" applyNumberFormat="0" applyBorder="0" applyAlignment="0" applyProtection="0">
      <x:alignment vertical="center"/>
    </x:xf>
    <x:xf numFmtId="0" fontId="31" fillId="35" borderId="0" applyNumberFormat="0" applyBorder="0" applyAlignment="0" applyProtection="0">
      <x:alignment vertical="center"/>
    </x:xf>
    <x:xf numFmtId="0" fontId="13" fillId="36" borderId="0" applyNumberFormat="0" applyBorder="0" applyAlignment="0" applyProtection="0">
      <x:alignment vertical="center"/>
    </x:xf>
    <x:xf numFmtId="0" fontId="13" fillId="37" borderId="0" applyNumberFormat="0" applyBorder="0" applyAlignment="0" applyProtection="0">
      <x:alignment vertical="center"/>
    </x:xf>
    <x:xf numFmtId="0" fontId="31" fillId="38" borderId="0" applyNumberFormat="0" applyBorder="0" applyAlignment="0" applyProtection="0">
      <x:alignment vertical="center"/>
    </x:xf>
    <x:xf numFmtId="0" fontId="0" fillId="0" borderId="0"/>
  </x:cellStyleXfs>
  <x:cellXfs count="69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4" borderId="5" xfId="49" applyNumberFormat="1" applyFont="1" applyFill="1" applyBorder="1" applyAlignment="1">
      <x:alignment horizontal="center" vertical="center" wrapText="1"/>
    </x:xf>
    <x:xf numFmtId="0" fontId="7" fillId="0" borderId="5" xfId="49" applyNumberFormat="1" applyFont="1" applyFill="1" applyBorder="1" applyAlignment="1">
      <x:alignment vertical="center"/>
    </x:xf>
    <x:xf numFmtId="176" fontId="7" fillId="0" borderId="5" xfId="49" applyNumberFormat="1" applyFont="1" applyFill="1" applyBorder="1" applyAlignment="1">
      <x:alignment vertical="center"/>
    </x:xf>
    <x:xf numFmtId="177" fontId="7" fillId="0" borderId="5" xfId="49" applyNumberFormat="1" applyFont="1" applyFill="1" applyBorder="1" applyAlignment="1">
      <x:alignment vertical="center"/>
    </x:xf>
    <x:xf numFmtId="178" fontId="7" fillId="0" borderId="5" xfId="49" applyNumberFormat="1" applyFont="1" applyFill="1" applyBorder="1" applyAlignment="1">
      <x:alignment vertical="center"/>
    </x:xf>
    <x:xf numFmtId="0" fontId="8" fillId="0" borderId="0" xfId="49" applyNumberFormat="1" applyFont="1" applyFill="1" applyBorder="1"/>
    <x:xf numFmtId="0" fontId="9" fillId="0" borderId="0" xfId="49" applyNumberFormat="1" applyFont="1" applyFill="1" applyBorder="1"/>
    <x:xf numFmtId="177" fontId="10" fillId="0" borderId="5" xfId="49" applyNumberFormat="1" applyFont="1" applyFill="1" applyBorder="1" applyAlignment="1">
      <x:alignment vertical="center"/>
    </x:xf>
    <x:xf numFmtId="177" fontId="11" fillId="2" borderId="5" xfId="49" applyNumberFormat="1" applyFont="1" applyFill="1" applyBorder="1" applyAlignment="1">
      <x:alignment vertical="center"/>
    </x:xf>
    <x:xf numFmtId="177" fontId="7" fillId="5" borderId="5" xfId="49" applyNumberFormat="1" applyFont="1" applyFill="1" applyBorder="1" applyAlignment="1">
      <x:alignment vertical="center"/>
    </x:xf>
    <x:xf numFmtId="0" fontId="11" fillId="2" borderId="5" xfId="49" applyNumberFormat="1" applyFont="1" applyFill="1" applyBorder="1" applyAlignment="1">
      <x:alignment vertical="center"/>
    </x:xf>
    <x:xf numFmtId="0" fontId="12" fillId="0" borderId="5" xfId="49" applyNumberFormat="1" applyFont="1" applyFill="1" applyBorder="1" applyAlignment="1">
      <x:alignment vertical="center"/>
    </x:xf>
    <x:xf numFmtId="178" fontId="12" fillId="0" borderId="5" xfId="49" applyNumberFormat="1" applyFont="1" applyFill="1" applyBorder="1" applyAlignment="1">
      <x:alignment vertical="center"/>
    </x:xf>
    <x:xf numFmtId="177" fontId="12" fillId="0" borderId="5" xfId="49" applyNumberFormat="1" applyFont="1" applyFill="1" applyBorder="1" applyAlignment="1">
      <x:alignment vertical="center"/>
    </x:xf>
    <x:xf numFmtId="177" fontId="12" fillId="5" borderId="5" xfId="49" applyNumberFormat="1" applyFont="1" applyFill="1" applyBorder="1" applyAlignment="1">
      <x:alignment vertical="center"/>
    </x:xf>
    <x:xf numFmtId="176" fontId="11" fillId="2" borderId="5" xfId="49" applyNumberFormat="1" applyFont="1" applyFill="1" applyBorder="1" applyAlignment="1">
      <x:alignment vertical="center"/>
    </x:xf>
    <x:xf numFmtId="0" fontId="11" fillId="2" borderId="5" xfId="49" applyNumberFormat="1" applyFont="1" applyFill="1" applyBorder="1" applyAlignment="1">
      <x:alignment vertical="center" wrapText="1"/>
    </x:xf>
    <x:xf numFmtId="178" fontId="11" fillId="2" borderId="5" xfId="49" applyNumberFormat="1" applyFont="1" applyFill="1" applyBorder="1" applyAlignment="1">
      <x:alignment vertical="center"/>
    </x:xf>
    <x:xf numFmtId="179" fontId="11" fillId="2" borderId="5" xfId="49" applyNumberFormat="1" applyFont="1" applyFill="1" applyBorder="1" applyAlignment="1">
      <x:alignment vertical="center"/>
    </x:xf>
    <x:xf numFmtId="0" fontId="7" fillId="0" borderId="5" xfId="49" applyNumberFormat="1" applyFont="1" applyFill="1" applyBorder="1" applyAlignment="1">
      <x:alignment vertical="center" wrapText="1"/>
    </x:xf>
    <x:xf numFmtId="177" fontId="10" fillId="5" borderId="5" xfId="49" applyNumberFormat="1" applyFont="1" applyFill="1" applyBorder="1" applyAlignment="1">
      <x:alignment vertical="center"/>
    </x:xf>
    <x:xf numFmtId="0" fontId="12" fillId="0" borderId="6" xfId="49" applyNumberFormat="1" applyFont="1" applyFill="1" applyBorder="1" applyAlignment="1">
      <x:alignment vertical="center"/>
    </x:xf>
    <x:xf numFmtId="178" fontId="12" fillId="0" borderId="6" xfId="49" applyNumberFormat="1" applyFont="1" applyFill="1" applyBorder="1" applyAlignment="1">
      <x:alignment vertical="center"/>
    </x:xf>
    <x:xf numFmtId="177" fontId="12" fillId="0" borderId="6" xfId="49" applyNumberFormat="1" applyFont="1" applyFill="1" applyBorder="1" applyAlignment="1">
      <x:alignment vertical="center"/>
    </x:xf>
    <x:xf numFmtId="0" fontId="12" fillId="6" borderId="5" xfId="49" applyNumberFormat="1" applyFont="1" applyFill="1" applyBorder="1" applyAlignment="1">
      <x:alignment vertical="center"/>
    </x:xf>
    <x:xf numFmtId="0" fontId="5" fillId="6" borderId="7" xfId="49" applyNumberFormat="1" applyFont="1" applyFill="1" applyBorder="1" applyAlignment="1">
      <x:alignment vertical="center"/>
    </x:xf>
    <x:xf numFmtId="0" fontId="5" fillId="6" borderId="8" xfId="49" applyNumberFormat="1" applyFont="1" applyFill="1" applyBorder="1" applyAlignment="1">
      <x:alignment vertical="center"/>
    </x:xf>
    <x:xf numFmtId="0" fontId="5" fillId="6" borderId="9" xfId="49" applyNumberFormat="1" applyFont="1" applyFill="1" applyBorder="1" applyAlignment="1">
      <x:alignment vertical="center"/>
    </x:xf>
    <x:xf numFmtId="0" fontId="7" fillId="7" borderId="5" xfId="49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18" xfId="0" applyNumberFormat="1" applyFont="1" applyFill="1" applyBorder="1"/>
    <x:xf numFmtId="0" fontId="5" fillId="39" borderId="18" xfId="0" applyNumberFormat="1" applyFont="1" applyFill="1" applyBorder="1" applyAlignment="1">
      <x:alignment horizontal="center"/>
    </x:xf>
    <x:xf numFmtId="0" fontId="5" fillId="39" borderId="18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32" fillId="40" borderId="0" xfId="0" applyNumberFormat="1" applyFont="1" applyFill="1" applyBorder="1"/>
    <x:xf numFmtId="0" fontId="32" fillId="40" borderId="19" xfId="0" applyNumberFormat="1" applyFont="1" applyFill="1" applyBorder="1"/>
    <x:xf numFmtId="0" fontId="32" fillId="40" borderId="19" xfId="0" applyNumberFormat="1" applyFont="1" applyFill="1" applyBorder="1" applyAlignment="1">
      <x:alignment horizontal="center"/>
    </x:xf>
    <x:xf numFmtId="0" fontId="32" fillId="40" borderId="19" xfId="0" applyNumberFormat="1" applyFont="1" applyFill="1" applyBorder="1" applyAlignment="1">
      <x:alignment horizontal="center" vertical="center"/>
    </x:xf>
    <x:xf numFmtId="200" fontId="32" fillId="40" borderId="19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33" fillId="41" borderId="0" xfId="0" applyNumberFormat="1" applyFont="1" applyFill="1" applyBorder="1"/>
    <x:xf numFmtId="0" fontId="33" fillId="41" borderId="20" xfId="0" applyNumberFormat="1" applyFont="1" applyFill="1" applyBorder="1"/>
    <x:xf numFmtId="0" fontId="33" fillId="41" borderId="20" xfId="0" applyNumberFormat="1" applyFont="1" applyFill="1" applyBorder="1" applyAlignment="1">
      <x:alignment wrapText="1"/>
    </x:xf>
    <x:xf numFmtId="0" fontId="33" fillId="41" borderId="20" xfId="0" applyNumberFormat="1" applyFont="1" applyFill="1" applyBorder="1" applyAlignment="1">
      <x:alignment vertical="center" wrapText="1"/>
    </x:xf>
    <x:xf numFmtId="200" fontId="10" fillId="5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12" fillId="0" borderId="6" xfId="0" applyNumberFormat="1" applyFont="1" applyFill="1" applyBorder="1" applyAlignment="1">
      <x:alignment vertical="center"/>
    </x:xf>
    <x:xf numFmtId="200" fontId="11" fillId="2" borderId="5" xfId="0" applyNumberFormat="1" applyFont="1" applyFill="1" applyBorder="1" applyAlignment="1">
      <x:alignment vertical="center"/>
    </x:xf>
    <x:xf numFmtId="200" fontId="10" fillId="0" borderId="5" xfId="0" applyNumberFormat="1" applyFont="1" applyFill="1" applyBorder="1" applyAlignment="1">
      <x:alignment vertical="center"/>
    </x:xf>
    <x:xf numFmtId="200" fontId="7" fillId="5" borderId="5" xfId="0" applyNumberFormat="1" applyFont="1" applyFill="1" applyBorder="1" applyAlignment="1">
      <x:alignment vertical="center"/>
    </x:xf>
    <x:xf numFmtId="200" fontId="12" fillId="0" borderId="5" xfId="0" applyNumberFormat="1" applyFont="1" applyFill="1" applyBorder="1" applyAlignment="1">
      <x:alignment vertical="center"/>
    </x:xf>
    <x:xf numFmtId="200" fontId="12" fillId="5" borderId="5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/>
    <x:xf numFmtId="0" fontId="3" fillId="41" borderId="21" xfId="0" applyNumberFormat="1" applyFont="1" applyFill="1" applyBorder="1"/>
    <x:xf numFmtId="0" fontId="3" fillId="41" borderId="21" xfId="0" applyNumberFormat="1" applyFont="1" applyFill="1" applyBorder="1" applyAlignment="1">
      <x:alignment wrapText="1"/>
    </x:xf>
    <x:xf numFmtId="0" fontId="3" fillId="41" borderId="21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ca75d9bf848f9" /><Relationship Type="http://schemas.openxmlformats.org/officeDocument/2006/relationships/theme" Target="/xl/theme/theme1.xml" Id="R351d6ceff3084d13" /><Relationship Type="http://schemas.openxmlformats.org/officeDocument/2006/relationships/sharedStrings" Target="/xl/sharedStrings.xml" Id="R00d9474579ed4181" /><Relationship Type="http://schemas.openxmlformats.org/officeDocument/2006/relationships/worksheet" Target="/xl/worksheets/sheet1.xml" Id="R0872f4cf7a684770" /><Relationship Type="http://schemas.openxmlformats.org/officeDocument/2006/relationships/worksheet" Target="/xl/worksheets/sheet2.xml" Id="R12994dc84b76445c" /><Relationship Type="http://schemas.openxmlformats.org/officeDocument/2006/relationships/worksheet" Target="/xl/worksheets/sheet3.xml" Id="R0a8c174aa3734284" /><Relationship Type="http://schemas.openxmlformats.org/officeDocument/2006/relationships/worksheet" Target="/xl/worksheets/sheet4.xml" Id="Rd3a0f7542c294e5d" /><Relationship Type="http://schemas.openxmlformats.org/officeDocument/2006/relationships/worksheet" Target="/xl/worksheets/sheet5.xml" Id="R0b0a83bfaba2441d" /><Relationship Type="http://schemas.openxmlformats.org/officeDocument/2006/relationships/worksheet" Target="/xl/worksheets/sheet6.xml" Id="Rdb2f624c15084d26" /><Relationship Type="http://schemas.openxmlformats.org/officeDocument/2006/relationships/worksheet" Target="/xl/worksheets/sheet7.xml" Id="Rea0b8104a0a14307" /><Relationship Type="http://schemas.openxmlformats.org/officeDocument/2006/relationships/worksheet" Target="/xl/worksheets/sheet8.xml" Id="Rdca9502a14ef4990" /><Relationship Type="http://schemas.openxmlformats.org/officeDocument/2006/relationships/worksheet" Target="/xl/worksheets/sheet9.xml" Id="Ra18d5edd371947de" /><Relationship Type="http://schemas.openxmlformats.org/officeDocument/2006/relationships/worksheet" Target="/xl/worksheets/sheet10.xml" Id="R4d9c87b4c2d1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48" customWidth="1"/>
    <x:col min="3" max="3" width="17" customWidth="1"/>
    <x:col min="4" max="4" width="15" customWidth="1"/>
    <x:col min="5" max="6" width="32" customWidth="1"/>
    <x:col min="7" max="12" width="15" customWidth="1"/>
  </x:cols>
  <x:sheetData>
    <x:row r="1" ht="25" customHeight="1">
      <x:c r="A1" s="15" t="s">
        <x:v>0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6" t="str">
        <x:v>数据日期：2026-09-18。人工成本统一按平均人日单价1200元核算；采购、基础设施及专业服务尚未取得有效报价。</x:v>
      </x:c>
    </x:row>
    <x:row r="4">
      <x:c r="A4" s="34" t="s">
        <x:v>1</x:v>
      </x:c>
      <x:c r="B4" s="34"/>
      <x:c r="C4" s="34" t="s">
        <x:v>2</x:v>
      </x:c>
      <x:c r="D4" s="34"/>
      <x:c r="E4" s="34" t="s">
        <x:v>3</x:v>
      </x:c>
      <x:c r="F4" s="34"/>
      <x:c r="G4" s="34" t="s">
        <x:v>4</x:v>
      </x:c>
      <x:c r="H4" s="34"/>
      <x:c r="I4" s="34" t="s">
        <x:v>5</x:v>
      </x:c>
      <x:c r="J4" s="34"/>
      <x:c r="K4" s="34" t="s">
        <x:v>6</x:v>
      </x:c>
      <x:c r="L4" s="34"/>
    </x:row>
    <x:row r="5">
      <x:c r="A5" s="56" t="n">
        <x:f>'预算基线'!J5</x:f>
        <x:v>1362000</x:v>
      </x:c>
      <x:c r="B5" s="56"/>
      <x:c r="C5" s="56" t="n">
        <x:f>'人工成本预算'!D14</x:f>
        <x:v>1135</x:v>
      </x:c>
      <x:c r="D5" s="56"/>
      <x:c r="E5" s="56" t="n">
        <x:f>'人工成本预算'!E3</x:f>
        <x:v>1200</x:v>
      </x:c>
      <x:c r="F5" s="11"/>
      <x:c r="G5" s="11">
        <x:v>7</x:v>
      </x:c>
      <x:c r="H5" s="11"/>
      <x:c r="I5" s="11">
        <x:v>0</x:v>
      </x:c>
      <x:c r="J5" s="11"/>
      <x:c r="K5" s="13">
        <x:v>0</x:v>
      </x:c>
      <x:c r="L5" s="11"/>
    </x:row>
    <x:row r="8">
      <x:c r="A8" s="35" t="s">
        <x:v>7</x:v>
      </x:c>
      <x:c r="B8" s="36"/>
      <x:c r="C8" s="36"/>
      <x:c r="D8" s="36"/>
      <x:c r="E8" s="36"/>
      <x:c r="F8" s="37"/>
    </x:row>
    <x:row r="9" ht="32" customHeight="1">
      <x:c r="A9" s="10" t="s">
        <x:v>8</x:v>
      </x:c>
      <x:c r="B9" s="10" t="s">
        <x:v>9</x:v>
      </x:c>
      <x:c r="C9" s="10" t="s">
        <x:v>10</x:v>
      </x:c>
      <x:c r="D9" s="10" t="s">
        <x:v>11</x:v>
      </x:c>
      <x:c r="E9" s="10" t="s">
        <x:v>12</x:v>
      </x:c>
      <x:c r="F9" s="10" t="s">
        <x:v>13</x:v>
      </x:c>
    </x:row>
    <x:row r="10" ht="31">
      <x:c r="A10" s="11" t="s">
        <x:v>14</x:v>
      </x:c>
      <x:c r="B10" s="38" t="s">
        <x:v>15</x:v>
      </x:c>
      <x:c r="C10" s="11" t="s">
        <x:v>16</x:v>
      </x:c>
      <x:c r="D10" s="12">
        <x:v>46311</x:v>
      </x:c>
      <x:c r="E10" s="29" t="s">
        <x:v>17</x:v>
      </x:c>
      <x:c r="F10" s="29" t="s">
        <x:v>18</x:v>
      </x:c>
    </x:row>
    <x:row r="11">
      <x:c r="A11" s="11" t="s">
        <x:v>19</x:v>
      </x:c>
      <x:c r="B11" s="38" t="s">
        <x:v>15</x:v>
      </x:c>
      <x:c r="C11" s="11" t="s">
        <x:v>20</x:v>
      </x:c>
      <x:c r="D11" s="12">
        <x:v>46310</x:v>
      </x:c>
      <x:c r="E11" s="29" t="s">
        <x:v>21</x:v>
      </x:c>
      <x:c r="F11" s="29" t="s">
        <x:v>22</x:v>
      </x:c>
    </x:row>
    <x:row r="12">
      <x:c r="A12" s="11" t="s">
        <x:v>23</x:v>
      </x:c>
      <x:c r="B12" s="38" t="s">
        <x:v>15</x:v>
      </x:c>
      <x:c r="C12" s="11" t="s">
        <x:v>20</x:v>
      </x:c>
      <x:c r="D12" s="12">
        <x:v>46326</x:v>
      </x:c>
      <x:c r="E12" s="29" t="s">
        <x:v>24</x:v>
      </x:c>
      <x:c r="F12" s="29" t="s">
        <x:v>25</x:v>
      </x:c>
    </x:row>
    <x:row r="13">
      <x:c r="A13" s="11" t="s">
        <x:v>26</x:v>
      </x:c>
      <x:c r="B13" s="38" t="s">
        <x:v>15</x:v>
      </x:c>
      <x:c r="C13" s="11" t="s">
        <x:v>20</x:v>
      </x:c>
      <x:c r="D13" s="12">
        <x:v>46326</x:v>
      </x:c>
      <x:c r="E13" s="29" t="s">
        <x:v>27</x:v>
      </x:c>
      <x:c r="F13" s="29" t="s">
        <x:v>28</x:v>
      </x:c>
    </x:row>
    <x:row r="14">
      <x:c r="A14" s="11" t="s">
        <x:v>29</x:v>
      </x:c>
      <x:c r="B14" s="38" t="s">
        <x:v>15</x:v>
      </x:c>
      <x:c r="C14" s="11" t="s">
        <x:v>16</x:v>
      </x:c>
      <x:c r="D14" s="12">
        <x:v>46315</x:v>
      </x:c>
      <x:c r="E14" s="29" t="s">
        <x:v>30</x:v>
      </x:c>
      <x:c r="F14" s="29" t="s">
        <x:v>31</x:v>
      </x:c>
    </x:row>
    <x:row r="15">
      <x:c r="A15" s="11" t="s">
        <x:v>32</x:v>
      </x:c>
      <x:c r="B15" s="38" t="s">
        <x:v>15</x:v>
      </x:c>
      <x:c r="C15" s="11" t="s">
        <x:v>20</x:v>
      </x:c>
      <x:c r="D15" s="12">
        <x:v>46356</x:v>
      </x:c>
      <x:c r="E15" s="29" t="s">
        <x:v>33</x:v>
      </x:c>
      <x:c r="F15" s="29" t="s">
        <x:v>34</x:v>
      </x:c>
    </x:row>
    <x:row r="18">
      <x:c r="A18" s="35" t="s">
        <x:v>35</x:v>
      </x:c>
      <x:c r="B18" s="36"/>
      <x:c r="C18" s="36"/>
      <x:c r="D18" s="36"/>
      <x:c r="E18" s="36"/>
      <x:c r="F18" s="37"/>
    </x:row>
    <x:row r="19" ht="34" customHeight="1">
      <x:c r="A19" s="29" t="s">
        <x:v>36</x:v>
      </x:c>
      <x:c r="B19" s="29" t="s">
        <x:v>37</x:v>
      </x:c>
      <x:c r="C19" s="29"/>
      <x:c r="D19" s="29"/>
      <x:c r="E19" s="29"/>
      <x:c r="F19" s="29"/>
    </x:row>
    <x:row r="20" ht="34" customHeight="1">
      <x:c r="A20" s="29" t="s">
        <x:v>38</x:v>
      </x:c>
      <x:c r="B20" s="29" t="s">
        <x:v>39</x:v>
      </x:c>
      <x:c r="C20" s="29"/>
      <x:c r="D20" s="29"/>
      <x:c r="E20" s="29"/>
      <x:c r="F20" s="29"/>
    </x:row>
    <x:row r="21" ht="34" customHeight="1">
      <x:c r="A21" s="29" t="s">
        <x:v>40</x:v>
      </x:c>
      <x:c r="B21" s="29" t="s">
        <x:v>41</x:v>
      </x:c>
      <x:c r="C21" s="29"/>
      <x:c r="D21" s="29"/>
      <x:c r="E21" s="29"/>
      <x:c r="F21" s="29"/>
    </x:row>
    <x:row r="22" ht="34" customHeight="1">
      <x:c r="A22" s="29" t="s">
        <x:v>42</x:v>
      </x:c>
      <x:c r="B22" s="29" t="s">
        <x:v>43</x:v>
      </x:c>
      <x:c r="C22" s="29"/>
      <x:c r="D22" s="29"/>
      <x:c r="E22" s="29"/>
      <x:c r="F22" s="29"/>
    </x:row>
  </x:sheetData>
  <x:mergeCells>
    <x:mergeCell ref="A2:K2"/>
  </x:mergeCells>
  <x:conditionalFormatting sqref="B10:B15">
    <x:cfRule type="containsText" dxfId="0" priority="1" operator="between" text="未通过">
      <x:formula>NOT(ISERROR(SEARCH("未通过",B10)))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1" width="12" customWidth="1"/>
    <x:col min="2" max="2" width="16" customWidth="1"/>
    <x:col min="3" max="3" width="25" customWidth="1"/>
    <x:col min="4" max="4" width="17" customWidth="1"/>
    <x:col min="5" max="5" width="28" customWidth="1"/>
    <x:col min="6" max="7" width="14" customWidth="1"/>
    <x:col min="8" max="10" width="17" customWidth="1"/>
    <x:col min="11" max="12" width="15" customWidth="1"/>
    <x:col min="13" max="13" width="32" customWidth="1"/>
  </x:cols>
  <x:sheetData>
    <x:row r="1" ht="25" customHeight="1">
      <x:c r="A1" s="15" t="s">
        <x:v>44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>
      <x:c r="A2" s="16" t="str">
        <x:v>人工成本由“人工成本预算”的计划人天和平均人日单价自动计算；缺少来源金额的其他成本项显示为“待估算”，不按0元处理。</x:v>
      </x:c>
    </x:row>
    <x:row r="4" ht="32" customHeight="1">
      <x:c r="A4" s="10" t="s">
        <x:v>45</x:v>
      </x:c>
      <x:c r="B4" s="10" t="s">
        <x:v>46</x:v>
      </x:c>
      <x:c r="C4" s="10" t="s">
        <x:v>47</x:v>
      </x:c>
      <x:c r="D4" s="10" t="s">
        <x:v>48</x:v>
      </x:c>
      <x:c r="E4" s="10" t="s">
        <x:v>49</x:v>
      </x:c>
      <x:c r="F4" s="10" t="s">
        <x:v>50</x:v>
      </x:c>
      <x:c r="G4" s="10" t="s">
        <x:v>51</x:v>
      </x:c>
      <x:c r="H4" s="10" t="s">
        <x:v>52</x:v>
      </x:c>
      <x:c r="I4" s="10" t="s">
        <x:v>53</x:v>
      </x:c>
      <x:c r="J4" s="10" t="s">
        <x:v>54</x:v>
      </x:c>
      <x:c r="K4" s="10" t="s">
        <x:v>10</x:v>
      </x:c>
      <x:c r="L4" s="10" t="s">
        <x:v>55</x:v>
      </x:c>
      <x:c r="M4" s="10" t="s">
        <x:v>56</x:v>
      </x:c>
    </x:row>
    <x:row r="5">
      <x:c r="A5" s="11" t="s">
        <x:v>57</x:v>
      </x:c>
      <x:c r="B5" s="11" t="s">
        <x:v>58</x:v>
      </x:c>
      <x:c r="C5" s="11" t="s">
        <x:v>59</x:v>
      </x:c>
      <x:c r="D5" s="11" t="s">
        <x:v>60</x:v>
      </x:c>
      <x:c r="E5" s="29" t="str">
        <x:f>'人工成本预算'!D14&amp;"人天"</x:f>
        <x:v>1135人天</x:v>
      </x:c>
      <x:c r="F5" s="58" t="n">
        <x:f>'人工成本预算'!D14</x:f>
        <x:v>1135</x:v>
      </x:c>
      <x:c r="G5" s="58" t="n">
        <x:f>'人工成本预算'!E3</x:f>
        <x:v>1200</x:v>
      </x:c>
      <x:c r="H5" s="56" t="n">
        <x:f t="shared" ref="H5:H14" si="0">F5*G5</x:f>
        <x:v>1362000</x:v>
      </x:c>
      <x:c r="I5" s="58">
        <x:v>0</x:v>
      </x:c>
      <x:c r="J5" s="56" t="n">
        <x:f t="shared" ref="J5:J14" si="1">IF(H5="","",H5+I5)</x:f>
        <x:v>1362000</x:v>
      </x:c>
      <x:c r="K5" s="11" t="s">
        <x:v>20</x:v>
      </x:c>
      <x:c r="L5" s="20" t="s">
        <x:v>61</x:v>
      </x:c>
      <x:c r="M5" s="26" t="str">
        <x:v>人工成本预算：计划人天×平均人日单价</x:v>
      </x:c>
    </x:row>
    <x:row r="6">
      <x:c r="A6" s="11" t="s">
        <x:v>62</x:v>
      </x:c>
      <x:c r="B6" s="11" t="s">
        <x:v>63</x:v>
      </x:c>
      <x:c r="C6" s="11" t="s">
        <x:v>64</x:v>
      </x:c>
      <x:c r="D6" s="11" t="s">
        <x:v>65</x:v>
      </x:c>
      <x:c r="E6" s="29" t="s">
        <x:v>66</x:v>
      </x:c>
      <x:c r="F6" s="20"/>
      <x:c r="G6" s="18"/>
      <x:c r="H6" s="13">
        <x:f t="shared" si="0"/>
        <x:v>0</x:v>
      </x:c>
      <x:c r="I6" s="18">
        <x:v>0</x:v>
      </x:c>
      <x:c r="J6" s="13">
        <x:f t="shared" si="1"/>
        <x:v>0</x:v>
      </x:c>
      <x:c r="K6" s="11" t="s">
        <x:v>67</x:v>
      </x:c>
      <x:c r="L6" s="20" t="s">
        <x:v>68</x:v>
      </x:c>
      <x:c r="M6" s="26" t="s">
        <x:v>69</x:v>
      </x:c>
    </x:row>
    <x:row r="7">
      <x:c r="A7" s="11" t="s">
        <x:v>70</x:v>
      </x:c>
      <x:c r="B7" s="11" t="s">
        <x:v>63</x:v>
      </x:c>
      <x:c r="C7" s="11" t="s">
        <x:v>71</x:v>
      </x:c>
      <x:c r="D7" s="11" t="s">
        <x:v>65</x:v>
      </x:c>
      <x:c r="E7" s="29" t="s">
        <x:v>66</x:v>
      </x:c>
      <x:c r="F7" s="20"/>
      <x:c r="G7" s="18"/>
      <x:c r="H7" s="13">
        <x:f t="shared" si="0"/>
        <x:v>0</x:v>
      </x:c>
      <x:c r="I7" s="18">
        <x:v>0</x:v>
      </x:c>
      <x:c r="J7" s="13">
        <x:f t="shared" si="1"/>
        <x:v>0</x:v>
      </x:c>
      <x:c r="K7" s="11" t="s">
        <x:v>67</x:v>
      </x:c>
      <x:c r="L7" s="20" t="s">
        <x:v>68</x:v>
      </x:c>
      <x:c r="M7" s="26" t="s">
        <x:v>69</x:v>
      </x:c>
    </x:row>
    <x:row r="8">
      <x:c r="A8" s="11" t="s">
        <x:v>72</x:v>
      </x:c>
      <x:c r="B8" s="11" t="s">
        <x:v>63</x:v>
      </x:c>
      <x:c r="C8" s="11" t="s">
        <x:v>73</x:v>
      </x:c>
      <x:c r="D8" s="11" t="s">
        <x:v>65</x:v>
      </x:c>
      <x:c r="E8" s="29" t="s">
        <x:v>66</x:v>
      </x:c>
      <x:c r="F8" s="20"/>
      <x:c r="G8" s="18"/>
      <x:c r="H8" s="13">
        <x:f t="shared" si="0"/>
        <x:v>0</x:v>
      </x:c>
      <x:c r="I8" s="18">
        <x:v>0</x:v>
      </x:c>
      <x:c r="J8" s="13">
        <x:f t="shared" si="1"/>
        <x:v>0</x:v>
      </x:c>
      <x:c r="K8" s="11" t="s">
        <x:v>67</x:v>
      </x:c>
      <x:c r="L8" s="20" t="s">
        <x:v>68</x:v>
      </x:c>
      <x:c r="M8" s="26" t="s">
        <x:v>69</x:v>
      </x:c>
    </x:row>
    <x:row r="9">
      <x:c r="A9" s="11" t="s">
        <x:v>74</x:v>
      </x:c>
      <x:c r="B9" s="11" t="s">
        <x:v>75</x:v>
      </x:c>
      <x:c r="C9" s="11" t="s">
        <x:v>76</x:v>
      </x:c>
      <x:c r="D9" s="11" t="s">
        <x:v>65</x:v>
      </x:c>
      <x:c r="E9" s="29" t="s">
        <x:v>77</x:v>
      </x:c>
      <x:c r="F9" s="20"/>
      <x:c r="G9" s="18"/>
      <x:c r="H9" s="13">
        <x:f t="shared" si="0"/>
        <x:v>0</x:v>
      </x:c>
      <x:c r="I9" s="18">
        <x:v>0</x:v>
      </x:c>
      <x:c r="J9" s="13">
        <x:f t="shared" si="1"/>
        <x:v>0</x:v>
      </x:c>
      <x:c r="K9" s="11" t="s">
        <x:v>78</x:v>
      </x:c>
      <x:c r="L9" s="20" t="s">
        <x:v>68</x:v>
      </x:c>
      <x:c r="M9" s="26" t="s">
        <x:v>79</x:v>
      </x:c>
    </x:row>
    <x:row r="10">
      <x:c r="A10" s="11" t="s">
        <x:v>80</x:v>
      </x:c>
      <x:c r="B10" s="11" t="s">
        <x:v>81</x:v>
      </x:c>
      <x:c r="C10" s="11" t="s">
        <x:v>82</x:v>
      </x:c>
      <x:c r="D10" s="11" t="s">
        <x:v>60</x:v>
      </x:c>
      <x:c r="E10" s="29" t="s">
        <x:v>83</x:v>
      </x:c>
      <x:c r="F10" s="20"/>
      <x:c r="G10" s="18"/>
      <x:c r="H10" s="13">
        <x:f t="shared" si="0"/>
        <x:v>0</x:v>
      </x:c>
      <x:c r="I10" s="18">
        <x:v>0</x:v>
      </x:c>
      <x:c r="J10" s="13">
        <x:f t="shared" si="1"/>
        <x:v>0</x:v>
      </x:c>
      <x:c r="K10" s="11" t="s">
        <x:v>84</x:v>
      </x:c>
      <x:c r="L10" s="20" t="s">
        <x:v>68</x:v>
      </x:c>
      <x:c r="M10" s="26" t="s">
        <x:v>85</x:v>
      </x:c>
    </x:row>
    <x:row r="11">
      <x:c r="A11" s="11" t="s">
        <x:v>86</x:v>
      </x:c>
      <x:c r="B11" s="11" t="s">
        <x:v>81</x:v>
      </x:c>
      <x:c r="C11" s="11" t="s">
        <x:v>87</x:v>
      </x:c>
      <x:c r="D11" s="11" t="s">
        <x:v>60</x:v>
      </x:c>
      <x:c r="E11" s="29" t="s">
        <x:v>88</x:v>
      </x:c>
      <x:c r="F11" s="20"/>
      <x:c r="G11" s="18"/>
      <x:c r="H11" s="13">
        <x:f t="shared" si="0"/>
        <x:v>0</x:v>
      </x:c>
      <x:c r="I11" s="18">
        <x:v>0</x:v>
      </x:c>
      <x:c r="J11" s="13">
        <x:f t="shared" si="1"/>
        <x:v>0</x:v>
      </x:c>
      <x:c r="K11" s="11" t="s">
        <x:v>89</x:v>
      </x:c>
      <x:c r="L11" s="20" t="s">
        <x:v>68</x:v>
      </x:c>
      <x:c r="M11" s="26" t="s">
        <x:v>90</x:v>
      </x:c>
    </x:row>
    <x:row r="12">
      <x:c r="A12" s="11" t="s">
        <x:v>91</x:v>
      </x:c>
      <x:c r="B12" s="11" t="s">
        <x:v>81</x:v>
      </x:c>
      <x:c r="C12" s="11" t="s">
        <x:v>92</x:v>
      </x:c>
      <x:c r="D12" s="11" t="s">
        <x:v>60</x:v>
      </x:c>
      <x:c r="E12" s="29" t="s">
        <x:v>93</x:v>
      </x:c>
      <x:c r="F12" s="20"/>
      <x:c r="G12" s="18"/>
      <x:c r="H12" s="13">
        <x:f t="shared" si="0"/>
        <x:v>0</x:v>
      </x:c>
      <x:c r="I12" s="18">
        <x:v>0</x:v>
      </x:c>
      <x:c r="J12" s="13">
        <x:f t="shared" si="1"/>
        <x:v>0</x:v>
      </x:c>
      <x:c r="K12" s="11" t="s">
        <x:v>20</x:v>
      </x:c>
      <x:c r="L12" s="20" t="s">
        <x:v>68</x:v>
      </x:c>
      <x:c r="M12" s="26" t="s">
        <x:v>94</x:v>
      </x:c>
    </x:row>
    <x:row r="13">
      <x:c r="A13" s="11" t="s">
        <x:v>95</x:v>
      </x:c>
      <x:c r="B13" s="11" t="s">
        <x:v>96</x:v>
      </x:c>
      <x:c r="C13" s="11" t="s">
        <x:v>97</x:v>
      </x:c>
      <x:c r="D13" s="11" t="s">
        <x:v>60</x:v>
      </x:c>
      <x:c r="E13" s="29" t="s">
        <x:v>98</x:v>
      </x:c>
      <x:c r="F13" s="20"/>
      <x:c r="G13" s="18"/>
      <x:c r="H13" s="13">
        <x:f t="shared" si="0"/>
        <x:v>0</x:v>
      </x:c>
      <x:c r="I13" s="18">
        <x:v>0</x:v>
      </x:c>
      <x:c r="J13" s="13">
        <x:f t="shared" si="1"/>
        <x:v>0</x:v>
      </x:c>
      <x:c r="K13" s="11" t="s">
        <x:v>16</x:v>
      </x:c>
      <x:c r="L13" s="20" t="s">
        <x:v>68</x:v>
      </x:c>
      <x:c r="M13" s="26" t="s">
        <x:v>99</x:v>
      </x:c>
    </x:row>
    <x:row r="14">
      <x:c r="A14" s="11" t="s">
        <x:v>100</x:v>
      </x:c>
      <x:c r="B14" s="11" t="s">
        <x:v>101</x:v>
      </x:c>
      <x:c r="C14" s="11" t="s">
        <x:v>101</x:v>
      </x:c>
      <x:c r="D14" s="11" t="s">
        <x:v>60</x:v>
      </x:c>
      <x:c r="E14" s="29" t="s">
        <x:v>102</x:v>
      </x:c>
      <x:c r="F14" s="20"/>
      <x:c r="G14" s="18"/>
      <x:c r="H14" s="13">
        <x:f t="shared" si="0"/>
        <x:v>0</x:v>
      </x:c>
      <x:c r="I14" s="18">
        <x:v>0</x:v>
      </x:c>
      <x:c r="J14" s="13">
        <x:f t="shared" si="1"/>
        <x:v>0</x:v>
      </x:c>
      <x:c r="K14" s="11" t="s">
        <x:v>16</x:v>
      </x:c>
      <x:c r="L14" s="20" t="s">
        <x:v>68</x:v>
      </x:c>
      <x:c r="M14" s="26" t="s">
        <x:v>103</x:v>
      </x:c>
    </x:row>
  </x:sheetData>
  <x:mergeCells>
    <x:mergeCell ref="A2:M2"/>
  </x:mergeCells>
  <x:conditionalFormatting sqref="L5:L104">
    <x:cfRule type="containsText" dxfId="0" priority="1" operator="between" text="待估算">
      <x:formula>NOT(ISERROR(SEARCH("待估算",L5)))</x:formula>
    </x:cfRule>
  </x:conditionalFormatting>
  <x:dataValidations count="1">
    <x:dataValidation type="list" sqref="L5:L104">
      <x:formula1>"待估算,估算中,已量化,已批准"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4" customWidth="1"/>
    <x:col min="2" max="2" width="20" customWidth="1"/>
    <x:col min="3" max="5" width="16" customWidth="1"/>
    <x:col min="6" max="6" width="22" customWidth="1"/>
    <x:col min="7" max="7" width="30" customWidth="1"/>
  </x:cols>
  <x:sheetData>
    <x:row r="1" ht="25" customHeight="1">
      <x:c r="A1" s="15" t="s">
        <x:v>104</x:v>
      </x:c>
      <x:c r="B1" s="15"/>
      <x:c r="C1" s="15"/>
      <x:c r="D1" s="15"/>
      <x:c r="E1" s="15"/>
      <x:c r="F1" s="15"/>
      <x:c r="G1" s="15"/>
    </x:row>
    <x:row r="2">
      <x:c r="A2" s="16" t="str">
        <x:v>人工成本统一按平均人日单价核算。平均人日单价为唯一成本单价入口；计划人天合计1135人天，需结合资源计划持续校准。</x:v>
      </x:c>
    </x:row>
    <x:row r="3" ht="27" customHeight="1">
      <x:c r="D3" s="43" t="str">
        <x:v>平均人日单价(元)</x:v>
      </x:c>
      <x:c r="E3" s="49" t="n">
        <x:v>1200</x:v>
      </x:c>
      <x:c r="F3" s="54" t="str">
        <x:v>唯一维护入口：修改E3后，所有人工成本合计自动更新</x:v>
      </x:c>
      <x:c r="G3" s="54"/>
    </x:row>
    <x:row r="4" ht="32" customHeight="1">
      <x:c r="A4" s="10" t="s">
        <x:v>105</x:v>
      </x:c>
      <x:c r="B4" s="10" t="s">
        <x:v>106</x:v>
      </x:c>
      <x:c r="C4" s="10" t="s">
        <x:v>107</x:v>
      </x:c>
      <x:c r="D4" s="10" t="s">
        <x:v>2</x:v>
      </x:c>
      <x:c r="E4" s="10" t="s">
        <x:v>108</x:v>
      </x:c>
      <x:c r="F4" s="10" t="s">
        <x:v>109</x:v>
      </x:c>
      <x:c r="G4" s="10" t="s">
        <x:v>110</x:v>
      </x:c>
    </x:row>
    <x:row r="5">
      <x:c r="A5" s="11" t="s">
        <x:v>111</x:v>
      </x:c>
      <x:c r="B5" s="11" t="s">
        <x:v>16</x:v>
      </x:c>
      <x:c r="C5" s="14">
        <x:v>1</x:v>
      </x:c>
      <x:c r="D5" s="27">
        <x:v>35</x:v>
      </x:c>
      <x:c r="E5" s="55" t="n">
        <x:f>$E$3</x:f>
        <x:v>1200</x:v>
      </x:c>
      <x:c r="F5" s="56" t="n">
        <x:f t="shared" ref="F5:F13" si="0">D5*E5</x:f>
        <x:v>42000</x:v>
      </x:c>
      <x:c r="G5" s="11" t="str">
        <x:v>统一按平均人日单价核算</x:v>
      </x:c>
    </x:row>
    <x:row r="6">
      <x:c r="A6" s="11" t="s">
        <x:v>112</x:v>
      </x:c>
      <x:c r="B6" s="11" t="s">
        <x:v>20</x:v>
      </x:c>
      <x:c r="C6" s="14">
        <x:v>2</x:v>
      </x:c>
      <x:c r="D6" s="27">
        <x:v>100</x:v>
      </x:c>
      <x:c r="E6" s="55" t="n">
        <x:f>$E$3</x:f>
        <x:v>1200</x:v>
      </x:c>
      <x:c r="F6" s="56" t="n">
        <x:f t="shared" si="0">D6*E6</x:f>
        <x:v>120000</x:v>
      </x:c>
      <x:c r="G6" s="11" t="str">
        <x:v>统一按平均人日单价核算</x:v>
      </x:c>
    </x:row>
    <x:row r="7">
      <x:c r="A7" s="11" t="s">
        <x:v>113</x:v>
      </x:c>
      <x:c r="B7" s="11" t="s">
        <x:v>67</x:v>
      </x:c>
      <x:c r="C7" s="14">
        <x:v>2</x:v>
      </x:c>
      <x:c r="D7" s="27">
        <x:v>100</x:v>
      </x:c>
      <x:c r="E7" s="55" t="n">
        <x:f>$E$3</x:f>
        <x:v>1200</x:v>
      </x:c>
      <x:c r="F7" s="56" t="n">
        <x:f t="shared" si="0">D7*E7</x:f>
        <x:v>120000</x:v>
      </x:c>
      <x:c r="G7" s="11" t="str">
        <x:v>统一按平均人日单价核算</x:v>
      </x:c>
    </x:row>
    <x:row r="8">
      <x:c r="A8" s="11" t="s">
        <x:v>114</x:v>
      </x:c>
      <x:c r="B8" s="11" t="s">
        <x:v>89</x:v>
      </x:c>
      <x:c r="C8" s="14">
        <x:v>2</x:v>
      </x:c>
      <x:c r="D8" s="27">
        <x:v>120</x:v>
      </x:c>
      <x:c r="E8" s="55" t="n">
        <x:f>$E$3</x:f>
        <x:v>1200</x:v>
      </x:c>
      <x:c r="F8" s="56" t="n">
        <x:f t="shared" si="0">D8*E8</x:f>
        <x:v>144000</x:v>
      </x:c>
      <x:c r="G8" s="11" t="str">
        <x:v>统一按平均人日单价核算</x:v>
      </x:c>
    </x:row>
    <x:row r="9">
      <x:c r="A9" s="11" t="s">
        <x:v>115</x:v>
      </x:c>
      <x:c r="B9" s="11" t="s">
        <x:v>116</x:v>
      </x:c>
      <x:c r="C9" s="14">
        <x:v>1</x:v>
      </x:c>
      <x:c r="D9" s="27">
        <x:v>30</x:v>
      </x:c>
      <x:c r="E9" s="55" t="n">
        <x:f>$E$3</x:f>
        <x:v>1200</x:v>
      </x:c>
      <x:c r="F9" s="56" t="n">
        <x:f t="shared" si="0">D9*E9</x:f>
        <x:v>36000</x:v>
      </x:c>
      <x:c r="G9" s="11" t="str">
        <x:v>统一按平均人日单价核算</x:v>
      </x:c>
    </x:row>
    <x:row r="10">
      <x:c r="A10" s="11" t="s">
        <x:v>117</x:v>
      </x:c>
      <x:c r="B10" s="11" t="s">
        <x:v>118</x:v>
      </x:c>
      <x:c r="C10" s="14">
        <x:v>3</x:v>
      </x:c>
      <x:c r="D10" s="27">
        <x:v>180</x:v>
      </x:c>
      <x:c r="E10" s="55" t="n">
        <x:f>$E$3</x:f>
        <x:v>1200</x:v>
      </x:c>
      <x:c r="F10" s="56" t="n">
        <x:f t="shared" si="0">D10*E10</x:f>
        <x:v>216000</x:v>
      </x:c>
      <x:c r="G10" s="11" t="str">
        <x:v>统一按平均人日单价核算</x:v>
      </x:c>
    </x:row>
    <x:row r="11">
      <x:c r="A11" s="11" t="s">
        <x:v>119</x:v>
      </x:c>
      <x:c r="B11" s="11" t="s">
        <x:v>120</x:v>
      </x:c>
      <x:c r="C11" s="14">
        <x:v>15</x:v>
      </x:c>
      <x:c r="D11" s="27">
        <x:v>430</x:v>
      </x:c>
      <x:c r="E11" s="55" t="n">
        <x:f>$E$3</x:f>
        <x:v>1200</x:v>
      </x:c>
      <x:c r="F11" s="56" t="n">
        <x:f t="shared" si="0">D11*E11</x:f>
        <x:v>516000</x:v>
      </x:c>
      <x:c r="G11" s="11" t="str">
        <x:v>统一按平均人日单价核算</x:v>
      </x:c>
    </x:row>
    <x:row r="12">
      <x:c r="A12" s="11" t="s">
        <x:v>121</x:v>
      </x:c>
      <x:c r="B12" s="11" t="s">
        <x:v>84</x:v>
      </x:c>
      <x:c r="C12" s="14">
        <x:v>3</x:v>
      </x:c>
      <x:c r="D12" s="27">
        <x:v>110</x:v>
      </x:c>
      <x:c r="E12" s="55" t="n">
        <x:f>$E$3</x:f>
        <x:v>1200</x:v>
      </x:c>
      <x:c r="F12" s="56" t="n">
        <x:f t="shared" si="0">D12*E12</x:f>
        <x:v>132000</x:v>
      </x:c>
      <x:c r="G12" s="11" t="str">
        <x:v>统一按平均人日单价核算</x:v>
      </x:c>
    </x:row>
    <x:row r="13">
      <x:c r="A13" s="11" t="s">
        <x:v>122</x:v>
      </x:c>
      <x:c r="B13" s="11" t="s">
        <x:v>78</x:v>
      </x:c>
      <x:c r="C13" s="14">
        <x:v>1</x:v>
      </x:c>
      <x:c r="D13" s="27">
        <x:v>30</x:v>
      </x:c>
      <x:c r="E13" s="55" t="n">
        <x:f>$E$3</x:f>
        <x:v>1200</x:v>
      </x:c>
      <x:c r="F13" s="56" t="n">
        <x:f t="shared" si="0">D13*E13</x:f>
        <x:v>36000</x:v>
      </x:c>
      <x:c r="G13" s="11" t="str">
        <x:v>统一按平均人日单价核算</x:v>
      </x:c>
    </x:row>
    <x:row r="14" ht="17.549999237060547">
      <x:c r="A14" s="31" t="s">
        <x:v>123</x:v>
      </x:c>
      <x:c r="B14" s="31"/>
      <x:c r="C14" s="32" t="n">
        <x:f>SUM(C5:C13)</x:f>
        <x:v>30</x:v>
      </x:c>
      <x:c r="D14" s="32" t="n">
        <x:f>SUM(D5:D13)</x:f>
        <x:v>1135</x:v>
      </x:c>
      <x:c r="E14" s="57" t="n">
        <x:f>$E$3</x:f>
        <x:v>1200</x:v>
      </x:c>
      <x:c r="F14" s="57" t="n">
        <x:f>SUM(F5:F13)</x:f>
        <x:v>1362000</x:v>
      </x:c>
      <x:c r="G14" s="31"/>
    </x:row>
    <x:row r="15" ht="17.549999237060547"/>
  </x:sheetData>
  <x:mergeCells>
    <x:mergeCell ref="A2:G2"/>
    <x:mergeCell ref="F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4" customWidth="1"/>
    <x:col min="2" max="2" width="26" customWidth="1"/>
    <x:col min="3" max="3" width="16" customWidth="1"/>
    <x:col min="4" max="4" width="42" customWidth="1"/>
    <x:col min="5" max="5" width="15" customWidth="1"/>
    <x:col min="6" max="7" width="16" customWidth="1"/>
    <x:col min="8" max="8" width="18" customWidth="1"/>
    <x:col min="9" max="10" width="20" customWidth="1"/>
  </x:cols>
  <x:sheetData>
    <x:row r="1" ht="25" customHeight="1">
      <x:c r="A1" s="15" t="s">
        <x:v>22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6" t="s">
        <x:v>124</x:v>
      </x:c>
    </x:row>
    <x:row r="4" ht="32" customHeight="1">
      <x:c r="A4" s="10" t="s">
        <x:v>125</x:v>
      </x:c>
      <x:c r="B4" s="10" t="s">
        <x:v>126</x:v>
      </x:c>
      <x:c r="C4" s="10" t="s">
        <x:v>127</x:v>
      </x:c>
      <x:c r="D4" s="10" t="s">
        <x:v>128</x:v>
      </x:c>
      <x:c r="E4" s="10" t="s">
        <x:v>129</x:v>
      </x:c>
      <x:c r="F4" s="10" t="s">
        <x:v>130</x:v>
      </x:c>
      <x:c r="G4" s="10" t="s">
        <x:v>131</x:v>
      </x:c>
      <x:c r="H4" s="10" t="s">
        <x:v>132</x:v>
      </x:c>
      <x:c r="I4" s="10" t="s">
        <x:v>133</x:v>
      </x:c>
      <x:c r="J4" s="10" t="s">
        <x:v>134</x:v>
      </x:c>
    </x:row>
    <x:row r="5">
      <x:c r="A5" s="11" t="s">
        <x:v>135</x:v>
      </x:c>
      <x:c r="B5" s="11" t="s">
        <x:v>136</x:v>
      </x:c>
      <x:c r="C5" s="11" t="s">
        <x:v>137</x:v>
      </x:c>
      <x:c r="D5" s="29" t="s">
        <x:v>138</x:v>
      </x:c>
      <x:c r="E5" s="11" t="s">
        <x:v>67</x:v>
      </x:c>
      <x:c r="F5" s="12">
        <x:v>46290</x:v>
      </x:c>
      <x:c r="G5" s="12">
        <x:v>46310</x:v>
      </x:c>
      <x:c r="H5" s="18"/>
      <x:c r="I5" s="20" t="s">
        <x:v>68</x:v>
      </x:c>
      <x:c r="J5" s="29" t="s">
        <x:v>139</x:v>
      </x:c>
    </x:row>
    <x:row r="6">
      <x:c r="A6" s="11" t="s">
        <x:v>140</x:v>
      </x:c>
      <x:c r="B6" s="11" t="s">
        <x:v>71</x:v>
      </x:c>
      <x:c r="C6" s="11" t="s">
        <x:v>137</x:v>
      </x:c>
      <x:c r="D6" s="29" t="s">
        <x:v>141</x:v>
      </x:c>
      <x:c r="E6" s="11" t="s">
        <x:v>67</x:v>
      </x:c>
      <x:c r="F6" s="12">
        <x:v>46290</x:v>
      </x:c>
      <x:c r="G6" s="12">
        <x:v>46310</x:v>
      </x:c>
      <x:c r="H6" s="18"/>
      <x:c r="I6" s="20" t="s">
        <x:v>68</x:v>
      </x:c>
      <x:c r="J6" s="29" t="s">
        <x:v>139</x:v>
      </x:c>
    </x:row>
    <x:row r="7">
      <x:c r="A7" s="11" t="s">
        <x:v>142</x:v>
      </x:c>
      <x:c r="B7" s="11" t="s">
        <x:v>73</x:v>
      </x:c>
      <x:c r="C7" s="11" t="s">
        <x:v>137</x:v>
      </x:c>
      <x:c r="D7" s="29" t="s">
        <x:v>143</x:v>
      </x:c>
      <x:c r="E7" s="11" t="s">
        <x:v>67</x:v>
      </x:c>
      <x:c r="F7" s="12">
        <x:v>46290</x:v>
      </x:c>
      <x:c r="G7" s="12">
        <x:v>46310</x:v>
      </x:c>
      <x:c r="H7" s="18"/>
      <x:c r="I7" s="20" t="s">
        <x:v>68</x:v>
      </x:c>
      <x:c r="J7" s="29" t="s">
        <x:v>139</x:v>
      </x:c>
    </x:row>
    <x:row r="8">
      <x:c r="A8" s="11" t="s">
        <x:v>144</x:v>
      </x:c>
      <x:c r="B8" s="11" t="s">
        <x:v>76</x:v>
      </x:c>
      <x:c r="C8" s="11" t="s">
        <x:v>75</x:v>
      </x:c>
      <x:c r="D8" s="29" t="s">
        <x:v>145</x:v>
      </x:c>
      <x:c r="E8" s="11" t="s">
        <x:v>78</x:v>
      </x:c>
      <x:c r="F8" s="12">
        <x:v>46295</x:v>
      </x:c>
      <x:c r="G8" s="12">
        <x:v>46311</x:v>
      </x:c>
      <x:c r="H8" s="18"/>
      <x:c r="I8" s="20" t="s">
        <x:v>68</x:v>
      </x:c>
      <x:c r="J8" s="29" t="s">
        <x:v>146</x:v>
      </x:c>
    </x:row>
    <x:row r="9">
      <x:c r="A9" s="11" t="s">
        <x:v>147</x:v>
      </x:c>
      <x:c r="B9" s="11" t="s">
        <x:v>82</x:v>
      </x:c>
      <x:c r="C9" s="11" t="s">
        <x:v>81</x:v>
      </x:c>
      <x:c r="D9" s="29" t="s">
        <x:v>148</x:v>
      </x:c>
      <x:c r="E9" s="11" t="s">
        <x:v>84</x:v>
      </x:c>
      <x:c r="F9" s="12">
        <x:v>46387</x:v>
      </x:c>
      <x:c r="G9" s="12">
        <x:v>46418</x:v>
      </x:c>
      <x:c r="H9" s="18"/>
      <x:c r="I9" s="20" t="s">
        <x:v>68</x:v>
      </x:c>
      <x:c r="J9" s="29" t="s">
        <x:v>149</x:v>
      </x:c>
    </x:row>
    <x:row r="10">
      <x:c r="A10" s="11" t="s">
        <x:v>150</x:v>
      </x:c>
      <x:c r="B10" s="11" t="s">
        <x:v>87</x:v>
      </x:c>
      <x:c r="C10" s="11" t="s">
        <x:v>81</x:v>
      </x:c>
      <x:c r="D10" s="29" t="s">
        <x:v>151</x:v>
      </x:c>
      <x:c r="E10" s="11" t="s">
        <x:v>89</x:v>
      </x:c>
      <x:c r="F10" s="12">
        <x:v>46356</x:v>
      </x:c>
      <x:c r="G10" s="12">
        <x:v>46387</x:v>
      </x:c>
      <x:c r="H10" s="18"/>
      <x:c r="I10" s="20" t="s">
        <x:v>68</x:v>
      </x:c>
      <x:c r="J10" s="29" t="s">
        <x:v>152</x:v>
      </x:c>
    </x:row>
    <x:row r="11">
      <x:c r="A11" s="11" t="s">
        <x:v>153</x:v>
      </x:c>
      <x:c r="B11" s="11" t="s">
        <x:v>92</x:v>
      </x:c>
      <x:c r="C11" s="11" t="s">
        <x:v>81</x:v>
      </x:c>
      <x:c r="D11" s="29" t="s">
        <x:v>154</x:v>
      </x:c>
      <x:c r="E11" s="11" t="s">
        <x:v>20</x:v>
      </x:c>
      <x:c r="F11" s="12">
        <x:v>46311</x:v>
      </x:c>
      <x:c r="G11" s="12">
        <x:v>46326</x:v>
      </x:c>
      <x:c r="H11" s="18"/>
      <x:c r="I11" s="20" t="s">
        <x:v>68</x:v>
      </x:c>
      <x:c r="J11" s="29" t="s">
        <x:v>155</x:v>
      </x:c>
    </x:row>
  </x:sheetData>
  <x:dataValidations count="1">
    <x:dataValidation type="list" sqref="I5:I104">
      <x:formula1>"待估算,询价中,待批准,已纳入预算"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5" width="16" customWidth="1"/>
    <x:col min="6" max="8" width="14" customWidth="1"/>
    <x:col min="9" max="14" width="18" customWidth="1"/>
    <x:col min="15" max="18" width="16" customWidth="1"/>
  </x:cols>
  <x:sheetData>
    <x:row r="1" ht="25" customHeight="1">
      <x:c r="A1" s="15" t="s">
        <x:v>156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</x:row>
    <x:row r="2">
      <x:c r="A2" s="16" t="s">
        <x:v>157</x:v>
      </x:c>
    </x:row>
    <x:row r="4" ht="32" customHeight="1">
      <x:c r="A4" s="10" t="s">
        <x:v>158</x:v>
      </x:c>
      <x:c r="B4" s="10" t="s">
        <x:v>125</x:v>
      </x:c>
      <x:c r="C4" s="10" t="s">
        <x:v>159</x:v>
      </x:c>
      <x:c r="D4" s="10" t="s">
        <x:v>160</x:v>
      </x:c>
      <x:c r="E4" s="10" t="s">
        <x:v>161</x:v>
      </x:c>
      <x:c r="F4" s="10" t="s">
        <x:v>162</x:v>
      </x:c>
      <x:c r="G4" s="10" t="s">
        <x:v>163</x:v>
      </x:c>
      <x:c r="H4" s="10" t="s">
        <x:v>164</x:v>
      </x:c>
      <x:c r="I4" s="10" t="s">
        <x:v>165</x:v>
      </x:c>
      <x:c r="J4" s="10" t="s">
        <x:v>166</x:v>
      </x:c>
      <x:c r="K4" s="10" t="s">
        <x:v>167</x:v>
      </x:c>
      <x:c r="L4" s="10" t="s">
        <x:v>168</x:v>
      </x:c>
      <x:c r="M4" s="10" t="s">
        <x:v>169</x:v>
      </x:c>
      <x:c r="N4" s="10" t="s">
        <x:v>170</x:v>
      </x:c>
      <x:c r="O4" s="10" t="s">
        <x:v>10</x:v>
      </x:c>
      <x:c r="P4" s="10" t="s">
        <x:v>171</x:v>
      </x:c>
      <x:c r="Q4" s="10" t="s">
        <x:v>172</x:v>
      </x:c>
      <x:c r="R4" s="10" t="s">
        <x:v>173</x:v>
      </x:c>
    </x:row>
    <x:row r="5">
      <x:c r="A5" s="20"/>
      <x:c r="B5" s="20"/>
      <x:c r="C5" s="20"/>
      <x:c r="D5" s="20"/>
      <x:c r="E5" s="20"/>
      <x:c r="F5" s="25"/>
      <x:c r="G5" s="25"/>
      <x:c r="H5" s="25"/>
      <x:c r="I5" s="18"/>
      <x:c r="J5" s="18"/>
      <x:c r="K5" s="19" t="str">
        <x:f t="shared" ref="K5:K24" si="0">IF(I5="","",I5+J5)</x:f>
      </x:c>
      <x:c r="L5" s="18"/>
      <x:c r="M5" s="18"/>
      <x:c r="N5" s="19" t="str">
        <x:f t="shared" ref="N5:N24" si="1">IF(K5="","",K5-M5)</x:f>
      </x:c>
      <x:c r="O5" s="20"/>
      <x:c r="P5" s="20"/>
      <x:c r="Q5" s="20"/>
      <x:c r="R5" s="20"/>
    </x:row>
    <x:row r="6">
      <x:c r="A6" s="20"/>
      <x:c r="B6" s="20"/>
      <x:c r="C6" s="20"/>
      <x:c r="D6" s="20"/>
      <x:c r="E6" s="20"/>
      <x:c r="F6" s="25"/>
      <x:c r="G6" s="25"/>
      <x:c r="H6" s="25"/>
      <x:c r="I6" s="18"/>
      <x:c r="J6" s="18"/>
      <x:c r="K6" s="19" t="str">
        <x:f t="shared" si="0"/>
      </x:c>
      <x:c r="L6" s="18"/>
      <x:c r="M6" s="18"/>
      <x:c r="N6" s="19" t="str">
        <x:f t="shared" si="1"/>
      </x:c>
      <x:c r="O6" s="20"/>
      <x:c r="P6" s="20"/>
      <x:c r="Q6" s="20"/>
      <x:c r="R6" s="20"/>
    </x:row>
    <x:row r="7">
      <x:c r="A7" s="20"/>
      <x:c r="B7" s="20"/>
      <x:c r="C7" s="20"/>
      <x:c r="D7" s="20"/>
      <x:c r="E7" s="20"/>
      <x:c r="F7" s="25"/>
      <x:c r="G7" s="25"/>
      <x:c r="H7" s="25"/>
      <x:c r="I7" s="18"/>
      <x:c r="J7" s="18"/>
      <x:c r="K7" s="19" t="str">
        <x:f t="shared" si="0"/>
      </x:c>
      <x:c r="L7" s="18"/>
      <x:c r="M7" s="18"/>
      <x:c r="N7" s="19" t="str">
        <x:f t="shared" si="1"/>
      </x:c>
      <x:c r="O7" s="20"/>
      <x:c r="P7" s="20"/>
      <x:c r="Q7" s="20"/>
      <x:c r="R7" s="20"/>
    </x:row>
    <x:row r="8">
      <x:c r="A8" s="20"/>
      <x:c r="B8" s="20"/>
      <x:c r="C8" s="20"/>
      <x:c r="D8" s="20"/>
      <x:c r="E8" s="20"/>
      <x:c r="F8" s="25"/>
      <x:c r="G8" s="25"/>
      <x:c r="H8" s="25"/>
      <x:c r="I8" s="18"/>
      <x:c r="J8" s="18"/>
      <x:c r="K8" s="19" t="str">
        <x:f t="shared" si="0"/>
      </x:c>
      <x:c r="L8" s="18"/>
      <x:c r="M8" s="18"/>
      <x:c r="N8" s="19" t="str">
        <x:f t="shared" si="1"/>
      </x:c>
      <x:c r="O8" s="20"/>
      <x:c r="P8" s="20"/>
      <x:c r="Q8" s="20"/>
      <x:c r="R8" s="20"/>
    </x:row>
    <x:row r="9">
      <x:c r="A9" s="20"/>
      <x:c r="B9" s="20"/>
      <x:c r="C9" s="20"/>
      <x:c r="D9" s="20"/>
      <x:c r="E9" s="20"/>
      <x:c r="F9" s="25"/>
      <x:c r="G9" s="25"/>
      <x:c r="H9" s="25"/>
      <x:c r="I9" s="18"/>
      <x:c r="J9" s="18"/>
      <x:c r="K9" s="19" t="str">
        <x:f t="shared" si="0"/>
      </x:c>
      <x:c r="L9" s="18"/>
      <x:c r="M9" s="18"/>
      <x:c r="N9" s="19" t="str">
        <x:f t="shared" si="1"/>
      </x:c>
      <x:c r="O9" s="20"/>
      <x:c r="P9" s="20"/>
      <x:c r="Q9" s="20"/>
      <x:c r="R9" s="20"/>
    </x:row>
    <x:row r="10">
      <x:c r="A10" s="20"/>
      <x:c r="B10" s="20"/>
      <x:c r="C10" s="20"/>
      <x:c r="D10" s="20"/>
      <x:c r="E10" s="20"/>
      <x:c r="F10" s="25"/>
      <x:c r="G10" s="25"/>
      <x:c r="H10" s="25"/>
      <x:c r="I10" s="18"/>
      <x:c r="J10" s="18"/>
      <x:c r="K10" s="19" t="str">
        <x:f t="shared" si="0"/>
      </x:c>
      <x:c r="L10" s="18"/>
      <x:c r="M10" s="18"/>
      <x:c r="N10" s="19" t="str">
        <x:f t="shared" si="1"/>
      </x:c>
      <x:c r="O10" s="20"/>
      <x:c r="P10" s="20"/>
      <x:c r="Q10" s="20"/>
      <x:c r="R10" s="20"/>
    </x:row>
    <x:row r="11">
      <x:c r="A11" s="20"/>
      <x:c r="B11" s="20"/>
      <x:c r="C11" s="20"/>
      <x:c r="D11" s="20"/>
      <x:c r="E11" s="20"/>
      <x:c r="F11" s="25"/>
      <x:c r="G11" s="25"/>
      <x:c r="H11" s="25"/>
      <x:c r="I11" s="18"/>
      <x:c r="J11" s="18"/>
      <x:c r="K11" s="19" t="str">
        <x:f t="shared" si="0"/>
      </x:c>
      <x:c r="L11" s="18"/>
      <x:c r="M11" s="18"/>
      <x:c r="N11" s="19" t="str">
        <x:f t="shared" si="1"/>
      </x:c>
      <x:c r="O11" s="20"/>
      <x:c r="P11" s="20"/>
      <x:c r="Q11" s="20"/>
      <x:c r="R11" s="20"/>
    </x:row>
    <x:row r="12">
      <x:c r="A12" s="20"/>
      <x:c r="B12" s="20"/>
      <x:c r="C12" s="20"/>
      <x:c r="D12" s="20"/>
      <x:c r="E12" s="20"/>
      <x:c r="F12" s="25"/>
      <x:c r="G12" s="25"/>
      <x:c r="H12" s="25"/>
      <x:c r="I12" s="18"/>
      <x:c r="J12" s="18"/>
      <x:c r="K12" s="19" t="str">
        <x:f t="shared" si="0"/>
      </x:c>
      <x:c r="L12" s="18"/>
      <x:c r="M12" s="18"/>
      <x:c r="N12" s="19" t="str">
        <x:f t="shared" si="1"/>
      </x:c>
      <x:c r="O12" s="20"/>
      <x:c r="P12" s="20"/>
      <x:c r="Q12" s="20"/>
      <x:c r="R12" s="20"/>
    </x:row>
    <x:row r="13">
      <x:c r="A13" s="20"/>
      <x:c r="B13" s="20"/>
      <x:c r="C13" s="20"/>
      <x:c r="D13" s="20"/>
      <x:c r="E13" s="20"/>
      <x:c r="F13" s="25"/>
      <x:c r="G13" s="25"/>
      <x:c r="H13" s="25"/>
      <x:c r="I13" s="18"/>
      <x:c r="J13" s="18"/>
      <x:c r="K13" s="19" t="str">
        <x:f t="shared" si="0"/>
      </x:c>
      <x:c r="L13" s="18"/>
      <x:c r="M13" s="18"/>
      <x:c r="N13" s="19" t="str">
        <x:f t="shared" si="1"/>
      </x:c>
      <x:c r="O13" s="20"/>
      <x:c r="P13" s="20"/>
      <x:c r="Q13" s="20"/>
      <x:c r="R13" s="20"/>
    </x:row>
    <x:row r="14">
      <x:c r="A14" s="20"/>
      <x:c r="B14" s="20"/>
      <x:c r="C14" s="20"/>
      <x:c r="D14" s="20"/>
      <x:c r="E14" s="20"/>
      <x:c r="F14" s="25"/>
      <x:c r="G14" s="25"/>
      <x:c r="H14" s="25"/>
      <x:c r="I14" s="18"/>
      <x:c r="J14" s="18"/>
      <x:c r="K14" s="19" t="str">
        <x:f t="shared" si="0"/>
      </x:c>
      <x:c r="L14" s="18"/>
      <x:c r="M14" s="18"/>
      <x:c r="N14" s="19" t="str">
        <x:f t="shared" si="1"/>
      </x:c>
      <x:c r="O14" s="20"/>
      <x:c r="P14" s="20"/>
      <x:c r="Q14" s="20"/>
      <x:c r="R14" s="20"/>
    </x:row>
    <x:row r="15">
      <x:c r="A15" s="20"/>
      <x:c r="B15" s="20"/>
      <x:c r="C15" s="20"/>
      <x:c r="D15" s="20"/>
      <x:c r="E15" s="20"/>
      <x:c r="F15" s="25"/>
      <x:c r="G15" s="25"/>
      <x:c r="H15" s="25"/>
      <x:c r="I15" s="18"/>
      <x:c r="J15" s="18"/>
      <x:c r="K15" s="19" t="str">
        <x:f t="shared" si="0"/>
      </x:c>
      <x:c r="L15" s="18"/>
      <x:c r="M15" s="18"/>
      <x:c r="N15" s="19" t="str">
        <x:f t="shared" si="1"/>
      </x:c>
      <x:c r="O15" s="20"/>
      <x:c r="P15" s="20"/>
      <x:c r="Q15" s="20"/>
      <x:c r="R15" s="20"/>
    </x:row>
    <x:row r="16">
      <x:c r="A16" s="20"/>
      <x:c r="B16" s="20"/>
      <x:c r="C16" s="20"/>
      <x:c r="D16" s="20"/>
      <x:c r="E16" s="20"/>
      <x:c r="F16" s="25"/>
      <x:c r="G16" s="25"/>
      <x:c r="H16" s="25"/>
      <x:c r="I16" s="18"/>
      <x:c r="J16" s="18"/>
      <x:c r="K16" s="19" t="str">
        <x:f t="shared" si="0"/>
      </x:c>
      <x:c r="L16" s="18"/>
      <x:c r="M16" s="18"/>
      <x:c r="N16" s="19" t="str">
        <x:f t="shared" si="1"/>
      </x:c>
      <x:c r="O16" s="20"/>
      <x:c r="P16" s="20"/>
      <x:c r="Q16" s="20"/>
      <x:c r="R16" s="20"/>
    </x:row>
    <x:row r="17">
      <x:c r="A17" s="20"/>
      <x:c r="B17" s="20"/>
      <x:c r="C17" s="20"/>
      <x:c r="D17" s="20"/>
      <x:c r="E17" s="20"/>
      <x:c r="F17" s="25"/>
      <x:c r="G17" s="25"/>
      <x:c r="H17" s="25"/>
      <x:c r="I17" s="18"/>
      <x:c r="J17" s="18"/>
      <x:c r="K17" s="19" t="str">
        <x:f t="shared" si="0"/>
      </x:c>
      <x:c r="L17" s="18"/>
      <x:c r="M17" s="18"/>
      <x:c r="N17" s="19" t="str">
        <x:f t="shared" si="1"/>
      </x:c>
      <x:c r="O17" s="20"/>
      <x:c r="P17" s="20"/>
      <x:c r="Q17" s="20"/>
      <x:c r="R17" s="20"/>
    </x:row>
    <x:row r="18">
      <x:c r="A18" s="20"/>
      <x:c r="B18" s="20"/>
      <x:c r="C18" s="20"/>
      <x:c r="D18" s="20"/>
      <x:c r="E18" s="20"/>
      <x:c r="F18" s="25"/>
      <x:c r="G18" s="25"/>
      <x:c r="H18" s="25"/>
      <x:c r="I18" s="18"/>
      <x:c r="J18" s="18"/>
      <x:c r="K18" s="19" t="str">
        <x:f t="shared" si="0"/>
      </x:c>
      <x:c r="L18" s="18"/>
      <x:c r="M18" s="18"/>
      <x:c r="N18" s="19" t="str">
        <x:f t="shared" si="1"/>
      </x:c>
      <x:c r="O18" s="20"/>
      <x:c r="P18" s="20"/>
      <x:c r="Q18" s="20"/>
      <x:c r="R18" s="20"/>
    </x:row>
    <x:row r="19">
      <x:c r="A19" s="20"/>
      <x:c r="B19" s="20"/>
      <x:c r="C19" s="20"/>
      <x:c r="D19" s="20"/>
      <x:c r="E19" s="20"/>
      <x:c r="F19" s="25"/>
      <x:c r="G19" s="25"/>
      <x:c r="H19" s="25"/>
      <x:c r="I19" s="18"/>
      <x:c r="J19" s="18"/>
      <x:c r="K19" s="19" t="str">
        <x:f t="shared" si="0"/>
      </x:c>
      <x:c r="L19" s="18"/>
      <x:c r="M19" s="18"/>
      <x:c r="N19" s="19" t="str">
        <x:f t="shared" si="1"/>
      </x:c>
      <x:c r="O19" s="20"/>
      <x:c r="P19" s="20"/>
      <x:c r="Q19" s="20"/>
      <x:c r="R19" s="20"/>
    </x:row>
    <x:row r="20">
      <x:c r="A20" s="20"/>
      <x:c r="B20" s="20"/>
      <x:c r="C20" s="20"/>
      <x:c r="D20" s="20"/>
      <x:c r="E20" s="20"/>
      <x:c r="F20" s="25"/>
      <x:c r="G20" s="25"/>
      <x:c r="H20" s="25"/>
      <x:c r="I20" s="18"/>
      <x:c r="J20" s="18"/>
      <x:c r="K20" s="19" t="str">
        <x:f t="shared" si="0"/>
      </x:c>
      <x:c r="L20" s="18"/>
      <x:c r="M20" s="18"/>
      <x:c r="N20" s="19" t="str">
        <x:f t="shared" si="1"/>
      </x:c>
      <x:c r="O20" s="20"/>
      <x:c r="P20" s="20"/>
      <x:c r="Q20" s="20"/>
      <x:c r="R20" s="20"/>
    </x:row>
    <x:row r="21">
      <x:c r="A21" s="20"/>
      <x:c r="B21" s="20"/>
      <x:c r="C21" s="20"/>
      <x:c r="D21" s="20"/>
      <x:c r="E21" s="20"/>
      <x:c r="F21" s="25"/>
      <x:c r="G21" s="25"/>
      <x:c r="H21" s="25"/>
      <x:c r="I21" s="18"/>
      <x:c r="J21" s="18"/>
      <x:c r="K21" s="19" t="str">
        <x:f t="shared" si="0"/>
      </x:c>
      <x:c r="L21" s="18"/>
      <x:c r="M21" s="18"/>
      <x:c r="N21" s="19" t="str">
        <x:f t="shared" si="1"/>
      </x:c>
      <x:c r="O21" s="20"/>
      <x:c r="P21" s="20"/>
      <x:c r="Q21" s="20"/>
      <x:c r="R21" s="20"/>
    </x:row>
    <x:row r="22">
      <x:c r="A22" s="20"/>
      <x:c r="B22" s="20"/>
      <x:c r="C22" s="20"/>
      <x:c r="D22" s="20"/>
      <x:c r="E22" s="20"/>
      <x:c r="F22" s="25"/>
      <x:c r="G22" s="25"/>
      <x:c r="H22" s="25"/>
      <x:c r="I22" s="18"/>
      <x:c r="J22" s="18"/>
      <x:c r="K22" s="19" t="str">
        <x:f t="shared" si="0"/>
      </x:c>
      <x:c r="L22" s="18"/>
      <x:c r="M22" s="18"/>
      <x:c r="N22" s="19" t="str">
        <x:f t="shared" si="1"/>
      </x:c>
      <x:c r="O22" s="20"/>
      <x:c r="P22" s="20"/>
      <x:c r="Q22" s="20"/>
      <x:c r="R22" s="20"/>
    </x:row>
    <x:row r="23">
      <x:c r="A23" s="20"/>
      <x:c r="B23" s="20"/>
      <x:c r="C23" s="20"/>
      <x:c r="D23" s="20"/>
      <x:c r="E23" s="20"/>
      <x:c r="F23" s="25"/>
      <x:c r="G23" s="25"/>
      <x:c r="H23" s="25"/>
      <x:c r="I23" s="18"/>
      <x:c r="J23" s="18"/>
      <x:c r="K23" s="19" t="str">
        <x:f t="shared" si="0"/>
      </x:c>
      <x:c r="L23" s="18"/>
      <x:c r="M23" s="18"/>
      <x:c r="N23" s="19" t="str">
        <x:f t="shared" si="1"/>
      </x:c>
      <x:c r="O23" s="20"/>
      <x:c r="P23" s="20"/>
      <x:c r="Q23" s="20"/>
      <x:c r="R23" s="20"/>
    </x:row>
    <x:row r="24">
      <x:c r="A24" s="20"/>
      <x:c r="B24" s="20"/>
      <x:c r="C24" s="20"/>
      <x:c r="D24" s="20"/>
      <x:c r="E24" s="20"/>
      <x:c r="F24" s="25"/>
      <x:c r="G24" s="25"/>
      <x:c r="H24" s="25"/>
      <x:c r="I24" s="18"/>
      <x:c r="J24" s="18"/>
      <x:c r="K24" s="19" t="str">
        <x:f t="shared" si="0"/>
      </x:c>
      <x:c r="L24" s="18"/>
      <x:c r="M24" s="18"/>
      <x:c r="N24" s="19" t="str">
        <x:f t="shared" si="1"/>
      </x:c>
      <x:c r="O24" s="20"/>
      <x:c r="P24" s="20"/>
      <x:c r="Q24" s="20"/>
      <x:c r="R24" s="20"/>
    </x:row>
  </x:sheetData>
  <x:dataValidations count="2">
    <x:dataValidation type="list" sqref="P5:P104">
      <x:formula1>"拟签订,履行中,暂停,已终止,已关闭"</x:formula1>
    </x:dataValidation>
    <x:dataValidation type="list" sqref="Q5:Q104">
      <x:formula1>"未开始,部分验收,验收通过,验收不通过"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3" width="16" customWidth="1"/>
    <x:col min="4" max="6" width="18" customWidth="1"/>
    <x:col min="7" max="9" width="28" customWidth="1"/>
    <x:col min="10" max="12" width="16" customWidth="1"/>
    <x:col min="13" max="14" width="18" customWidth="1"/>
    <x:col min="15" max="15" width="24" customWidth="1"/>
  </x:cols>
  <x:sheetData>
    <x:row r="1" ht="25" customHeight="1">
      <x:c r="A1" s="15" t="s">
        <x:v>28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2">
      <x:c r="A2" s="16" t="s">
        <x:v>174</x:v>
      </x:c>
    </x:row>
    <x:row r="4" ht="32" customHeight="1">
      <x:c r="A4" s="10" t="s">
        <x:v>175</x:v>
      </x:c>
      <x:c r="B4" s="10" t="s">
        <x:v>158</x:v>
      </x:c>
      <x:c r="C4" s="10" t="s">
        <x:v>176</x:v>
      </x:c>
      <x:c r="D4" s="10" t="s">
        <x:v>177</x:v>
      </x:c>
      <x:c r="E4" s="10" t="s">
        <x:v>178</x:v>
      </x:c>
      <x:c r="F4" s="10" t="s">
        <x:v>179</x:v>
      </x:c>
      <x:c r="G4" s="10" t="s">
        <x:v>180</x:v>
      </x:c>
      <x:c r="H4" s="10" t="s">
        <x:v>181</x:v>
      </x:c>
      <x:c r="I4" s="10" t="s">
        <x:v>182</x:v>
      </x:c>
      <x:c r="J4" s="10" t="s">
        <x:v>172</x:v>
      </x:c>
      <x:c r="K4" s="10" t="s">
        <x:v>183</x:v>
      </x:c>
      <x:c r="L4" s="10" t="s">
        <x:v>184</x:v>
      </x:c>
      <x:c r="M4" s="10" t="s">
        <x:v>185</x:v>
      </x:c>
      <x:c r="N4" s="10" t="s">
        <x:v>186</x:v>
      </x:c>
      <x:c r="O4" s="10" t="s">
        <x:v>173</x:v>
      </x:c>
    </x:row>
    <x:row r="5">
      <x:c r="A5" s="20"/>
      <x:c r="B5" s="20"/>
      <x:c r="C5" s="20"/>
      <x:c r="D5" s="25"/>
      <x:c r="E5" s="28"/>
      <x:c r="F5" s="18"/>
      <x:c r="G5" s="26"/>
      <x:c r="H5" s="26"/>
      <x:c r="I5" s="26"/>
      <x:c r="J5" s="20"/>
      <x:c r="K5" s="20"/>
      <x:c r="L5" s="20"/>
      <x:c r="M5" s="25"/>
      <x:c r="N5" s="18"/>
      <x:c r="O5" s="20"/>
    </x:row>
    <x:row r="6">
      <x:c r="A6" s="20"/>
      <x:c r="B6" s="20"/>
      <x:c r="C6" s="20"/>
      <x:c r="D6" s="25"/>
      <x:c r="E6" s="28"/>
      <x:c r="F6" s="18"/>
      <x:c r="G6" s="26"/>
      <x:c r="H6" s="26"/>
      <x:c r="I6" s="26"/>
      <x:c r="J6" s="20"/>
      <x:c r="K6" s="20"/>
      <x:c r="L6" s="20"/>
      <x:c r="M6" s="25"/>
      <x:c r="N6" s="18"/>
      <x:c r="O6" s="20"/>
    </x:row>
    <x:row r="7">
      <x:c r="A7" s="20"/>
      <x:c r="B7" s="20"/>
      <x:c r="C7" s="20"/>
      <x:c r="D7" s="25"/>
      <x:c r="E7" s="28"/>
      <x:c r="F7" s="18"/>
      <x:c r="G7" s="26"/>
      <x:c r="H7" s="26"/>
      <x:c r="I7" s="26"/>
      <x:c r="J7" s="20"/>
      <x:c r="K7" s="20"/>
      <x:c r="L7" s="20"/>
      <x:c r="M7" s="25"/>
      <x:c r="N7" s="18"/>
      <x:c r="O7" s="20"/>
    </x:row>
    <x:row r="8">
      <x:c r="A8" s="20"/>
      <x:c r="B8" s="20"/>
      <x:c r="C8" s="20"/>
      <x:c r="D8" s="25"/>
      <x:c r="E8" s="28"/>
      <x:c r="F8" s="18"/>
      <x:c r="G8" s="26"/>
      <x:c r="H8" s="26"/>
      <x:c r="I8" s="26"/>
      <x:c r="J8" s="20"/>
      <x:c r="K8" s="20"/>
      <x:c r="L8" s="20"/>
      <x:c r="M8" s="25"/>
      <x:c r="N8" s="18"/>
      <x:c r="O8" s="20"/>
    </x:row>
    <x:row r="9">
      <x:c r="A9" s="20"/>
      <x:c r="B9" s="20"/>
      <x:c r="C9" s="20"/>
      <x:c r="D9" s="25"/>
      <x:c r="E9" s="28"/>
      <x:c r="F9" s="18"/>
      <x:c r="G9" s="26"/>
      <x:c r="H9" s="26"/>
      <x:c r="I9" s="26"/>
      <x:c r="J9" s="20"/>
      <x:c r="K9" s="20"/>
      <x:c r="L9" s="20"/>
      <x:c r="M9" s="25"/>
      <x:c r="N9" s="18"/>
      <x:c r="O9" s="20"/>
    </x:row>
    <x:row r="10">
      <x:c r="A10" s="20"/>
      <x:c r="B10" s="20"/>
      <x:c r="C10" s="20"/>
      <x:c r="D10" s="25"/>
      <x:c r="E10" s="28"/>
      <x:c r="F10" s="18"/>
      <x:c r="G10" s="26"/>
      <x:c r="H10" s="26"/>
      <x:c r="I10" s="26"/>
      <x:c r="J10" s="20"/>
      <x:c r="K10" s="20"/>
      <x:c r="L10" s="20"/>
      <x:c r="M10" s="25"/>
      <x:c r="N10" s="18"/>
      <x:c r="O10" s="20"/>
    </x:row>
    <x:row r="11">
      <x:c r="A11" s="20"/>
      <x:c r="B11" s="20"/>
      <x:c r="C11" s="20"/>
      <x:c r="D11" s="25"/>
      <x:c r="E11" s="28"/>
      <x:c r="F11" s="18"/>
      <x:c r="G11" s="26"/>
      <x:c r="H11" s="26"/>
      <x:c r="I11" s="26"/>
      <x:c r="J11" s="20"/>
      <x:c r="K11" s="20"/>
      <x:c r="L11" s="20"/>
      <x:c r="M11" s="25"/>
      <x:c r="N11" s="18"/>
      <x:c r="O11" s="20"/>
    </x:row>
    <x:row r="12">
      <x:c r="A12" s="20"/>
      <x:c r="B12" s="20"/>
      <x:c r="C12" s="20"/>
      <x:c r="D12" s="25"/>
      <x:c r="E12" s="28"/>
      <x:c r="F12" s="18"/>
      <x:c r="G12" s="26"/>
      <x:c r="H12" s="26"/>
      <x:c r="I12" s="26"/>
      <x:c r="J12" s="20"/>
      <x:c r="K12" s="20"/>
      <x:c r="L12" s="20"/>
      <x:c r="M12" s="25"/>
      <x:c r="N12" s="18"/>
      <x:c r="O12" s="20"/>
    </x:row>
    <x:row r="13">
      <x:c r="A13" s="20"/>
      <x:c r="B13" s="20"/>
      <x:c r="C13" s="20"/>
      <x:c r="D13" s="25"/>
      <x:c r="E13" s="28"/>
      <x:c r="F13" s="18"/>
      <x:c r="G13" s="26"/>
      <x:c r="H13" s="26"/>
      <x:c r="I13" s="26"/>
      <x:c r="J13" s="20"/>
      <x:c r="K13" s="20"/>
      <x:c r="L13" s="20"/>
      <x:c r="M13" s="25"/>
      <x:c r="N13" s="18"/>
      <x:c r="O13" s="20"/>
    </x:row>
    <x:row r="14">
      <x:c r="A14" s="20"/>
      <x:c r="B14" s="20"/>
      <x:c r="C14" s="20"/>
      <x:c r="D14" s="25"/>
      <x:c r="E14" s="28"/>
      <x:c r="F14" s="18"/>
      <x:c r="G14" s="26"/>
      <x:c r="H14" s="26"/>
      <x:c r="I14" s="26"/>
      <x:c r="J14" s="20"/>
      <x:c r="K14" s="20"/>
      <x:c r="L14" s="20"/>
      <x:c r="M14" s="25"/>
      <x:c r="N14" s="18"/>
      <x:c r="O14" s="20"/>
    </x:row>
    <x:row r="15">
      <x:c r="A15" s="20"/>
      <x:c r="B15" s="20"/>
      <x:c r="C15" s="20"/>
      <x:c r="D15" s="25"/>
      <x:c r="E15" s="28"/>
      <x:c r="F15" s="18"/>
      <x:c r="G15" s="26"/>
      <x:c r="H15" s="26"/>
      <x:c r="I15" s="26"/>
      <x:c r="J15" s="20"/>
      <x:c r="K15" s="20"/>
      <x:c r="L15" s="20"/>
      <x:c r="M15" s="25"/>
      <x:c r="N15" s="18"/>
      <x:c r="O15" s="20"/>
    </x:row>
    <x:row r="16">
      <x:c r="A16" s="20"/>
      <x:c r="B16" s="20"/>
      <x:c r="C16" s="20"/>
      <x:c r="D16" s="25"/>
      <x:c r="E16" s="28"/>
      <x:c r="F16" s="18"/>
      <x:c r="G16" s="26"/>
      <x:c r="H16" s="26"/>
      <x:c r="I16" s="26"/>
      <x:c r="J16" s="20"/>
      <x:c r="K16" s="20"/>
      <x:c r="L16" s="20"/>
      <x:c r="M16" s="25"/>
      <x:c r="N16" s="18"/>
      <x:c r="O16" s="20"/>
    </x:row>
    <x:row r="17">
      <x:c r="A17" s="20"/>
      <x:c r="B17" s="20"/>
      <x:c r="C17" s="20"/>
      <x:c r="D17" s="25"/>
      <x:c r="E17" s="28"/>
      <x:c r="F17" s="18"/>
      <x:c r="G17" s="26"/>
      <x:c r="H17" s="26"/>
      <x:c r="I17" s="26"/>
      <x:c r="J17" s="20"/>
      <x:c r="K17" s="20"/>
      <x:c r="L17" s="20"/>
      <x:c r="M17" s="25"/>
      <x:c r="N17" s="18"/>
      <x:c r="O17" s="20"/>
    </x:row>
    <x:row r="18">
      <x:c r="A18" s="20"/>
      <x:c r="B18" s="20"/>
      <x:c r="C18" s="20"/>
      <x:c r="D18" s="25"/>
      <x:c r="E18" s="28"/>
      <x:c r="F18" s="18"/>
      <x:c r="G18" s="26"/>
      <x:c r="H18" s="26"/>
      <x:c r="I18" s="26"/>
      <x:c r="J18" s="20"/>
      <x:c r="K18" s="20"/>
      <x:c r="L18" s="20"/>
      <x:c r="M18" s="25"/>
      <x:c r="N18" s="18"/>
      <x:c r="O18" s="20"/>
    </x:row>
    <x:row r="19">
      <x:c r="A19" s="20"/>
      <x:c r="B19" s="20"/>
      <x:c r="C19" s="20"/>
      <x:c r="D19" s="25"/>
      <x:c r="E19" s="28"/>
      <x:c r="F19" s="18"/>
      <x:c r="G19" s="26"/>
      <x:c r="H19" s="26"/>
      <x:c r="I19" s="26"/>
      <x:c r="J19" s="20"/>
      <x:c r="K19" s="20"/>
      <x:c r="L19" s="20"/>
      <x:c r="M19" s="25"/>
      <x:c r="N19" s="18"/>
      <x:c r="O19" s="20"/>
    </x:row>
    <x:row r="20">
      <x:c r="A20" s="20"/>
      <x:c r="B20" s="20"/>
      <x:c r="C20" s="20"/>
      <x:c r="D20" s="25"/>
      <x:c r="E20" s="28"/>
      <x:c r="F20" s="18"/>
      <x:c r="G20" s="26"/>
      <x:c r="H20" s="26"/>
      <x:c r="I20" s="26"/>
      <x:c r="J20" s="20"/>
      <x:c r="K20" s="20"/>
      <x:c r="L20" s="20"/>
      <x:c r="M20" s="25"/>
      <x:c r="N20" s="18"/>
      <x:c r="O20" s="20"/>
    </x:row>
    <x:row r="21">
      <x:c r="A21" s="20"/>
      <x:c r="B21" s="20"/>
      <x:c r="C21" s="20"/>
      <x:c r="D21" s="25"/>
      <x:c r="E21" s="28"/>
      <x:c r="F21" s="18"/>
      <x:c r="G21" s="26"/>
      <x:c r="H21" s="26"/>
      <x:c r="I21" s="26"/>
      <x:c r="J21" s="20"/>
      <x:c r="K21" s="20"/>
      <x:c r="L21" s="20"/>
      <x:c r="M21" s="25"/>
      <x:c r="N21" s="18"/>
      <x:c r="O21" s="20"/>
    </x:row>
    <x:row r="22">
      <x:c r="A22" s="20"/>
      <x:c r="B22" s="20"/>
      <x:c r="C22" s="20"/>
      <x:c r="D22" s="25"/>
      <x:c r="E22" s="28"/>
      <x:c r="F22" s="18"/>
      <x:c r="G22" s="26"/>
      <x:c r="H22" s="26"/>
      <x:c r="I22" s="26"/>
      <x:c r="J22" s="20"/>
      <x:c r="K22" s="20"/>
      <x:c r="L22" s="20"/>
      <x:c r="M22" s="25"/>
      <x:c r="N22" s="18"/>
      <x:c r="O22" s="20"/>
    </x:row>
    <x:row r="23">
      <x:c r="A23" s="20"/>
      <x:c r="B23" s="20"/>
      <x:c r="C23" s="20"/>
      <x:c r="D23" s="25"/>
      <x:c r="E23" s="28"/>
      <x:c r="F23" s="18"/>
      <x:c r="G23" s="26"/>
      <x:c r="H23" s="26"/>
      <x:c r="I23" s="26"/>
      <x:c r="J23" s="20"/>
      <x:c r="K23" s="20"/>
      <x:c r="L23" s="20"/>
      <x:c r="M23" s="25"/>
      <x:c r="N23" s="18"/>
      <x:c r="O23" s="20"/>
    </x:row>
    <x:row r="24">
      <x:c r="A24" s="20"/>
      <x:c r="B24" s="20"/>
      <x:c r="C24" s="20"/>
      <x:c r="D24" s="25"/>
      <x:c r="E24" s="28"/>
      <x:c r="F24" s="18"/>
      <x:c r="G24" s="26"/>
      <x:c r="H24" s="26"/>
      <x:c r="I24" s="26"/>
      <x:c r="J24" s="20"/>
      <x:c r="K24" s="20"/>
      <x:c r="L24" s="20"/>
      <x:c r="M24" s="25"/>
      <x:c r="N24" s="18"/>
      <x:c r="O24" s="20"/>
    </x:row>
    <x:row r="25">
      <x:c r="A25" s="20"/>
      <x:c r="B25" s="20"/>
      <x:c r="C25" s="20"/>
      <x:c r="D25" s="25"/>
      <x:c r="E25" s="28"/>
      <x:c r="F25" s="18"/>
      <x:c r="G25" s="26"/>
      <x:c r="H25" s="26"/>
      <x:c r="I25" s="26"/>
      <x:c r="J25" s="20"/>
      <x:c r="K25" s="20"/>
      <x:c r="L25" s="20"/>
      <x:c r="M25" s="25"/>
      <x:c r="N25" s="18"/>
      <x:c r="O25" s="20"/>
    </x:row>
    <x:row r="26">
      <x:c r="A26" s="20"/>
      <x:c r="B26" s="20"/>
      <x:c r="C26" s="20"/>
      <x:c r="D26" s="25"/>
      <x:c r="E26" s="28"/>
      <x:c r="F26" s="18"/>
      <x:c r="G26" s="26"/>
      <x:c r="H26" s="26"/>
      <x:c r="I26" s="26"/>
      <x:c r="J26" s="20"/>
      <x:c r="K26" s="20"/>
      <x:c r="L26" s="20"/>
      <x:c r="M26" s="25"/>
      <x:c r="N26" s="18"/>
      <x:c r="O26" s="20"/>
    </x:row>
    <x:row r="27">
      <x:c r="A27" s="20"/>
      <x:c r="B27" s="20"/>
      <x:c r="C27" s="20"/>
      <x:c r="D27" s="25"/>
      <x:c r="E27" s="28"/>
      <x:c r="F27" s="18"/>
      <x:c r="G27" s="26"/>
      <x:c r="H27" s="26"/>
      <x:c r="I27" s="26"/>
      <x:c r="J27" s="20"/>
      <x:c r="K27" s="20"/>
      <x:c r="L27" s="20"/>
      <x:c r="M27" s="25"/>
      <x:c r="N27" s="18"/>
      <x:c r="O27" s="20"/>
    </x:row>
    <x:row r="28">
      <x:c r="A28" s="20"/>
      <x:c r="B28" s="20"/>
      <x:c r="C28" s="20"/>
      <x:c r="D28" s="25"/>
      <x:c r="E28" s="28"/>
      <x:c r="F28" s="18"/>
      <x:c r="G28" s="26"/>
      <x:c r="H28" s="26"/>
      <x:c r="I28" s="26"/>
      <x:c r="J28" s="20"/>
      <x:c r="K28" s="20"/>
      <x:c r="L28" s="20"/>
      <x:c r="M28" s="25"/>
      <x:c r="N28" s="18"/>
      <x:c r="O28" s="20"/>
    </x:row>
    <x:row r="29">
      <x:c r="A29" s="20"/>
      <x:c r="B29" s="20"/>
      <x:c r="C29" s="20"/>
      <x:c r="D29" s="25"/>
      <x:c r="E29" s="28"/>
      <x:c r="F29" s="18"/>
      <x:c r="G29" s="26"/>
      <x:c r="H29" s="26"/>
      <x:c r="I29" s="26"/>
      <x:c r="J29" s="20"/>
      <x:c r="K29" s="20"/>
      <x:c r="L29" s="20"/>
      <x:c r="M29" s="25"/>
      <x:c r="N29" s="18"/>
      <x:c r="O29" s="20"/>
    </x:row>
    <x:row r="30">
      <x:c r="A30" s="20"/>
      <x:c r="B30" s="20"/>
      <x:c r="C30" s="20"/>
      <x:c r="D30" s="25"/>
      <x:c r="E30" s="28"/>
      <x:c r="F30" s="18"/>
      <x:c r="G30" s="26"/>
      <x:c r="H30" s="26"/>
      <x:c r="I30" s="26"/>
      <x:c r="J30" s="20"/>
      <x:c r="K30" s="20"/>
      <x:c r="L30" s="20"/>
      <x:c r="M30" s="25"/>
      <x:c r="N30" s="18"/>
      <x:c r="O30" s="20"/>
    </x:row>
    <x:row r="31">
      <x:c r="A31" s="20"/>
      <x:c r="B31" s="20"/>
      <x:c r="C31" s="20"/>
      <x:c r="D31" s="25"/>
      <x:c r="E31" s="28"/>
      <x:c r="F31" s="18"/>
      <x:c r="G31" s="26"/>
      <x:c r="H31" s="26"/>
      <x:c r="I31" s="26"/>
      <x:c r="J31" s="20"/>
      <x:c r="K31" s="20"/>
      <x:c r="L31" s="20"/>
      <x:c r="M31" s="25"/>
      <x:c r="N31" s="18"/>
      <x:c r="O31" s="20"/>
    </x:row>
    <x:row r="32">
      <x:c r="A32" s="20"/>
      <x:c r="B32" s="20"/>
      <x:c r="C32" s="20"/>
      <x:c r="D32" s="25"/>
      <x:c r="E32" s="28"/>
      <x:c r="F32" s="18"/>
      <x:c r="G32" s="26"/>
      <x:c r="H32" s="26"/>
      <x:c r="I32" s="26"/>
      <x:c r="J32" s="20"/>
      <x:c r="K32" s="20"/>
      <x:c r="L32" s="20"/>
      <x:c r="M32" s="25"/>
      <x:c r="N32" s="18"/>
      <x:c r="O32" s="20"/>
    </x:row>
    <x:row r="33">
      <x:c r="A33" s="20"/>
      <x:c r="B33" s="20"/>
      <x:c r="C33" s="20"/>
      <x:c r="D33" s="25"/>
      <x:c r="E33" s="28"/>
      <x:c r="F33" s="18"/>
      <x:c r="G33" s="26"/>
      <x:c r="H33" s="26"/>
      <x:c r="I33" s="26"/>
      <x:c r="J33" s="20"/>
      <x:c r="K33" s="20"/>
      <x:c r="L33" s="20"/>
      <x:c r="M33" s="25"/>
      <x:c r="N33" s="18"/>
      <x:c r="O33" s="20"/>
    </x:row>
    <x:row r="34">
      <x:c r="A34" s="20"/>
      <x:c r="B34" s="20"/>
      <x:c r="C34" s="20"/>
      <x:c r="D34" s="25"/>
      <x:c r="E34" s="28"/>
      <x:c r="F34" s="18"/>
      <x:c r="G34" s="26"/>
      <x:c r="H34" s="26"/>
      <x:c r="I34" s="26"/>
      <x:c r="J34" s="20"/>
      <x:c r="K34" s="20"/>
      <x:c r="L34" s="20"/>
      <x:c r="M34" s="25"/>
      <x:c r="N34" s="18"/>
      <x:c r="O34" s="20"/>
    </x:row>
  </x:sheetData>
  <x:dataValidations count="2">
    <x:dataValidation type="list" sqref="J5:J104">
      <x:formula1>"未提交,待验收,验收通过,验收不通过"</x:formula1>
    </x:dataValidation>
    <x:dataValidation type="list" sqref="L5:L104">
      <x:formula1>"未申请,审批中,已批准,已驳回,已支付"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5" width="16" customWidth="1"/>
    <x:col min="6" max="6" width="36" customWidth="1"/>
    <x:col min="7" max="10" width="19" customWidth="1"/>
    <x:col min="11" max="15" width="18" customWidth="1"/>
  </x:cols>
  <x:sheetData>
    <x:row r="1" ht="25" customHeight="1">
      <x:c r="A1" s="15" t="s">
        <x:v>31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2">
      <x:c r="A2" s="16" t="s">
        <x:v>187</x:v>
      </x:c>
    </x:row>
    <x:row r="4" ht="32" customHeight="1">
      <x:c r="A4" s="10" t="s">
        <x:v>188</x:v>
      </x:c>
      <x:c r="B4" s="10" t="s">
        <x:v>189</x:v>
      </x:c>
      <x:c r="C4" s="10" t="s">
        <x:v>190</x:v>
      </x:c>
      <x:c r="D4" s="10" t="s">
        <x:v>191</x:v>
      </x:c>
      <x:c r="E4" s="10" t="s">
        <x:v>192</x:v>
      </x:c>
      <x:c r="F4" s="10" t="s">
        <x:v>193</x:v>
      </x:c>
      <x:c r="G4" s="10" t="s">
        <x:v>194</x:v>
      </x:c>
      <x:c r="H4" s="10" t="s">
        <x:v>195</x:v>
      </x:c>
      <x:c r="I4" s="10" t="s">
        <x:v>196</x:v>
      </x:c>
      <x:c r="J4" s="10" t="s">
        <x:v>197</x:v>
      </x:c>
      <x:c r="K4" s="10" t="s">
        <x:v>198</x:v>
      </x:c>
      <x:c r="L4" s="10" t="s">
        <x:v>199</x:v>
      </x:c>
      <x:c r="M4" s="10" t="s">
        <x:v>200</x:v>
      </x:c>
      <x:c r="N4" s="10" t="s">
        <x:v>201</x:v>
      </x:c>
      <x:c r="O4" s="10" t="s">
        <x:v>202</x:v>
      </x:c>
    </x:row>
    <x:row r="5">
      <x:c r="A5" s="20"/>
      <x:c r="B5" s="25"/>
      <x:c r="C5" s="20"/>
      <x:c r="D5" s="20"/>
      <x:c r="E5" s="20"/>
      <x:c r="F5" s="26"/>
      <x:c r="G5" s="18"/>
      <x:c r="H5" s="18"/>
      <x:c r="I5" s="18"/>
      <x:c r="J5" s="19" t="str">
        <x:f t="shared" ref="J5:J24" si="0">IF(COUNTA(G5:I5)=0,"",SUM(G5:I5))</x:f>
      </x:c>
      <x:c r="K5" s="27"/>
      <x:c r="L5" s="20"/>
      <x:c r="M5" s="20"/>
      <x:c r="N5" s="20"/>
      <x:c r="O5" s="20"/>
    </x:row>
    <x:row r="6">
      <x:c r="A6" s="20"/>
      <x:c r="B6" s="25"/>
      <x:c r="C6" s="20"/>
      <x:c r="D6" s="20"/>
      <x:c r="E6" s="20"/>
      <x:c r="F6" s="26"/>
      <x:c r="G6" s="18"/>
      <x:c r="H6" s="18"/>
      <x:c r="I6" s="18"/>
      <x:c r="J6" s="19" t="str">
        <x:f t="shared" si="0"/>
      </x:c>
      <x:c r="K6" s="27"/>
      <x:c r="L6" s="20"/>
      <x:c r="M6" s="20"/>
      <x:c r="N6" s="20"/>
      <x:c r="O6" s="20"/>
    </x:row>
    <x:row r="7">
      <x:c r="A7" s="20"/>
      <x:c r="B7" s="25"/>
      <x:c r="C7" s="20"/>
      <x:c r="D7" s="20"/>
      <x:c r="E7" s="20"/>
      <x:c r="F7" s="26"/>
      <x:c r="G7" s="18"/>
      <x:c r="H7" s="18"/>
      <x:c r="I7" s="18"/>
      <x:c r="J7" s="19" t="str">
        <x:f t="shared" si="0"/>
      </x:c>
      <x:c r="K7" s="27"/>
      <x:c r="L7" s="20"/>
      <x:c r="M7" s="20"/>
      <x:c r="N7" s="20"/>
      <x:c r="O7" s="20"/>
    </x:row>
    <x:row r="8">
      <x:c r="A8" s="20"/>
      <x:c r="B8" s="25"/>
      <x:c r="C8" s="20"/>
      <x:c r="D8" s="20"/>
      <x:c r="E8" s="20"/>
      <x:c r="F8" s="26"/>
      <x:c r="G8" s="18"/>
      <x:c r="H8" s="18"/>
      <x:c r="I8" s="18"/>
      <x:c r="J8" s="19" t="str">
        <x:f t="shared" si="0"/>
      </x:c>
      <x:c r="K8" s="27"/>
      <x:c r="L8" s="20"/>
      <x:c r="M8" s="20"/>
      <x:c r="N8" s="20"/>
      <x:c r="O8" s="20"/>
    </x:row>
    <x:row r="9">
      <x:c r="A9" s="20"/>
      <x:c r="B9" s="25"/>
      <x:c r="C9" s="20"/>
      <x:c r="D9" s="20"/>
      <x:c r="E9" s="20"/>
      <x:c r="F9" s="26"/>
      <x:c r="G9" s="18"/>
      <x:c r="H9" s="18"/>
      <x:c r="I9" s="18"/>
      <x:c r="J9" s="19" t="str">
        <x:f t="shared" si="0"/>
      </x:c>
      <x:c r="K9" s="27"/>
      <x:c r="L9" s="20"/>
      <x:c r="M9" s="20"/>
      <x:c r="N9" s="20"/>
      <x:c r="O9" s="20"/>
    </x:row>
    <x:row r="10">
      <x:c r="A10" s="20"/>
      <x:c r="B10" s="25"/>
      <x:c r="C10" s="20"/>
      <x:c r="D10" s="20"/>
      <x:c r="E10" s="20"/>
      <x:c r="F10" s="26"/>
      <x:c r="G10" s="18"/>
      <x:c r="H10" s="18"/>
      <x:c r="I10" s="18"/>
      <x:c r="J10" s="19" t="str">
        <x:f t="shared" si="0"/>
      </x:c>
      <x:c r="K10" s="27"/>
      <x:c r="L10" s="20"/>
      <x:c r="M10" s="20"/>
      <x:c r="N10" s="20"/>
      <x:c r="O10" s="20"/>
    </x:row>
    <x:row r="11">
      <x:c r="A11" s="20"/>
      <x:c r="B11" s="25"/>
      <x:c r="C11" s="20"/>
      <x:c r="D11" s="20"/>
      <x:c r="E11" s="20"/>
      <x:c r="F11" s="26"/>
      <x:c r="G11" s="18"/>
      <x:c r="H11" s="18"/>
      <x:c r="I11" s="18"/>
      <x:c r="J11" s="19" t="str">
        <x:f t="shared" si="0"/>
      </x:c>
      <x:c r="K11" s="27"/>
      <x:c r="L11" s="20"/>
      <x:c r="M11" s="20"/>
      <x:c r="N11" s="20"/>
      <x:c r="O11" s="20"/>
    </x:row>
    <x:row r="12">
      <x:c r="A12" s="20"/>
      <x:c r="B12" s="25"/>
      <x:c r="C12" s="20"/>
      <x:c r="D12" s="20"/>
      <x:c r="E12" s="20"/>
      <x:c r="F12" s="26"/>
      <x:c r="G12" s="18"/>
      <x:c r="H12" s="18"/>
      <x:c r="I12" s="18"/>
      <x:c r="J12" s="19" t="str">
        <x:f t="shared" si="0"/>
      </x:c>
      <x:c r="K12" s="27"/>
      <x:c r="L12" s="20"/>
      <x:c r="M12" s="20"/>
      <x:c r="N12" s="20"/>
      <x:c r="O12" s="20"/>
    </x:row>
    <x:row r="13">
      <x:c r="A13" s="20"/>
      <x:c r="B13" s="25"/>
      <x:c r="C13" s="20"/>
      <x:c r="D13" s="20"/>
      <x:c r="E13" s="20"/>
      <x:c r="F13" s="26"/>
      <x:c r="G13" s="18"/>
      <x:c r="H13" s="18"/>
      <x:c r="I13" s="18"/>
      <x:c r="J13" s="19" t="str">
        <x:f t="shared" si="0"/>
      </x:c>
      <x:c r="K13" s="27"/>
      <x:c r="L13" s="20"/>
      <x:c r="M13" s="20"/>
      <x:c r="N13" s="20"/>
      <x:c r="O13" s="20"/>
    </x:row>
    <x:row r="14">
      <x:c r="A14" s="20"/>
      <x:c r="B14" s="25"/>
      <x:c r="C14" s="20"/>
      <x:c r="D14" s="20"/>
      <x:c r="E14" s="20"/>
      <x:c r="F14" s="26"/>
      <x:c r="G14" s="18"/>
      <x:c r="H14" s="18"/>
      <x:c r="I14" s="18"/>
      <x:c r="J14" s="19" t="str">
        <x:f t="shared" si="0"/>
      </x:c>
      <x:c r="K14" s="27"/>
      <x:c r="L14" s="20"/>
      <x:c r="M14" s="20"/>
      <x:c r="N14" s="20"/>
      <x:c r="O14" s="20"/>
    </x:row>
    <x:row r="15">
      <x:c r="A15" s="20"/>
      <x:c r="B15" s="25"/>
      <x:c r="C15" s="20"/>
      <x:c r="D15" s="20"/>
      <x:c r="E15" s="20"/>
      <x:c r="F15" s="26"/>
      <x:c r="G15" s="18"/>
      <x:c r="H15" s="18"/>
      <x:c r="I15" s="18"/>
      <x:c r="J15" s="19" t="str">
        <x:f t="shared" si="0"/>
      </x:c>
      <x:c r="K15" s="27"/>
      <x:c r="L15" s="20"/>
      <x:c r="M15" s="20"/>
      <x:c r="N15" s="20"/>
      <x:c r="O15" s="20"/>
    </x:row>
    <x:row r="16">
      <x:c r="A16" s="20"/>
      <x:c r="B16" s="25"/>
      <x:c r="C16" s="20"/>
      <x:c r="D16" s="20"/>
      <x:c r="E16" s="20"/>
      <x:c r="F16" s="26"/>
      <x:c r="G16" s="18"/>
      <x:c r="H16" s="18"/>
      <x:c r="I16" s="18"/>
      <x:c r="J16" s="19" t="str">
        <x:f t="shared" si="0"/>
      </x:c>
      <x:c r="K16" s="27"/>
      <x:c r="L16" s="20"/>
      <x:c r="M16" s="20"/>
      <x:c r="N16" s="20"/>
      <x:c r="O16" s="20"/>
    </x:row>
    <x:row r="17">
      <x:c r="A17" s="20"/>
      <x:c r="B17" s="25"/>
      <x:c r="C17" s="20"/>
      <x:c r="D17" s="20"/>
      <x:c r="E17" s="20"/>
      <x:c r="F17" s="26"/>
      <x:c r="G17" s="18"/>
      <x:c r="H17" s="18"/>
      <x:c r="I17" s="18"/>
      <x:c r="J17" s="19" t="str">
        <x:f t="shared" si="0"/>
      </x:c>
      <x:c r="K17" s="27"/>
      <x:c r="L17" s="20"/>
      <x:c r="M17" s="20"/>
      <x:c r="N17" s="20"/>
      <x:c r="O17" s="20"/>
    </x:row>
    <x:row r="18">
      <x:c r="A18" s="20"/>
      <x:c r="B18" s="25"/>
      <x:c r="C18" s="20"/>
      <x:c r="D18" s="20"/>
      <x:c r="E18" s="20"/>
      <x:c r="F18" s="26"/>
      <x:c r="G18" s="18"/>
      <x:c r="H18" s="18"/>
      <x:c r="I18" s="18"/>
      <x:c r="J18" s="19" t="str">
        <x:f t="shared" si="0"/>
      </x:c>
      <x:c r="K18" s="27"/>
      <x:c r="L18" s="20"/>
      <x:c r="M18" s="20"/>
      <x:c r="N18" s="20"/>
      <x:c r="O18" s="20"/>
    </x:row>
    <x:row r="19">
      <x:c r="A19" s="20"/>
      <x:c r="B19" s="25"/>
      <x:c r="C19" s="20"/>
      <x:c r="D19" s="20"/>
      <x:c r="E19" s="20"/>
      <x:c r="F19" s="26"/>
      <x:c r="G19" s="18"/>
      <x:c r="H19" s="18"/>
      <x:c r="I19" s="18"/>
      <x:c r="J19" s="19" t="str">
        <x:f t="shared" si="0"/>
      </x:c>
      <x:c r="K19" s="27"/>
      <x:c r="L19" s="20"/>
      <x:c r="M19" s="20"/>
      <x:c r="N19" s="20"/>
      <x:c r="O19" s="20"/>
    </x:row>
    <x:row r="20">
      <x:c r="A20" s="20"/>
      <x:c r="B20" s="25"/>
      <x:c r="C20" s="20"/>
      <x:c r="D20" s="20"/>
      <x:c r="E20" s="20"/>
      <x:c r="F20" s="26"/>
      <x:c r="G20" s="18"/>
      <x:c r="H20" s="18"/>
      <x:c r="I20" s="18"/>
      <x:c r="J20" s="19" t="str">
        <x:f t="shared" si="0"/>
      </x:c>
      <x:c r="K20" s="27"/>
      <x:c r="L20" s="20"/>
      <x:c r="M20" s="20"/>
      <x:c r="N20" s="20"/>
      <x:c r="O20" s="20"/>
    </x:row>
    <x:row r="21">
      <x:c r="A21" s="20"/>
      <x:c r="B21" s="25"/>
      <x:c r="C21" s="20"/>
      <x:c r="D21" s="20"/>
      <x:c r="E21" s="20"/>
      <x:c r="F21" s="26"/>
      <x:c r="G21" s="18"/>
      <x:c r="H21" s="18"/>
      <x:c r="I21" s="18"/>
      <x:c r="J21" s="19" t="str">
        <x:f t="shared" si="0"/>
      </x:c>
      <x:c r="K21" s="27"/>
      <x:c r="L21" s="20"/>
      <x:c r="M21" s="20"/>
      <x:c r="N21" s="20"/>
      <x:c r="O21" s="20"/>
    </x:row>
    <x:row r="22">
      <x:c r="A22" s="20"/>
      <x:c r="B22" s="25"/>
      <x:c r="C22" s="20"/>
      <x:c r="D22" s="20"/>
      <x:c r="E22" s="20"/>
      <x:c r="F22" s="26"/>
      <x:c r="G22" s="18"/>
      <x:c r="H22" s="18"/>
      <x:c r="I22" s="18"/>
      <x:c r="J22" s="19" t="str">
        <x:f t="shared" si="0"/>
      </x:c>
      <x:c r="K22" s="27"/>
      <x:c r="L22" s="20"/>
      <x:c r="M22" s="20"/>
      <x:c r="N22" s="20"/>
      <x:c r="O22" s="20"/>
    </x:row>
    <x:row r="23">
      <x:c r="A23" s="20"/>
      <x:c r="B23" s="25"/>
      <x:c r="C23" s="20"/>
      <x:c r="D23" s="20"/>
      <x:c r="E23" s="20"/>
      <x:c r="F23" s="26"/>
      <x:c r="G23" s="18"/>
      <x:c r="H23" s="18"/>
      <x:c r="I23" s="18"/>
      <x:c r="J23" s="19" t="str">
        <x:f t="shared" si="0"/>
      </x:c>
      <x:c r="K23" s="27"/>
      <x:c r="L23" s="20"/>
      <x:c r="M23" s="20"/>
      <x:c r="N23" s="20"/>
      <x:c r="O23" s="20"/>
    </x:row>
    <x:row r="24">
      <x:c r="A24" s="20"/>
      <x:c r="B24" s="25"/>
      <x:c r="C24" s="20"/>
      <x:c r="D24" s="20"/>
      <x:c r="E24" s="20"/>
      <x:c r="F24" s="26"/>
      <x:c r="G24" s="18"/>
      <x:c r="H24" s="18"/>
      <x:c r="I24" s="18"/>
      <x:c r="J24" s="19" t="str">
        <x:f t="shared" si="0"/>
      </x:c>
      <x:c r="K24" s="27"/>
      <x:c r="L24" s="20"/>
      <x:c r="M24" s="20"/>
      <x:c r="N24" s="20"/>
      <x:c r="O24" s="20"/>
    </x:row>
  </x:sheetData>
  <x:dataValidations count="2">
    <x:dataValidation type="list" sqref="M5:M104">
      <x:formula1>"待评审,批准,有条件批准,拒绝,暂缓"</x:formula1>
    </x:dataValidation>
    <x:dataValidation type="list" sqref="O5:O104">
      <x:formula1>"不适用,待更新,已更新"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4" customWidth="1"/>
    <x:col min="3" max="9" width="20" customWidth="1"/>
    <x:col min="10" max="10" width="34" customWidth="1"/>
  </x:cols>
  <x:sheetData>
    <x:row r="1" ht="25" customHeight="1">
      <x:c r="A1" s="15" t="s">
        <x:v>203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6" t="str">
        <x:v>计划人工成本按1135人天及统一平均人日单价分布。承诺、实际和完工估算需每月更新；空白表示尚无可靠数据。</x:v>
      </x:c>
    </x:row>
    <x:row r="4" ht="32" customHeight="1">
      <x:c r="A4" s="10" t="s">
        <x:v>204</x:v>
      </x:c>
      <x:c r="B4" s="10" t="s">
        <x:v>2</x:v>
      </x:c>
      <x:c r="C4" s="10" t="s">
        <x:v>109</x:v>
      </x:c>
      <x:c r="D4" s="10" t="s">
        <x:v>205</x:v>
      </x:c>
      <x:c r="E4" s="10" t="s">
        <x:v>54</x:v>
      </x:c>
      <x:c r="F4" s="10" t="s">
        <x:v>206</x:v>
      </x:c>
      <x:c r="G4" s="10" t="s">
        <x:v>207</x:v>
      </x:c>
      <x:c r="H4" s="10" t="s">
        <x:v>208</x:v>
      </x:c>
      <x:c r="I4" s="10" t="s">
        <x:v>209</x:v>
      </x:c>
      <x:c r="J4" s="10" t="s">
        <x:v>210</x:v>
      </x:c>
    </x:row>
    <x:row r="5">
      <x:c r="A5" s="11" t="s">
        <x:v>211</x:v>
      </x:c>
      <x:c r="B5" s="56">
        <x:v>90</x:v>
      </x:c>
      <x:c r="C5" s="59" t="n">
        <x:f>B5*'人工成本预算'!$E$3</x:f>
        <x:v>108000</x:v>
      </x:c>
      <x:c r="D5" s="58"/>
      <x:c r="E5" s="60" t="n">
        <x:f t="shared" ref="E5:E12" si="0">IF(D5="",C5,C5+D5)</x:f>
        <x:v>108000</x:v>
      </x:c>
      <x:c r="F5" s="58"/>
      <x:c r="G5" s="58"/>
      <x:c r="H5" s="58"/>
      <x:c r="I5" s="60" t="str">
        <x:f t="shared" ref="I5:I13" si="1">IF(OR(E5="",H5=""),"",E5-H5)</x:f>
      </x:c>
      <x:c r="J5" s="20"/>
    </x:row>
    <x:row r="6">
      <x:c r="A6" s="11" t="s">
        <x:v>212</x:v>
      </x:c>
      <x:c r="B6" s="56">
        <x:v>150</x:v>
      </x:c>
      <x:c r="C6" s="59" t="n">
        <x:f t="shared" ref="C6:C12" si="2">B6*'人工成本预算'!$E$3</x:f>
        <x:v>180000</x:v>
      </x:c>
      <x:c r="D6" s="58"/>
      <x:c r="E6" s="60" t="n">
        <x:f t="shared" si="0">IF(D6="",C6,C6+D6)</x:f>
        <x:v>180000</x:v>
      </x:c>
      <x:c r="F6" s="58"/>
      <x:c r="G6" s="58"/>
      <x:c r="H6" s="58"/>
      <x:c r="I6" s="60" t="str">
        <x:f t="shared" si="1">IF(OR(E6="",H6=""),"",E6-H6)</x:f>
      </x:c>
      <x:c r="J6" s="20"/>
    </x:row>
    <x:row r="7">
      <x:c r="A7" s="11" t="s">
        <x:v>213</x:v>
      </x:c>
      <x:c r="B7" s="56">
        <x:v>180</x:v>
      </x:c>
      <x:c r="C7" s="59" t="n">
        <x:f t="shared" si="2">B7*'人工成本预算'!$E$3</x:f>
        <x:v>216000</x:v>
      </x:c>
      <x:c r="D7" s="58"/>
      <x:c r="E7" s="60" t="n">
        <x:f t="shared" si="0">IF(D7="",C7,C7+D7)</x:f>
        <x:v>216000</x:v>
      </x:c>
      <x:c r="F7" s="58"/>
      <x:c r="G7" s="58"/>
      <x:c r="H7" s="58"/>
      <x:c r="I7" s="60" t="str">
        <x:f t="shared" si="1">IF(OR(E7="",H7=""),"",E7-H7)</x:f>
      </x:c>
      <x:c r="J7" s="20"/>
    </x:row>
    <x:row r="8">
      <x:c r="A8" s="11" t="s">
        <x:v>214</x:v>
      </x:c>
      <x:c r="B8" s="56">
        <x:v>180</x:v>
      </x:c>
      <x:c r="C8" s="59" t="n">
        <x:f t="shared" si="2">B8*'人工成本预算'!$E$3</x:f>
        <x:v>216000</x:v>
      </x:c>
      <x:c r="D8" s="58"/>
      <x:c r="E8" s="60" t="n">
        <x:f t="shared" si="0">IF(D8="",C8,C8+D8)</x:f>
        <x:v>216000</x:v>
      </x:c>
      <x:c r="F8" s="58"/>
      <x:c r="G8" s="58"/>
      <x:c r="H8" s="58"/>
      <x:c r="I8" s="60" t="str">
        <x:f t="shared" si="1">IF(OR(E8="",H8=""),"",E8-H8)</x:f>
      </x:c>
      <x:c r="J8" s="20"/>
    </x:row>
    <x:row r="9">
      <x:c r="A9" s="11" t="s">
        <x:v>215</x:v>
      </x:c>
      <x:c r="B9" s="56">
        <x:v>165</x:v>
      </x:c>
      <x:c r="C9" s="59" t="n">
        <x:f t="shared" si="2">B9*'人工成本预算'!$E$3</x:f>
        <x:v>198000</x:v>
      </x:c>
      <x:c r="D9" s="58"/>
      <x:c r="E9" s="60" t="n">
        <x:f t="shared" si="0">IF(D9="",C9,C9+D9)</x:f>
        <x:v>198000</x:v>
      </x:c>
      <x:c r="F9" s="58"/>
      <x:c r="G9" s="58"/>
      <x:c r="H9" s="58"/>
      <x:c r="I9" s="60" t="str">
        <x:f t="shared" si="1">IF(OR(E9="",H9=""),"",E9-H9)</x:f>
      </x:c>
      <x:c r="J9" s="20"/>
    </x:row>
    <x:row r="10">
      <x:c r="A10" s="11" t="s">
        <x:v>216</x:v>
      </x:c>
      <x:c r="B10" s="56">
        <x:v>165</x:v>
      </x:c>
      <x:c r="C10" s="59" t="n">
        <x:f t="shared" si="2">B10*'人工成本预算'!$E$3</x:f>
        <x:v>198000</x:v>
      </x:c>
      <x:c r="D10" s="58"/>
      <x:c r="E10" s="60" t="n">
        <x:f t="shared" si="0">IF(D10="",C10,C10+D10)</x:f>
        <x:v>198000</x:v>
      </x:c>
      <x:c r="F10" s="58"/>
      <x:c r="G10" s="58"/>
      <x:c r="H10" s="58"/>
      <x:c r="I10" s="60" t="str">
        <x:f t="shared" si="1">IF(OR(E10="",H10=""),"",E10-H10)</x:f>
      </x:c>
      <x:c r="J10" s="20"/>
    </x:row>
    <x:row r="11">
      <x:c r="A11" s="11" t="s">
        <x:v>217</x:v>
      </x:c>
      <x:c r="B11" s="56">
        <x:v>120</x:v>
      </x:c>
      <x:c r="C11" s="59" t="n">
        <x:f t="shared" si="2">B11*'人工成本预算'!$E$3</x:f>
        <x:v>144000</x:v>
      </x:c>
      <x:c r="D11" s="58"/>
      <x:c r="E11" s="60" t="n">
        <x:f t="shared" si="0">IF(D11="",C11,C11+D11)</x:f>
        <x:v>144000</x:v>
      </x:c>
      <x:c r="F11" s="58"/>
      <x:c r="G11" s="58"/>
      <x:c r="H11" s="58"/>
      <x:c r="I11" s="60" t="str">
        <x:f t="shared" si="1">IF(OR(E11="",H11=""),"",E11-H11)</x:f>
      </x:c>
      <x:c r="J11" s="20"/>
    </x:row>
    <x:row r="12">
      <x:c r="A12" s="11" t="s">
        <x:v>218</x:v>
      </x:c>
      <x:c r="B12" s="56">
        <x:v>85</x:v>
      </x:c>
      <x:c r="C12" s="59" t="n">
        <x:f t="shared" si="2">B12*'人工成本预算'!$E$3</x:f>
        <x:v>102000</x:v>
      </x:c>
      <x:c r="D12" s="58"/>
      <x:c r="E12" s="60" t="n">
        <x:f t="shared" si="0">IF(D12="",C12,C12+D12)</x:f>
        <x:v>102000</x:v>
      </x:c>
      <x:c r="F12" s="58"/>
      <x:c r="G12" s="58"/>
      <x:c r="H12" s="58"/>
      <x:c r="I12" s="60" t="str">
        <x:f t="shared" si="1">IF(OR(E12="",H12=""),"",E12-H12)</x:f>
      </x:c>
      <x:c r="J12" s="20"/>
    </x:row>
    <x:row r="13">
      <x:c r="A13" s="21" t="s">
        <x:v>123</x:v>
      </x:c>
      <x:c r="B13" s="61" t="n">
        <x:f>SUM(B5:B12)</x:f>
        <x:v>1135</x:v>
      </x:c>
      <x:c r="C13" s="61" t="n">
        <x:f>SUM(C5:C12)</x:f>
        <x:v>1362000</x:v>
      </x:c>
      <x:c r="D13" s="61" t="str">
        <x:f>IF(COUNTA(D5:D12)=0,"",SUM(D5:D12))</x:f>
      </x:c>
      <x:c r="E13" s="62" t="n">
        <x:f>SUM(E5:E12)</x:f>
        <x:v>1362000</x:v>
      </x:c>
      <x:c r="F13" s="61" t="str">
        <x:f>IF(COUNTA(F5:F12)=0,"",SUM(F5:F12))</x:f>
      </x:c>
      <x:c r="G13" s="61" t="str">
        <x:f>IF(COUNTA(G5:G12)=0,"",SUM(G5:G12))</x:f>
      </x:c>
      <x:c r="H13" s="61" t="str">
        <x:f>IF(COUNTA(H5:H12)=0,"",SUM(H5:H12))</x:f>
      </x:c>
      <x:c r="I13" s="62" t="str">
        <x:f t="shared" si="1">IF(OR(E13="",H13=""),"",E13-H13)</x:f>
      </x:c>
      <x:c r="J13" s="21"/>
    </x:row>
  </x:sheetData>
  <x:mergeCells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customWidth="1"/>
    <x:col min="2" max="2" width="62" customWidth="1"/>
  </x:cols>
  <x:sheetData>
    <x:row r="1" ht="32" customHeight="1">
      <x:c r="A1" s="10" t="s">
        <x:v>219</x:v>
      </x:c>
      <x:c r="B1" s="10" t="s">
        <x:v>220</x:v>
      </x:c>
    </x:row>
    <x:row r="2">
      <x:c r="A2" s="11" t="s">
        <x:v>221</x:v>
      </x:c>
      <x:c r="B2" s="11" t="s">
        <x:v>222</x:v>
      </x:c>
    </x:row>
    <x:row r="3">
      <x:c r="A3" s="11" t="s">
        <x:v>223</x:v>
      </x:c>
      <x:c r="B3" s="11" t="s">
        <x:v>224</x:v>
      </x:c>
    </x:row>
    <x:row r="4">
      <x:c r="A4" s="11" t="s">
        <x:v>225</x:v>
      </x:c>
      <x:c r="B4" s="11" t="str">
        <x:v>05</x:v>
      </x:c>
    </x:row>
    <x:row r="5">
      <x:c r="A5" s="11" t="s">
        <x:v>226</x:v>
      </x:c>
      <x:c r="B5" s="63" t="n">
        <x:v>46283</x:v>
      </x:c>
    </x:row>
    <x:row r="6">
      <x:c r="A6" s="11" t="s">
        <x:v>227</x:v>
      </x:c>
      <x:c r="B6" s="11" t="s">
        <x:v>228</x:v>
      </x:c>
    </x:row>
    <x:row r="7">
      <x:c r="A7" s="11" t="s">
        <x:v>3</x:v>
      </x:c>
      <x:c r="B7" s="64" t="n">
        <x:f>'人工成本预算'!E3</x:f>
        <x:v>1200</x:v>
      </x:c>
    </x:row>
    <x:row r="8">
      <x:c r="A8" s="11" t="s">
        <x:v>229</x:v>
      </x:c>
      <x:c r="B8" s="64" t="n">
        <x:f>B7/8</x:f>
        <x:v>150</x:v>
      </x:c>
    </x:row>
    <x:row r="9">
      <x:c r="A9" s="11" t="s">
        <x:v>2</x:v>
      </x:c>
      <x:c r="B9" s="64" t="n">
        <x:f>'人工成本预算'!D14</x:f>
        <x:v>1135</x:v>
      </x:c>
    </x:row>
    <x:row r="10">
      <x:c r="A10" s="11" t="s">
        <x:v>1</x:v>
      </x:c>
      <x:c r="B10" s="64" t="n">
        <x:f>B7*B9</x:f>
        <x:v>1362000</x:v>
      </x:c>
    </x:row>
    <x:row r="11">
      <x:c r="A11" s="11" t="s">
        <x:v>4</x:v>
      </x:c>
      <x:c r="B11" s="64">
        <x:v>7</x:v>
      </x:c>
    </x:row>
    <x:row r="12">
      <x:c r="A12" s="11" t="s">
        <x:v>230</x:v>
      </x:c>
      <x:c r="B12" s="64" t="n">
        <x:f>'人工成本预算'!C14</x:f>
        <x:v>30</x:v>
      </x:c>
    </x:row>
    <x:row r="13">
      <x:c r="A13" s="11" t="s">
        <x:v>231</x:v>
      </x:c>
      <x:c r="B13" s="12">
        <x:v>46315</x:v>
      </x:c>
    </x:row>
    <x:row r="14">
      <x:c r="A14" s="11" t="s">
        <x:v>232</x:v>
      </x:c>
      <x:c r="B14" s="12">
        <x:v>46538</x:v>
      </x:c>
    </x:row>
    <x:row r="15">
      <x:c r="A15" s="11" t="s">
        <x:v>233</x:v>
      </x:c>
      <x:c r="B15" s="11" t="s">
        <x:v>234</x:v>
      </x:c>
    </x:row>
    <x:row r="16">
      <x:c r="A16" s="11" t="s">
        <x:v>235</x:v>
      </x:c>
      <x:c r="B16" s="11" t="s">
        <x:v>236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成本与合同管理-20260918-V4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237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238</x:v>
      </x:c>
      <x:c r="B4" s="5" t="s">
        <x:v>224</x:v>
      </x:c>
      <x:c r="C4" s="3"/>
      <x:c r="D4" s="3"/>
      <x:c r="E4" s="3"/>
      <x:c r="F4" s="3"/>
      <x:c r="G4" s="3"/>
      <x:c r="H4" s="3"/>
    </x:row>
    <x:row r="5" ht="22" customHeight="1">
      <x:c r="A5" s="4" t="s">
        <x:v>239</x:v>
      </x:c>
      <x:c r="B5" s="5" t="s">
        <x:v>240</x:v>
      </x:c>
      <x:c r="C5" s="3"/>
      <x:c r="D5" s="3"/>
      <x:c r="E5" s="3"/>
      <x:c r="F5" s="3"/>
      <x:c r="G5" s="3"/>
      <x:c r="H5" s="3"/>
    </x:row>
    <x:row r="6" ht="22" customHeight="1">
      <x:c r="A6" s="4" t="s">
        <x:v>241</x:v>
      </x:c>
      <x:c r="B6" s="5" t="s">
        <x:v>242</x:v>
      </x:c>
      <x:c r="C6" s="3"/>
      <x:c r="D6" s="3"/>
      <x:c r="E6" s="3"/>
      <x:c r="F6" s="3"/>
      <x:c r="G6" s="3"/>
      <x:c r="H6" s="3"/>
    </x:row>
    <x:row r="7" ht="22" customHeight="1">
      <x:c r="A7" s="4" t="s">
        <x:v>243</x:v>
      </x:c>
      <x:c r="B7" s="5" t="s">
        <x:v>244</x:v>
      </x:c>
      <x:c r="C7" s="3"/>
      <x:c r="D7" s="3"/>
      <x:c r="E7" s="3"/>
      <x:c r="F7" s="3"/>
      <x:c r="G7" s="3"/>
      <x:c r="H7" s="3"/>
    </x:row>
    <x:row r="8" ht="22" customHeight="1">
      <x:c r="A8" s="4" t="s">
        <x:v>245</x:v>
      </x:c>
      <x:c r="B8" s="5" t="s">
        <x:v>246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247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tr">
        <x:v>在“人工成本预算”E3维护唯一平均人日单价（当前1200元/人日）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248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249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250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251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252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253</x:v>
      </x:c>
      <x:c r="B19" s="9" t="s">
        <x:v>254</x:v>
      </x:c>
      <x:c r="C19" s="9" t="s">
        <x:v>255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256</x:v>
      </x:c>
      <x:c r="C20" s="4" t="s">
        <x:v>257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258</x:v>
      </x:c>
      <x:c r="C21" s="4" t="s">
        <x:v>259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tr">
        <x:v>按角色维护人数和计划人天，所有成本统一引用平均人日单价</x:v>
      </x:c>
      <x:c r="C22" s="4" t="s">
        <x:v>260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22</x:v>
      </x:c>
      <x:c r="C23" s="4" t="s">
        <x:v>261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25</x:v>
      </x:c>
      <x:c r="C24" s="4" t="s">
        <x:v>262</x:v>
      </x:c>
      <x:c r="D24" s="3"/>
      <x:c r="E24" s="3"/>
      <x:c r="F24" s="3"/>
      <x:c r="G24" s="3"/>
      <x:c r="H24" s="3"/>
    </x:row>
    <x:row r="25" ht="22" customHeight="1">
      <x:c r="A25" s="4">
        <x:v>6</x:v>
      </x:c>
      <x:c r="B25" s="4" t="s">
        <x:v>28</x:v>
      </x:c>
      <x:c r="C25" s="4" t="s">
        <x:v>263</x:v>
      </x:c>
      <x:c r="D25" s="3"/>
      <x:c r="E25" s="3"/>
      <x:c r="F25" s="3"/>
      <x:c r="G25" s="3"/>
      <x:c r="H25" s="3"/>
    </x:row>
    <x:row r="26" ht="22" customHeight="1">
      <x:c r="A26" s="4">
        <x:v>7</x:v>
      </x:c>
      <x:c r="B26" s="4" t="s">
        <x:v>31</x:v>
      </x:c>
      <x:c r="C26" s="4" t="s">
        <x:v>264</x:v>
      </x:c>
      <x:c r="D26" s="3"/>
      <x:c r="E26" s="3"/>
      <x:c r="F26" s="3"/>
      <x:c r="G26" s="3"/>
      <x:c r="H26" s="3"/>
    </x:row>
    <x:row r="27" ht="22" customHeight="1">
      <x:c r="A27" s="4">
        <x:v>8</x:v>
      </x:c>
      <x:c r="B27" s="4" t="s">
        <x:v>34</x:v>
      </x:c>
      <x:c r="C27" s="4" t="s">
        <x:v>265</x:v>
      </x:c>
      <x:c r="D27" s="3"/>
      <x:c r="E27" s="3"/>
      <x:c r="F27" s="3"/>
      <x:c r="G27" s="3"/>
      <x:c r="H27" s="3"/>
    </x:row>
    <x:row r="28" ht="22" customHeight="1">
      <x:c r="A28" s="4">
        <x:v>9</x:v>
      </x:c>
      <x:c r="B28" s="4" t="s">
        <x:v>266</x:v>
      </x:c>
      <x:c r="C28" s="4" t="s">
        <x:v>267</x:v>
      </x:c>
      <x:c r="D28" s="3"/>
      <x:c r="E28" s="3"/>
      <x:c r="F28" s="3"/>
      <x:c r="G28" s="3"/>
      <x:c r="H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</x:row>
    <x:row r="30" ht="22" customHeight="1">
      <x:c r="A30" s="6" t="s">
        <x:v>268</x:v>
      </x:c>
      <x:c r="B30" s="7"/>
      <x:c r="C30" s="7"/>
      <x:c r="D30" s="7"/>
      <x:c r="E30" s="7"/>
      <x:c r="F30" s="7"/>
      <x:c r="G30" s="7"/>
      <x:c r="H30" s="8"/>
    </x:row>
    <x:row r="31" ht="22" customHeight="1">
      <x:c r="A31" s="3">
        <x:v>1</x:v>
      </x:c>
      <x:c r="B31" s="3" t="s">
        <x:v>269</x:v>
      </x:c>
      <x:c r="C31" s="3"/>
      <x:c r="D31" s="3"/>
      <x:c r="E31" s="3"/>
      <x:c r="F31" s="3"/>
      <x:c r="G31" s="3"/>
      <x:c r="H31" s="3"/>
    </x:row>
    <x:row r="32" ht="22" customHeight="1">
      <x:c r="A32" s="3">
        <x:v>2</x:v>
      </x:c>
      <x:c r="B32" s="3" t="s">
        <x:v>270</x:v>
      </x:c>
      <x:c r="C32" s="3"/>
      <x:c r="D32" s="3"/>
      <x:c r="E32" s="3"/>
      <x:c r="F32" s="3"/>
      <x:c r="G32" s="3"/>
      <x:c r="H32" s="3"/>
    </x:row>
    <x:row r="33" ht="22" customHeight="1">
      <x:c r="A33" s="3">
        <x:v>3</x:v>
      </x:c>
      <x:c r="B33" s="3" t="s">
        <x:v>271</x:v>
      </x:c>
      <x:c r="C33" s="3"/>
      <x:c r="D33" s="3"/>
      <x:c r="E33" s="3"/>
      <x:c r="F33" s="3"/>
      <x:c r="G33" s="3"/>
      <x:c r="H33" s="3"/>
    </x:row>
    <x:row r="34" ht="22" customHeight="1">
      <x:c r="A34" s="3">
        <x:v>4</x:v>
      </x:c>
      <x:c r="B34" s="3" t="s">
        <x:v>272</x:v>
      </x:c>
      <x:c r="C34" s="3"/>
      <x:c r="D34" s="3"/>
      <x:c r="E34" s="3"/>
      <x:c r="F34" s="3"/>
      <x:c r="G34" s="3"/>
      <x:c r="H34" s="3"/>
    </x:row>
    <x:row r="35" ht="22" customHeight="1">
      <x:c r="A35" s="3">
        <x:v>5</x:v>
      </x:c>
      <x:c r="B35" s="3" t="s">
        <x:v>273</x:v>
      </x:c>
      <x:c r="C35" s="3"/>
      <x:c r="D35" s="3"/>
      <x:c r="E35" s="3"/>
      <x:c r="F35" s="3"/>
      <x:c r="G35" s="3"/>
      <x:c r="H35" s="3"/>
    </x:row>
    <x:row r="36" ht="22" customHeight="1">
      <x:c r="A36" s="3">
        <x:v>6</x:v>
      </x:c>
      <x:c r="B36" s="3" t="s">
        <x:v>274</x:v>
      </x:c>
      <x:c r="C36" s="3"/>
      <x:c r="D36" s="3"/>
      <x:c r="E36" s="3"/>
      <x:c r="F36" s="3"/>
      <x:c r="G36" s="3"/>
      <x:c r="H36" s="3"/>
    </x:row>
    <x:row r="37">
      <x:c r="A37" s="68" t="str">
        <x:v>平均单价规则</x:v>
      </x:c>
      <x:c r="B37" s="68" t="str">
        <x:v>只在人工成本预算E3维护；角色明细、预算基线、总览、月度偏差和数据接口均自动引用</x:v>
      </x:c>
      <x:c r="C37" s="68"/>
    </x:row>
    <x:row r="38">
      <x:c r="A38" s="68" t="str">
        <x:v>换算规则</x:v>
      </x:c>
      <x:c r="B38" s="68" t="str">
        <x:v>1人日=8小时；小时单价=平均人日单价÷8</x:v>
      </x:c>
      <x:c r="C38" s="68"/>
    </x:row>
    <x:row r="39">
      <x:c r="A39" s="68" t="str">
        <x:v>成本保护</x:v>
      </x:c>
      <x:c r="B39" s="68" t="str">
        <x:v>计划人天保持用户确认数据；修改平均单价后，应复核总人工成本及预算批准状态</x:v>
      </x:c>
      <x:c r="C39" s="68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
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firstSheet="2" activeTab="8"/>
  </bookViews>
  <sheets>
    <sheet name="成本总览" sheetId="1" r:id="rId1"/>
    <sheet name="预算基线" sheetId="2" r:id="rId2"/>
    <sheet name="人工成本预算" sheetId="3" r:id="rId3"/>
    <sheet name="采购包计划" sheetId="4" r:id="rId4"/>
    <sheet name="合同台账" sheetId="5" r:id="rId5"/>
    <sheet name="付款里程碑" sheetId="6" r:id="rId6"/>
    <sheet name="成本变更台账" sheetId="7" r:id="rId7"/>
    <sheet name="成本偏差分析" sheetId="8" r:id="rId8"/>
    <sheet name="_数据接口" sheetId="9" r:id="rId9"/>
    <sheet name="使用说明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<sst xmlns="http://schemas.openxmlformats.org/spreadsheetml/2006/main" count="392" uniqueCount="285">
  <si>
    <t>成本与合同管理总览</t>
  </si>
  <si>
    <t>数据日期：2026-09-17。人工成本已量化；采购、基础设施及专业服务尚未取得有效报价。</t>
  </si>
  <si>
    <t>已量化人工预算</t>
  </si>
  <si>
    <t>计划人天</t>
  </si>
  <si>
    <t>人日单价</t>
  </si>
  <si>
    <t>待估算采购包</t>
  </si>
  <si>
    <t>已签合同数</t>
  </si>
  <si>
    <t>已付款金额</t>
  </si>
  <si>
    <t>预算与合同控制门禁</t>
  </si>
  <si>
    <t>控制项</t>
  </si>
  <si>
    <t>当前状态</t>
  </si>
  <si>
    <t>责任人</t>
  </si>
  <si>
    <t>最迟日期</t>
  </si>
  <si>
    <t>通过标准</t>
  </si>
  <si>
    <t>证据位置</t>
  </si>
  <si>
    <t>项目总预算批准</t>
  </si>
  <si>
    <t>未通过</t>
  </si>
  <si>
    <t>项目集经理</t>
  </si>
  <si>
    <t>人工、采购、基础设施、服务和预备费全部量化并批准</t>
  </si>
  <si>
    <t>预算批准记录</t>
  </si>
  <si>
    <t>采购包预算完成</t>
  </si>
  <si>
    <t>项目经理</t>
  </si>
  <si>
    <t>7个采购包取得可比报价或批准估算依据</t>
  </si>
  <si>
    <t>采购包计划</t>
  </si>
  <si>
    <t>合同与需求基线一致</t>
  </si>
  <si>
    <t>合同范围、交付物、验收和需求基线可追踪</t>
  </si>
  <si>
    <t>合同台账</t>
  </si>
  <si>
    <t>付款与验收挂钩</t>
  </si>
  <si>
    <t>每笔付款均有明确交付物、验收证据和批准条件</t>
  </si>
  <si>
    <t>付款里程碑</t>
  </si>
  <si>
    <t>成本变更纳入控制</t>
  </si>
  <si>
    <t>预算基线变动均有影响分析和批准记录</t>
  </si>
  <si>
    <t>成本变更台账</t>
  </si>
  <si>
    <t>成本偏差定期复核</t>
  </si>
  <si>
    <t>按月更新承诺、实际、预测完成成本和偏差原因</t>
  </si>
  <si>
    <t>成本偏差分析</t>
  </si>
  <si>
    <t>当前判断</t>
  </si>
  <si>
    <t>1</t>
  </si>
  <si>
    <t>当前只能确认人工成本136.2万元，不能把该金额视为项目总预算。</t>
  </si>
  <si>
    <t>2</t>
  </si>
  <si>
    <t>CA、电子文档和BI产品应在POC结论后形成许可、实施、接口和运维全口径报价。</t>
  </si>
  <si>
    <t>3</t>
  </si>
  <si>
    <t>合同付款节点应绑定交付物与验收证据，避免仅按日期或工作量付款。</t>
  </si>
  <si>
    <t>4</t>
  </si>
  <si>
    <t>新增范围应同时评估人工、采购、进度和后续运维成本，并更新成本基线。</t>
  </si>
  <si>
    <t>项目预算基线</t>
  </si>
  <si>
    <t>当前仅人工成本有可靠数量和单价。缺少来源金额的成本项显示为“待估算”，不按0元处理。</t>
  </si>
  <si>
    <t>预算ID</t>
  </si>
  <si>
    <t>成本类别</t>
  </si>
  <si>
    <t>成本项目</t>
  </si>
  <si>
    <t>一次性/经常性</t>
  </si>
  <si>
    <t>计量依据</t>
  </si>
  <si>
    <t>数量</t>
  </si>
  <si>
    <t>单价(元)</t>
  </si>
  <si>
    <t>初始预算(元)</t>
  </si>
  <si>
    <t>批准变更(元)</t>
  </si>
  <si>
    <t>当前预算(元)</t>
  </si>
  <si>
    <t>估算状态</t>
  </si>
  <si>
    <t>估算依据/说明</t>
  </si>
  <si>
    <t>BUD-001</t>
  </si>
  <si>
    <t>建设成本</t>
  </si>
  <si>
    <t>项目人工</t>
  </si>
  <si>
    <t>一次性</t>
  </si>
  <si>
    <t>1135人天</t>
  </si>
  <si>
    <t>已量化</t>
  </si>
  <si>
    <t>计划与进度管理资源估算</t>
  </si>
  <si>
    <t>BUD-002</t>
  </si>
  <si>
    <t>软件成本</t>
  </si>
  <si>
    <t>CA及电子签章</t>
  </si>
  <si>
    <t>一次性+经常性</t>
  </si>
  <si>
    <t>许可、实施及接口</t>
  </si>
  <si>
    <t>技术经理</t>
  </si>
  <si>
    <t>待估算</t>
  </si>
  <si>
    <t>等待POC和厂商报价</t>
  </si>
  <si>
    <t>BUD-003</t>
  </si>
  <si>
    <t>电子文档产品</t>
  </si>
  <si>
    <t>BUD-004</t>
  </si>
  <si>
    <t>BI报表产品</t>
  </si>
  <si>
    <t>BUD-005</t>
  </si>
  <si>
    <t>基础设施</t>
  </si>
  <si>
    <t>云资源与基础设施</t>
  </si>
  <si>
    <t>环境、存储、备份与容灾</t>
  </si>
  <si>
    <t>配置人员</t>
  </si>
  <si>
    <t>等待架构与容量基线</t>
  </si>
  <si>
    <t>BUD-006</t>
  </si>
  <si>
    <t>专业服务</t>
  </si>
  <si>
    <t>安全测评与专业测试</t>
  </si>
  <si>
    <t>安全、性能及第三方测评</t>
  </si>
  <si>
    <t>测试人员</t>
  </si>
  <si>
    <t>等待测试策略与询价</t>
  </si>
  <si>
    <t>BUD-007</t>
  </si>
  <si>
    <t>数据迁移服务</t>
  </si>
  <si>
    <t>清洗、转换、迁移和对账</t>
  </si>
  <si>
    <t>产品经理</t>
  </si>
  <si>
    <t>等待数据范围与质量评估</t>
  </si>
  <si>
    <t>BUD-008</t>
  </si>
  <si>
    <t>外部实施与专项支持</t>
  </si>
  <si>
    <t>产品实施、联调与上线保障</t>
  </si>
  <si>
    <t>等待工作说明书与报价</t>
  </si>
  <si>
    <t>BUD-009</t>
  </si>
  <si>
    <t>风险储备</t>
  </si>
  <si>
    <t>应急储备</t>
  </si>
  <si>
    <t>经批准的已知风险应对</t>
  </si>
  <si>
    <t>基于量化风险分析确定</t>
  </si>
  <si>
    <t>BUD-010</t>
  </si>
  <si>
    <t>管理储备</t>
  </si>
  <si>
    <t>未知风险和管理裁量</t>
  </si>
  <si>
    <t>经管理层批准后单列</t>
  </si>
  <si>
    <t>人工成本预算</t>
  </si>
  <si>
    <t>人日单价按用户确认的1200元/人天。计划人天为初始分配，合计1135人天，需结合资源计划持续校准。</t>
  </si>
  <si>
    <t>角色编码</t>
  </si>
  <si>
    <t>角色</t>
  </si>
  <si>
    <t>计划人数</t>
  </si>
  <si>
    <t>人日单价(元)</t>
  </si>
  <si>
    <t>计划人工成本(元)</t>
  </si>
  <si>
    <t>估算说明</t>
  </si>
  <si>
    <t>PGM</t>
  </si>
  <si>
    <t>初始估算，需确认</t>
  </si>
  <si>
    <t>PM</t>
  </si>
  <si>
    <t>TM</t>
  </si>
  <si>
    <t>PDM</t>
  </si>
  <si>
    <t>UI</t>
  </si>
  <si>
    <t>美工</t>
  </si>
  <si>
    <t>SDEV</t>
  </si>
  <si>
    <t>高级开发人员</t>
  </si>
  <si>
    <t>MDEV</t>
  </si>
  <si>
    <t>中级开发人员</t>
  </si>
  <si>
    <t>QA</t>
  </si>
  <si>
    <t>CM</t>
  </si>
  <si>
    <t>合计</t>
  </si>
  <si>
    <t>用于形成询价、比选、合同签订和预算纳入的前置清单。计划金额为空表示尚未取得可靠估算。</t>
  </si>
  <si>
    <t>采购包ID</t>
  </si>
  <si>
    <t>采购包名称</t>
  </si>
  <si>
    <t>采购类型</t>
  </si>
  <si>
    <t>范围与计价边界</t>
  </si>
  <si>
    <t>负责人</t>
  </si>
  <si>
    <t>估算完成日期</t>
  </si>
  <si>
    <t>计划签约日期</t>
  </si>
  <si>
    <t>计划金额(元)</t>
  </si>
  <si>
    <t>预算状态</t>
  </si>
  <si>
    <t>前置条件</t>
  </si>
  <si>
    <t>PKG-001</t>
  </si>
  <si>
    <t>CA及电子签章产品</t>
  </si>
  <si>
    <t>软件/服务</t>
  </si>
  <si>
    <t>POC结论、许可模式和接口费用确认</t>
  </si>
  <si>
    <t>POC后确认</t>
  </si>
  <si>
    <t>PKG-002</t>
  </si>
  <si>
    <t>模板、预览、转换、水印、归档及性能费用确认</t>
  </si>
  <si>
    <t>PKG-003</t>
  </si>
  <si>
    <t>许可、用户数、服务器和实施费用确认</t>
  </si>
  <si>
    <t>PKG-004</t>
  </si>
  <si>
    <t>开发、测试、生产、备份和容灾资源确认</t>
  </si>
  <si>
    <t>架构基线后确认</t>
  </si>
  <si>
    <t>PKG-005</t>
  </si>
  <si>
    <t>安全、性能及第三方测评范围确认</t>
  </si>
  <si>
    <t>测试策略后确认</t>
  </si>
  <si>
    <t>PKG-006</t>
  </si>
  <si>
    <t>存量数据范围、质量、清洗和迁移工作量确认</t>
  </si>
  <si>
    <t>数据范围后确认</t>
  </si>
  <si>
    <t>PKG-007</t>
  </si>
  <si>
    <t>产品实施、接口支持和上线保障边界确认</t>
  </si>
  <si>
    <t>合同边界后确认</t>
  </si>
  <si>
    <t>采购合同台账</t>
  </si>
  <si>
    <t>签约后录入合同范围、金额、交付物、验收、付款和变更信息。</t>
  </si>
  <si>
    <t>合同ID</t>
  </si>
  <si>
    <t>合同名称</t>
  </si>
  <si>
    <t>供应商</t>
  </si>
  <si>
    <t>合同类型</t>
  </si>
  <si>
    <t>签订日期</t>
  </si>
  <si>
    <t>开始日期</t>
  </si>
  <si>
    <t>结束日期</t>
  </si>
  <si>
    <t>合同金额(元)</t>
  </si>
  <si>
    <t>已批准变更(元)</t>
  </si>
  <si>
    <t>当前合同额(元)</t>
  </si>
  <si>
    <t>已验收金额(元)</t>
  </si>
  <si>
    <t>已付款金额(元)</t>
  </si>
  <si>
    <t>未付款金额(元)</t>
  </si>
  <si>
    <t>合同状态</t>
  </si>
  <si>
    <t>验收状态</t>
  </si>
  <si>
    <t>备注</t>
  </si>
  <si>
    <t>付款必须绑定合同、交付物、验收标准和批准证据。未取得验收证据的节点不得标记为可付款。</t>
  </si>
  <si>
    <t>付款ID</t>
  </si>
  <si>
    <t>付款节点</t>
  </si>
  <si>
    <t>计划付款日期</t>
  </si>
  <si>
    <t>付款比例</t>
  </si>
  <si>
    <t>计划付款金额(元)</t>
  </si>
  <si>
    <t>对应交付物</t>
  </si>
  <si>
    <t>验收标准</t>
  </si>
  <si>
    <t>验收证据</t>
  </si>
  <si>
    <t>发票状态</t>
  </si>
  <si>
    <t>付款审批状态</t>
  </si>
  <si>
    <t>实际付款日期</t>
  </si>
  <si>
    <t>实际付款金额(元)</t>
  </si>
  <si>
    <t>记录导致预算或合同金额变化的事项；范围变更、索赔和价格调整均需保留批准依据。</t>
  </si>
  <si>
    <t>成本变更ID</t>
  </si>
  <si>
    <t>提出日期</t>
  </si>
  <si>
    <t>来源类型</t>
  </si>
  <si>
    <t>关联范围变更</t>
  </si>
  <si>
    <t>关联合同</t>
  </si>
  <si>
    <t>变更说明</t>
  </si>
  <si>
    <t>人工成本影响(元)</t>
  </si>
  <si>
    <t>采购成本影响(元)</t>
  </si>
  <si>
    <t>运维成本影响(元)</t>
  </si>
  <si>
    <t>总成本影响(元)</t>
  </si>
  <si>
    <t>进度影响(天)</t>
  </si>
  <si>
    <t>评估人</t>
  </si>
  <si>
    <t>决策</t>
  </si>
  <si>
    <t>决策人/日期</t>
  </si>
  <si>
    <t>基线更新状态</t>
  </si>
  <si>
    <t>月度成本偏差分析</t>
  </si>
  <si>
    <t>计划人工成本按初始1135人天分布。承诺、实际和完工估算需每月更新；空白表示尚无可靠数据。</t>
  </si>
  <si>
    <t>月份</t>
  </si>
  <si>
    <t>采购/其他预算(元)</t>
  </si>
  <si>
    <t>承诺成本(元)</t>
  </si>
  <si>
    <t>实际成本(元)</t>
  </si>
  <si>
    <t>完工估算EAC(元)</t>
  </si>
  <si>
    <t>预算偏差(元)</t>
  </si>
  <si>
    <t>偏差说明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</si>
  <si>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</si>
  <si>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</si>
  <si>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</si>
  <si>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</si>
  <si>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</si>
  <si>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</si>
  <si>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</si>
  <si>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</si>
  <si>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</si>
  <si>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</si>
  <si>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</si>
  <si>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</si>
  <si>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</si>
  <si>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</si>
  <si>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</si>
  <si>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04</t>
  </si>
  <si>
    <t>数据日期</t>
  </si>
  <si>
    <t>币种</t>
  </si>
  <si>
    <t>CNY</t>
  </si>
  <si>
    <t>小时单价</t>
  </si>
  <si>
    <t>计划总人数</t>
  </si>
  <si>
    <t>正式启动日期</t>
  </si>
  <si>
    <t>计划上线日期</t>
  </si>
  <si>
    <t>预算完整性</t>
  </si>
  <si>
    <t>不完整</t>
  </si>
  <si>
    <t>中央数据库</t>
  </si>
  <si>
    <t>../90_项目数据中心/ai_pmo.db</t>
  </si>
  <si>
    <t>成本与合同管理-20260917-V3 使用说明</t>
  </si>
  <si>
    <t>管理预算基线、人工成本、采购包、合同、付款和成本偏差。</t>
  </si>
  <si>
    <t>项目</t>
  </si>
  <si>
    <t>适用对象</t>
  </si>
  <si>
    <t>项目经理、采购负责人、财务负责人、合同管理员</t>
  </si>
  <si>
    <t>更新频率</t>
  </si>
  <si>
    <t>成本实际发生或合同付款状态变化时更新；每月复核偏差。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</si>
  <si>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</si>
  <si>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</si>
  <si>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</si>
  <si>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</si>
  <si>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</si>
  <si>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确认预算和人工单价假设</t>
  </si>
  <si>
    <t>维护采购包及合同台账</t>
  </si>
  <si>
    <t>登记付款里程碑和证据</t>
  </si>
  <si>
    <t>记录成本变更并履行审批</t>
  </si>
  <si>
    <t>复核成本偏差和预测完工成本</t>
  </si>
  <si>
    <t>工作表导航</t>
  </si>
  <si>
    <t>顺序</t>
  </si>
  <si>
    <t>工作表</t>
  </si>
  <si>
    <t>用途</t>
  </si>
  <si>
    <t>成本总览</t>
  </si>
  <si>
    <t>查看预算、合同和偏差关键指标。</t>
  </si>
  <si>
    <t>预算基线</t>
  </si>
  <si>
    <t>维护批准预算结构。</t>
  </si>
  <si>
    <t>按角色和投入估算人工成本。</t>
  </si>
  <si>
    <t>规划外采范围、采购方式和时间。</t>
  </si>
  <si>
    <t>维护采购合同核心信息。</t>
  </si>
  <si>
    <t>跟踪付款条件、金额和证据。</t>
  </si>
  <si>
    <t>登记预算或合同金额变更。</t>
  </si>
  <si>
    <t>比较预算、实际和预测。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</si>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</sst>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;[Red]\(\¥#,##0\);\-"/>
    <numFmt numFmtId="178" formatCode="#,##0.0;[Red]\(#,##0.0\);\-"/>
    <numFmt numFmtId="179" formatCode="0.0%"/>
  </numFmts>
  <fonts count="32">
    <font>
      <sz val="11"/>
      <name val="Carlito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sz val="10"/>
      <color rgb="FF008000"/>
      <name val="Arial"/>
      <charset val="134"/>
    </font>
    <font>
      <sz val="10"/>
      <color rgb="FF0000FF"/>
      <name val="Arial"/>
      <charset val="134"/>
    </font>
    <font>
      <b/>
      <sz val="10"/>
      <color rgb="FF243447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double">
        <color rgb="FF1F4E78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6" fillId="4" borderId="5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vertical="center"/>
    </xf>
    <xf numFmtId="176" fontId="7" fillId="0" borderId="5" xfId="49" applyNumberFormat="1" applyFont="1" applyFill="1" applyBorder="1" applyAlignment="1">
      <alignment vertical="center"/>
    </xf>
    <xf numFmtId="177" fontId="7" fillId="0" borderId="5" xfId="49" applyNumberFormat="1" applyFont="1" applyFill="1" applyBorder="1" applyAlignment="1">
      <alignment vertical="center"/>
    </xf>
    <xf numFmtId="178" fontId="7" fillId="0" borderId="5" xfId="49" applyNumberFormat="1" applyFont="1" applyFill="1" applyBorder="1" applyAlignment="1">
      <alignment vertical="center"/>
    </xf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177" fontId="10" fillId="0" borderId="5" xfId="49" applyNumberFormat="1" applyFont="1" applyFill="1" applyBorder="1" applyAlignment="1">
      <alignment vertical="center"/>
    </xf>
    <xf numFmtId="177" fontId="11" fillId="2" borderId="5" xfId="49" applyNumberFormat="1" applyFont="1" applyFill="1" applyBorder="1" applyAlignment="1">
      <alignment vertical="center"/>
    </xf>
    <xf numFmtId="177" fontId="7" fillId="5" borderId="5" xfId="49" applyNumberFormat="1" applyFont="1" applyFill="1" applyBorder="1" applyAlignment="1">
      <alignment vertical="center"/>
    </xf>
    <xf numFmtId="0" fontId="11" fillId="2" borderId="5" xfId="49" applyNumberFormat="1" applyFont="1" applyFill="1" applyBorder="1" applyAlignment="1">
      <alignment vertical="center"/>
    </xf>
    <xf numFmtId="0" fontId="12" fillId="0" borderId="5" xfId="49" applyNumberFormat="1" applyFont="1" applyFill="1" applyBorder="1" applyAlignment="1">
      <alignment vertical="center"/>
    </xf>
    <xf numFmtId="178" fontId="12" fillId="0" borderId="5" xfId="49" applyNumberFormat="1" applyFont="1" applyFill="1" applyBorder="1" applyAlignment="1">
      <alignment vertical="center"/>
    </xf>
    <xf numFmtId="177" fontId="12" fillId="0" borderId="5" xfId="49" applyNumberFormat="1" applyFont="1" applyFill="1" applyBorder="1" applyAlignment="1">
      <alignment vertical="center"/>
    </xf>
    <xf numFmtId="177" fontId="12" fillId="5" borderId="5" xfId="49" applyNumberFormat="1" applyFont="1" applyFill="1" applyBorder="1" applyAlignment="1">
      <alignment vertical="center"/>
    </xf>
    <xf numFmtId="176" fontId="11" fillId="2" borderId="5" xfId="49" applyNumberFormat="1" applyFont="1" applyFill="1" applyBorder="1" applyAlignment="1">
      <alignment vertical="center"/>
    </xf>
    <xf numFmtId="0" fontId="11" fillId="2" borderId="5" xfId="49" applyNumberFormat="1" applyFont="1" applyFill="1" applyBorder="1" applyAlignment="1">
      <alignment vertical="center" wrapText="1"/>
    </xf>
    <xf numFmtId="178" fontId="11" fillId="2" borderId="5" xfId="49" applyNumberFormat="1" applyFont="1" applyFill="1" applyBorder="1" applyAlignment="1">
      <alignment vertical="center"/>
    </xf>
    <xf numFmtId="179" fontId="11" fillId="2" borderId="5" xfId="49" applyNumberFormat="1" applyFont="1" applyFill="1" applyBorder="1" applyAlignment="1">
      <alignment vertical="center"/>
    </xf>
    <xf numFmtId="0" fontId="7" fillId="0" borderId="5" xfId="49" applyNumberFormat="1" applyFont="1" applyFill="1" applyBorder="1" applyAlignment="1">
      <alignment vertical="center" wrapText="1"/>
    </xf>
    <xf numFmtId="177" fontId="10" fillId="5" borderId="5" xfId="49" applyNumberFormat="1" applyFont="1" applyFill="1" applyBorder="1" applyAlignment="1">
      <alignment vertical="center"/>
    </xf>
    <xf numFmtId="0" fontId="12" fillId="0" borderId="6" xfId="49" applyNumberFormat="1" applyFont="1" applyFill="1" applyBorder="1" applyAlignment="1">
      <alignment vertical="center"/>
    </xf>
    <xf numFmtId="178" fontId="12" fillId="0" borderId="6" xfId="49" applyNumberFormat="1" applyFont="1" applyFill="1" applyBorder="1" applyAlignment="1">
      <alignment vertical="center"/>
    </xf>
    <xf numFmtId="177" fontId="12" fillId="0" borderId="6" xfId="49" applyNumberFormat="1" applyFont="1" applyFill="1" applyBorder="1" applyAlignment="1">
      <alignment vertical="center"/>
    </xf>
    <xf numFmtId="0" fontId="12" fillId="6" borderId="5" xfId="49" applyNumberFormat="1" applyFont="1" applyFill="1" applyBorder="1" applyAlignment="1">
      <alignment vertical="center"/>
    </xf>
    <xf numFmtId="0" fontId="5" fillId="6" borderId="7" xfId="49" applyNumberFormat="1" applyFont="1" applyFill="1" applyBorder="1" applyAlignment="1">
      <alignment vertical="center"/>
    </xf>
    <xf numFmtId="0" fontId="5" fillId="6" borderId="8" xfId="49" applyNumberFormat="1" applyFont="1" applyFill="1" applyBorder="1" applyAlignment="1">
      <alignment vertical="center"/>
    </xf>
    <xf numFmtId="0" fontId="5" fillId="6" borderId="9" xfId="49" applyNumberFormat="1" applyFont="1" applyFill="1" applyBorder="1" applyAlignment="1">
      <alignment vertical="center"/>
    </xf>
    <xf numFmtId="0" fontId="7" fillId="7" borderId="5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showGridLines="0" workbookViewId="0">
      <selection activeCell="D7" sqref="D7"/>
    </sheetView>
  </sheetViews>
  <sheetFormatPr defaultColWidth="9" defaultRowHeight="16.8"/>
  <cols>
    <col min="1" max="1" width="22" customWidth="1"/>
    <col min="2" max="2" width="48" customWidth="1"/>
    <col min="3" max="3" width="17" customWidth="1"/>
    <col min="4" max="4" width="15" customWidth="1"/>
    <col min="5" max="6" width="32" customWidth="1"/>
    <col min="7" max="12" width="15" customWidth="1"/>
  </cols>
  <sheetData>
    <row r="1" ht="25" customHeight="1" spans="1:1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6" t="s">
        <v>1</v>
      </c>
    </row>
    <row r="4" spans="1:12">
      <c r="A4" s="34" t="s">
        <v>2</v>
      </c>
      <c r="B4" s="34"/>
      <c r="C4" s="34" t="s">
        <v>3</v>
      </c>
      <c r="D4" s="34"/>
      <c r="E4" s="34" t="s">
        <v>4</v>
      </c>
      <c r="F4" s="34"/>
      <c r="G4" s="34" t="s">
        <v>5</v>
      </c>
      <c r="H4" s="34"/>
      <c r="I4" s="34" t="s">
        <v>6</v>
      </c>
      <c r="J4" s="34"/>
      <c r="K4" s="34" t="s">
        <v>7</v>
      </c>
      <c r="L4" s="34"/>
    </row>
    <row r="5" spans="1:12">
      <c r="A5" s="13">
        <f>C5*E5</f>
        <v>1645750</v>
      </c>
      <c r="B5" s="11"/>
      <c r="C5" s="14">
        <v>1135</v>
      </c>
      <c r="D5" s="11"/>
      <c r="E5" s="13">
        <v>1450</v>
      </c>
      <c r="F5" s="11"/>
      <c r="G5" s="11">
        <v>7</v>
      </c>
      <c r="H5" s="11"/>
      <c r="I5" s="11">
        <v>0</v>
      </c>
      <c r="J5" s="11"/>
      <c r="K5" s="13">
        <v>0</v>
      </c>
      <c r="L5" s="11"/>
    </row>
    <row r="8" spans="1:12">
      <c r="A8" s="35" t="s">
        <v>8</v>
      </c>
      <c r="B8" s="36"/>
      <c r="C8" s="36"/>
      <c r="D8" s="36"/>
      <c r="E8" s="36"/>
      <c r="F8" s="37"/>
    </row>
    <row r="9" ht="32" customHeight="1" spans="1:12">
      <c r="A9" s="10" t="s">
        <v>9</v>
      </c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</row>
    <row r="10" ht="31" spans="1:12">
      <c r="A10" s="11" t="s">
        <v>15</v>
      </c>
      <c r="B10" s="38" t="s">
        <v>16</v>
      </c>
      <c r="C10" s="11" t="s">
        <v>17</v>
      </c>
      <c r="D10" s="12">
        <v>46311</v>
      </c>
      <c r="E10" s="29" t="s">
        <v>18</v>
      </c>
      <c r="F10" s="29" t="s">
        <v>19</v>
      </c>
    </row>
    <row r="11" spans="1:12">
      <c r="A11" s="11" t="s">
        <v>20</v>
      </c>
      <c r="B11" s="38" t="s">
        <v>16</v>
      </c>
      <c r="C11" s="11" t="s">
        <v>21</v>
      </c>
      <c r="D11" s="12">
        <v>46310</v>
      </c>
      <c r="E11" s="29" t="s">
        <v>22</v>
      </c>
      <c r="F11" s="29" t="s">
        <v>23</v>
      </c>
    </row>
    <row r="12" spans="1:12">
      <c r="A12" s="11" t="s">
        <v>24</v>
      </c>
      <c r="B12" s="38" t="s">
        <v>16</v>
      </c>
      <c r="C12" s="11" t="s">
        <v>21</v>
      </c>
      <c r="D12" s="12">
        <v>46326</v>
      </c>
      <c r="E12" s="29" t="s">
        <v>25</v>
      </c>
      <c r="F12" s="29" t="s">
        <v>26</v>
      </c>
    </row>
    <row r="13" spans="1:12">
      <c r="A13" s="11" t="s">
        <v>27</v>
      </c>
      <c r="B13" s="38" t="s">
        <v>16</v>
      </c>
      <c r="C13" s="11" t="s">
        <v>21</v>
      </c>
      <c r="D13" s="12">
        <v>46326</v>
      </c>
      <c r="E13" s="29" t="s">
        <v>28</v>
      </c>
      <c r="F13" s="29" t="s">
        <v>29</v>
      </c>
    </row>
    <row r="14" spans="1:12">
      <c r="A14" s="11" t="s">
        <v>30</v>
      </c>
      <c r="B14" s="38" t="s">
        <v>16</v>
      </c>
      <c r="C14" s="11" t="s">
        <v>17</v>
      </c>
      <c r="D14" s="12">
        <v>46315</v>
      </c>
      <c r="E14" s="29" t="s">
        <v>31</v>
      </c>
      <c r="F14" s="29" t="s">
        <v>32</v>
      </c>
    </row>
    <row r="15" spans="1:12">
      <c r="A15" s="11" t="s">
        <v>33</v>
      </c>
      <c r="B15" s="38" t="s">
        <v>16</v>
      </c>
      <c r="C15" s="11" t="s">
        <v>21</v>
      </c>
      <c r="D15" s="12">
        <v>46356</v>
      </c>
      <c r="E15" s="29" t="s">
        <v>34</v>
      </c>
      <c r="F15" s="29" t="s">
        <v>35</v>
      </c>
    </row>
    <row r="18" spans="1:6">
      <c r="A18" s="35" t="s">
        <v>36</v>
      </c>
      <c r="B18" s="36"/>
      <c r="C18" s="36"/>
      <c r="D18" s="36"/>
      <c r="E18" s="36"/>
      <c r="F18" s="37"/>
    </row>
    <row r="19" ht="34" customHeight="1" spans="1:6">
      <c r="A19" s="29" t="s">
        <v>37</v>
      </c>
      <c r="B19" s="29" t="s">
        <v>38</v>
      </c>
      <c r="C19" s="29"/>
      <c r="D19" s="29"/>
      <c r="E19" s="29"/>
      <c r="F19" s="29"/>
    </row>
    <row r="20" ht="34" customHeight="1" spans="1:6">
      <c r="A20" s="29" t="s">
        <v>39</v>
      </c>
      <c r="B20" s="29" t="s">
        <v>40</v>
      </c>
      <c r="C20" s="29"/>
      <c r="D20" s="29"/>
      <c r="E20" s="29"/>
      <c r="F20" s="29"/>
    </row>
    <row r="21" ht="34" customHeight="1" spans="1:6">
      <c r="A21" s="29" t="s">
        <v>41</v>
      </c>
      <c r="B21" s="29" t="s">
        <v>42</v>
      </c>
      <c r="C21" s="29"/>
      <c r="D21" s="29"/>
      <c r="E21" s="29"/>
      <c r="F21" s="29"/>
    </row>
    <row r="22" ht="34" customHeight="1" spans="1:6">
      <c r="A22" s="29" t="s">
        <v>43</v>
      </c>
      <c r="B22" s="29" t="s">
        <v>44</v>
      </c>
      <c r="C22" s="29"/>
      <c r="D22" s="29"/>
      <c r="E22" s="29"/>
      <c r="F22" s="29"/>
    </row>
  </sheetData>
  <conditionalFormatting sqref="B10:B15">
    <cfRule type="containsText" dxfId="0" priority="1" operator="between" text="未通过">
      <formula>NOT(ISERROR(SEARCH("未通过",B10)))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6.8"/>
  <cols>
    <col min="1" max="1" width="12" customWidth="1"/>
    <col min="2" max="2" width="16" customWidth="1"/>
    <col min="3" max="3" width="25" customWidth="1"/>
    <col min="4" max="4" width="17" customWidth="1"/>
    <col min="5" max="5" width="28" customWidth="1"/>
    <col min="6" max="7" width="14" customWidth="1"/>
    <col min="8" max="10" width="17" customWidth="1"/>
    <col min="11" max="12" width="15" customWidth="1"/>
    <col min="13" max="13" width="32" customWidth="1"/>
  </cols>
  <sheetData>
    <row r="1" ht="25" customHeight="1" spans="1:13">
      <c r="A1" s="15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6" t="s">
        <v>46</v>
      </c>
    </row>
    <row r="4" ht="32" customHeight="1" spans="1:13">
      <c r="A4" s="10" t="s">
        <v>47</v>
      </c>
      <c r="B4" s="10" t="s">
        <v>48</v>
      </c>
      <c r="C4" s="10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11</v>
      </c>
      <c r="L4" s="10" t="s">
        <v>57</v>
      </c>
      <c r="M4" s="10" t="s">
        <v>58</v>
      </c>
    </row>
    <row r="5" spans="1:13">
      <c r="A5" s="11" t="s">
        <v>59</v>
      </c>
      <c r="B5" s="11" t="s">
        <v>60</v>
      </c>
      <c r="C5" s="11" t="s">
        <v>61</v>
      </c>
      <c r="D5" s="11" t="s">
        <v>62</v>
      </c>
      <c r="E5" s="29" t="s">
        <v>63</v>
      </c>
      <c r="F5" s="20">
        <v>1135</v>
      </c>
      <c r="G5" s="18">
        <v>1450</v>
      </c>
      <c r="H5" s="13">
        <f t="shared" ref="H5:H14" si="0">F5*G5</f>
        <v>1645750</v>
      </c>
      <c r="I5" s="18">
        <v>0</v>
      </c>
      <c r="J5" s="13">
        <f t="shared" ref="J5:J14" si="1">IF(H5="","",H5+I5)</f>
        <v>1645750</v>
      </c>
      <c r="K5" s="11" t="s">
        <v>21</v>
      </c>
      <c r="L5" s="20" t="s">
        <v>64</v>
      </c>
      <c r="M5" s="26" t="s">
        <v>65</v>
      </c>
    </row>
    <row r="6" spans="1:13">
      <c r="A6" s="11" t="s">
        <v>66</v>
      </c>
      <c r="B6" s="11" t="s">
        <v>67</v>
      </c>
      <c r="C6" s="11" t="s">
        <v>68</v>
      </c>
      <c r="D6" s="11" t="s">
        <v>69</v>
      </c>
      <c r="E6" s="29" t="s">
        <v>70</v>
      </c>
      <c r="F6" s="20"/>
      <c r="G6" s="18"/>
      <c r="H6" s="13">
        <f t="shared" si="0"/>
        <v>0</v>
      </c>
      <c r="I6" s="18">
        <v>0</v>
      </c>
      <c r="J6" s="13">
        <f t="shared" si="1"/>
        <v>0</v>
      </c>
      <c r="K6" s="11" t="s">
        <v>71</v>
      </c>
      <c r="L6" s="20" t="s">
        <v>72</v>
      </c>
      <c r="M6" s="26" t="s">
        <v>73</v>
      </c>
    </row>
    <row r="7" spans="1:13">
      <c r="A7" s="11" t="s">
        <v>74</v>
      </c>
      <c r="B7" s="11" t="s">
        <v>67</v>
      </c>
      <c r="C7" s="11" t="s">
        <v>75</v>
      </c>
      <c r="D7" s="11" t="s">
        <v>69</v>
      </c>
      <c r="E7" s="29" t="s">
        <v>70</v>
      </c>
      <c r="F7" s="20"/>
      <c r="G7" s="18"/>
      <c r="H7" s="13">
        <f t="shared" si="0"/>
        <v>0</v>
      </c>
      <c r="I7" s="18">
        <v>0</v>
      </c>
      <c r="J7" s="13">
        <f t="shared" si="1"/>
        <v>0</v>
      </c>
      <c r="K7" s="11" t="s">
        <v>71</v>
      </c>
      <c r="L7" s="20" t="s">
        <v>72</v>
      </c>
      <c r="M7" s="26" t="s">
        <v>73</v>
      </c>
    </row>
    <row r="8" spans="1:13">
      <c r="A8" s="11" t="s">
        <v>76</v>
      </c>
      <c r="B8" s="11" t="s">
        <v>67</v>
      </c>
      <c r="C8" s="11" t="s">
        <v>77</v>
      </c>
      <c r="D8" s="11" t="s">
        <v>69</v>
      </c>
      <c r="E8" s="29" t="s">
        <v>70</v>
      </c>
      <c r="F8" s="20"/>
      <c r="G8" s="18"/>
      <c r="H8" s="13">
        <f t="shared" si="0"/>
        <v>0</v>
      </c>
      <c r="I8" s="18">
        <v>0</v>
      </c>
      <c r="J8" s="13">
        <f t="shared" si="1"/>
        <v>0</v>
      </c>
      <c r="K8" s="11" t="s">
        <v>71</v>
      </c>
      <c r="L8" s="20" t="s">
        <v>72</v>
      </c>
      <c r="M8" s="26" t="s">
        <v>73</v>
      </c>
    </row>
    <row r="9" spans="1:13">
      <c r="A9" s="11" t="s">
        <v>78</v>
      </c>
      <c r="B9" s="11" t="s">
        <v>79</v>
      </c>
      <c r="C9" s="11" t="s">
        <v>80</v>
      </c>
      <c r="D9" s="11" t="s">
        <v>69</v>
      </c>
      <c r="E9" s="29" t="s">
        <v>81</v>
      </c>
      <c r="F9" s="20"/>
      <c r="G9" s="18"/>
      <c r="H9" s="13">
        <f t="shared" si="0"/>
        <v>0</v>
      </c>
      <c r="I9" s="18">
        <v>0</v>
      </c>
      <c r="J9" s="13">
        <f t="shared" si="1"/>
        <v>0</v>
      </c>
      <c r="K9" s="11" t="s">
        <v>82</v>
      </c>
      <c r="L9" s="20" t="s">
        <v>72</v>
      </c>
      <c r="M9" s="26" t="s">
        <v>83</v>
      </c>
    </row>
    <row r="10" spans="1:13">
      <c r="A10" s="11" t="s">
        <v>84</v>
      </c>
      <c r="B10" s="11" t="s">
        <v>85</v>
      </c>
      <c r="C10" s="11" t="s">
        <v>86</v>
      </c>
      <c r="D10" s="11" t="s">
        <v>62</v>
      </c>
      <c r="E10" s="29" t="s">
        <v>87</v>
      </c>
      <c r="F10" s="20"/>
      <c r="G10" s="18"/>
      <c r="H10" s="13">
        <f t="shared" si="0"/>
        <v>0</v>
      </c>
      <c r="I10" s="18">
        <v>0</v>
      </c>
      <c r="J10" s="13">
        <f t="shared" si="1"/>
        <v>0</v>
      </c>
      <c r="K10" s="11" t="s">
        <v>88</v>
      </c>
      <c r="L10" s="20" t="s">
        <v>72</v>
      </c>
      <c r="M10" s="26" t="s">
        <v>89</v>
      </c>
    </row>
    <row r="11" spans="1:13">
      <c r="A11" s="11" t="s">
        <v>90</v>
      </c>
      <c r="B11" s="11" t="s">
        <v>85</v>
      </c>
      <c r="C11" s="11" t="s">
        <v>91</v>
      </c>
      <c r="D11" s="11" t="s">
        <v>62</v>
      </c>
      <c r="E11" s="29" t="s">
        <v>92</v>
      </c>
      <c r="F11" s="20"/>
      <c r="G11" s="18"/>
      <c r="H11" s="13">
        <f t="shared" si="0"/>
        <v>0</v>
      </c>
      <c r="I11" s="18">
        <v>0</v>
      </c>
      <c r="J11" s="13">
        <f t="shared" si="1"/>
        <v>0</v>
      </c>
      <c r="K11" s="11" t="s">
        <v>93</v>
      </c>
      <c r="L11" s="20" t="s">
        <v>72</v>
      </c>
      <c r="M11" s="26" t="s">
        <v>94</v>
      </c>
    </row>
    <row r="12" spans="1:13">
      <c r="A12" s="11" t="s">
        <v>95</v>
      </c>
      <c r="B12" s="11" t="s">
        <v>85</v>
      </c>
      <c r="C12" s="11" t="s">
        <v>96</v>
      </c>
      <c r="D12" s="11" t="s">
        <v>62</v>
      </c>
      <c r="E12" s="29" t="s">
        <v>97</v>
      </c>
      <c r="F12" s="20"/>
      <c r="G12" s="18"/>
      <c r="H12" s="13">
        <f t="shared" si="0"/>
        <v>0</v>
      </c>
      <c r="I12" s="18">
        <v>0</v>
      </c>
      <c r="J12" s="13">
        <f t="shared" si="1"/>
        <v>0</v>
      </c>
      <c r="K12" s="11" t="s">
        <v>21</v>
      </c>
      <c r="L12" s="20" t="s">
        <v>72</v>
      </c>
      <c r="M12" s="26" t="s">
        <v>98</v>
      </c>
    </row>
    <row r="13" spans="1:13">
      <c r="A13" s="11" t="s">
        <v>99</v>
      </c>
      <c r="B13" s="11" t="s">
        <v>100</v>
      </c>
      <c r="C13" s="11" t="s">
        <v>101</v>
      </c>
      <c r="D13" s="11" t="s">
        <v>62</v>
      </c>
      <c r="E13" s="29" t="s">
        <v>102</v>
      </c>
      <c r="F13" s="20"/>
      <c r="G13" s="18"/>
      <c r="H13" s="13">
        <f t="shared" si="0"/>
        <v>0</v>
      </c>
      <c r="I13" s="18">
        <v>0</v>
      </c>
      <c r="J13" s="13">
        <f t="shared" si="1"/>
        <v>0</v>
      </c>
      <c r="K13" s="11" t="s">
        <v>17</v>
      </c>
      <c r="L13" s="20" t="s">
        <v>72</v>
      </c>
      <c r="M13" s="26" t="s">
        <v>103</v>
      </c>
    </row>
    <row r="14" spans="1:13">
      <c r="A14" s="11" t="s">
        <v>104</v>
      </c>
      <c r="B14" s="11" t="s">
        <v>105</v>
      </c>
      <c r="C14" s="11" t="s">
        <v>105</v>
      </c>
      <c r="D14" s="11" t="s">
        <v>62</v>
      </c>
      <c r="E14" s="29" t="s">
        <v>106</v>
      </c>
      <c r="F14" s="20"/>
      <c r="G14" s="18"/>
      <c r="H14" s="13">
        <f t="shared" si="0"/>
        <v>0</v>
      </c>
      <c r="I14" s="18">
        <v>0</v>
      </c>
      <c r="J14" s="13">
        <f t="shared" si="1"/>
        <v>0</v>
      </c>
      <c r="K14" s="11" t="s">
        <v>17</v>
      </c>
      <c r="L14" s="20" t="s">
        <v>72</v>
      </c>
      <c r="M14" s="26" t="s">
        <v>107</v>
      </c>
    </row>
  </sheetData>
  <conditionalFormatting sqref="L5:L104">
    <cfRule type="containsText" dxfId="0" priority="1" operator="between" text="待估算">
      <formula>NOT(ISERROR(SEARCH("待估算",L5)))</formula>
    </cfRule>
  </conditionalFormatting>
  <dataValidations count="1">
    <dataValidation type="list" sqref="L5:L104">
      <formula1>"待估算,估算中,已量化,已批准"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pane ySplit="4" topLeftCell="A5" activePane="bottomLeft" state="frozen"/>
      <selection/>
      <selection pane="bottomLeft" activeCell="F20" sqref="F20"/>
    </sheetView>
  </sheetViews>
  <sheetFormatPr defaultColWidth="9" defaultRowHeight="16.8" outlineLevelCol="6"/>
  <cols>
    <col min="1" max="1" width="14" customWidth="1"/>
    <col min="2" max="2" width="20" customWidth="1"/>
    <col min="3" max="5" width="16" customWidth="1"/>
    <col min="6" max="6" width="22" customWidth="1"/>
    <col min="7" max="7" width="30" customWidth="1"/>
  </cols>
  <sheetData>
    <row r="1" ht="25" customHeight="1" spans="1:7">
      <c r="A1" s="15" t="s">
        <v>108</v>
      </c>
      <c r="B1" s="15"/>
      <c r="C1" s="15"/>
      <c r="D1" s="15"/>
      <c r="E1" s="15"/>
      <c r="F1" s="15"/>
      <c r="G1" s="15"/>
    </row>
    <row r="2" spans="1:7">
      <c r="A2" s="16" t="s">
        <v>109</v>
      </c>
    </row>
    <row r="4" ht="32" customHeight="1" spans="1:7">
      <c r="A4" s="10" t="s">
        <v>110</v>
      </c>
      <c r="B4" s="10" t="s">
        <v>111</v>
      </c>
      <c r="C4" s="10" t="s">
        <v>112</v>
      </c>
      <c r="D4" s="10" t="s">
        <v>3</v>
      </c>
      <c r="E4" s="10" t="s">
        <v>113</v>
      </c>
      <c r="F4" s="10" t="s">
        <v>114</v>
      </c>
      <c r="G4" s="10" t="s">
        <v>115</v>
      </c>
    </row>
    <row r="5" spans="1:7">
      <c r="A5" s="11" t="s">
        <v>116</v>
      </c>
      <c r="B5" s="11" t="s">
        <v>17</v>
      </c>
      <c r="C5" s="14">
        <v>1</v>
      </c>
      <c r="D5" s="27">
        <v>35</v>
      </c>
      <c r="E5" s="30">
        <v>2100</v>
      </c>
      <c r="F5" s="13">
        <f t="shared" ref="F5:F13" si="0">D5*E5</f>
        <v>73500</v>
      </c>
      <c r="G5" s="11" t="s">
        <v>117</v>
      </c>
    </row>
    <row r="6" spans="1:7">
      <c r="A6" s="11" t="s">
        <v>118</v>
      </c>
      <c r="B6" s="11" t="s">
        <v>21</v>
      </c>
      <c r="C6" s="14">
        <v>2</v>
      </c>
      <c r="D6" s="27">
        <v>100</v>
      </c>
      <c r="E6" s="30">
        <v>1900</v>
      </c>
      <c r="F6" s="13">
        <f t="shared" si="0"/>
        <v>190000</v>
      </c>
      <c r="G6" s="11" t="s">
        <v>117</v>
      </c>
    </row>
    <row r="7" spans="1:7">
      <c r="A7" s="11" t="s">
        <v>119</v>
      </c>
      <c r="B7" s="11" t="s">
        <v>71</v>
      </c>
      <c r="C7" s="14">
        <v>2</v>
      </c>
      <c r="D7" s="27">
        <v>100</v>
      </c>
      <c r="E7" s="30">
        <v>1700</v>
      </c>
      <c r="F7" s="13">
        <f t="shared" si="0"/>
        <v>170000</v>
      </c>
      <c r="G7" s="11" t="s">
        <v>117</v>
      </c>
    </row>
    <row r="8" spans="1:7">
      <c r="A8" s="11" t="s">
        <v>120</v>
      </c>
      <c r="B8" s="11" t="s">
        <v>93</v>
      </c>
      <c r="C8" s="14">
        <v>2</v>
      </c>
      <c r="D8" s="27">
        <v>120</v>
      </c>
      <c r="E8" s="30">
        <v>1700</v>
      </c>
      <c r="F8" s="13">
        <f t="shared" si="0"/>
        <v>204000</v>
      </c>
      <c r="G8" s="11" t="s">
        <v>117</v>
      </c>
    </row>
    <row r="9" spans="1:7">
      <c r="A9" s="11" t="s">
        <v>121</v>
      </c>
      <c r="B9" s="11" t="s">
        <v>122</v>
      </c>
      <c r="C9" s="14">
        <v>1</v>
      </c>
      <c r="D9" s="27">
        <v>30</v>
      </c>
      <c r="E9" s="30">
        <v>1100</v>
      </c>
      <c r="F9" s="13">
        <f t="shared" si="0"/>
        <v>33000</v>
      </c>
      <c r="G9" s="11" t="s">
        <v>117</v>
      </c>
    </row>
    <row r="10" spans="1:7">
      <c r="A10" s="11" t="s">
        <v>123</v>
      </c>
      <c r="B10" s="11" t="s">
        <v>124</v>
      </c>
      <c r="C10" s="14">
        <v>3</v>
      </c>
      <c r="D10" s="27">
        <v>180</v>
      </c>
      <c r="E10" s="30">
        <v>1500</v>
      </c>
      <c r="F10" s="13">
        <f t="shared" si="0"/>
        <v>270000</v>
      </c>
      <c r="G10" s="11" t="s">
        <v>117</v>
      </c>
    </row>
    <row r="11" spans="1:7">
      <c r="A11" s="11" t="s">
        <v>125</v>
      </c>
      <c r="B11" s="11" t="s">
        <v>126</v>
      </c>
      <c r="C11" s="14">
        <v>15</v>
      </c>
      <c r="D11" s="27">
        <v>430</v>
      </c>
      <c r="E11" s="30">
        <v>1300</v>
      </c>
      <c r="F11" s="13">
        <f t="shared" si="0"/>
        <v>559000</v>
      </c>
      <c r="G11" s="11" t="s">
        <v>117</v>
      </c>
    </row>
    <row r="12" spans="1:7">
      <c r="A12" s="11" t="s">
        <v>127</v>
      </c>
      <c r="B12" s="11" t="s">
        <v>88</v>
      </c>
      <c r="C12" s="14">
        <v>3</v>
      </c>
      <c r="D12" s="27">
        <v>110</v>
      </c>
      <c r="E12" s="30">
        <v>1100</v>
      </c>
      <c r="F12" s="13">
        <f t="shared" si="0"/>
        <v>121000</v>
      </c>
      <c r="G12" s="11" t="s">
        <v>117</v>
      </c>
    </row>
    <row r="13" spans="1:7">
      <c r="A13" s="11" t="s">
        <v>128</v>
      </c>
      <c r="B13" s="11" t="s">
        <v>82</v>
      </c>
      <c r="C13" s="14">
        <v>1</v>
      </c>
      <c r="D13" s="27">
        <v>30</v>
      </c>
      <c r="E13" s="30">
        <v>1000</v>
      </c>
      <c r="F13" s="13">
        <f t="shared" si="0"/>
        <v>30000</v>
      </c>
      <c r="G13" s="11" t="s">
        <v>117</v>
      </c>
    </row>
    <row r="14" ht="17.55" spans="1:7">
      <c r="A14" s="31" t="s">
        <v>129</v>
      </c>
      <c r="B14" s="31"/>
      <c r="C14" s="32">
        <v>30</v>
      </c>
      <c r="D14" s="32">
        <f>SUM(D5:D13)</f>
        <v>1135</v>
      </c>
      <c r="E14" s="33"/>
      <c r="F14" s="33">
        <f>SUM(F5:F13)</f>
        <v>1650500</v>
      </c>
      <c r="G14" s="31"/>
    </row>
    <row r="15" ht="17.55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26" customWidth="1"/>
    <col min="3" max="3" width="16" customWidth="1"/>
    <col min="4" max="4" width="42" customWidth="1"/>
    <col min="5" max="5" width="15" customWidth="1"/>
    <col min="6" max="7" width="16" customWidth="1"/>
    <col min="8" max="8" width="18" customWidth="1"/>
    <col min="9" max="10" width="20" customWidth="1"/>
  </cols>
  <sheetData>
    <row r="1" ht="25" customHeight="1" spans="1:10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6" t="s">
        <v>130</v>
      </c>
    </row>
    <row r="4" ht="32" customHeight="1" spans="1:10">
      <c r="A4" s="10" t="s">
        <v>131</v>
      </c>
      <c r="B4" s="10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</row>
    <row r="5" spans="1:10">
      <c r="A5" s="11" t="s">
        <v>141</v>
      </c>
      <c r="B5" s="11" t="s">
        <v>142</v>
      </c>
      <c r="C5" s="11" t="s">
        <v>143</v>
      </c>
      <c r="D5" s="29" t="s">
        <v>144</v>
      </c>
      <c r="E5" s="11" t="s">
        <v>71</v>
      </c>
      <c r="F5" s="12">
        <v>46290</v>
      </c>
      <c r="G5" s="12">
        <v>46310</v>
      </c>
      <c r="H5" s="18"/>
      <c r="I5" s="20" t="s">
        <v>72</v>
      </c>
      <c r="J5" s="29" t="s">
        <v>145</v>
      </c>
    </row>
    <row r="6" spans="1:10">
      <c r="A6" s="11" t="s">
        <v>146</v>
      </c>
      <c r="B6" s="11" t="s">
        <v>75</v>
      </c>
      <c r="C6" s="11" t="s">
        <v>143</v>
      </c>
      <c r="D6" s="29" t="s">
        <v>147</v>
      </c>
      <c r="E6" s="11" t="s">
        <v>71</v>
      </c>
      <c r="F6" s="12">
        <v>46290</v>
      </c>
      <c r="G6" s="12">
        <v>46310</v>
      </c>
      <c r="H6" s="18"/>
      <c r="I6" s="20" t="s">
        <v>72</v>
      </c>
      <c r="J6" s="29" t="s">
        <v>145</v>
      </c>
    </row>
    <row r="7" spans="1:10">
      <c r="A7" s="11" t="s">
        <v>148</v>
      </c>
      <c r="B7" s="11" t="s">
        <v>77</v>
      </c>
      <c r="C7" s="11" t="s">
        <v>143</v>
      </c>
      <c r="D7" s="29" t="s">
        <v>149</v>
      </c>
      <c r="E7" s="11" t="s">
        <v>71</v>
      </c>
      <c r="F7" s="12">
        <v>46290</v>
      </c>
      <c r="G7" s="12">
        <v>46310</v>
      </c>
      <c r="H7" s="18"/>
      <c r="I7" s="20" t="s">
        <v>72</v>
      </c>
      <c r="J7" s="29" t="s">
        <v>145</v>
      </c>
    </row>
    <row r="8" spans="1:10">
      <c r="A8" s="11" t="s">
        <v>150</v>
      </c>
      <c r="B8" s="11" t="s">
        <v>80</v>
      </c>
      <c r="C8" s="11" t="s">
        <v>79</v>
      </c>
      <c r="D8" s="29" t="s">
        <v>151</v>
      </c>
      <c r="E8" s="11" t="s">
        <v>82</v>
      </c>
      <c r="F8" s="12">
        <v>46295</v>
      </c>
      <c r="G8" s="12">
        <v>46311</v>
      </c>
      <c r="H8" s="18"/>
      <c r="I8" s="20" t="s">
        <v>72</v>
      </c>
      <c r="J8" s="29" t="s">
        <v>152</v>
      </c>
    </row>
    <row r="9" spans="1:10">
      <c r="A9" s="11" t="s">
        <v>153</v>
      </c>
      <c r="B9" s="11" t="s">
        <v>86</v>
      </c>
      <c r="C9" s="11" t="s">
        <v>85</v>
      </c>
      <c r="D9" s="29" t="s">
        <v>154</v>
      </c>
      <c r="E9" s="11" t="s">
        <v>88</v>
      </c>
      <c r="F9" s="12">
        <v>46387</v>
      </c>
      <c r="G9" s="12">
        <v>46418</v>
      </c>
      <c r="H9" s="18"/>
      <c r="I9" s="20" t="s">
        <v>72</v>
      </c>
      <c r="J9" s="29" t="s">
        <v>155</v>
      </c>
    </row>
    <row r="10" spans="1:10">
      <c r="A10" s="11" t="s">
        <v>156</v>
      </c>
      <c r="B10" s="11" t="s">
        <v>91</v>
      </c>
      <c r="C10" s="11" t="s">
        <v>85</v>
      </c>
      <c r="D10" s="29" t="s">
        <v>157</v>
      </c>
      <c r="E10" s="11" t="s">
        <v>93</v>
      </c>
      <c r="F10" s="12">
        <v>46356</v>
      </c>
      <c r="G10" s="12">
        <v>46387</v>
      </c>
      <c r="H10" s="18"/>
      <c r="I10" s="20" t="s">
        <v>72</v>
      </c>
      <c r="J10" s="29" t="s">
        <v>158</v>
      </c>
    </row>
    <row r="11" spans="1:10">
      <c r="A11" s="11" t="s">
        <v>159</v>
      </c>
      <c r="B11" s="11" t="s">
        <v>96</v>
      </c>
      <c r="C11" s="11" t="s">
        <v>85</v>
      </c>
      <c r="D11" s="29" t="s">
        <v>160</v>
      </c>
      <c r="E11" s="11" t="s">
        <v>21</v>
      </c>
      <c r="F11" s="12">
        <v>46311</v>
      </c>
      <c r="G11" s="12">
        <v>46326</v>
      </c>
      <c r="H11" s="18"/>
      <c r="I11" s="20" t="s">
        <v>72</v>
      </c>
      <c r="J11" s="29" t="s">
        <v>161</v>
      </c>
    </row>
  </sheetData>
  <dataValidations count="1">
    <dataValidation type="list" sqref="I5:I104">
      <formula1>"待估算,询价中,待批准,已纳入预算"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8" width="14" customWidth="1"/>
    <col min="9" max="14" width="18" customWidth="1"/>
    <col min="15" max="18" width="16" customWidth="1"/>
  </cols>
  <sheetData>
    <row r="1" ht="25" customHeight="1" spans="1:18">
      <c r="A1" s="15" t="s">
        <v>162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>
      <c r="A2" s="16" t="s">
        <v>163</v>
      </c>
    </row>
    <row r="4" ht="32" customHeight="1" spans="1:18">
      <c r="A4" s="10" t="s">
        <v>164</v>
      </c>
      <c r="B4" s="10" t="s">
        <v>131</v>
      </c>
      <c r="C4" s="10" t="s">
        <v>165</v>
      </c>
      <c r="D4" s="10" t="s">
        <v>166</v>
      </c>
      <c r="E4" s="10" t="s">
        <v>167</v>
      </c>
      <c r="F4" s="10" t="s">
        <v>168</v>
      </c>
      <c r="G4" s="10" t="s">
        <v>169</v>
      </c>
      <c r="H4" s="10" t="s">
        <v>170</v>
      </c>
      <c r="I4" s="10" t="s">
        <v>171</v>
      </c>
      <c r="J4" s="10" t="s">
        <v>172</v>
      </c>
      <c r="K4" s="10" t="s">
        <v>173</v>
      </c>
      <c r="L4" s="10" t="s">
        <v>174</v>
      </c>
      <c r="M4" s="10" t="s">
        <v>175</v>
      </c>
      <c r="N4" s="10" t="s">
        <v>176</v>
      </c>
      <c r="O4" s="10" t="s">
        <v>11</v>
      </c>
      <c r="P4" s="10" t="s">
        <v>177</v>
      </c>
      <c r="Q4" s="10" t="s">
        <v>178</v>
      </c>
      <c r="R4" s="10" t="s">
        <v>179</v>
      </c>
    </row>
    <row r="5" spans="1:18">
      <c r="A5" s="20"/>
      <c r="B5" s="20"/>
      <c r="C5" s="20"/>
      <c r="D5" s="20"/>
      <c r="E5" s="20"/>
      <c r="F5" s="25"/>
      <c r="G5" s="25"/>
      <c r="H5" s="25"/>
      <c r="I5" s="18"/>
      <c r="J5" s="18"/>
      <c r="K5" s="19" t="str">
        <f t="shared" ref="K5:K24" si="0">IF(I5="","",I5+J5)</f>
        <v/>
      </c>
      <c r="L5" s="18"/>
      <c r="M5" s="18"/>
      <c r="N5" s="19" t="str">
        <f t="shared" ref="N5:N24" si="1">IF(K5="","",K5-M5)</f>
        <v/>
      </c>
      <c r="O5" s="20"/>
      <c r="P5" s="20"/>
      <c r="Q5" s="20"/>
      <c r="R5" s="20"/>
    </row>
    <row r="6" spans="1:18">
      <c r="A6" s="20"/>
      <c r="B6" s="20"/>
      <c r="C6" s="20"/>
      <c r="D6" s="20"/>
      <c r="E6" s="20"/>
      <c r="F6" s="25"/>
      <c r="G6" s="25"/>
      <c r="H6" s="25"/>
      <c r="I6" s="18"/>
      <c r="J6" s="18"/>
      <c r="K6" s="19" t="str">
        <f t="shared" si="0"/>
        <v/>
      </c>
      <c r="L6" s="18"/>
      <c r="M6" s="18"/>
      <c r="N6" s="19" t="str">
        <f t="shared" si="1"/>
        <v/>
      </c>
      <c r="O6" s="20"/>
      <c r="P6" s="20"/>
      <c r="Q6" s="20"/>
      <c r="R6" s="20"/>
    </row>
    <row r="7" spans="1:18">
      <c r="A7" s="20"/>
      <c r="B7" s="20"/>
      <c r="C7" s="20"/>
      <c r="D7" s="20"/>
      <c r="E7" s="20"/>
      <c r="F7" s="25"/>
      <c r="G7" s="25"/>
      <c r="H7" s="25"/>
      <c r="I7" s="18"/>
      <c r="J7" s="18"/>
      <c r="K7" s="19" t="str">
        <f t="shared" si="0"/>
        <v/>
      </c>
      <c r="L7" s="18"/>
      <c r="M7" s="18"/>
      <c r="N7" s="19" t="str">
        <f t="shared" si="1"/>
        <v/>
      </c>
      <c r="O7" s="20"/>
      <c r="P7" s="20"/>
      <c r="Q7" s="20"/>
      <c r="R7" s="20"/>
    </row>
    <row r="8" spans="1:18">
      <c r="A8" s="20"/>
      <c r="B8" s="20"/>
      <c r="C8" s="20"/>
      <c r="D8" s="20"/>
      <c r="E8" s="20"/>
      <c r="F8" s="25"/>
      <c r="G8" s="25"/>
      <c r="H8" s="25"/>
      <c r="I8" s="18"/>
      <c r="J8" s="18"/>
      <c r="K8" s="19" t="str">
        <f t="shared" si="0"/>
        <v/>
      </c>
      <c r="L8" s="18"/>
      <c r="M8" s="18"/>
      <c r="N8" s="19" t="str">
        <f t="shared" si="1"/>
        <v/>
      </c>
      <c r="O8" s="20"/>
      <c r="P8" s="20"/>
      <c r="Q8" s="20"/>
      <c r="R8" s="20"/>
    </row>
    <row r="9" spans="1:18">
      <c r="A9" s="20"/>
      <c r="B9" s="20"/>
      <c r="C9" s="20"/>
      <c r="D9" s="20"/>
      <c r="E9" s="20"/>
      <c r="F9" s="25"/>
      <c r="G9" s="25"/>
      <c r="H9" s="25"/>
      <c r="I9" s="18"/>
      <c r="J9" s="18"/>
      <c r="K9" s="19" t="str">
        <f t="shared" si="0"/>
        <v/>
      </c>
      <c r="L9" s="18"/>
      <c r="M9" s="18"/>
      <c r="N9" s="19" t="str">
        <f t="shared" si="1"/>
        <v/>
      </c>
      <c r="O9" s="20"/>
      <c r="P9" s="20"/>
      <c r="Q9" s="20"/>
      <c r="R9" s="20"/>
    </row>
    <row r="10" spans="1:18">
      <c r="A10" s="20"/>
      <c r="B10" s="20"/>
      <c r="C10" s="20"/>
      <c r="D10" s="20"/>
      <c r="E10" s="20"/>
      <c r="F10" s="25"/>
      <c r="G10" s="25"/>
      <c r="H10" s="25"/>
      <c r="I10" s="18"/>
      <c r="J10" s="18"/>
      <c r="K10" s="19" t="str">
        <f t="shared" si="0"/>
        <v/>
      </c>
      <c r="L10" s="18"/>
      <c r="M10" s="18"/>
      <c r="N10" s="19" t="str">
        <f t="shared" si="1"/>
        <v/>
      </c>
      <c r="O10" s="20"/>
      <c r="P10" s="20"/>
      <c r="Q10" s="20"/>
      <c r="R10" s="20"/>
    </row>
    <row r="11" spans="1:18">
      <c r="A11" s="20"/>
      <c r="B11" s="20"/>
      <c r="C11" s="20"/>
      <c r="D11" s="20"/>
      <c r="E11" s="20"/>
      <c r="F11" s="25"/>
      <c r="G11" s="25"/>
      <c r="H11" s="25"/>
      <c r="I11" s="18"/>
      <c r="J11" s="18"/>
      <c r="K11" s="19" t="str">
        <f t="shared" si="0"/>
        <v/>
      </c>
      <c r="L11" s="18"/>
      <c r="M11" s="18"/>
      <c r="N11" s="19" t="str">
        <f t="shared" si="1"/>
        <v/>
      </c>
      <c r="O11" s="20"/>
      <c r="P11" s="20"/>
      <c r="Q11" s="20"/>
      <c r="R11" s="20"/>
    </row>
    <row r="12" spans="1:18">
      <c r="A12" s="20"/>
      <c r="B12" s="20"/>
      <c r="C12" s="20"/>
      <c r="D12" s="20"/>
      <c r="E12" s="20"/>
      <c r="F12" s="25"/>
      <c r="G12" s="25"/>
      <c r="H12" s="25"/>
      <c r="I12" s="18"/>
      <c r="J12" s="18"/>
      <c r="K12" s="19" t="str">
        <f t="shared" si="0"/>
        <v/>
      </c>
      <c r="L12" s="18"/>
      <c r="M12" s="18"/>
      <c r="N12" s="19" t="str">
        <f t="shared" si="1"/>
        <v/>
      </c>
      <c r="O12" s="20"/>
      <c r="P12" s="20"/>
      <c r="Q12" s="20"/>
      <c r="R12" s="20"/>
    </row>
    <row r="13" spans="1:18">
      <c r="A13" s="20"/>
      <c r="B13" s="20"/>
      <c r="C13" s="20"/>
      <c r="D13" s="20"/>
      <c r="E13" s="20"/>
      <c r="F13" s="25"/>
      <c r="G13" s="25"/>
      <c r="H13" s="25"/>
      <c r="I13" s="18"/>
      <c r="J13" s="18"/>
      <c r="K13" s="19" t="str">
        <f t="shared" si="0"/>
        <v/>
      </c>
      <c r="L13" s="18"/>
      <c r="M13" s="18"/>
      <c r="N13" s="19" t="str">
        <f t="shared" si="1"/>
        <v/>
      </c>
      <c r="O13" s="20"/>
      <c r="P13" s="20"/>
      <c r="Q13" s="20"/>
      <c r="R13" s="20"/>
    </row>
    <row r="14" spans="1:18">
      <c r="A14" s="20"/>
      <c r="B14" s="20"/>
      <c r="C14" s="20"/>
      <c r="D14" s="20"/>
      <c r="E14" s="20"/>
      <c r="F14" s="25"/>
      <c r="G14" s="25"/>
      <c r="H14" s="25"/>
      <c r="I14" s="18"/>
      <c r="J14" s="18"/>
      <c r="K14" s="19" t="str">
        <f t="shared" si="0"/>
        <v/>
      </c>
      <c r="L14" s="18"/>
      <c r="M14" s="18"/>
      <c r="N14" s="19" t="str">
        <f t="shared" si="1"/>
        <v/>
      </c>
      <c r="O14" s="20"/>
      <c r="P14" s="20"/>
      <c r="Q14" s="20"/>
      <c r="R14" s="20"/>
    </row>
    <row r="15" spans="1:18">
      <c r="A15" s="20"/>
      <c r="B15" s="20"/>
      <c r="C15" s="20"/>
      <c r="D15" s="20"/>
      <c r="E15" s="20"/>
      <c r="F15" s="25"/>
      <c r="G15" s="25"/>
      <c r="H15" s="25"/>
      <c r="I15" s="18"/>
      <c r="J15" s="18"/>
      <c r="K15" s="19" t="str">
        <f t="shared" si="0"/>
        <v/>
      </c>
      <c r="L15" s="18"/>
      <c r="M15" s="18"/>
      <c r="N15" s="19" t="str">
        <f t="shared" si="1"/>
        <v/>
      </c>
      <c r="O15" s="20"/>
      <c r="P15" s="20"/>
      <c r="Q15" s="20"/>
      <c r="R15" s="20"/>
    </row>
    <row r="16" spans="1:18">
      <c r="A16" s="20"/>
      <c r="B16" s="20"/>
      <c r="C16" s="20"/>
      <c r="D16" s="20"/>
      <c r="E16" s="20"/>
      <c r="F16" s="25"/>
      <c r="G16" s="25"/>
      <c r="H16" s="25"/>
      <c r="I16" s="18"/>
      <c r="J16" s="18"/>
      <c r="K16" s="19" t="str">
        <f t="shared" si="0"/>
        <v/>
      </c>
      <c r="L16" s="18"/>
      <c r="M16" s="18"/>
      <c r="N16" s="19" t="str">
        <f t="shared" si="1"/>
        <v/>
      </c>
      <c r="O16" s="20"/>
      <c r="P16" s="20"/>
      <c r="Q16" s="20"/>
      <c r="R16" s="20"/>
    </row>
    <row r="17" spans="1:18">
      <c r="A17" s="20"/>
      <c r="B17" s="20"/>
      <c r="C17" s="20"/>
      <c r="D17" s="20"/>
      <c r="E17" s="20"/>
      <c r="F17" s="25"/>
      <c r="G17" s="25"/>
      <c r="H17" s="25"/>
      <c r="I17" s="18"/>
      <c r="J17" s="18"/>
      <c r="K17" s="19" t="str">
        <f t="shared" si="0"/>
        <v/>
      </c>
      <c r="L17" s="18"/>
      <c r="M17" s="18"/>
      <c r="N17" s="19" t="str">
        <f t="shared" si="1"/>
        <v/>
      </c>
      <c r="O17" s="20"/>
      <c r="P17" s="20"/>
      <c r="Q17" s="20"/>
      <c r="R17" s="20"/>
    </row>
    <row r="18" spans="1:18">
      <c r="A18" s="20"/>
      <c r="B18" s="20"/>
      <c r="C18" s="20"/>
      <c r="D18" s="20"/>
      <c r="E18" s="20"/>
      <c r="F18" s="25"/>
      <c r="G18" s="25"/>
      <c r="H18" s="25"/>
      <c r="I18" s="18"/>
      <c r="J18" s="18"/>
      <c r="K18" s="19" t="str">
        <f t="shared" si="0"/>
        <v/>
      </c>
      <c r="L18" s="18"/>
      <c r="M18" s="18"/>
      <c r="N18" s="19" t="str">
        <f t="shared" si="1"/>
        <v/>
      </c>
      <c r="O18" s="20"/>
      <c r="P18" s="20"/>
      <c r="Q18" s="20"/>
      <c r="R18" s="20"/>
    </row>
    <row r="19" spans="1:18">
      <c r="A19" s="20"/>
      <c r="B19" s="20"/>
      <c r="C19" s="20"/>
      <c r="D19" s="20"/>
      <c r="E19" s="20"/>
      <c r="F19" s="25"/>
      <c r="G19" s="25"/>
      <c r="H19" s="25"/>
      <c r="I19" s="18"/>
      <c r="J19" s="18"/>
      <c r="K19" s="19" t="str">
        <f t="shared" si="0"/>
        <v/>
      </c>
      <c r="L19" s="18"/>
      <c r="M19" s="18"/>
      <c r="N19" s="19" t="str">
        <f t="shared" si="1"/>
        <v/>
      </c>
      <c r="O19" s="20"/>
      <c r="P19" s="20"/>
      <c r="Q19" s="20"/>
      <c r="R19" s="20"/>
    </row>
    <row r="20" spans="1:18">
      <c r="A20" s="20"/>
      <c r="B20" s="20"/>
      <c r="C20" s="20"/>
      <c r="D20" s="20"/>
      <c r="E20" s="20"/>
      <c r="F20" s="25"/>
      <c r="G20" s="25"/>
      <c r="H20" s="25"/>
      <c r="I20" s="18"/>
      <c r="J20" s="18"/>
      <c r="K20" s="19" t="str">
        <f t="shared" si="0"/>
        <v/>
      </c>
      <c r="L20" s="18"/>
      <c r="M20" s="18"/>
      <c r="N20" s="19" t="str">
        <f t="shared" si="1"/>
        <v/>
      </c>
      <c r="O20" s="20"/>
      <c r="P20" s="20"/>
      <c r="Q20" s="20"/>
      <c r="R20" s="20"/>
    </row>
    <row r="21" spans="1:18">
      <c r="A21" s="20"/>
      <c r="B21" s="20"/>
      <c r="C21" s="20"/>
      <c r="D21" s="20"/>
      <c r="E21" s="20"/>
      <c r="F21" s="25"/>
      <c r="G21" s="25"/>
      <c r="H21" s="25"/>
      <c r="I21" s="18"/>
      <c r="J21" s="18"/>
      <c r="K21" s="19" t="str">
        <f t="shared" si="0"/>
        <v/>
      </c>
      <c r="L21" s="18"/>
      <c r="M21" s="18"/>
      <c r="N21" s="19" t="str">
        <f t="shared" si="1"/>
        <v/>
      </c>
      <c r="O21" s="20"/>
      <c r="P21" s="20"/>
      <c r="Q21" s="20"/>
      <c r="R21" s="20"/>
    </row>
    <row r="22" spans="1:18">
      <c r="A22" s="20"/>
      <c r="B22" s="20"/>
      <c r="C22" s="20"/>
      <c r="D22" s="20"/>
      <c r="E22" s="20"/>
      <c r="F22" s="25"/>
      <c r="G22" s="25"/>
      <c r="H22" s="25"/>
      <c r="I22" s="18"/>
      <c r="J22" s="18"/>
      <c r="K22" s="19" t="str">
        <f t="shared" si="0"/>
        <v/>
      </c>
      <c r="L22" s="18"/>
      <c r="M22" s="18"/>
      <c r="N22" s="19" t="str">
        <f t="shared" si="1"/>
        <v/>
      </c>
      <c r="O22" s="20"/>
      <c r="P22" s="20"/>
      <c r="Q22" s="20"/>
      <c r="R22" s="20"/>
    </row>
    <row r="23" spans="1:18">
      <c r="A23" s="20"/>
      <c r="B23" s="20"/>
      <c r="C23" s="20"/>
      <c r="D23" s="20"/>
      <c r="E23" s="20"/>
      <c r="F23" s="25"/>
      <c r="G23" s="25"/>
      <c r="H23" s="25"/>
      <c r="I23" s="18"/>
      <c r="J23" s="18"/>
      <c r="K23" s="19" t="str">
        <f t="shared" si="0"/>
        <v/>
      </c>
      <c r="L23" s="18"/>
      <c r="M23" s="18"/>
      <c r="N23" s="19" t="str">
        <f t="shared" si="1"/>
        <v/>
      </c>
      <c r="O23" s="20"/>
      <c r="P23" s="20"/>
      <c r="Q23" s="20"/>
      <c r="R23" s="20"/>
    </row>
    <row r="24" spans="1:18">
      <c r="A24" s="20"/>
      <c r="B24" s="20"/>
      <c r="C24" s="20"/>
      <c r="D24" s="20"/>
      <c r="E24" s="20"/>
      <c r="F24" s="25"/>
      <c r="G24" s="25"/>
      <c r="H24" s="25"/>
      <c r="I24" s="18"/>
      <c r="J24" s="18"/>
      <c r="K24" s="19" t="str">
        <f t="shared" si="0"/>
        <v/>
      </c>
      <c r="L24" s="18"/>
      <c r="M24" s="18"/>
      <c r="N24" s="19" t="str">
        <f t="shared" si="1"/>
        <v/>
      </c>
      <c r="O24" s="20"/>
      <c r="P24" s="20"/>
      <c r="Q24" s="20"/>
      <c r="R24" s="20"/>
    </row>
  </sheetData>
  <dataValidations count="2">
    <dataValidation type="list" sqref="P5:P104">
      <formula1>"拟签订,履行中,暂停,已终止,已关闭"</formula1>
    </dataValidation>
    <dataValidation type="list" sqref="Q5:Q104">
      <formula1>"未开始,部分验收,验收通过,验收不通过"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6" customWidth="1"/>
    <col min="4" max="6" width="18" customWidth="1"/>
    <col min="7" max="9" width="28" customWidth="1"/>
    <col min="10" max="12" width="16" customWidth="1"/>
    <col min="13" max="14" width="18" customWidth="1"/>
    <col min="15" max="15" width="24" customWidth="1"/>
  </cols>
  <sheetData>
    <row r="1" ht="25" customHeight="1" spans="1:15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6" t="s">
        <v>180</v>
      </c>
    </row>
    <row r="4" ht="32" customHeight="1" spans="1:15">
      <c r="A4" s="10" t="s">
        <v>181</v>
      </c>
      <c r="B4" s="10" t="s">
        <v>164</v>
      </c>
      <c r="C4" s="10" t="s">
        <v>182</v>
      </c>
      <c r="D4" s="10" t="s">
        <v>183</v>
      </c>
      <c r="E4" s="10" t="s">
        <v>184</v>
      </c>
      <c r="F4" s="10" t="s">
        <v>185</v>
      </c>
      <c r="G4" s="10" t="s">
        <v>186</v>
      </c>
      <c r="H4" s="10" t="s">
        <v>187</v>
      </c>
      <c r="I4" s="10" t="s">
        <v>188</v>
      </c>
      <c r="J4" s="10" t="s">
        <v>178</v>
      </c>
      <c r="K4" s="10" t="s">
        <v>189</v>
      </c>
      <c r="L4" s="10" t="s">
        <v>190</v>
      </c>
      <c r="M4" s="10" t="s">
        <v>191</v>
      </c>
      <c r="N4" s="10" t="s">
        <v>192</v>
      </c>
      <c r="O4" s="10" t="s">
        <v>179</v>
      </c>
    </row>
    <row r="5" spans="1:15">
      <c r="A5" s="20"/>
      <c r="B5" s="20"/>
      <c r="C5" s="20"/>
      <c r="D5" s="25"/>
      <c r="E5" s="28"/>
      <c r="F5" s="18"/>
      <c r="G5" s="26"/>
      <c r="H5" s="26"/>
      <c r="I5" s="26"/>
      <c r="J5" s="20"/>
      <c r="K5" s="20"/>
      <c r="L5" s="20"/>
      <c r="M5" s="25"/>
      <c r="N5" s="18"/>
      <c r="O5" s="20"/>
    </row>
    <row r="6" spans="1:15">
      <c r="A6" s="20"/>
      <c r="B6" s="20"/>
      <c r="C6" s="20"/>
      <c r="D6" s="25"/>
      <c r="E6" s="28"/>
      <c r="F6" s="18"/>
      <c r="G6" s="26"/>
      <c r="H6" s="26"/>
      <c r="I6" s="26"/>
      <c r="J6" s="20"/>
      <c r="K6" s="20"/>
      <c r="L6" s="20"/>
      <c r="M6" s="25"/>
      <c r="N6" s="18"/>
      <c r="O6" s="20"/>
    </row>
    <row r="7" spans="1:15">
      <c r="A7" s="20"/>
      <c r="B7" s="20"/>
      <c r="C7" s="20"/>
      <c r="D7" s="25"/>
      <c r="E7" s="28"/>
      <c r="F7" s="18"/>
      <c r="G7" s="26"/>
      <c r="H7" s="26"/>
      <c r="I7" s="26"/>
      <c r="J7" s="20"/>
      <c r="K7" s="20"/>
      <c r="L7" s="20"/>
      <c r="M7" s="25"/>
      <c r="N7" s="18"/>
      <c r="O7" s="20"/>
    </row>
    <row r="8" spans="1:15">
      <c r="A8" s="20"/>
      <c r="B8" s="20"/>
      <c r="C8" s="20"/>
      <c r="D8" s="25"/>
      <c r="E8" s="28"/>
      <c r="F8" s="18"/>
      <c r="G8" s="26"/>
      <c r="H8" s="26"/>
      <c r="I8" s="26"/>
      <c r="J8" s="20"/>
      <c r="K8" s="20"/>
      <c r="L8" s="20"/>
      <c r="M8" s="25"/>
      <c r="N8" s="18"/>
      <c r="O8" s="20"/>
    </row>
    <row r="9" spans="1:15">
      <c r="A9" s="20"/>
      <c r="B9" s="20"/>
      <c r="C9" s="20"/>
      <c r="D9" s="25"/>
      <c r="E9" s="28"/>
      <c r="F9" s="18"/>
      <c r="G9" s="26"/>
      <c r="H9" s="26"/>
      <c r="I9" s="26"/>
      <c r="J9" s="20"/>
      <c r="K9" s="20"/>
      <c r="L9" s="20"/>
      <c r="M9" s="25"/>
      <c r="N9" s="18"/>
      <c r="O9" s="20"/>
    </row>
    <row r="10" spans="1:15">
      <c r="A10" s="20"/>
      <c r="B10" s="20"/>
      <c r="C10" s="20"/>
      <c r="D10" s="25"/>
      <c r="E10" s="28"/>
      <c r="F10" s="18"/>
      <c r="G10" s="26"/>
      <c r="H10" s="26"/>
      <c r="I10" s="26"/>
      <c r="J10" s="20"/>
      <c r="K10" s="20"/>
      <c r="L10" s="20"/>
      <c r="M10" s="25"/>
      <c r="N10" s="18"/>
      <c r="O10" s="20"/>
    </row>
    <row r="11" spans="1:15">
      <c r="A11" s="20"/>
      <c r="B11" s="20"/>
      <c r="C11" s="20"/>
      <c r="D11" s="25"/>
      <c r="E11" s="28"/>
      <c r="F11" s="18"/>
      <c r="G11" s="26"/>
      <c r="H11" s="26"/>
      <c r="I11" s="26"/>
      <c r="J11" s="20"/>
      <c r="K11" s="20"/>
      <c r="L11" s="20"/>
      <c r="M11" s="25"/>
      <c r="N11" s="18"/>
      <c r="O11" s="20"/>
    </row>
    <row r="12" spans="1:15">
      <c r="A12" s="20"/>
      <c r="B12" s="20"/>
      <c r="C12" s="20"/>
      <c r="D12" s="25"/>
      <c r="E12" s="28"/>
      <c r="F12" s="18"/>
      <c r="G12" s="26"/>
      <c r="H12" s="26"/>
      <c r="I12" s="26"/>
      <c r="J12" s="20"/>
      <c r="K12" s="20"/>
      <c r="L12" s="20"/>
      <c r="M12" s="25"/>
      <c r="N12" s="18"/>
      <c r="O12" s="20"/>
    </row>
    <row r="13" spans="1:15">
      <c r="A13" s="20"/>
      <c r="B13" s="20"/>
      <c r="C13" s="20"/>
      <c r="D13" s="25"/>
      <c r="E13" s="28"/>
      <c r="F13" s="18"/>
      <c r="G13" s="26"/>
      <c r="H13" s="26"/>
      <c r="I13" s="26"/>
      <c r="J13" s="20"/>
      <c r="K13" s="20"/>
      <c r="L13" s="20"/>
      <c r="M13" s="25"/>
      <c r="N13" s="18"/>
      <c r="O13" s="20"/>
    </row>
    <row r="14" spans="1:15">
      <c r="A14" s="20"/>
      <c r="B14" s="20"/>
      <c r="C14" s="20"/>
      <c r="D14" s="25"/>
      <c r="E14" s="28"/>
      <c r="F14" s="18"/>
      <c r="G14" s="26"/>
      <c r="H14" s="26"/>
      <c r="I14" s="26"/>
      <c r="J14" s="20"/>
      <c r="K14" s="20"/>
      <c r="L14" s="20"/>
      <c r="M14" s="25"/>
      <c r="N14" s="18"/>
      <c r="O14" s="20"/>
    </row>
    <row r="15" spans="1:15">
      <c r="A15" s="20"/>
      <c r="B15" s="20"/>
      <c r="C15" s="20"/>
      <c r="D15" s="25"/>
      <c r="E15" s="28"/>
      <c r="F15" s="18"/>
      <c r="G15" s="26"/>
      <c r="H15" s="26"/>
      <c r="I15" s="26"/>
      <c r="J15" s="20"/>
      <c r="K15" s="20"/>
      <c r="L15" s="20"/>
      <c r="M15" s="25"/>
      <c r="N15" s="18"/>
      <c r="O15" s="20"/>
    </row>
    <row r="16" spans="1:15">
      <c r="A16" s="20"/>
      <c r="B16" s="20"/>
      <c r="C16" s="20"/>
      <c r="D16" s="25"/>
      <c r="E16" s="28"/>
      <c r="F16" s="18"/>
      <c r="G16" s="26"/>
      <c r="H16" s="26"/>
      <c r="I16" s="26"/>
      <c r="J16" s="20"/>
      <c r="K16" s="20"/>
      <c r="L16" s="20"/>
      <c r="M16" s="25"/>
      <c r="N16" s="18"/>
      <c r="O16" s="20"/>
    </row>
    <row r="17" spans="1:15">
      <c r="A17" s="20"/>
      <c r="B17" s="20"/>
      <c r="C17" s="20"/>
      <c r="D17" s="25"/>
      <c r="E17" s="28"/>
      <c r="F17" s="18"/>
      <c r="G17" s="26"/>
      <c r="H17" s="26"/>
      <c r="I17" s="26"/>
      <c r="J17" s="20"/>
      <c r="K17" s="20"/>
      <c r="L17" s="20"/>
      <c r="M17" s="25"/>
      <c r="N17" s="18"/>
      <c r="O17" s="20"/>
    </row>
    <row r="18" spans="1:15">
      <c r="A18" s="20"/>
      <c r="B18" s="20"/>
      <c r="C18" s="20"/>
      <c r="D18" s="25"/>
      <c r="E18" s="28"/>
      <c r="F18" s="18"/>
      <c r="G18" s="26"/>
      <c r="H18" s="26"/>
      <c r="I18" s="26"/>
      <c r="J18" s="20"/>
      <c r="K18" s="20"/>
      <c r="L18" s="20"/>
      <c r="M18" s="25"/>
      <c r="N18" s="18"/>
      <c r="O18" s="20"/>
    </row>
    <row r="19" spans="1:15">
      <c r="A19" s="20"/>
      <c r="B19" s="20"/>
      <c r="C19" s="20"/>
      <c r="D19" s="25"/>
      <c r="E19" s="28"/>
      <c r="F19" s="18"/>
      <c r="G19" s="26"/>
      <c r="H19" s="26"/>
      <c r="I19" s="26"/>
      <c r="J19" s="20"/>
      <c r="K19" s="20"/>
      <c r="L19" s="20"/>
      <c r="M19" s="25"/>
      <c r="N19" s="18"/>
      <c r="O19" s="20"/>
    </row>
    <row r="20" spans="1:15">
      <c r="A20" s="20"/>
      <c r="B20" s="20"/>
      <c r="C20" s="20"/>
      <c r="D20" s="25"/>
      <c r="E20" s="28"/>
      <c r="F20" s="18"/>
      <c r="G20" s="26"/>
      <c r="H20" s="26"/>
      <c r="I20" s="26"/>
      <c r="J20" s="20"/>
      <c r="K20" s="20"/>
      <c r="L20" s="20"/>
      <c r="M20" s="25"/>
      <c r="N20" s="18"/>
      <c r="O20" s="20"/>
    </row>
    <row r="21" spans="1:15">
      <c r="A21" s="20"/>
      <c r="B21" s="20"/>
      <c r="C21" s="20"/>
      <c r="D21" s="25"/>
      <c r="E21" s="28"/>
      <c r="F21" s="18"/>
      <c r="G21" s="26"/>
      <c r="H21" s="26"/>
      <c r="I21" s="26"/>
      <c r="J21" s="20"/>
      <c r="K21" s="20"/>
      <c r="L21" s="20"/>
      <c r="M21" s="25"/>
      <c r="N21" s="18"/>
      <c r="O21" s="20"/>
    </row>
    <row r="22" spans="1:15">
      <c r="A22" s="20"/>
      <c r="B22" s="20"/>
      <c r="C22" s="20"/>
      <c r="D22" s="25"/>
      <c r="E22" s="28"/>
      <c r="F22" s="18"/>
      <c r="G22" s="26"/>
      <c r="H22" s="26"/>
      <c r="I22" s="26"/>
      <c r="J22" s="20"/>
      <c r="K22" s="20"/>
      <c r="L22" s="20"/>
      <c r="M22" s="25"/>
      <c r="N22" s="18"/>
      <c r="O22" s="20"/>
    </row>
    <row r="23" spans="1:15">
      <c r="A23" s="20"/>
      <c r="B23" s="20"/>
      <c r="C23" s="20"/>
      <c r="D23" s="25"/>
      <c r="E23" s="28"/>
      <c r="F23" s="18"/>
      <c r="G23" s="26"/>
      <c r="H23" s="26"/>
      <c r="I23" s="26"/>
      <c r="J23" s="20"/>
      <c r="K23" s="20"/>
      <c r="L23" s="20"/>
      <c r="M23" s="25"/>
      <c r="N23" s="18"/>
      <c r="O23" s="20"/>
    </row>
    <row r="24" spans="1:15">
      <c r="A24" s="20"/>
      <c r="B24" s="20"/>
      <c r="C24" s="20"/>
      <c r="D24" s="25"/>
      <c r="E24" s="28"/>
      <c r="F24" s="18"/>
      <c r="G24" s="26"/>
      <c r="H24" s="26"/>
      <c r="I24" s="26"/>
      <c r="J24" s="20"/>
      <c r="K24" s="20"/>
      <c r="L24" s="20"/>
      <c r="M24" s="25"/>
      <c r="N24" s="18"/>
      <c r="O24" s="20"/>
    </row>
    <row r="25" spans="1:15">
      <c r="A25" s="20"/>
      <c r="B25" s="20"/>
      <c r="C25" s="20"/>
      <c r="D25" s="25"/>
      <c r="E25" s="28"/>
      <c r="F25" s="18"/>
      <c r="G25" s="26"/>
      <c r="H25" s="26"/>
      <c r="I25" s="26"/>
      <c r="J25" s="20"/>
      <c r="K25" s="20"/>
      <c r="L25" s="20"/>
      <c r="M25" s="25"/>
      <c r="N25" s="18"/>
      <c r="O25" s="20"/>
    </row>
    <row r="26" spans="1:15">
      <c r="A26" s="20"/>
      <c r="B26" s="20"/>
      <c r="C26" s="20"/>
      <c r="D26" s="25"/>
      <c r="E26" s="28"/>
      <c r="F26" s="18"/>
      <c r="G26" s="26"/>
      <c r="H26" s="26"/>
      <c r="I26" s="26"/>
      <c r="J26" s="20"/>
      <c r="K26" s="20"/>
      <c r="L26" s="20"/>
      <c r="M26" s="25"/>
      <c r="N26" s="18"/>
      <c r="O26" s="20"/>
    </row>
    <row r="27" spans="1:15">
      <c r="A27" s="20"/>
      <c r="B27" s="20"/>
      <c r="C27" s="20"/>
      <c r="D27" s="25"/>
      <c r="E27" s="28"/>
      <c r="F27" s="18"/>
      <c r="G27" s="26"/>
      <c r="H27" s="26"/>
      <c r="I27" s="26"/>
      <c r="J27" s="20"/>
      <c r="K27" s="20"/>
      <c r="L27" s="20"/>
      <c r="M27" s="25"/>
      <c r="N27" s="18"/>
      <c r="O27" s="20"/>
    </row>
    <row r="28" spans="1:15">
      <c r="A28" s="20"/>
      <c r="B28" s="20"/>
      <c r="C28" s="20"/>
      <c r="D28" s="25"/>
      <c r="E28" s="28"/>
      <c r="F28" s="18"/>
      <c r="G28" s="26"/>
      <c r="H28" s="26"/>
      <c r="I28" s="26"/>
      <c r="J28" s="20"/>
      <c r="K28" s="20"/>
      <c r="L28" s="20"/>
      <c r="M28" s="25"/>
      <c r="N28" s="18"/>
      <c r="O28" s="20"/>
    </row>
    <row r="29" spans="1:15">
      <c r="A29" s="20"/>
      <c r="B29" s="20"/>
      <c r="C29" s="20"/>
      <c r="D29" s="25"/>
      <c r="E29" s="28"/>
      <c r="F29" s="18"/>
      <c r="G29" s="26"/>
      <c r="H29" s="26"/>
      <c r="I29" s="26"/>
      <c r="J29" s="20"/>
      <c r="K29" s="20"/>
      <c r="L29" s="20"/>
      <c r="M29" s="25"/>
      <c r="N29" s="18"/>
      <c r="O29" s="20"/>
    </row>
    <row r="30" spans="1:15">
      <c r="A30" s="20"/>
      <c r="B30" s="20"/>
      <c r="C30" s="20"/>
      <c r="D30" s="25"/>
      <c r="E30" s="28"/>
      <c r="F30" s="18"/>
      <c r="G30" s="26"/>
      <c r="H30" s="26"/>
      <c r="I30" s="26"/>
      <c r="J30" s="20"/>
      <c r="K30" s="20"/>
      <c r="L30" s="20"/>
      <c r="M30" s="25"/>
      <c r="N30" s="18"/>
      <c r="O30" s="20"/>
    </row>
    <row r="31" spans="1:15">
      <c r="A31" s="20"/>
      <c r="B31" s="20"/>
      <c r="C31" s="20"/>
      <c r="D31" s="25"/>
      <c r="E31" s="28"/>
      <c r="F31" s="18"/>
      <c r="G31" s="26"/>
      <c r="H31" s="26"/>
      <c r="I31" s="26"/>
      <c r="J31" s="20"/>
      <c r="K31" s="20"/>
      <c r="L31" s="20"/>
      <c r="M31" s="25"/>
      <c r="N31" s="18"/>
      <c r="O31" s="20"/>
    </row>
    <row r="32" spans="1:15">
      <c r="A32" s="20"/>
      <c r="B32" s="20"/>
      <c r="C32" s="20"/>
      <c r="D32" s="25"/>
      <c r="E32" s="28"/>
      <c r="F32" s="18"/>
      <c r="G32" s="26"/>
      <c r="H32" s="26"/>
      <c r="I32" s="26"/>
      <c r="J32" s="20"/>
      <c r="K32" s="20"/>
      <c r="L32" s="20"/>
      <c r="M32" s="25"/>
      <c r="N32" s="18"/>
      <c r="O32" s="20"/>
    </row>
    <row r="33" spans="1:15">
      <c r="A33" s="20"/>
      <c r="B33" s="20"/>
      <c r="C33" s="20"/>
      <c r="D33" s="25"/>
      <c r="E33" s="28"/>
      <c r="F33" s="18"/>
      <c r="G33" s="26"/>
      <c r="H33" s="26"/>
      <c r="I33" s="26"/>
      <c r="J33" s="20"/>
      <c r="K33" s="20"/>
      <c r="L33" s="20"/>
      <c r="M33" s="25"/>
      <c r="N33" s="18"/>
      <c r="O33" s="20"/>
    </row>
    <row r="34" spans="1:15">
      <c r="A34" s="20"/>
      <c r="B34" s="20"/>
      <c r="C34" s="20"/>
      <c r="D34" s="25"/>
      <c r="E34" s="28"/>
      <c r="F34" s="18"/>
      <c r="G34" s="26"/>
      <c r="H34" s="26"/>
      <c r="I34" s="26"/>
      <c r="J34" s="20"/>
      <c r="K34" s="20"/>
      <c r="L34" s="20"/>
      <c r="M34" s="25"/>
      <c r="N34" s="18"/>
      <c r="O34" s="20"/>
    </row>
  </sheetData>
  <dataValidations count="2">
    <dataValidation type="list" sqref="J5:J104">
      <formula1>"未提交,待验收,验收通过,验收不通过"</formula1>
    </dataValidation>
    <dataValidation type="list" sqref="L5:L104">
      <formula1>"未申请,审批中,已批准,已驳回,已支付"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6" customWidth="1"/>
    <col min="6" max="6" width="36" customWidth="1"/>
    <col min="7" max="10" width="19" customWidth="1"/>
    <col min="11" max="15" width="18" customWidth="1"/>
  </cols>
  <sheetData>
    <row r="1" ht="25" customHeight="1" spans="1:15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6" t="s">
        <v>193</v>
      </c>
    </row>
    <row r="4" ht="32" customHeight="1" spans="1:15">
      <c r="A4" s="10" t="s">
        <v>194</v>
      </c>
      <c r="B4" s="10" t="s">
        <v>195</v>
      </c>
      <c r="C4" s="10" t="s">
        <v>196</v>
      </c>
      <c r="D4" s="10" t="s">
        <v>197</v>
      </c>
      <c r="E4" s="10" t="s">
        <v>198</v>
      </c>
      <c r="F4" s="10" t="s">
        <v>199</v>
      </c>
      <c r="G4" s="10" t="s">
        <v>200</v>
      </c>
      <c r="H4" s="10" t="s">
        <v>201</v>
      </c>
      <c r="I4" s="10" t="s">
        <v>202</v>
      </c>
      <c r="J4" s="10" t="s">
        <v>203</v>
      </c>
      <c r="K4" s="10" t="s">
        <v>204</v>
      </c>
      <c r="L4" s="10" t="s">
        <v>205</v>
      </c>
      <c r="M4" s="10" t="s">
        <v>206</v>
      </c>
      <c r="N4" s="10" t="s">
        <v>207</v>
      </c>
      <c r="O4" s="10" t="s">
        <v>208</v>
      </c>
    </row>
    <row r="5" spans="1:15">
      <c r="A5" s="20"/>
      <c r="B5" s="25"/>
      <c r="C5" s="20"/>
      <c r="D5" s="20"/>
      <c r="E5" s="20"/>
      <c r="F5" s="26"/>
      <c r="G5" s="18"/>
      <c r="H5" s="18"/>
      <c r="I5" s="18"/>
      <c r="J5" s="19" t="str">
        <f t="shared" ref="J5:J24" si="0">IF(COUNTA(G5:I5)=0,"",SUM(G5:I5))</f>
        <v/>
      </c>
      <c r="K5" s="27"/>
      <c r="L5" s="20"/>
      <c r="M5" s="20"/>
      <c r="N5" s="20"/>
      <c r="O5" s="20"/>
    </row>
    <row r="6" spans="1:15">
      <c r="A6" s="20"/>
      <c r="B6" s="25"/>
      <c r="C6" s="20"/>
      <c r="D6" s="20"/>
      <c r="E6" s="20"/>
      <c r="F6" s="26"/>
      <c r="G6" s="18"/>
      <c r="H6" s="18"/>
      <c r="I6" s="18"/>
      <c r="J6" s="19" t="str">
        <f t="shared" si="0"/>
        <v/>
      </c>
      <c r="K6" s="27"/>
      <c r="L6" s="20"/>
      <c r="M6" s="20"/>
      <c r="N6" s="20"/>
      <c r="O6" s="20"/>
    </row>
    <row r="7" spans="1:15">
      <c r="A7" s="20"/>
      <c r="B7" s="25"/>
      <c r="C7" s="20"/>
      <c r="D7" s="20"/>
      <c r="E7" s="20"/>
      <c r="F7" s="26"/>
      <c r="G7" s="18"/>
      <c r="H7" s="18"/>
      <c r="I7" s="18"/>
      <c r="J7" s="19" t="str">
        <f t="shared" si="0"/>
        <v/>
      </c>
      <c r="K7" s="27"/>
      <c r="L7" s="20"/>
      <c r="M7" s="20"/>
      <c r="N7" s="20"/>
      <c r="O7" s="20"/>
    </row>
    <row r="8" spans="1:15">
      <c r="A8" s="20"/>
      <c r="B8" s="25"/>
      <c r="C8" s="20"/>
      <c r="D8" s="20"/>
      <c r="E8" s="20"/>
      <c r="F8" s="26"/>
      <c r="G8" s="18"/>
      <c r="H8" s="18"/>
      <c r="I8" s="18"/>
      <c r="J8" s="19" t="str">
        <f t="shared" si="0"/>
        <v/>
      </c>
      <c r="K8" s="27"/>
      <c r="L8" s="20"/>
      <c r="M8" s="20"/>
      <c r="N8" s="20"/>
      <c r="O8" s="20"/>
    </row>
    <row r="9" spans="1:15">
      <c r="A9" s="20"/>
      <c r="B9" s="25"/>
      <c r="C9" s="20"/>
      <c r="D9" s="20"/>
      <c r="E9" s="20"/>
      <c r="F9" s="26"/>
      <c r="G9" s="18"/>
      <c r="H9" s="18"/>
      <c r="I9" s="18"/>
      <c r="J9" s="19" t="str">
        <f t="shared" si="0"/>
        <v/>
      </c>
      <c r="K9" s="27"/>
      <c r="L9" s="20"/>
      <c r="M9" s="20"/>
      <c r="N9" s="20"/>
      <c r="O9" s="20"/>
    </row>
    <row r="10" spans="1:15">
      <c r="A10" s="20"/>
      <c r="B10" s="25"/>
      <c r="C10" s="20"/>
      <c r="D10" s="20"/>
      <c r="E10" s="20"/>
      <c r="F10" s="26"/>
      <c r="G10" s="18"/>
      <c r="H10" s="18"/>
      <c r="I10" s="18"/>
      <c r="J10" s="19" t="str">
        <f t="shared" si="0"/>
        <v/>
      </c>
      <c r="K10" s="27"/>
      <c r="L10" s="20"/>
      <c r="M10" s="20"/>
      <c r="N10" s="20"/>
      <c r="O10" s="20"/>
    </row>
    <row r="11" spans="1:15">
      <c r="A11" s="20"/>
      <c r="B11" s="25"/>
      <c r="C11" s="20"/>
      <c r="D11" s="20"/>
      <c r="E11" s="20"/>
      <c r="F11" s="26"/>
      <c r="G11" s="18"/>
      <c r="H11" s="18"/>
      <c r="I11" s="18"/>
      <c r="J11" s="19" t="str">
        <f t="shared" si="0"/>
        <v/>
      </c>
      <c r="K11" s="27"/>
      <c r="L11" s="20"/>
      <c r="M11" s="20"/>
      <c r="N11" s="20"/>
      <c r="O11" s="20"/>
    </row>
    <row r="12" spans="1:15">
      <c r="A12" s="20"/>
      <c r="B12" s="25"/>
      <c r="C12" s="20"/>
      <c r="D12" s="20"/>
      <c r="E12" s="20"/>
      <c r="F12" s="26"/>
      <c r="G12" s="18"/>
      <c r="H12" s="18"/>
      <c r="I12" s="18"/>
      <c r="J12" s="19" t="str">
        <f t="shared" si="0"/>
        <v/>
      </c>
      <c r="K12" s="27"/>
      <c r="L12" s="20"/>
      <c r="M12" s="20"/>
      <c r="N12" s="20"/>
      <c r="O12" s="20"/>
    </row>
    <row r="13" spans="1:15">
      <c r="A13" s="20"/>
      <c r="B13" s="25"/>
      <c r="C13" s="20"/>
      <c r="D13" s="20"/>
      <c r="E13" s="20"/>
      <c r="F13" s="26"/>
      <c r="G13" s="18"/>
      <c r="H13" s="18"/>
      <c r="I13" s="18"/>
      <c r="J13" s="19" t="str">
        <f t="shared" si="0"/>
        <v/>
      </c>
      <c r="K13" s="27"/>
      <c r="L13" s="20"/>
      <c r="M13" s="20"/>
      <c r="N13" s="20"/>
      <c r="O13" s="20"/>
    </row>
    <row r="14" spans="1:15">
      <c r="A14" s="20"/>
      <c r="B14" s="25"/>
      <c r="C14" s="20"/>
      <c r="D14" s="20"/>
      <c r="E14" s="20"/>
      <c r="F14" s="26"/>
      <c r="G14" s="18"/>
      <c r="H14" s="18"/>
      <c r="I14" s="18"/>
      <c r="J14" s="19" t="str">
        <f t="shared" si="0"/>
        <v/>
      </c>
      <c r="K14" s="27"/>
      <c r="L14" s="20"/>
      <c r="M14" s="20"/>
      <c r="N14" s="20"/>
      <c r="O14" s="20"/>
    </row>
    <row r="15" spans="1:15">
      <c r="A15" s="20"/>
      <c r="B15" s="25"/>
      <c r="C15" s="20"/>
      <c r="D15" s="20"/>
      <c r="E15" s="20"/>
      <c r="F15" s="26"/>
      <c r="G15" s="18"/>
      <c r="H15" s="18"/>
      <c r="I15" s="18"/>
      <c r="J15" s="19" t="str">
        <f t="shared" si="0"/>
        <v/>
      </c>
      <c r="K15" s="27"/>
      <c r="L15" s="20"/>
      <c r="M15" s="20"/>
      <c r="N15" s="20"/>
      <c r="O15" s="20"/>
    </row>
    <row r="16" spans="1:15">
      <c r="A16" s="20"/>
      <c r="B16" s="25"/>
      <c r="C16" s="20"/>
      <c r="D16" s="20"/>
      <c r="E16" s="20"/>
      <c r="F16" s="26"/>
      <c r="G16" s="18"/>
      <c r="H16" s="18"/>
      <c r="I16" s="18"/>
      <c r="J16" s="19" t="str">
        <f t="shared" si="0"/>
        <v/>
      </c>
      <c r="K16" s="27"/>
      <c r="L16" s="20"/>
      <c r="M16" s="20"/>
      <c r="N16" s="20"/>
      <c r="O16" s="20"/>
    </row>
    <row r="17" spans="1:15">
      <c r="A17" s="20"/>
      <c r="B17" s="25"/>
      <c r="C17" s="20"/>
      <c r="D17" s="20"/>
      <c r="E17" s="20"/>
      <c r="F17" s="26"/>
      <c r="G17" s="18"/>
      <c r="H17" s="18"/>
      <c r="I17" s="18"/>
      <c r="J17" s="19" t="str">
        <f t="shared" si="0"/>
        <v/>
      </c>
      <c r="K17" s="27"/>
      <c r="L17" s="20"/>
      <c r="M17" s="20"/>
      <c r="N17" s="20"/>
      <c r="O17" s="20"/>
    </row>
    <row r="18" spans="1:15">
      <c r="A18" s="20"/>
      <c r="B18" s="25"/>
      <c r="C18" s="20"/>
      <c r="D18" s="20"/>
      <c r="E18" s="20"/>
      <c r="F18" s="26"/>
      <c r="G18" s="18"/>
      <c r="H18" s="18"/>
      <c r="I18" s="18"/>
      <c r="J18" s="19" t="str">
        <f t="shared" si="0"/>
        <v/>
      </c>
      <c r="K18" s="27"/>
      <c r="L18" s="20"/>
      <c r="M18" s="20"/>
      <c r="N18" s="20"/>
      <c r="O18" s="20"/>
    </row>
    <row r="19" spans="1:15">
      <c r="A19" s="20"/>
      <c r="B19" s="25"/>
      <c r="C19" s="20"/>
      <c r="D19" s="20"/>
      <c r="E19" s="20"/>
      <c r="F19" s="26"/>
      <c r="G19" s="18"/>
      <c r="H19" s="18"/>
      <c r="I19" s="18"/>
      <c r="J19" s="19" t="str">
        <f t="shared" si="0"/>
        <v/>
      </c>
      <c r="K19" s="27"/>
      <c r="L19" s="20"/>
      <c r="M19" s="20"/>
      <c r="N19" s="20"/>
      <c r="O19" s="20"/>
    </row>
    <row r="20" spans="1:15">
      <c r="A20" s="20"/>
      <c r="B20" s="25"/>
      <c r="C20" s="20"/>
      <c r="D20" s="20"/>
      <c r="E20" s="20"/>
      <c r="F20" s="26"/>
      <c r="G20" s="18"/>
      <c r="H20" s="18"/>
      <c r="I20" s="18"/>
      <c r="J20" s="19" t="str">
        <f t="shared" si="0"/>
        <v/>
      </c>
      <c r="K20" s="27"/>
      <c r="L20" s="20"/>
      <c r="M20" s="20"/>
      <c r="N20" s="20"/>
      <c r="O20" s="20"/>
    </row>
    <row r="21" spans="1:15">
      <c r="A21" s="20"/>
      <c r="B21" s="25"/>
      <c r="C21" s="20"/>
      <c r="D21" s="20"/>
      <c r="E21" s="20"/>
      <c r="F21" s="26"/>
      <c r="G21" s="18"/>
      <c r="H21" s="18"/>
      <c r="I21" s="18"/>
      <c r="J21" s="19" t="str">
        <f t="shared" si="0"/>
        <v/>
      </c>
      <c r="K21" s="27"/>
      <c r="L21" s="20"/>
      <c r="M21" s="20"/>
      <c r="N21" s="20"/>
      <c r="O21" s="20"/>
    </row>
    <row r="22" spans="1:15">
      <c r="A22" s="20"/>
      <c r="B22" s="25"/>
      <c r="C22" s="20"/>
      <c r="D22" s="20"/>
      <c r="E22" s="20"/>
      <c r="F22" s="26"/>
      <c r="G22" s="18"/>
      <c r="H22" s="18"/>
      <c r="I22" s="18"/>
      <c r="J22" s="19" t="str">
        <f t="shared" si="0"/>
        <v/>
      </c>
      <c r="K22" s="27"/>
      <c r="L22" s="20"/>
      <c r="M22" s="20"/>
      <c r="N22" s="20"/>
      <c r="O22" s="20"/>
    </row>
    <row r="23" spans="1:15">
      <c r="A23" s="20"/>
      <c r="B23" s="25"/>
      <c r="C23" s="20"/>
      <c r="D23" s="20"/>
      <c r="E23" s="20"/>
      <c r="F23" s="26"/>
      <c r="G23" s="18"/>
      <c r="H23" s="18"/>
      <c r="I23" s="18"/>
      <c r="J23" s="19" t="str">
        <f t="shared" si="0"/>
        <v/>
      </c>
      <c r="K23" s="27"/>
      <c r="L23" s="20"/>
      <c r="M23" s="20"/>
      <c r="N23" s="20"/>
      <c r="O23" s="20"/>
    </row>
    <row r="24" spans="1:15">
      <c r="A24" s="20"/>
      <c r="B24" s="25"/>
      <c r="C24" s="20"/>
      <c r="D24" s="20"/>
      <c r="E24" s="20"/>
      <c r="F24" s="26"/>
      <c r="G24" s="18"/>
      <c r="H24" s="18"/>
      <c r="I24" s="18"/>
      <c r="J24" s="19" t="str">
        <f t="shared" si="0"/>
        <v/>
      </c>
      <c r="K24" s="27"/>
      <c r="L24" s="20"/>
      <c r="M24" s="20"/>
      <c r="N24" s="20"/>
      <c r="O24" s="20"/>
    </row>
  </sheetData>
  <dataValidations count="2">
    <dataValidation type="list" sqref="M5:M104">
      <formula1>"待评审,批准,有条件批准,拒绝,暂缓"</formula1>
    </dataValidation>
    <dataValidation type="list" sqref="O5:O104">
      <formula1>"不适用,待更新,已更新"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pane ySplit="4" topLeftCell="A5" activePane="bottomLeft" state="frozen"/>
      <selection/>
      <selection pane="bottomLeft" activeCell="D18" sqref="D18"/>
    </sheetView>
  </sheetViews>
  <sheetFormatPr defaultColWidth="9" defaultRowHeight="16.8"/>
  <cols>
    <col min="1" max="2" width="14" customWidth="1"/>
    <col min="3" max="9" width="20" customWidth="1"/>
    <col min="10" max="10" width="34" customWidth="1"/>
  </cols>
  <sheetData>
    <row r="1" ht="25" customHeight="1" spans="1:10">
      <c r="A1" s="15" t="s">
        <v>209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6" t="s">
        <v>210</v>
      </c>
    </row>
    <row r="4" ht="32" customHeight="1" spans="1:10">
      <c r="A4" s="10" t="s">
        <v>211</v>
      </c>
      <c r="B4" s="10" t="s">
        <v>3</v>
      </c>
      <c r="C4" s="10" t="s">
        <v>114</v>
      </c>
      <c r="D4" s="10" t="s">
        <v>212</v>
      </c>
      <c r="E4" s="10" t="s">
        <v>56</v>
      </c>
      <c r="F4" s="10" t="s">
        <v>213</v>
      </c>
      <c r="G4" s="10" t="s">
        <v>214</v>
      </c>
      <c r="H4" s="10" t="s">
        <v>215</v>
      </c>
      <c r="I4" s="10" t="s">
        <v>216</v>
      </c>
      <c r="J4" s="10" t="s">
        <v>217</v>
      </c>
    </row>
    <row r="5" spans="1:10">
      <c r="A5" s="11" t="s">
        <v>218</v>
      </c>
      <c r="B5" s="14">
        <v>90</v>
      </c>
      <c r="C5" s="17">
        <f>B5*1450</f>
        <v>130500</v>
      </c>
      <c r="D5" s="18"/>
      <c r="E5" s="19">
        <f t="shared" ref="E5:E12" si="0">IF(D5="",C5,C5+D5)</f>
        <v>130500</v>
      </c>
      <c r="F5" s="18"/>
      <c r="G5" s="18"/>
      <c r="H5" s="18"/>
      <c r="I5" s="19" t="str">
        <f t="shared" ref="I5:I13" si="1">IF(OR(E5="",H5=""),"",E5-H5)</f>
        <v/>
      </c>
      <c r="J5" s="20"/>
    </row>
    <row r="6" spans="1:10">
      <c r="A6" s="11" t="s">
        <v>219</v>
      </c>
      <c r="B6" s="14">
        <v>150</v>
      </c>
      <c r="C6" s="17">
        <f t="shared" ref="C6:C12" si="2">B6*1450</f>
        <v>217500</v>
      </c>
      <c r="D6" s="18"/>
      <c r="E6" s="19">
        <f t="shared" si="0"/>
        <v>217500</v>
      </c>
      <c r="F6" s="18"/>
      <c r="G6" s="18"/>
      <c r="H6" s="18"/>
      <c r="I6" s="19" t="str">
        <f t="shared" si="1"/>
        <v/>
      </c>
      <c r="J6" s="20"/>
    </row>
    <row r="7" spans="1:10">
      <c r="A7" s="11" t="s">
        <v>220</v>
      </c>
      <c r="B7" s="14">
        <v>180</v>
      </c>
      <c r="C7" s="17">
        <f t="shared" si="2"/>
        <v>261000</v>
      </c>
      <c r="D7" s="18"/>
      <c r="E7" s="19">
        <f t="shared" si="0"/>
        <v>261000</v>
      </c>
      <c r="F7" s="18"/>
      <c r="G7" s="18"/>
      <c r="H7" s="18"/>
      <c r="I7" s="19" t="str">
        <f t="shared" si="1"/>
        <v/>
      </c>
      <c r="J7" s="20"/>
    </row>
    <row r="8" spans="1:10">
      <c r="A8" s="11" t="s">
        <v>221</v>
      </c>
      <c r="B8" s="14">
        <v>180</v>
      </c>
      <c r="C8" s="17">
        <f t="shared" si="2"/>
        <v>261000</v>
      </c>
      <c r="D8" s="18"/>
      <c r="E8" s="19">
        <f t="shared" si="0"/>
        <v>261000</v>
      </c>
      <c r="F8" s="18"/>
      <c r="G8" s="18"/>
      <c r="H8" s="18"/>
      <c r="I8" s="19" t="str">
        <f t="shared" si="1"/>
        <v/>
      </c>
      <c r="J8" s="20"/>
    </row>
    <row r="9" spans="1:10">
      <c r="A9" s="11" t="s">
        <v>222</v>
      </c>
      <c r="B9" s="14">
        <v>165</v>
      </c>
      <c r="C9" s="17">
        <f t="shared" si="2"/>
        <v>239250</v>
      </c>
      <c r="D9" s="18"/>
      <c r="E9" s="19">
        <f t="shared" si="0"/>
        <v>239250</v>
      </c>
      <c r="F9" s="18"/>
      <c r="G9" s="18"/>
      <c r="H9" s="18"/>
      <c r="I9" s="19" t="str">
        <f t="shared" si="1"/>
        <v/>
      </c>
      <c r="J9" s="20"/>
    </row>
    <row r="10" spans="1:10">
      <c r="A10" s="11" t="s">
        <v>223</v>
      </c>
      <c r="B10" s="14">
        <v>165</v>
      </c>
      <c r="C10" s="17">
        <f t="shared" si="2"/>
        <v>239250</v>
      </c>
      <c r="D10" s="18"/>
      <c r="E10" s="19">
        <f t="shared" si="0"/>
        <v>239250</v>
      </c>
      <c r="F10" s="18"/>
      <c r="G10" s="18"/>
      <c r="H10" s="18"/>
      <c r="I10" s="19" t="str">
        <f t="shared" si="1"/>
        <v/>
      </c>
      <c r="J10" s="20"/>
    </row>
    <row r="11" spans="1:10">
      <c r="A11" s="11" t="s">
        <v>224</v>
      </c>
      <c r="B11" s="14">
        <v>120</v>
      </c>
      <c r="C11" s="17">
        <f t="shared" si="2"/>
        <v>174000</v>
      </c>
      <c r="D11" s="18"/>
      <c r="E11" s="19">
        <f t="shared" si="0"/>
        <v>174000</v>
      </c>
      <c r="F11" s="18"/>
      <c r="G11" s="18"/>
      <c r="H11" s="18"/>
      <c r="I11" s="19" t="str">
        <f t="shared" si="1"/>
        <v/>
      </c>
      <c r="J11" s="20"/>
    </row>
    <row r="12" spans="1:10">
      <c r="A12" s="11" t="s">
        <v>225</v>
      </c>
      <c r="B12" s="14">
        <v>85</v>
      </c>
      <c r="C12" s="17">
        <f t="shared" si="2"/>
        <v>123250</v>
      </c>
      <c r="D12" s="18"/>
      <c r="E12" s="19">
        <f t="shared" si="0"/>
        <v>123250</v>
      </c>
      <c r="F12" s="18"/>
      <c r="G12" s="18"/>
      <c r="H12" s="18"/>
      <c r="I12" s="19" t="str">
        <f t="shared" si="1"/>
        <v/>
      </c>
      <c r="J12" s="20"/>
    </row>
    <row r="13" spans="1:10">
      <c r="A13" s="21" t="s">
        <v>129</v>
      </c>
      <c r="B13" s="22">
        <f>SUM(B5:B12)</f>
        <v>1135</v>
      </c>
      <c r="C13" s="23">
        <f>SUM(C5:C12)</f>
        <v>1645750</v>
      </c>
      <c r="D13" s="23" t="str">
        <f>IF(COUNTA(D5:D12)=0,"",SUM(D5:D12))</f>
        <v/>
      </c>
      <c r="E13" s="24">
        <f>IF(COUNTA(E5:E12)=0,"",SUM(E5:E12))</f>
        <v>1645750</v>
      </c>
      <c r="F13" s="23" t="str">
        <f>IF(COUNTA(F5:F12)=0,"",SUM(F5:F12))</f>
        <v/>
      </c>
      <c r="G13" s="23" t="str">
        <f>IF(COUNTA(G5:G12)=0,"",SUM(G5:G12))</f>
        <v/>
      </c>
      <c r="H13" s="23" t="str">
        <f>IF(COUNTA(H5:H12)=0,"",SUM(H5:H12))</f>
        <v/>
      </c>
      <c r="I13" s="24" t="str">
        <f t="shared" si="1"/>
        <v/>
      </c>
      <c r="J13" s="2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showGridLines="0" tabSelected="1" workbookViewId="0">
      <selection activeCell="B11" sqref="B11"/>
    </sheetView>
  </sheetViews>
  <sheetFormatPr defaultColWidth="9" defaultRowHeight="16.8" outlineLevelCol="1"/>
  <cols>
    <col min="1" max="1" width="24" customWidth="1"/>
    <col min="2" max="2" width="62" customWidth="1"/>
  </cols>
  <sheetData>
    <row r="1" ht="32" customHeight="1" spans="1:2">
      <c r="A1" s="10" t="s">
        <v>226</v>
      </c>
      <c r="B1" s="10" t="s">
        <v>227</v>
      </c>
    </row>
    <row r="2" spans="1:2">
      <c r="A2" s="11" t="s">
        <v>228</v>
      </c>
      <c r="B2" s="11" t="s">
        <v>229</v>
      </c>
    </row>
    <row r="3" spans="1:2">
      <c r="A3" s="11" t="s">
        <v>230</v>
      </c>
      <c r="B3" s="11" t="s">
        <v>231</v>
      </c>
    </row>
    <row r="4" spans="1:2">
      <c r="A4" s="11" t="s">
        <v>232</v>
      </c>
      <c r="B4" s="11" t="s">
        <v>233</v>
      </c>
    </row>
    <row r="5" spans="1:2">
      <c r="A5" s="11" t="s">
        <v>234</v>
      </c>
      <c r="B5" s="12">
        <v>46282</v>
      </c>
    </row>
    <row r="6" spans="1:2">
      <c r="A6" s="11" t="s">
        <v>235</v>
      </c>
      <c r="B6" s="11" t="s">
        <v>236</v>
      </c>
    </row>
    <row r="7" spans="1:2">
      <c r="A7" s="11" t="s">
        <v>4</v>
      </c>
      <c r="B7" s="13">
        <v>1450</v>
      </c>
    </row>
    <row r="8" spans="1:2">
      <c r="A8" s="11" t="s">
        <v>237</v>
      </c>
      <c r="B8" s="13">
        <f>B7/8</f>
        <v>181.25</v>
      </c>
    </row>
    <row r="9" spans="1:2">
      <c r="A9" s="11" t="s">
        <v>3</v>
      </c>
      <c r="B9" s="14">
        <v>1135</v>
      </c>
    </row>
    <row r="10" spans="1:2">
      <c r="A10" s="11" t="s">
        <v>2</v>
      </c>
      <c r="B10" s="13">
        <f>B7*B9</f>
        <v>1645750</v>
      </c>
    </row>
    <row r="11" spans="1:2">
      <c r="A11" s="11" t="s">
        <v>5</v>
      </c>
      <c r="B11" s="14">
        <v>7</v>
      </c>
    </row>
    <row r="12" spans="1:2">
      <c r="A12" s="11" t="s">
        <v>238</v>
      </c>
      <c r="B12" s="14">
        <v>30</v>
      </c>
    </row>
    <row r="13" spans="1:2">
      <c r="A13" s="11" t="s">
        <v>239</v>
      </c>
      <c r="B13" s="12">
        <v>46315</v>
      </c>
    </row>
    <row r="14" spans="1:2">
      <c r="A14" s="11" t="s">
        <v>240</v>
      </c>
      <c r="B14" s="12">
        <v>46538</v>
      </c>
    </row>
    <row r="15" spans="1:2">
      <c r="A15" s="11" t="s">
        <v>241</v>
      </c>
      <c r="B15" s="11" t="s">
        <v>242</v>
      </c>
    </row>
    <row r="16" spans="1:2">
      <c r="A16" s="11" t="s">
        <v>243</v>
      </c>
      <c r="B16" s="11" t="s">
        <v>244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6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245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246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247</v>
      </c>
      <c r="B4" s="5" t="s">
        <v>231</v>
      </c>
      <c r="C4" s="3"/>
      <c r="D4" s="3"/>
      <c r="E4" s="3"/>
      <c r="F4" s="3"/>
      <c r="G4" s="3"/>
      <c r="H4" s="3"/>
    </row>
    <row r="5" ht="22" customHeight="1" spans="1:8">
      <c r="A5" s="4" t="s">
        <v>248</v>
      </c>
      <c r="B5" s="5" t="s">
        <v>249</v>
      </c>
      <c r="C5" s="3"/>
      <c r="D5" s="3"/>
      <c r="E5" s="3"/>
      <c r="F5" s="3"/>
      <c r="G5" s="3"/>
      <c r="H5" s="3"/>
    </row>
    <row r="6" ht="22" customHeight="1" spans="1:8">
      <c r="A6" s="4" t="s">
        <v>250</v>
      </c>
      <c r="B6" s="5" t="s">
        <v>251</v>
      </c>
      <c r="C6" s="3"/>
      <c r="D6" s="3"/>
      <c r="E6" s="3"/>
      <c r="F6" s="3"/>
      <c r="G6" s="3"/>
      <c r="H6" s="3"/>
    </row>
    <row r="7" ht="22" customHeight="1" spans="1:8">
      <c r="A7" s="4" t="s">
        <v>252</v>
      </c>
      <c r="B7" s="5" t="s">
        <v>253</v>
      </c>
      <c r="C7" s="3"/>
      <c r="D7" s="3"/>
      <c r="E7" s="3"/>
      <c r="F7" s="3"/>
      <c r="G7" s="3"/>
      <c r="H7" s="3"/>
    </row>
    <row r="8" ht="22" customHeight="1" spans="1:8">
      <c r="A8" s="4" t="s">
        <v>254</v>
      </c>
      <c r="B8" s="5" t="s">
        <v>255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256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257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258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259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260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261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262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263</v>
      </c>
      <c r="B19" s="9" t="s">
        <v>264</v>
      </c>
      <c r="C19" s="9" t="s">
        <v>265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266</v>
      </c>
      <c r="C20" s="4" t="s">
        <v>267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268</v>
      </c>
      <c r="C21" s="4" t="s">
        <v>269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108</v>
      </c>
      <c r="C22" s="4" t="s">
        <v>270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23</v>
      </c>
      <c r="C23" s="4" t="s">
        <v>271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26</v>
      </c>
      <c r="C24" s="4" t="s">
        <v>272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29</v>
      </c>
      <c r="C25" s="4" t="s">
        <v>273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32</v>
      </c>
      <c r="C26" s="4" t="s">
        <v>274</v>
      </c>
      <c r="D26" s="3"/>
      <c r="E26" s="3"/>
      <c r="F26" s="3"/>
      <c r="G26" s="3"/>
      <c r="H26" s="3"/>
    </row>
    <row r="27" ht="22" customHeight="1" spans="1:8">
      <c r="A27" s="4">
        <v>8</v>
      </c>
      <c r="B27" s="4" t="s">
        <v>35</v>
      </c>
      <c r="C27" s="4" t="s">
        <v>275</v>
      </c>
      <c r="D27" s="3"/>
      <c r="E27" s="3"/>
      <c r="F27" s="3"/>
      <c r="G27" s="3"/>
      <c r="H27" s="3"/>
    </row>
    <row r="28" ht="22" customHeight="1" spans="1:8">
      <c r="A28" s="4">
        <v>9</v>
      </c>
      <c r="B28" s="4" t="s">
        <v>276</v>
      </c>
      <c r="C28" s="4" t="s">
        <v>277</v>
      </c>
      <c r="D28" s="3"/>
      <c r="E28" s="3"/>
      <c r="F28" s="3"/>
      <c r="G28" s="3"/>
      <c r="H28" s="3"/>
    </row>
    <row r="29" ht="22" customHeight="1" spans="1:8">
      <c r="A29" s="3"/>
      <c r="B29" s="3"/>
      <c r="C29" s="3"/>
      <c r="D29" s="3"/>
      <c r="E29" s="3"/>
      <c r="F29" s="3"/>
      <c r="G29" s="3"/>
      <c r="H29" s="3"/>
    </row>
    <row r="30" ht="22" customHeight="1" spans="1:8">
      <c r="A30" s="6" t="s">
        <v>278</v>
      </c>
      <c r="B30" s="7"/>
      <c r="C30" s="7"/>
      <c r="D30" s="7"/>
      <c r="E30" s="7"/>
      <c r="F30" s="7"/>
      <c r="G30" s="7"/>
      <c r="H30" s="8"/>
    </row>
    <row r="31" ht="22" customHeight="1" spans="1:8">
      <c r="A31" s="3">
        <v>1</v>
      </c>
      <c r="B31" s="3" t="s">
        <v>279</v>
      </c>
      <c r="C31" s="3"/>
      <c r="D31" s="3"/>
      <c r="E31" s="3"/>
      <c r="F31" s="3"/>
      <c r="G31" s="3"/>
      <c r="H31" s="3"/>
    </row>
    <row r="32" ht="22" customHeight="1" spans="1:8">
      <c r="A32" s="3">
        <v>2</v>
      </c>
      <c r="B32" s="3" t="s">
        <v>280</v>
      </c>
      <c r="C32" s="3"/>
      <c r="D32" s="3"/>
      <c r="E32" s="3"/>
      <c r="F32" s="3"/>
      <c r="G32" s="3"/>
      <c r="H32" s="3"/>
    </row>
    <row r="33" ht="22" customHeight="1" spans="1:8">
      <c r="A33" s="3">
        <v>3</v>
      </c>
      <c r="B33" s="3" t="s">
        <v>281</v>
      </c>
      <c r="C33" s="3"/>
      <c r="D33" s="3"/>
      <c r="E33" s="3"/>
      <c r="F33" s="3"/>
      <c r="G33" s="3"/>
      <c r="H33" s="3"/>
    </row>
    <row r="34" ht="22" customHeight="1" spans="1:8">
      <c r="A34" s="3">
        <v>4</v>
      </c>
      <c r="B34" s="3" t="s">
        <v>282</v>
      </c>
      <c r="C34" s="3"/>
      <c r="D34" s="3"/>
      <c r="E34" s="3"/>
      <c r="F34" s="3"/>
      <c r="G34" s="3"/>
      <c r="H34" s="3"/>
    </row>
    <row r="35" ht="22" customHeight="1" spans="1:8">
      <c r="A35" s="3">
        <v>5</v>
      </c>
      <c r="B35" s="3" t="s">
        <v>283</v>
      </c>
      <c r="C35" s="3"/>
      <c r="D35" s="3"/>
      <c r="E35" s="3"/>
      <c r="F35" s="3"/>
      <c r="G35" s="3"/>
      <c r="H35" s="3"/>
    </row>
    <row r="36" ht="22" customHeight="1" spans="1:8">
      <c r="A36" s="3">
        <v>6</v>
      </c>
      <c r="B36" s="3" t="s">
        <v>284</v>
      </c>
      <c r="C36" s="3"/>
      <c r="D36" s="3"/>
      <c r="E36" s="3"/>
      <c r="F36" s="3"/>
      <c r="G36" s="3"/>
      <c r="H36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0:H30"/>
    <mergeCell ref="B31:H31"/>
    <mergeCell ref="B32:H32"/>
    <mergeCell ref="B33:H33"/>
    <mergeCell ref="B34:H34"/>
    <mergeCell ref="B35:H35"/>
    <mergeCell ref="B36:H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成本总览</vt:lpstr>
      <vt:lpstr>预算基线</vt:lpstr>
      <vt:lpstr>人工成本预算</vt:lpstr>
      <vt:lpstr>采购包计划</vt:lpstr>
      <vt:lpstr>合同台账</vt:lpstr>
      <vt:lpstr>付款里程碑</vt:lpstr>
      <vt:lpstr>成本变更台账</vt:lpstr>
      <vt:lpstr>成本偏差分析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2026-09-17T16:55:23Z</dcterms:created>
  <dcterms:modified xsi:type="dcterms:W3CDTF">2026-09-17T16:59:57Z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760320578A16F8691AABAB6AB0B6543B_42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
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9" state="visible" r:id="rId9"/>
    <sheet xmlns:r="http://schemas.openxmlformats.org/officeDocument/2006/relationships" name="迁移策略" sheetId="1" state="visible" r:id="rId1"/>
    <sheet xmlns:r="http://schemas.openxmlformats.org/officeDocument/2006/relationships" name="对象范围盘点" sheetId="2" state="visible" r:id="rId2"/>
    <sheet xmlns:r="http://schemas.openxmlformats.org/officeDocument/2006/relationships" name="来源系统盘点" sheetId="3" state="visible" r:id="rId3"/>
    <sheet xmlns:r="http://schemas.openxmlformats.org/officeDocument/2006/relationships" name="字段映射" sheetId="4" state="visible" r:id="rId4"/>
    <sheet xmlns:r="http://schemas.openxmlformats.org/officeDocument/2006/relationships" name="对账与验收规则" sheetId="5" state="visible" r:id="rId5"/>
    <sheet xmlns:r="http://schemas.openxmlformats.org/officeDocument/2006/relationships" name="责任矩阵" sheetId="6" state="visible" r:id="rId6"/>
    <sheet xmlns:r="http://schemas.openxmlformats.org/officeDocument/2006/relationships" name="门禁与演练" sheetId="7" state="visible" r:id="rId7"/>
    <sheet xmlns:r="http://schemas.openxmlformats.org/officeDocument/2006/relationships" name="迁移任务分解" sheetId="8" state="visible" r:id="rId8"/>
    <sheet xmlns:r="http://schemas.openxmlformats.org/officeDocument/2006/relationships" name="_数据接口" sheetId="10" state="visible" r:id="rId10"/>
    <sheet xmlns:r="http://schemas.openxmlformats.org/officeDocument/2006/relationships" name="盘点进度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Arial"/>
      <b val="1"/>
      <color rgb="FF1F3655"/>
      <sz val="14"/>
    </font>
    <font>
      <name val="Arial"/>
      <i val="1"/>
      <color rgb="FF52657A"/>
      <sz val="10"/>
    </font>
    <font>
      <name val="Arial"/>
      <b val="1"/>
      <color rgb="FFFFFFFF"/>
      <sz val="10"/>
    </font>
    <font>
      <name val="Arial"/>
      <color rgb="FF1D2733"/>
      <sz val="10"/>
    </font>
    <font>
      <b val="1"/>
      <color rgb="00FFFFFF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FF1F3655"/>
      </patternFill>
    </fill>
    <fill>
      <patternFill patternType="solid">
        <fgColor rgb="FFF5F8FB"/>
      </patternFill>
    </fill>
    <fill>
      <patternFill patternType="solid">
        <fgColor rgb="FFFFF2C7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5" fillId="5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3655"/>
    <outlinePr summaryBelow="1" summaryRight="1"/>
    <pageSetUpPr/>
  </sheetPr>
  <dimension ref="A1:H1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23" customWidth="1" min="2" max="2"/>
    <col width="48" customWidth="1" min="3" max="3"/>
    <col width="45" customWidth="1" min="4" max="4"/>
    <col width="29" customWidth="1" min="5" max="5"/>
    <col width="22" customWidth="1" min="6" max="6"/>
    <col width="15" customWidth="1" min="7" max="7"/>
    <col width="33" customWidth="1" min="8" max="8"/>
  </cols>
  <sheetData>
    <row r="1">
      <c r="A1" s="1" t="inlineStr">
        <is>
          <t>迁移策略</t>
        </is>
      </c>
    </row>
    <row r="2">
      <c r="A2" s="2" t="inlineStr">
        <is>
          <t>G15 评审草案；来源系统、规模与历史范围均待盘点。此文件不改变既有项目基线。</t>
        </is>
      </c>
    </row>
    <row r="4" ht="30" customHeight="1">
      <c r="A4" s="6" t="inlineStr">
        <is>
          <t>决策ID</t>
        </is>
      </c>
      <c r="B4" s="6" t="inlineStr">
        <is>
          <t>主题</t>
        </is>
      </c>
      <c r="C4" s="6" t="inlineStr">
        <is>
          <t>建议原则</t>
        </is>
      </c>
      <c r="D4" s="6" t="inlineStr">
        <is>
          <t>待确认问题</t>
        </is>
      </c>
      <c r="E4" s="6" t="inlineStr">
        <is>
          <t>建议审批角色</t>
        </is>
      </c>
      <c r="F4" s="6" t="inlineStr">
        <is>
          <t>目标门禁</t>
        </is>
      </c>
      <c r="G4" s="6" t="inlineStr">
        <is>
          <t>结论</t>
        </is>
      </c>
      <c r="H4" s="6" t="inlineStr">
        <is>
          <t>证据/备注</t>
        </is>
      </c>
    </row>
    <row r="5" ht="44" customHeight="1">
      <c r="A5" s="10" t="inlineStr">
        <is>
          <t>MDEC-01</t>
        </is>
      </c>
      <c r="B5" s="10" t="inlineStr">
        <is>
          <t>迁移目标</t>
        </is>
      </c>
      <c r="C5" s="10" t="inlineStr">
        <is>
          <t>保障在办业务连续、历史可查、关键证据与财务数据可信</t>
        </is>
      </c>
      <c r="D5" s="10" t="inlineStr">
        <is>
          <t>旧系统数量、合同和附件规模、业务高峰窗口</t>
        </is>
      </c>
      <c r="E5" s="10" t="inlineStr">
        <is>
          <t>业务负责人、项目集经理</t>
        </is>
      </c>
      <c r="F5" s="10" t="inlineStr">
        <is>
          <t>G15 / 2026-10-13</t>
        </is>
      </c>
      <c r="G5" s="11" t="inlineStr">
        <is>
          <t>待确认</t>
        </is>
      </c>
      <c r="H5" s="11" t="inlineStr">
        <is>
          <t>需源系统盘点与业务访谈</t>
        </is>
      </c>
    </row>
    <row r="6" ht="44" customHeight="1">
      <c r="A6" s="9" t="inlineStr">
        <is>
          <t>MDEC-02</t>
        </is>
      </c>
      <c r="B6" s="9" t="inlineStr">
        <is>
          <t>历史范围</t>
        </is>
      </c>
      <c r="C6" s="9" t="inlineStr">
        <is>
          <t>按在办、有效、终止/到期及法定留存要求分类，分别决定迁入、只读归档或保留查询</t>
        </is>
      </c>
      <c r="D6" s="9" t="inlineStr">
        <is>
          <t>哪些历史合同必须迁入；旧系统停用与保留条件</t>
        </is>
      </c>
      <c r="E6" s="9" t="inlineStr">
        <is>
          <t>业务负责人、法务/档案负责人</t>
        </is>
      </c>
      <c r="F6" s="9" t="inlineStr">
        <is>
          <t>G15 / 2026-10-13</t>
        </is>
      </c>
      <c r="G6" s="11" t="inlineStr">
        <is>
          <t>待确认</t>
        </is>
      </c>
      <c r="H6" s="11" t="inlineStr">
        <is>
          <t>不预设历史迁移年限</t>
        </is>
      </c>
    </row>
    <row r="7" ht="44" customHeight="1">
      <c r="A7" s="10" t="inlineStr">
        <is>
          <t>MDEC-03</t>
        </is>
      </c>
      <c r="B7" s="10" t="inlineStr">
        <is>
          <t>数据权属</t>
        </is>
      </c>
      <c r="C7" s="10" t="inlineStr">
        <is>
          <t>源系统负责提供与解释，业务负责范围及结果，技术负责转换执行，测试负责独立核验</t>
        </is>
      </c>
      <c r="D7" s="10" t="inlineStr">
        <is>
          <t>各来源系统和数据对象的实名责任人</t>
        </is>
      </c>
      <c r="E7" s="10" t="inlineStr">
        <is>
          <t>项目经理、业务负责人</t>
        </is>
      </c>
      <c r="F7" s="10" t="inlineStr">
        <is>
          <t>G15 / 2026-10-13</t>
        </is>
      </c>
      <c r="G7" s="11" t="inlineStr">
        <is>
          <t>待确认</t>
        </is>
      </c>
      <c r="H7" s="11" t="inlineStr">
        <is>
          <t>对应责任矩阵</t>
        </is>
      </c>
    </row>
    <row r="8" ht="44" customHeight="1">
      <c r="A8" s="9" t="inlineStr">
        <is>
          <t>MDEC-04</t>
        </is>
      </c>
      <c r="B8" s="9" t="inlineStr">
        <is>
          <t>迁移方式</t>
        </is>
      </c>
      <c r="C8" s="9" t="inlineStr">
        <is>
          <t>建议全量基线+增量补数；先演练后正式切换；每批记录可追溯</t>
        </is>
      </c>
      <c r="D8" s="9" t="inlineStr">
        <is>
          <t>增量识别机制、停写点、双写禁用和重跑规则</t>
        </is>
      </c>
      <c r="E8" s="9" t="inlineStr">
        <is>
          <t>技术经理、源系统负责人</t>
        </is>
      </c>
      <c r="F8" s="9" t="inlineStr">
        <is>
          <t>详细设计前</t>
        </is>
      </c>
      <c r="G8" s="11" t="inlineStr">
        <is>
          <t>待确认</t>
        </is>
      </c>
      <c r="H8" s="11" t="inlineStr">
        <is>
          <t>需验证可重复抽取</t>
        </is>
      </c>
    </row>
    <row r="9" ht="44" customHeight="1">
      <c r="A9" s="10" t="inlineStr">
        <is>
          <t>MDEC-05</t>
        </is>
      </c>
      <c r="B9" s="10" t="inlineStr">
        <is>
          <t>验收与例外</t>
        </is>
      </c>
      <c r="C9" s="10" t="inlineStr">
        <is>
          <t>关键合同、金额、状态、附件关联和权限差异关闭；无法关闭时须书面批准例外</t>
        </is>
      </c>
      <c r="D9" s="10" t="inlineStr">
        <is>
          <t>分对象阈值、抽样方法和签收人</t>
        </is>
      </c>
      <c r="E9" s="10" t="inlineStr">
        <is>
          <t>业务/财务/档案负责人</t>
        </is>
      </c>
      <c r="F9" s="10" t="inlineStr">
        <is>
          <t>上线准入前</t>
        </is>
      </c>
      <c r="G9" s="11" t="inlineStr">
        <is>
          <t>待确认</t>
        </is>
      </c>
      <c r="H9" s="11" t="inlineStr">
        <is>
          <t>与 RDY-005、MS015 对齐</t>
        </is>
      </c>
    </row>
    <row r="10" ht="44" customHeight="1">
      <c r="A10" s="9" t="inlineStr">
        <is>
          <t>MDEC-06</t>
        </is>
      </c>
      <c r="B10" s="9" t="inlineStr">
        <is>
          <t>切换与回退</t>
        </is>
      </c>
      <c r="C10" s="9" t="inlineStr">
        <is>
          <t>生产切换后单独做最终对账；达到触发条件时按批准方案回退并处理新增交易</t>
        </is>
      </c>
      <c r="D10" s="9" t="inlineStr">
        <is>
          <t>RTO/RPO、旧系统停写/恢复边界、恢复演练结果</t>
        </is>
      </c>
      <c r="E10" s="9" t="inlineStr">
        <is>
          <t>项目集经理、技术经理</t>
        </is>
      </c>
      <c r="F10" s="9" t="inlineStr">
        <is>
          <t>Go/No-Go 前</t>
        </is>
      </c>
      <c r="G10" s="11" t="inlineStr">
        <is>
          <t>待确认</t>
        </is>
      </c>
      <c r="H10" s="11" t="inlineStr">
        <is>
          <t>与 CUT-005、RBK-002 对齐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29" customWidth="1" min="2" max="2"/>
    <col width="19" customWidth="1" min="3" max="3"/>
    <col width="22" customWidth="1" min="4" max="4"/>
    <col width="18" customWidth="1" min="5" max="5"/>
    <col width="20" customWidth="1" min="6" max="6"/>
    <col width="34" customWidth="1" min="7" max="7"/>
    <col width="18" customWidth="1" min="8" max="8"/>
    <col width="24" customWidth="1" min="9" max="9"/>
    <col width="22" customWidth="1" min="10" max="10"/>
    <col width="17" customWidth="1" min="11" max="11"/>
  </cols>
  <sheetData>
    <row r="1">
      <c r="A1" s="1" t="inlineStr">
        <is>
          <t>对象范围盘点</t>
        </is>
      </c>
    </row>
    <row r="2">
      <c r="A2" s="2" t="inlineStr">
        <is>
          <t>对象为盘点框架，非已批准迁移清单；“来源系统、数量、范围结论”由责任人补齐。</t>
        </is>
      </c>
    </row>
    <row r="4" ht="30" customHeight="1">
      <c r="A4" s="6" t="inlineStr">
        <is>
          <t>对象ID</t>
        </is>
      </c>
      <c r="B4" s="6" t="inlineStr">
        <is>
          <t>数据对象</t>
        </is>
      </c>
      <c r="C4" s="6" t="inlineStr">
        <is>
          <t>现有台账关联</t>
        </is>
      </c>
      <c r="D4" s="6" t="inlineStr">
        <is>
          <t>来源系统</t>
        </is>
      </c>
      <c r="E4" s="6" t="inlineStr">
        <is>
          <t>记录/文件量</t>
        </is>
      </c>
      <c r="F4" s="6" t="inlineStr">
        <is>
          <t>当前业务状态</t>
        </is>
      </c>
      <c r="G4" s="6" t="inlineStr">
        <is>
          <t>建议处置</t>
        </is>
      </c>
      <c r="H4" s="6" t="inlineStr">
        <is>
          <t>批准处置</t>
        </is>
      </c>
      <c r="I4" s="6" t="inlineStr">
        <is>
          <t>业务责任角色</t>
        </is>
      </c>
      <c r="J4" s="6" t="inlineStr">
        <is>
          <t>源系统责任人</t>
        </is>
      </c>
      <c r="K4" s="6" t="inlineStr">
        <is>
          <t>盘点状态</t>
        </is>
      </c>
    </row>
    <row r="5" ht="44" customHeight="1">
      <c r="A5" s="10" t="inlineStr">
        <is>
          <t>MOBJ-01</t>
        </is>
      </c>
      <c r="B5" s="10" t="inlineStr">
        <is>
          <t>合同主数据（在办/有效）</t>
        </is>
      </c>
      <c r="C5" s="10" t="inlineStr">
        <is>
          <t>MIG-001</t>
        </is>
      </c>
      <c r="D5" s="11" t="inlineStr">
        <is>
          <t>待盘点</t>
        </is>
      </c>
      <c r="E5" s="11" t="n"/>
      <c r="F5" s="11" t="inlineStr">
        <is>
          <t>待盘点</t>
        </is>
      </c>
      <c r="G5" s="10" t="inlineStr">
        <is>
          <t>建议迁入</t>
        </is>
      </c>
      <c r="H5" s="11" t="inlineStr">
        <is>
          <t>待决策</t>
        </is>
      </c>
      <c r="I5" s="10" t="inlineStr">
        <is>
          <t>业务负责人</t>
        </is>
      </c>
      <c r="J5" s="11" t="inlineStr">
        <is>
          <t>待指定</t>
        </is>
      </c>
      <c r="K5" s="11" t="inlineStr">
        <is>
          <t>待盘点</t>
        </is>
      </c>
    </row>
    <row r="6" ht="44" customHeight="1">
      <c r="A6" s="9" t="inlineStr">
        <is>
          <t>MOBJ-02</t>
        </is>
      </c>
      <c r="B6" s="9" t="inlineStr">
        <is>
          <t>历史归档合同</t>
        </is>
      </c>
      <c r="C6" s="9" t="inlineStr">
        <is>
          <t>MIG-001</t>
        </is>
      </c>
      <c r="D6" s="11" t="inlineStr">
        <is>
          <t>待盘点</t>
        </is>
      </c>
      <c r="E6" s="11" t="n"/>
      <c r="F6" s="11" t="inlineStr">
        <is>
          <t>待盘点</t>
        </is>
      </c>
      <c r="G6" s="9" t="inlineStr">
        <is>
          <t>按查询与留存要求决策</t>
        </is>
      </c>
      <c r="H6" s="11" t="inlineStr">
        <is>
          <t>待决策</t>
        </is>
      </c>
      <c r="I6" s="9" t="inlineStr">
        <is>
          <t>业务/法务负责人</t>
        </is>
      </c>
      <c r="J6" s="11" t="inlineStr">
        <is>
          <t>待指定</t>
        </is>
      </c>
      <c r="K6" s="11" t="inlineStr">
        <is>
          <t>待盘点</t>
        </is>
      </c>
    </row>
    <row r="7" ht="44" customHeight="1">
      <c r="A7" s="10" t="inlineStr">
        <is>
          <t>MOBJ-03</t>
        </is>
      </c>
      <c r="B7" s="10" t="inlineStr">
        <is>
          <t>合同相对方</t>
        </is>
      </c>
      <c r="C7" s="10" t="inlineStr">
        <is>
          <t>MIG-002</t>
        </is>
      </c>
      <c r="D7" s="11" t="inlineStr">
        <is>
          <t>待盘点</t>
        </is>
      </c>
      <c r="E7" s="11" t="n"/>
      <c r="F7" s="11" t="inlineStr">
        <is>
          <t>待盘点</t>
        </is>
      </c>
      <c r="G7" s="10" t="inlineStr">
        <is>
          <t>核对主数据后决策</t>
        </is>
      </c>
      <c r="H7" s="11" t="inlineStr">
        <is>
          <t>待决策</t>
        </is>
      </c>
      <c r="I7" s="10" t="inlineStr">
        <is>
          <t>业务负责人</t>
        </is>
      </c>
      <c r="J7" s="11" t="inlineStr">
        <is>
          <t>待指定</t>
        </is>
      </c>
      <c r="K7" s="11" t="inlineStr">
        <is>
          <t>待盘点</t>
        </is>
      </c>
    </row>
    <row r="8" ht="44" customHeight="1">
      <c r="A8" s="9" t="inlineStr">
        <is>
          <t>MOBJ-04</t>
        </is>
      </c>
      <c r="B8" s="9" t="inlineStr">
        <is>
          <t>履约与收付款</t>
        </is>
      </c>
      <c r="C8" s="9" t="inlineStr">
        <is>
          <t>MIG-003</t>
        </is>
      </c>
      <c r="D8" s="11" t="inlineStr">
        <is>
          <t>待盘点</t>
        </is>
      </c>
      <c r="E8" s="11" t="n"/>
      <c r="F8" s="11" t="inlineStr">
        <is>
          <t>待盘点</t>
        </is>
      </c>
      <c r="G8" s="9" t="inlineStr">
        <is>
          <t>在途业务建议迁入</t>
        </is>
      </c>
      <c r="H8" s="11" t="inlineStr">
        <is>
          <t>待决策</t>
        </is>
      </c>
      <c r="I8" s="9" t="inlineStr">
        <is>
          <t>业务/财务负责人</t>
        </is>
      </c>
      <c r="J8" s="11" t="inlineStr">
        <is>
          <t>待指定</t>
        </is>
      </c>
      <c r="K8" s="11" t="inlineStr">
        <is>
          <t>待盘点</t>
        </is>
      </c>
    </row>
    <row r="9" ht="44" customHeight="1">
      <c r="A9" s="10" t="inlineStr">
        <is>
          <t>MOBJ-05</t>
        </is>
      </c>
      <c r="B9" s="10" t="inlineStr">
        <is>
          <t>正文、附件与签署证据</t>
        </is>
      </c>
      <c r="C9" s="10" t="inlineStr">
        <is>
          <t>MIG-004</t>
        </is>
      </c>
      <c r="D9" s="11" t="inlineStr">
        <is>
          <t>待盘点</t>
        </is>
      </c>
      <c r="E9" s="11" t="n"/>
      <c r="F9" s="11" t="inlineStr">
        <is>
          <t>待盘点</t>
        </is>
      </c>
      <c r="G9" s="10" t="inlineStr">
        <is>
          <t>完整性与可读性验收后决策</t>
        </is>
      </c>
      <c r="H9" s="11" t="inlineStr">
        <is>
          <t>待决策</t>
        </is>
      </c>
      <c r="I9" s="10" t="inlineStr">
        <is>
          <t>档案/法务负责人</t>
        </is>
      </c>
      <c r="J9" s="11" t="inlineStr">
        <is>
          <t>待指定</t>
        </is>
      </c>
      <c r="K9" s="11" t="inlineStr">
        <is>
          <t>待盘点</t>
        </is>
      </c>
    </row>
    <row r="10" ht="44" customHeight="1">
      <c r="A10" s="9" t="inlineStr">
        <is>
          <t>MOBJ-06</t>
        </is>
      </c>
      <c r="B10" s="9" t="inlineStr">
        <is>
          <t>组织、用户与权限</t>
        </is>
      </c>
      <c r="C10" s="9" t="inlineStr">
        <is>
          <t>MIG-005</t>
        </is>
      </c>
      <c r="D10" s="11" t="inlineStr">
        <is>
          <t>待盘点</t>
        </is>
      </c>
      <c r="E10" s="11" t="n"/>
      <c r="F10" s="11" t="inlineStr">
        <is>
          <t>待盘点</t>
        </is>
      </c>
      <c r="G10" s="9" t="inlineStr">
        <is>
          <t>按新系统权限模型重建并校验</t>
        </is>
      </c>
      <c r="H10" s="11" t="inlineStr">
        <is>
          <t>待决策</t>
        </is>
      </c>
      <c r="I10" s="9" t="inlineStr">
        <is>
          <t>业务/安全负责人</t>
        </is>
      </c>
      <c r="J10" s="11" t="inlineStr">
        <is>
          <t>待指定</t>
        </is>
      </c>
      <c r="K10" s="11" t="inlineStr">
        <is>
          <t>待盘点</t>
        </is>
      </c>
    </row>
    <row r="11" ht="44" customHeight="1">
      <c r="A11" s="10" t="inlineStr">
        <is>
          <t>MOBJ-07</t>
        </is>
      </c>
      <c r="B11" s="10" t="inlineStr">
        <is>
          <t>经营指标初始数据</t>
        </is>
      </c>
      <c r="C11" s="10" t="inlineStr">
        <is>
          <t>MIG-006</t>
        </is>
      </c>
      <c r="D11" s="11" t="inlineStr">
        <is>
          <t>待盘点</t>
        </is>
      </c>
      <c r="E11" s="11" t="n"/>
      <c r="F11" s="11" t="inlineStr">
        <is>
          <t>待盘点</t>
        </is>
      </c>
      <c r="G11" s="10" t="inlineStr">
        <is>
          <t>由明细口径核对后导入</t>
        </is>
      </c>
      <c r="H11" s="11" t="inlineStr">
        <is>
          <t>待决策</t>
        </is>
      </c>
      <c r="I11" s="10" t="inlineStr">
        <is>
          <t>业务/财务负责人</t>
        </is>
      </c>
      <c r="J11" s="11" t="inlineStr">
        <is>
          <t>待指定</t>
        </is>
      </c>
      <c r="K11" s="11" t="inlineStr">
        <is>
          <t>待盘点</t>
        </is>
      </c>
    </row>
    <row r="12" ht="44" customHeight="1">
      <c r="A12" s="9" t="inlineStr">
        <is>
          <t>MOBJ-08</t>
        </is>
      </c>
      <c r="B12" s="9" t="inlineStr">
        <is>
          <t>审批记录与审计轨迹</t>
        </is>
      </c>
      <c r="C12" s="9" t="inlineStr">
        <is>
          <t>待建立</t>
        </is>
      </c>
      <c r="D12" s="11" t="inlineStr">
        <is>
          <t>待盘点</t>
        </is>
      </c>
      <c r="E12" s="11" t="n"/>
      <c r="F12" s="11" t="inlineStr">
        <is>
          <t>待盘点</t>
        </is>
      </c>
      <c r="G12" s="9" t="inlineStr">
        <is>
          <t>核实留存、查询及证据效力</t>
        </is>
      </c>
      <c r="H12" s="11" t="inlineStr">
        <is>
          <t>待决策</t>
        </is>
      </c>
      <c r="I12" s="9" t="inlineStr">
        <is>
          <t>业务/法务负责人</t>
        </is>
      </c>
      <c r="J12" s="11" t="inlineStr">
        <is>
          <t>待指定</t>
        </is>
      </c>
      <c r="K12" s="11" t="inlineStr">
        <is>
          <t>待盘点</t>
        </is>
      </c>
    </row>
    <row r="13" ht="44" customHeight="1">
      <c r="A13" s="10" t="inlineStr">
        <is>
          <t>MOBJ-09</t>
        </is>
      </c>
      <c r="B13" s="10" t="inlineStr">
        <is>
          <t>变更与补充协议</t>
        </is>
      </c>
      <c r="C13" s="10" t="inlineStr">
        <is>
          <t>待建立</t>
        </is>
      </c>
      <c r="D13" s="11" t="inlineStr">
        <is>
          <t>待盘点</t>
        </is>
      </c>
      <c r="E13" s="11" t="n"/>
      <c r="F13" s="11" t="inlineStr">
        <is>
          <t>待盘点</t>
        </is>
      </c>
      <c r="G13" s="10" t="inlineStr">
        <is>
          <t>核对主合同关联后决策</t>
        </is>
      </c>
      <c r="H13" s="11" t="inlineStr">
        <is>
          <t>待决策</t>
        </is>
      </c>
      <c r="I13" s="10" t="inlineStr">
        <is>
          <t>业务/法务负责人</t>
        </is>
      </c>
      <c r="J13" s="11" t="inlineStr">
        <is>
          <t>待指定</t>
        </is>
      </c>
      <c r="K13" s="11" t="inlineStr">
        <is>
          <t>待盘点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7" customWidth="1" min="3" max="3"/>
    <col width="26" customWidth="1" min="4" max="4"/>
    <col width="20" customWidth="1" min="5" max="5"/>
    <col width="20" customWidth="1" min="6" max="6"/>
    <col width="18" customWidth="1" min="7" max="7"/>
    <col width="16" customWidth="1" min="8" max="8"/>
    <col width="23" customWidth="1" min="9" max="9"/>
    <col width="27" customWidth="1" min="10" max="10"/>
    <col width="26" customWidth="1" min="11" max="11"/>
    <col width="17" customWidth="1" min="12" max="12"/>
  </cols>
  <sheetData>
    <row r="1">
      <c r="A1" s="1" t="inlineStr">
        <is>
          <t>来源系统盘点</t>
        </is>
      </c>
    </row>
    <row r="2">
      <c r="A2" s="2" t="inlineStr">
        <is>
          <t>以下名称原样引自 09 数据迁移与核验台账，仅作访谈线索；斜杠可能代表多个系统，不能据此推算系统数量。</t>
        </is>
      </c>
    </row>
    <row r="4" ht="30" customHeight="1">
      <c r="A4" s="6" t="inlineStr">
        <is>
          <t>线索ID</t>
        </is>
      </c>
      <c r="B4" s="6" t="inlineStr">
        <is>
          <t>现有台账ID</t>
        </is>
      </c>
      <c r="C4" s="6" t="inlineStr">
        <is>
          <t>台账所写来源</t>
        </is>
      </c>
      <c r="D4" s="6" t="inlineStr">
        <is>
          <t>实际系统/库名称</t>
        </is>
      </c>
      <c r="E4" s="6" t="inlineStr">
        <is>
          <t>是否独立系统</t>
        </is>
      </c>
      <c r="F4" s="6" t="inlineStr">
        <is>
          <t>数据责任人</t>
        </is>
      </c>
      <c r="G4" s="6" t="inlineStr">
        <is>
          <t>合同/记录量</t>
        </is>
      </c>
      <c r="H4" s="6" t="inlineStr">
        <is>
          <t>附件量</t>
        </is>
      </c>
      <c r="I4" s="6" t="inlineStr">
        <is>
          <t>抽取方式</t>
        </is>
      </c>
      <c r="J4" s="6" t="inlineStr">
        <is>
          <t>历史保留边界</t>
        </is>
      </c>
      <c r="K4" s="6" t="inlineStr">
        <is>
          <t>证据/确认人</t>
        </is>
      </c>
      <c r="L4" s="6" t="inlineStr">
        <is>
          <t>盘点状态</t>
        </is>
      </c>
    </row>
    <row r="5" ht="44" customHeight="1">
      <c r="A5" s="10" t="inlineStr">
        <is>
          <t>SRC-01</t>
        </is>
      </c>
      <c r="B5" s="10" t="inlineStr">
        <is>
          <t>MIG-001</t>
        </is>
      </c>
      <c r="C5" s="10" t="inlineStr">
        <is>
          <t>现有合同系统/档案</t>
        </is>
      </c>
      <c r="D5" s="11" t="inlineStr">
        <is>
          <t>待盘点</t>
        </is>
      </c>
      <c r="E5" s="11" t="inlineStr">
        <is>
          <t>待确认</t>
        </is>
      </c>
      <c r="F5" s="11" t="inlineStr">
        <is>
          <t>待指定</t>
        </is>
      </c>
      <c r="G5" s="11" t="n"/>
      <c r="H5" s="11" t="n"/>
      <c r="I5" s="11" t="inlineStr">
        <is>
          <t>待确认</t>
        </is>
      </c>
      <c r="J5" s="11" t="inlineStr">
        <is>
          <t>待确认</t>
        </is>
      </c>
      <c r="K5" s="11" t="str"/>
      <c r="L5" s="11" t="inlineStr">
        <is>
          <t>待盘点</t>
        </is>
      </c>
    </row>
    <row r="6" ht="44" customHeight="1">
      <c r="A6" s="9" t="inlineStr">
        <is>
          <t>SRC-02</t>
        </is>
      </c>
      <c r="B6" s="9" t="inlineStr">
        <is>
          <t>MIG-002</t>
        </is>
      </c>
      <c r="C6" s="9" t="inlineStr">
        <is>
          <t>主数据平台</t>
        </is>
      </c>
      <c r="D6" s="11" t="inlineStr">
        <is>
          <t>待盘点</t>
        </is>
      </c>
      <c r="E6" s="11" t="inlineStr">
        <is>
          <t>待确认</t>
        </is>
      </c>
      <c r="F6" s="11" t="inlineStr">
        <is>
          <t>待指定</t>
        </is>
      </c>
      <c r="G6" s="11" t="n"/>
      <c r="H6" s="11" t="n"/>
      <c r="I6" s="11" t="inlineStr">
        <is>
          <t>待确认</t>
        </is>
      </c>
      <c r="J6" s="11" t="inlineStr">
        <is>
          <t>待确认</t>
        </is>
      </c>
      <c r="K6" s="11" t="str"/>
      <c r="L6" s="11" t="inlineStr">
        <is>
          <t>待盘点</t>
        </is>
      </c>
    </row>
    <row r="7" ht="44" customHeight="1">
      <c r="A7" s="10" t="inlineStr">
        <is>
          <t>SRC-03</t>
        </is>
      </c>
      <c r="B7" s="10" t="inlineStr">
        <is>
          <t>MIG-003</t>
        </is>
      </c>
      <c r="C7" s="10" t="inlineStr">
        <is>
          <t>现有业务/财务系统</t>
        </is>
      </c>
      <c r="D7" s="11" t="inlineStr">
        <is>
          <t>待盘点</t>
        </is>
      </c>
      <c r="E7" s="11" t="inlineStr">
        <is>
          <t>待确认</t>
        </is>
      </c>
      <c r="F7" s="11" t="inlineStr">
        <is>
          <t>待指定</t>
        </is>
      </c>
      <c r="G7" s="11" t="n"/>
      <c r="H7" s="11" t="n"/>
      <c r="I7" s="11" t="inlineStr">
        <is>
          <t>待确认</t>
        </is>
      </c>
      <c r="J7" s="11" t="inlineStr">
        <is>
          <t>待确认</t>
        </is>
      </c>
      <c r="K7" s="11" t="str"/>
      <c r="L7" s="11" t="inlineStr">
        <is>
          <t>待盘点</t>
        </is>
      </c>
    </row>
    <row r="8" ht="44" customHeight="1">
      <c r="A8" s="9" t="inlineStr">
        <is>
          <t>SRC-04</t>
        </is>
      </c>
      <c r="B8" s="9" t="inlineStr">
        <is>
          <t>MIG-004</t>
        </is>
      </c>
      <c r="C8" s="9" t="inlineStr">
        <is>
          <t>档案/文件系统</t>
        </is>
      </c>
      <c r="D8" s="11" t="inlineStr">
        <is>
          <t>待盘点</t>
        </is>
      </c>
      <c r="E8" s="11" t="inlineStr">
        <is>
          <t>待确认</t>
        </is>
      </c>
      <c r="F8" s="11" t="inlineStr">
        <is>
          <t>待指定</t>
        </is>
      </c>
      <c r="G8" s="11" t="n"/>
      <c r="H8" s="11" t="n"/>
      <c r="I8" s="11" t="inlineStr">
        <is>
          <t>待确认</t>
        </is>
      </c>
      <c r="J8" s="11" t="inlineStr">
        <is>
          <t>待确认</t>
        </is>
      </c>
      <c r="K8" s="11" t="str"/>
      <c r="L8" s="11" t="inlineStr">
        <is>
          <t>待盘点</t>
        </is>
      </c>
    </row>
    <row r="9" ht="44" customHeight="1">
      <c r="A9" s="10" t="inlineStr">
        <is>
          <t>SRC-05</t>
        </is>
      </c>
      <c r="B9" s="10" t="inlineStr">
        <is>
          <t>MIG-005</t>
        </is>
      </c>
      <c r="C9" s="10" t="inlineStr">
        <is>
          <t>组织/身份平台</t>
        </is>
      </c>
      <c r="D9" s="11" t="inlineStr">
        <is>
          <t>待盘点</t>
        </is>
      </c>
      <c r="E9" s="11" t="inlineStr">
        <is>
          <t>待确认</t>
        </is>
      </c>
      <c r="F9" s="11" t="inlineStr">
        <is>
          <t>待指定</t>
        </is>
      </c>
      <c r="G9" s="11" t="n"/>
      <c r="H9" s="11" t="n"/>
      <c r="I9" s="11" t="inlineStr">
        <is>
          <t>待确认</t>
        </is>
      </c>
      <c r="J9" s="11" t="inlineStr">
        <is>
          <t>待确认</t>
        </is>
      </c>
      <c r="K9" s="11" t="str"/>
      <c r="L9" s="11" t="inlineStr">
        <is>
          <t>待盘点</t>
        </is>
      </c>
    </row>
    <row r="10" ht="44" customHeight="1">
      <c r="A10" s="9" t="inlineStr">
        <is>
          <t>SRC-06</t>
        </is>
      </c>
      <c r="B10" s="9" t="inlineStr">
        <is>
          <t>MIG-006</t>
        </is>
      </c>
      <c r="C10" s="9" t="inlineStr">
        <is>
          <t>合同系统/BI</t>
        </is>
      </c>
      <c r="D10" s="11" t="inlineStr">
        <is>
          <t>待盘点</t>
        </is>
      </c>
      <c r="E10" s="11" t="inlineStr">
        <is>
          <t>待确认</t>
        </is>
      </c>
      <c r="F10" s="11" t="inlineStr">
        <is>
          <t>待指定</t>
        </is>
      </c>
      <c r="G10" s="11" t="n"/>
      <c r="H10" s="11" t="n"/>
      <c r="I10" s="11" t="inlineStr">
        <is>
          <t>待确认</t>
        </is>
      </c>
      <c r="J10" s="11" t="inlineStr">
        <is>
          <t>待确认</t>
        </is>
      </c>
      <c r="K10" s="11" t="str"/>
      <c r="L10" s="11" t="inlineStr">
        <is>
          <t>待盘点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43" customWidth="1" min="8" max="8"/>
    <col width="12" customWidth="1" min="9" max="9"/>
    <col width="20" customWidth="1" min="10" max="10"/>
    <col width="18" customWidth="1" min="11" max="11"/>
    <col width="22" customWidth="1" min="12" max="12"/>
  </cols>
  <sheetData>
    <row r="1">
      <c r="A1" s="1" t="inlineStr">
        <is>
          <t>字段映射</t>
        </is>
      </c>
    </row>
    <row r="2">
      <c r="A2" s="2" t="inlineStr">
        <is>
          <t>每个源字段一行；映射 ID 在本文件唯一维护，未经评审不得作为开发或迁移脚本基线。</t>
        </is>
      </c>
    </row>
    <row r="4" ht="30" customHeight="1">
      <c r="A4" s="6" t="inlineStr">
        <is>
          <t>映射ID</t>
        </is>
      </c>
      <c r="B4" s="6" t="inlineStr">
        <is>
          <t>对象ID</t>
        </is>
      </c>
      <c r="C4" s="6" t="inlineStr">
        <is>
          <t>来源系统</t>
        </is>
      </c>
      <c r="D4" s="6" t="inlineStr">
        <is>
          <t>源表/文件</t>
        </is>
      </c>
      <c r="E4" s="6" t="inlineStr">
        <is>
          <t>源字段</t>
        </is>
      </c>
      <c r="F4" s="6" t="inlineStr">
        <is>
          <t>目标对象</t>
        </is>
      </c>
      <c r="G4" s="6" t="inlineStr">
        <is>
          <t>目标字段</t>
        </is>
      </c>
      <c r="H4" s="6" t="inlineStr">
        <is>
          <t>转换/清洗规则</t>
        </is>
      </c>
      <c r="I4" s="6" t="inlineStr">
        <is>
          <t>必填</t>
        </is>
      </c>
      <c r="J4" s="6" t="inlineStr">
        <is>
          <t>数据责任人</t>
        </is>
      </c>
      <c r="K4" s="6" t="inlineStr">
        <is>
          <t>评审状态</t>
        </is>
      </c>
      <c r="L4" s="6" t="inlineStr">
        <is>
          <t>证据</t>
        </is>
      </c>
    </row>
    <row r="5" ht="44" customHeight="1">
      <c r="A5" s="10" t="inlineStr">
        <is>
          <t>MAP-001</t>
        </is>
      </c>
      <c r="B5" s="10" t="inlineStr">
        <is>
          <t>MOBJ-01</t>
        </is>
      </c>
      <c r="C5" s="11" t="inlineStr">
        <is>
          <t>待盘点</t>
        </is>
      </c>
      <c r="D5" s="11" t="inlineStr">
        <is>
          <t>待盘点</t>
        </is>
      </c>
      <c r="E5" s="11" t="inlineStr">
        <is>
          <t>待盘点</t>
        </is>
      </c>
      <c r="F5" s="11" t="inlineStr">
        <is>
          <t>待设计</t>
        </is>
      </c>
      <c r="G5" s="11" t="inlineStr">
        <is>
          <t>待设计</t>
        </is>
      </c>
      <c r="H5" s="11" t="inlineStr">
        <is>
          <t>待编制</t>
        </is>
      </c>
      <c r="I5" s="11" t="inlineStr">
        <is>
          <t>待确认</t>
        </is>
      </c>
      <c r="J5" s="11" t="inlineStr">
        <is>
          <t>待指定</t>
        </is>
      </c>
      <c r="K5" s="11" t="inlineStr">
        <is>
          <t>待编制</t>
        </is>
      </c>
      <c r="L5" s="11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47" customWidth="1" min="4" max="4"/>
    <col width="43" customWidth="1" min="5" max="5"/>
    <col width="22" customWidth="1" min="6" max="6"/>
    <col width="18" customWidth="1" min="7" max="7"/>
    <col width="16" customWidth="1" min="8" max="8"/>
    <col width="18" customWidth="1" min="9" max="9"/>
  </cols>
  <sheetData>
    <row r="1">
      <c r="A1" s="1" t="inlineStr">
        <is>
          <t>对账与验收规则</t>
        </is>
      </c>
    </row>
    <row r="2">
      <c r="A2" s="2" t="inlineStr">
        <is>
          <t>以下为规则草案；阈值、样本与例外审批须由业务、财务、档案和安全责任人确认。</t>
        </is>
      </c>
    </row>
    <row r="4" ht="30" customHeight="1">
      <c r="A4" s="6" t="inlineStr">
        <is>
          <t>规则ID</t>
        </is>
      </c>
      <c r="B4" s="6" t="inlineStr">
        <is>
          <t>对象ID</t>
        </is>
      </c>
      <c r="C4" s="6" t="inlineStr">
        <is>
          <t>核对维度</t>
        </is>
      </c>
      <c r="D4" s="6" t="inlineStr">
        <is>
          <t>建议方法</t>
        </is>
      </c>
      <c r="E4" s="6" t="inlineStr">
        <is>
          <t>建议通过条件</t>
        </is>
      </c>
      <c r="F4" s="6" t="inlineStr">
        <is>
          <t>业务签收角色</t>
        </is>
      </c>
      <c r="G4" s="6" t="inlineStr">
        <is>
          <t>实际结果</t>
        </is>
      </c>
      <c r="H4" s="6" t="inlineStr">
        <is>
          <t>差异ID</t>
        </is>
      </c>
      <c r="I4" s="6" t="inlineStr">
        <is>
          <t>审批结论</t>
        </is>
      </c>
    </row>
    <row r="5" ht="44" customHeight="1">
      <c r="A5" s="10" t="inlineStr">
        <is>
          <t>REC-01</t>
        </is>
      </c>
      <c r="B5" s="10" t="inlineStr">
        <is>
          <t>MOBJ-01</t>
        </is>
      </c>
      <c r="C5" s="10" t="inlineStr">
        <is>
          <t>记录数/金额/状态</t>
        </is>
      </c>
      <c r="D5" s="10" t="inlineStr">
        <is>
          <t>源目标按合同ID及批次对账，抽查业务流程</t>
        </is>
      </c>
      <c r="E5" s="10" t="inlineStr">
        <is>
          <t>关键差异为0或经书面批准</t>
        </is>
      </c>
      <c r="F5" s="10" t="inlineStr">
        <is>
          <t>业务负责人</t>
        </is>
      </c>
      <c r="G5" s="11" t="str"/>
      <c r="H5" s="11" t="str"/>
      <c r="I5" s="11" t="inlineStr">
        <is>
          <t>待确认</t>
        </is>
      </c>
    </row>
    <row r="6" ht="44" customHeight="1">
      <c r="A6" s="9" t="inlineStr">
        <is>
          <t>REC-02</t>
        </is>
      </c>
      <c r="B6" s="9" t="inlineStr">
        <is>
          <t>MOBJ-02</t>
        </is>
      </c>
      <c r="C6" s="9" t="inlineStr">
        <is>
          <t>查询/留存/关联</t>
        </is>
      </c>
      <c r="D6" s="9" t="inlineStr">
        <is>
          <t>按历史分类验证查询与主合同关联</t>
        </is>
      </c>
      <c r="E6" s="9" t="inlineStr">
        <is>
          <t>范围与留存结论获批准</t>
        </is>
      </c>
      <c r="F6" s="9" t="inlineStr">
        <is>
          <t>业务/法务负责人</t>
        </is>
      </c>
      <c r="G6" s="11" t="str"/>
      <c r="H6" s="11" t="str"/>
      <c r="I6" s="11" t="inlineStr">
        <is>
          <t>待确认</t>
        </is>
      </c>
    </row>
    <row r="7" ht="44" customHeight="1">
      <c r="A7" s="10" t="inlineStr">
        <is>
          <t>REC-03</t>
        </is>
      </c>
      <c r="B7" s="10" t="inlineStr">
        <is>
          <t>MOBJ-04</t>
        </is>
      </c>
      <c r="C7" s="10" t="inlineStr">
        <is>
          <t>余额/履约节点</t>
        </is>
      </c>
      <c r="D7" s="10" t="inlineStr">
        <is>
          <t>与业务、财务两端余额和状态交叉核对</t>
        </is>
      </c>
      <c r="E7" s="10" t="inlineStr">
        <is>
          <t>关键差异为0或经书面批准</t>
        </is>
      </c>
      <c r="F7" s="10" t="inlineStr">
        <is>
          <t>业务/财务负责人</t>
        </is>
      </c>
      <c r="G7" s="11" t="str"/>
      <c r="H7" s="11" t="str"/>
      <c r="I7" s="11" t="inlineStr">
        <is>
          <t>待确认</t>
        </is>
      </c>
    </row>
    <row r="8" ht="44" customHeight="1">
      <c r="A8" s="9" t="inlineStr">
        <is>
          <t>REC-04</t>
        </is>
      </c>
      <c r="B8" s="9" t="inlineStr">
        <is>
          <t>MOBJ-05</t>
        </is>
      </c>
      <c r="C8" s="9" t="inlineStr">
        <is>
          <t>文件数/哈希/可打开</t>
        </is>
      </c>
      <c r="D8" s="9" t="inlineStr">
        <is>
          <t>按批次核对哈希、大小、权限与样本可读性</t>
        </is>
      </c>
      <c r="E8" s="9" t="inlineStr">
        <is>
          <t>关键证据缺失为0或经书面批准</t>
        </is>
      </c>
      <c r="F8" s="9" t="inlineStr">
        <is>
          <t>档案/法务负责人</t>
        </is>
      </c>
      <c r="G8" s="11" t="str"/>
      <c r="H8" s="11" t="str"/>
      <c r="I8" s="11" t="inlineStr">
        <is>
          <t>待确认</t>
        </is>
      </c>
    </row>
    <row r="9" ht="44" customHeight="1">
      <c r="A9" s="10" t="inlineStr">
        <is>
          <t>REC-05</t>
        </is>
      </c>
      <c r="B9" s="10" t="inlineStr">
        <is>
          <t>MOBJ-06</t>
        </is>
      </c>
      <c r="C9" s="10" t="inlineStr">
        <is>
          <t>组织/角色/数据权限</t>
        </is>
      </c>
      <c r="D9" s="10" t="inlineStr">
        <is>
          <t>允许与拒绝用例、离职账号及审计验证</t>
        </is>
      </c>
      <c r="E9" s="10" t="inlineStr">
        <is>
          <t>高风险越权问题为0</t>
        </is>
      </c>
      <c r="F9" s="10" t="inlineStr">
        <is>
          <t>业务/安全负责人</t>
        </is>
      </c>
      <c r="G9" s="11" t="str"/>
      <c r="H9" s="11" t="str"/>
      <c r="I9" s="11" t="inlineStr">
        <is>
          <t>待确认</t>
        </is>
      </c>
    </row>
    <row r="10" ht="44" customHeight="1">
      <c r="A10" s="9" t="inlineStr">
        <is>
          <t>REC-06</t>
        </is>
      </c>
      <c r="B10" s="9" t="inlineStr">
        <is>
          <t>MOBJ-07</t>
        </is>
      </c>
      <c r="C10" s="9" t="inlineStr">
        <is>
          <t>指标口径/汇总</t>
        </is>
      </c>
      <c r="D10" s="9" t="inlineStr">
        <is>
          <t>明细与 BI 汇总按批准口径核对</t>
        </is>
      </c>
      <c r="E10" s="9" t="inlineStr">
        <is>
          <t>指标差异获解释并批准</t>
        </is>
      </c>
      <c r="F10" s="9" t="inlineStr">
        <is>
          <t>业务/财务负责人</t>
        </is>
      </c>
      <c r="G10" s="11" t="str"/>
      <c r="H10" s="11" t="str"/>
      <c r="I10" s="11" t="inlineStr">
        <is>
          <t>待确认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27" customWidth="1" min="2" max="2"/>
    <col width="23" customWidth="1" min="3" max="3"/>
    <col width="28" customWidth="1" min="4" max="4"/>
    <col width="31" customWidth="1" min="5" max="5"/>
    <col width="23" customWidth="1" min="6" max="6"/>
    <col width="20" customWidth="1" min="7" max="7"/>
    <col width="38" customWidth="1" min="8" max="8"/>
    <col width="17" customWidth="1" min="9" max="9"/>
  </cols>
  <sheetData>
    <row r="1">
      <c r="A1" s="1" t="inlineStr">
        <is>
          <t>责任矩阵</t>
        </is>
      </c>
    </row>
    <row r="2">
      <c r="A2" s="2" t="inlineStr">
        <is>
          <t>A 为唯一最终负责角色；R 执行；C 咨询；I 知会。实名人选与外部系统责任人待盘点确认。</t>
        </is>
      </c>
    </row>
    <row r="4" ht="30" customHeight="1">
      <c r="A4" s="6" t="inlineStr">
        <is>
          <t>活动ID</t>
        </is>
      </c>
      <c r="B4" s="6" t="inlineStr">
        <is>
          <t>迁移活动</t>
        </is>
      </c>
      <c r="C4" s="6" t="inlineStr">
        <is>
          <t>A 最终负责</t>
        </is>
      </c>
      <c r="D4" s="6" t="inlineStr">
        <is>
          <t>R 执行</t>
        </is>
      </c>
      <c r="E4" s="6" t="inlineStr">
        <is>
          <t>C 咨询</t>
        </is>
      </c>
      <c r="F4" s="6" t="inlineStr">
        <is>
          <t>I 知会</t>
        </is>
      </c>
      <c r="G4" s="6" t="inlineStr">
        <is>
          <t>实名负责人</t>
        </is>
      </c>
      <c r="H4" s="6" t="inlineStr">
        <is>
          <t>输出/批准证据</t>
        </is>
      </c>
      <c r="I4" s="6" t="inlineStr">
        <is>
          <t>状态</t>
        </is>
      </c>
    </row>
    <row r="5" ht="44" customHeight="1">
      <c r="A5" s="10" t="inlineStr">
        <is>
          <t>MR-01</t>
        </is>
      </c>
      <c r="B5" s="10" t="inlineStr">
        <is>
          <t>来源系统与对象盘点</t>
        </is>
      </c>
      <c r="C5" s="10" t="inlineStr">
        <is>
          <t>项目经理</t>
        </is>
      </c>
      <c r="D5" s="10" t="inlineStr">
        <is>
          <t>产品经理、源系统负责人</t>
        </is>
      </c>
      <c r="E5" s="10" t="inlineStr">
        <is>
          <t>业务、财务、档案</t>
        </is>
      </c>
      <c r="F5" s="10" t="inlineStr">
        <is>
          <t>项目集经理</t>
        </is>
      </c>
      <c r="G5" s="11" t="inlineStr">
        <is>
          <t>待指定</t>
        </is>
      </c>
      <c r="H5" s="10" t="inlineStr">
        <is>
          <t>系统/对象/数据量清单</t>
        </is>
      </c>
      <c r="I5" s="11" t="inlineStr">
        <is>
          <t>待确认</t>
        </is>
      </c>
    </row>
    <row r="6" ht="44" customHeight="1">
      <c r="A6" s="9" t="inlineStr">
        <is>
          <t>MR-02</t>
        </is>
      </c>
      <c r="B6" s="9" t="inlineStr">
        <is>
          <t>历史范围与留存决策</t>
        </is>
      </c>
      <c r="C6" s="9" t="inlineStr">
        <is>
          <t>业务负责人</t>
        </is>
      </c>
      <c r="D6" s="9" t="inlineStr">
        <is>
          <t>产品经理</t>
        </is>
      </c>
      <c r="E6" s="9" t="inlineStr">
        <is>
          <t>法务、档案、项目经理</t>
        </is>
      </c>
      <c r="F6" s="9" t="inlineStr">
        <is>
          <t>项目集经理</t>
        </is>
      </c>
      <c r="G6" s="11" t="inlineStr">
        <is>
          <t>待指定</t>
        </is>
      </c>
      <c r="H6" s="9" t="inlineStr">
        <is>
          <t>批准的迁入/归档/保留查询范围</t>
        </is>
      </c>
      <c r="I6" s="11" t="inlineStr">
        <is>
          <t>待确认</t>
        </is>
      </c>
    </row>
    <row r="7" ht="44" customHeight="1">
      <c r="A7" s="10" t="inlineStr">
        <is>
          <t>MR-03</t>
        </is>
      </c>
      <c r="B7" s="10" t="inlineStr">
        <is>
          <t>字段映射与清洗规则</t>
        </is>
      </c>
      <c r="C7" s="10" t="inlineStr">
        <is>
          <t>技术经理</t>
        </is>
      </c>
      <c r="D7" s="10" t="inlineStr">
        <is>
          <t>开发人员、源系统负责人</t>
        </is>
      </c>
      <c r="E7" s="10" t="inlineStr">
        <is>
          <t>产品经理、业务数据负责人</t>
        </is>
      </c>
      <c r="F7" s="10" t="inlineStr">
        <is>
          <t>测试负责人</t>
        </is>
      </c>
      <c r="G7" s="11" t="inlineStr">
        <is>
          <t>待指定</t>
        </is>
      </c>
      <c r="H7" s="10" t="inlineStr">
        <is>
          <t>映射和质量规则评审记录</t>
        </is>
      </c>
      <c r="I7" s="11" t="inlineStr">
        <is>
          <t>待确认</t>
        </is>
      </c>
    </row>
    <row r="8" ht="44" customHeight="1">
      <c r="A8" s="9" t="inlineStr">
        <is>
          <t>MR-04</t>
        </is>
      </c>
      <c r="B8" s="9" t="inlineStr">
        <is>
          <t>抽取、转换、装载与重跑</t>
        </is>
      </c>
      <c r="C8" s="9" t="inlineStr">
        <is>
          <t>技术经理</t>
        </is>
      </c>
      <c r="D8" s="9" t="inlineStr">
        <is>
          <t>开发人员、配置人员</t>
        </is>
      </c>
      <c r="E8" s="9" t="inlineStr">
        <is>
          <t>源系统负责人、产品经理</t>
        </is>
      </c>
      <c r="F8" s="9" t="inlineStr">
        <is>
          <t>项目经理</t>
        </is>
      </c>
      <c r="G8" s="11" t="inlineStr">
        <is>
          <t>待指定</t>
        </is>
      </c>
      <c r="H8" s="9" t="inlineStr">
        <is>
          <t>脚本版本、批次与运行日志</t>
        </is>
      </c>
      <c r="I8" s="11" t="inlineStr">
        <is>
          <t>待确认</t>
        </is>
      </c>
    </row>
    <row r="9" ht="44" customHeight="1">
      <c r="A9" s="10" t="inlineStr">
        <is>
          <t>MR-05</t>
        </is>
      </c>
      <c r="B9" s="10" t="inlineStr">
        <is>
          <t>业务与财务对账</t>
        </is>
      </c>
      <c r="C9" s="10" t="inlineStr">
        <is>
          <t>业务/财务负责人</t>
        </is>
      </c>
      <c r="D9" s="10" t="inlineStr">
        <is>
          <t>产品经理、财务代表</t>
        </is>
      </c>
      <c r="E9" s="10" t="inlineStr">
        <is>
          <t>测试负责人、技术经理</t>
        </is>
      </c>
      <c r="F9" s="10" t="inlineStr">
        <is>
          <t>项目经理</t>
        </is>
      </c>
      <c r="G9" s="11" t="inlineStr">
        <is>
          <t>待指定</t>
        </is>
      </c>
      <c r="H9" s="10" t="inlineStr">
        <is>
          <t>差异清单与签收记录</t>
        </is>
      </c>
      <c r="I9" s="11" t="inlineStr">
        <is>
          <t>待确认</t>
        </is>
      </c>
    </row>
    <row r="10" ht="44" customHeight="1">
      <c r="A10" s="9" t="inlineStr">
        <is>
          <t>MR-06</t>
        </is>
      </c>
      <c r="B10" s="9" t="inlineStr">
        <is>
          <t>附件与电子证据验收</t>
        </is>
      </c>
      <c r="C10" s="9" t="inlineStr">
        <is>
          <t>档案/法务负责人</t>
        </is>
      </c>
      <c r="D10" s="9" t="inlineStr">
        <is>
          <t>档案代表、高级测试人员、中级测试人员</t>
        </is>
      </c>
      <c r="E10" s="9" t="inlineStr">
        <is>
          <t>技术经理、业务负责人</t>
        </is>
      </c>
      <c r="F10" s="9" t="inlineStr">
        <is>
          <t>项目经理</t>
        </is>
      </c>
      <c r="G10" s="11" t="inlineStr">
        <is>
          <t>待指定</t>
        </is>
      </c>
      <c r="H10" s="9" t="inlineStr">
        <is>
          <t>哈希/可读性/权限核验报告</t>
        </is>
      </c>
      <c r="I10" s="11" t="inlineStr">
        <is>
          <t>待确认</t>
        </is>
      </c>
    </row>
    <row r="11" ht="44" customHeight="1">
      <c r="A11" s="10" t="inlineStr">
        <is>
          <t>MR-07</t>
        </is>
      </c>
      <c r="B11" s="10" t="inlineStr">
        <is>
          <t>权限与安全验收</t>
        </is>
      </c>
      <c r="C11" s="10" t="inlineStr">
        <is>
          <t>安全/业务负责人</t>
        </is>
      </c>
      <c r="D11" s="10" t="inlineStr">
        <is>
          <t>技术经理、高级测试人员、中级测试人员</t>
        </is>
      </c>
      <c r="E11" s="10" t="inlineStr">
        <is>
          <t>组织/身份平台负责人</t>
        </is>
      </c>
      <c r="F11" s="10" t="inlineStr">
        <is>
          <t>项目经理</t>
        </is>
      </c>
      <c r="G11" s="11" t="inlineStr">
        <is>
          <t>待指定</t>
        </is>
      </c>
      <c r="H11" s="10" t="inlineStr">
        <is>
          <t>权限验证与审计证据</t>
        </is>
      </c>
      <c r="I11" s="11" t="inlineStr">
        <is>
          <t>待确认</t>
        </is>
      </c>
    </row>
    <row r="12" ht="44" customHeight="1">
      <c r="A12" s="9" t="inlineStr">
        <is>
          <t>MR-08</t>
        </is>
      </c>
      <c r="B12" s="9" t="inlineStr">
        <is>
          <t>生产切换与回退演练</t>
        </is>
      </c>
      <c r="C12" s="9" t="inlineStr">
        <is>
          <t>项目集经理</t>
        </is>
      </c>
      <c r="D12" s="9" t="inlineStr">
        <is>
          <t>技术经理、配置人员</t>
        </is>
      </c>
      <c r="E12" s="9" t="inlineStr">
        <is>
          <t>项目经理、业务/财务负责人</t>
        </is>
      </c>
      <c r="F12" s="9" t="inlineStr">
        <is>
          <t>相关方</t>
        </is>
      </c>
      <c r="G12" s="11" t="inlineStr">
        <is>
          <t>待指定</t>
        </is>
      </c>
      <c r="H12" s="9" t="inlineStr">
        <is>
          <t>演练记录、回退验证和批准</t>
        </is>
      </c>
      <c r="I12" s="11" t="inlineStr">
        <is>
          <t>待确认</t>
        </is>
      </c>
    </row>
    <row r="13" ht="44" customHeight="1">
      <c r="A13" s="10" t="inlineStr">
        <is>
          <t>MR-09</t>
        </is>
      </c>
      <c r="B13" s="10" t="inlineStr">
        <is>
          <t>Go/No-Go 决策</t>
        </is>
      </c>
      <c r="C13" s="10" t="inlineStr">
        <is>
          <t>项目集经理</t>
        </is>
      </c>
      <c r="D13" s="10" t="inlineStr">
        <is>
          <t>项目经理</t>
        </is>
      </c>
      <c r="E13" s="10" t="inlineStr">
        <is>
          <t>业务、技术、测试、运维负责人</t>
        </is>
      </c>
      <c r="F13" s="10" t="inlineStr">
        <is>
          <t>全体相关方</t>
        </is>
      </c>
      <c r="G13" s="11" t="inlineStr">
        <is>
          <t>待指定</t>
        </is>
      </c>
      <c r="H13" s="10" t="inlineStr">
        <is>
          <t>门禁核对与决策纪要</t>
        </is>
      </c>
      <c r="I13" s="11" t="inlineStr">
        <is>
          <t>待确认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20" customWidth="1" min="4" max="4"/>
    <col width="40" customWidth="1" min="5" max="5"/>
    <col width="43" customWidth="1" min="6" max="6"/>
    <col width="25" customWidth="1" min="7" max="7"/>
    <col width="28" customWidth="1" min="8" max="8"/>
    <col width="17" customWidth="1" min="9" max="9"/>
  </cols>
  <sheetData>
    <row r="1">
      <c r="A1" s="1" t="inlineStr">
        <is>
          <t>门禁与演练</t>
        </is>
      </c>
    </row>
    <row r="2">
      <c r="A2" s="2" t="inlineStr">
        <is>
          <t>已存在的项目日期标为“现有计划”；新增建议日期需经项目经理批准后才能成为基线。</t>
        </is>
      </c>
    </row>
    <row r="4" ht="30" customHeight="1">
      <c r="A4" s="6" t="inlineStr">
        <is>
          <t>门禁ID</t>
        </is>
      </c>
      <c r="B4" s="6" t="inlineStr">
        <is>
          <t>阶段</t>
        </is>
      </c>
      <c r="C4" s="6" t="inlineStr">
        <is>
          <t>计划日期</t>
        </is>
      </c>
      <c r="D4" s="6" t="inlineStr">
        <is>
          <t>日期属性</t>
        </is>
      </c>
      <c r="E4" s="6" t="inlineStr">
        <is>
          <t>进入条件</t>
        </is>
      </c>
      <c r="F4" s="6" t="inlineStr">
        <is>
          <t>退出/通过证据</t>
        </is>
      </c>
      <c r="G4" s="6" t="inlineStr">
        <is>
          <t>关联台账</t>
        </is>
      </c>
      <c r="H4" s="6" t="inlineStr">
        <is>
          <t>责任角色</t>
        </is>
      </c>
      <c r="I4" s="6" t="inlineStr">
        <is>
          <t>状态</t>
        </is>
      </c>
    </row>
    <row r="5" ht="44" customHeight="1">
      <c r="A5" s="10" t="inlineStr">
        <is>
          <t>MG-00</t>
        </is>
      </c>
      <c r="B5" s="10" t="inlineStr">
        <is>
          <t>G15 策略确认</t>
        </is>
      </c>
      <c r="C5" s="14" t="n">
        <v>46308</v>
      </c>
      <c r="D5" s="10" t="inlineStr">
        <is>
          <t>现有计划</t>
        </is>
      </c>
      <c r="E5" s="10" t="inlineStr">
        <is>
          <t>来源系统和历史范围已盘点</t>
        </is>
      </c>
      <c r="F5" s="10" t="inlineStr">
        <is>
          <t>责任矩阵、质量规则、迁移及核对方案会签</t>
        </is>
      </c>
      <c r="G5" s="10" t="inlineStr">
        <is>
          <t>G15 / RSK-007</t>
        </is>
      </c>
      <c r="H5" s="10" t="inlineStr">
        <is>
          <t>项目经理、业务负责人</t>
        </is>
      </c>
      <c r="I5" s="11" t="inlineStr">
        <is>
          <t>待确认</t>
        </is>
      </c>
    </row>
    <row r="6" ht="44" customHeight="1">
      <c r="A6" s="9" t="inlineStr">
        <is>
          <t>MG-01</t>
        </is>
      </c>
      <c r="B6" s="9" t="inlineStr">
        <is>
          <t>映射与脚本设计</t>
        </is>
      </c>
      <c r="C6" s="15" t="n">
        <v>46356</v>
      </c>
      <c r="D6" s="9" t="inlineStr">
        <is>
          <t>建议，待批准</t>
        </is>
      </c>
      <c r="E6" s="9" t="inlineStr">
        <is>
          <t>MG-00 通过</t>
        </is>
      </c>
      <c r="F6" s="9" t="inlineStr">
        <is>
          <t>字段映射、清洗和脚本方案通过评审</t>
        </is>
      </c>
      <c r="G6" s="9" t="inlineStr">
        <is>
          <t>新增迁移工作包</t>
        </is>
      </c>
      <c r="H6" s="9" t="inlineStr">
        <is>
          <t>技术经理</t>
        </is>
      </c>
      <c r="I6" s="11" t="inlineStr">
        <is>
          <t>未开始</t>
        </is>
      </c>
    </row>
    <row r="7" ht="44" customHeight="1">
      <c r="A7" s="10" t="inlineStr">
        <is>
          <t>MG-02</t>
        </is>
      </c>
      <c r="B7" s="10" t="inlineStr">
        <is>
          <t>完整试迁移</t>
        </is>
      </c>
      <c r="C7" s="14" t="n">
        <v>46477</v>
      </c>
      <c r="D7" s="10" t="inlineStr">
        <is>
          <t>建议，待批准</t>
        </is>
      </c>
      <c r="E7" s="10" t="inlineStr">
        <is>
          <t>测试环境与样本就绪</t>
        </is>
      </c>
      <c r="F7" s="10" t="inlineStr">
        <is>
          <t>一次全量+增量演练、差异清单和重跑记录</t>
        </is>
      </c>
      <c r="G7" s="10" t="inlineStr">
        <is>
          <t>质量/数据迁移</t>
        </is>
      </c>
      <c r="H7" s="10" t="inlineStr">
        <is>
          <t>技术经理、测试负责人</t>
        </is>
      </c>
      <c r="I7" s="11" t="inlineStr">
        <is>
          <t>未开始</t>
        </is>
      </c>
    </row>
    <row r="8" ht="44" customHeight="1">
      <c r="A8" s="9" t="inlineStr">
        <is>
          <t>MG-03</t>
        </is>
      </c>
      <c r="B8" s="9" t="inlineStr">
        <is>
          <t>业务验收与最终演练</t>
        </is>
      </c>
      <c r="C8" s="15" t="n">
        <v>46527</v>
      </c>
      <c r="D8" s="9" t="inlineStr">
        <is>
          <t>建议，待批准</t>
        </is>
      </c>
      <c r="E8" s="9" t="inlineStr">
        <is>
          <t>完整试迁移问题关闭</t>
        </is>
      </c>
      <c r="F8" s="9" t="inlineStr">
        <is>
          <t>业务/财务/档案核验、真实窗口演练及回退演练</t>
        </is>
      </c>
      <c r="G8" s="9" t="inlineStr">
        <is>
          <t>RDY-005 / T087</t>
        </is>
      </c>
      <c r="H8" s="9" t="inlineStr">
        <is>
          <t>项目经理、业务负责人</t>
        </is>
      </c>
      <c r="I8" s="11" t="inlineStr">
        <is>
          <t>未开始</t>
        </is>
      </c>
    </row>
    <row r="9" ht="44" customHeight="1">
      <c r="A9" s="10" t="inlineStr">
        <is>
          <t>MG-04</t>
        </is>
      </c>
      <c r="B9" s="10" t="inlineStr">
        <is>
          <t>上线准入</t>
        </is>
      </c>
      <c r="C9" s="14" t="n">
        <v>46531</v>
      </c>
      <c r="D9" s="10" t="inlineStr">
        <is>
          <t>现有计划</t>
        </is>
      </c>
      <c r="E9" s="10" t="inlineStr">
        <is>
          <t>迁移、接口、权限、回退门禁均通过或获批准例外</t>
        </is>
      </c>
      <c r="F9" s="10" t="inlineStr">
        <is>
          <t>Go/No-Go 纪要</t>
        </is>
      </c>
      <c r="G9" s="10" t="inlineStr">
        <is>
          <t>MS015 / RDY-005</t>
        </is>
      </c>
      <c r="H9" s="10" t="inlineStr">
        <is>
          <t>项目集经理</t>
        </is>
      </c>
      <c r="I9" s="11" t="inlineStr">
        <is>
          <t>未开始</t>
        </is>
      </c>
    </row>
    <row r="10" ht="44" customHeight="1">
      <c r="A10" s="9" t="inlineStr">
        <is>
          <t>MG-05</t>
        </is>
      </c>
      <c r="B10" s="9" t="inlineStr">
        <is>
          <t>生产切换</t>
        </is>
      </c>
      <c r="C10" s="15" t="n">
        <v>46537</v>
      </c>
      <c r="D10" s="9" t="inlineStr">
        <is>
          <t>现有切换计划</t>
        </is>
      </c>
      <c r="E10" s="9" t="inlineStr">
        <is>
          <t>MG-04 通过、旧系统停写点确认</t>
        </is>
      </c>
      <c r="F10" s="9" t="inlineStr">
        <is>
          <t>正式批次日志、源目标对账、核心流程烟测</t>
        </is>
      </c>
      <c r="G10" s="9" t="inlineStr">
        <is>
          <t>CUT-005 / T092</t>
        </is>
      </c>
      <c r="H10" s="9" t="inlineStr">
        <is>
          <t>技术经理、项目经理</t>
        </is>
      </c>
      <c r="I10" s="11" t="inlineStr">
        <is>
          <t>未开始</t>
        </is>
      </c>
    </row>
    <row r="11" ht="44" customHeight="1">
      <c r="A11" s="10" t="inlineStr">
        <is>
          <t>MG-06</t>
        </is>
      </c>
      <c r="B11" s="10" t="inlineStr">
        <is>
          <t>切换后最终对账</t>
        </is>
      </c>
      <c r="C11" s="14" t="n">
        <v>46538</v>
      </c>
      <c r="D11" s="10" t="inlineStr">
        <is>
          <t>建议，待批准</t>
        </is>
      </c>
      <c r="E11" s="10" t="inlineStr">
        <is>
          <t>生产迁移完成</t>
        </is>
      </c>
      <c r="F11" s="10" t="inlineStr">
        <is>
          <t>业务/财务/档案最终签收与遗留差异处置</t>
        </is>
      </c>
      <c r="G11" s="10" t="inlineStr">
        <is>
          <t>RDY-005 / RBK-002</t>
        </is>
      </c>
      <c r="H11" s="10" t="inlineStr">
        <is>
          <t>业务/财务/档案负责人</t>
        </is>
      </c>
      <c r="I11" s="11" t="inlineStr">
        <is>
          <t>未开始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26" customWidth="1" min="4" max="4"/>
    <col width="18" customWidth="1" min="5" max="5"/>
    <col width="24" customWidth="1" min="6" max="6"/>
    <col width="23" customWidth="1" min="7" max="7"/>
    <col width="38" customWidth="1" min="8" max="8"/>
    <col width="25" customWidth="1" min="9" max="9"/>
    <col width="17" customWidth="1" min="10" max="10"/>
  </cols>
  <sheetData>
    <row r="1">
      <c r="A1" s="1" t="inlineStr">
        <is>
          <t>迁移任务分解</t>
        </is>
      </c>
    </row>
    <row r="2">
      <c r="A2" s="2" t="inlineStr">
        <is>
          <t>建议工作包；T087 为演练，MIG 为计划执行，CUT 为生产切换。日期属性区分现有目标与待批建议。</t>
        </is>
      </c>
    </row>
    <row r="4" ht="30" customHeight="1">
      <c r="A4" s="6" t="inlineStr">
        <is>
          <t>任务ID</t>
        </is>
      </c>
      <c r="B4" s="6" t="inlineStr">
        <is>
          <t>工作包</t>
        </is>
      </c>
      <c r="C4" s="6" t="inlineStr">
        <is>
          <t>任务与交付物</t>
        </is>
      </c>
      <c r="D4" s="6" t="inlineStr">
        <is>
          <t>前置依赖</t>
        </is>
      </c>
      <c r="E4" s="6" t="inlineStr">
        <is>
          <t>计划完成</t>
        </is>
      </c>
      <c r="F4" s="6" t="inlineStr">
        <is>
          <t>日期属性</t>
        </is>
      </c>
      <c r="G4" s="6" t="inlineStr">
        <is>
          <t>负责角色</t>
        </is>
      </c>
      <c r="H4" s="6" t="inlineStr">
        <is>
          <t>验收证据</t>
        </is>
      </c>
      <c r="I4" s="6" t="inlineStr">
        <is>
          <t>现有台账关联</t>
        </is>
      </c>
      <c r="J4" s="6" t="inlineStr">
        <is>
          <t>状态</t>
        </is>
      </c>
    </row>
    <row r="5" ht="44" customHeight="1">
      <c r="A5" s="10" t="inlineStr">
        <is>
          <t>MW-01</t>
        </is>
      </c>
      <c r="B5" s="10" t="inlineStr">
        <is>
          <t>盘点与决策</t>
        </is>
      </c>
      <c r="C5" s="10" t="inlineStr">
        <is>
          <t>盘点来源系统、数据对象、记录/文件量、接口及实名责任人</t>
        </is>
      </c>
      <c r="D5" s="10" t="inlineStr">
        <is>
          <t>业务和源系统负责人参与</t>
        </is>
      </c>
      <c r="E5" s="14" t="n">
        <v>46308</v>
      </c>
      <c r="F5" s="10" t="inlineStr">
        <is>
          <t>现有 G15 目标</t>
        </is>
      </c>
      <c r="G5" s="10" t="inlineStr">
        <is>
          <t>项目经理</t>
        </is>
      </c>
      <c r="H5" s="10" t="inlineStr">
        <is>
          <t>系统/对象/规模清单及签收</t>
        </is>
      </c>
      <c r="I5" s="10" t="inlineStr">
        <is>
          <t>G15 / MOBJ-01—09</t>
        </is>
      </c>
      <c r="J5" s="11" t="inlineStr">
        <is>
          <t>待盘点</t>
        </is>
      </c>
    </row>
    <row r="6" ht="44" customHeight="1">
      <c r="A6" s="9" t="inlineStr">
        <is>
          <t>MW-02</t>
        </is>
      </c>
      <c r="B6" s="9" t="inlineStr">
        <is>
          <t>盘点与决策</t>
        </is>
      </c>
      <c r="C6" s="9" t="inlineStr">
        <is>
          <t>批准在办、有效、历史归档合同的迁入、只读归档与保留查询范围</t>
        </is>
      </c>
      <c r="D6" s="9" t="inlineStr">
        <is>
          <t>MW-01</t>
        </is>
      </c>
      <c r="E6" s="15" t="n">
        <v>46308</v>
      </c>
      <c r="F6" s="9" t="inlineStr">
        <is>
          <t>现有 G15 目标</t>
        </is>
      </c>
      <c r="G6" s="9" t="inlineStr">
        <is>
          <t>业务负责人</t>
        </is>
      </c>
      <c r="H6" s="9" t="inlineStr">
        <is>
          <t>历史范围与留存决策纪要</t>
        </is>
      </c>
      <c r="I6" s="9" t="inlineStr">
        <is>
          <t>G15 / MDEC-02</t>
        </is>
      </c>
      <c r="J6" s="11" t="inlineStr">
        <is>
          <t>待确认</t>
        </is>
      </c>
    </row>
    <row r="7" ht="44" customHeight="1">
      <c r="A7" s="10" t="inlineStr">
        <is>
          <t>MW-03</t>
        </is>
      </c>
      <c r="B7" s="10" t="inlineStr">
        <is>
          <t>设计与映射</t>
        </is>
      </c>
      <c r="C7" s="10" t="inlineStr">
        <is>
          <t>逐来源建立字段映射、唯一键、清洗规则和异常处置</t>
        </is>
      </c>
      <c r="D7" s="10" t="inlineStr">
        <is>
          <t>MW-01、MW-02</t>
        </is>
      </c>
      <c r="E7" s="14" t="n">
        <v>46356</v>
      </c>
      <c r="F7" s="10" t="inlineStr">
        <is>
          <t>建议，待批准</t>
        </is>
      </c>
      <c r="G7" s="10" t="inlineStr">
        <is>
          <t>技术经理</t>
        </is>
      </c>
      <c r="H7" s="10" t="inlineStr">
        <is>
          <t>映射评审记录、样例与规则版本</t>
        </is>
      </c>
      <c r="I7" s="10" t="inlineStr">
        <is>
          <t>MAP / MG-01</t>
        </is>
      </c>
      <c r="J7" s="11" t="inlineStr">
        <is>
          <t>未开始</t>
        </is>
      </c>
    </row>
    <row r="8" ht="44" customHeight="1">
      <c r="A8" s="9" t="inlineStr">
        <is>
          <t>MW-04</t>
        </is>
      </c>
      <c r="B8" s="9" t="inlineStr">
        <is>
          <t>设计与映射</t>
        </is>
      </c>
      <c r="C8" s="9" t="inlineStr">
        <is>
          <t>制定抽取批次、增量识别、幂等重跑和日志追溯方案</t>
        </is>
      </c>
      <c r="D8" s="9" t="inlineStr">
        <is>
          <t>MW-03</t>
        </is>
      </c>
      <c r="E8" s="15" t="n">
        <v>46356</v>
      </c>
      <c r="F8" s="9" t="inlineStr">
        <is>
          <t>建议，待批准</t>
        </is>
      </c>
      <c r="G8" s="9" t="inlineStr">
        <is>
          <t>技术经理</t>
        </is>
      </c>
      <c r="H8" s="9" t="inlineStr">
        <is>
          <t>脚本设计与重跑方案评审</t>
        </is>
      </c>
      <c r="I8" s="9" t="inlineStr">
        <is>
          <t>MDEC-04 / MG-01</t>
        </is>
      </c>
      <c r="J8" s="11" t="inlineStr">
        <is>
          <t>未开始</t>
        </is>
      </c>
    </row>
    <row r="9" ht="44" customHeight="1">
      <c r="A9" s="10" t="inlineStr">
        <is>
          <t>MW-05</t>
        </is>
      </c>
      <c r="B9" s="10" t="inlineStr">
        <is>
          <t>试迁移</t>
        </is>
      </c>
      <c r="C9" s="10" t="inlineStr">
        <is>
          <t>测试环境完成全量基线、增量补数和失败重跑演练</t>
        </is>
      </c>
      <c r="D9" s="10" t="inlineStr">
        <is>
          <t>MW-03、MW-04</t>
        </is>
      </c>
      <c r="E9" s="14" t="n">
        <v>46477</v>
      </c>
      <c r="F9" s="10" t="inlineStr">
        <is>
          <t>建议，待批准</t>
        </is>
      </c>
      <c r="G9" s="10" t="inlineStr">
        <is>
          <t>技术经理</t>
        </is>
      </c>
      <c r="H9" s="10" t="inlineStr">
        <is>
          <t>批次日志、重跑与差异清单</t>
        </is>
      </c>
      <c r="I9" s="10" t="inlineStr">
        <is>
          <t>MG-02 / RSK-007</t>
        </is>
      </c>
      <c r="J9" s="11" t="inlineStr">
        <is>
          <t>未开始</t>
        </is>
      </c>
    </row>
    <row r="10" ht="44" customHeight="1">
      <c r="A10" s="9" t="inlineStr">
        <is>
          <t>MW-06</t>
        </is>
      </c>
      <c r="B10" s="9" t="inlineStr">
        <is>
          <t>质量闭环</t>
        </is>
      </c>
      <c r="C10" s="9" t="inlineStr">
        <is>
          <t>修复源数据质量问题和映射差异，确认无法修复的书面例外</t>
        </is>
      </c>
      <c r="D10" s="9" t="inlineStr">
        <is>
          <t>MW-05</t>
        </is>
      </c>
      <c r="E10" s="15" t="n">
        <v>46507</v>
      </c>
      <c r="F10" s="9" t="inlineStr">
        <is>
          <t>建议，待批准</t>
        </is>
      </c>
      <c r="G10" s="9" t="inlineStr">
        <is>
          <t>业务负责人</t>
        </is>
      </c>
      <c r="H10" s="9" t="inlineStr">
        <is>
          <t>质量缺陷闭环与例外批准</t>
        </is>
      </c>
      <c r="I10" s="9" t="inlineStr">
        <is>
          <t>07 数据质量与迁移</t>
        </is>
      </c>
      <c r="J10" s="11" t="inlineStr">
        <is>
          <t>未开始</t>
        </is>
      </c>
    </row>
    <row r="11" ht="44" customHeight="1">
      <c r="A11" s="10" t="inlineStr">
        <is>
          <t>MW-07</t>
        </is>
      </c>
      <c r="B11" s="10" t="inlineStr">
        <is>
          <t>核对与验收</t>
        </is>
      </c>
      <c r="C11" s="10" t="inlineStr">
        <is>
          <t>按合同、金额、状态、履约、附件及权限维度完成首轮业务核对</t>
        </is>
      </c>
      <c r="D11" s="10" t="inlineStr">
        <is>
          <t>MW-05、MW-06</t>
        </is>
      </c>
      <c r="E11" s="14" t="n">
        <v>46520</v>
      </c>
      <c r="F11" s="10" t="inlineStr">
        <is>
          <t>建议，待批准</t>
        </is>
      </c>
      <c r="G11" s="10" t="inlineStr">
        <is>
          <t>业务/财务负责人</t>
        </is>
      </c>
      <c r="H11" s="10" t="inlineStr">
        <is>
          <t>首轮对账报告及差异清单</t>
        </is>
      </c>
      <c r="I11" s="10" t="inlineStr">
        <is>
          <t>REC / MIG-001—006</t>
        </is>
      </c>
      <c r="J11" s="11" t="inlineStr">
        <is>
          <t>未开始</t>
        </is>
      </c>
    </row>
    <row r="12" ht="44" customHeight="1">
      <c r="A12" s="9" t="inlineStr">
        <is>
          <t>MW-08</t>
        </is>
      </c>
      <c r="B12" s="9" t="inlineStr">
        <is>
          <t>切换演练</t>
        </is>
      </c>
      <c r="C12" s="9" t="inlineStr">
        <is>
          <t>完成数据迁移、清洗和对账演练，验证失败重跑</t>
        </is>
      </c>
      <c r="D12" s="9" t="inlineStr">
        <is>
          <t>MW-07</t>
        </is>
      </c>
      <c r="E12" s="15" t="n">
        <v>46521</v>
      </c>
      <c r="F12" s="9" t="inlineStr">
        <is>
          <t>建议，待批准</t>
        </is>
      </c>
      <c r="G12" s="9" t="inlineStr">
        <is>
          <t>项目经理</t>
        </is>
      </c>
      <c r="H12" s="9" t="inlineStr">
        <is>
          <t>演练日志、重跑与差异记录</t>
        </is>
      </c>
      <c r="I12" s="9" t="inlineStr">
        <is>
          <t>T087 / MG-02</t>
        </is>
      </c>
      <c r="J12" s="11" t="inlineStr">
        <is>
          <t>未开始</t>
        </is>
      </c>
    </row>
    <row r="13" ht="44" customHeight="1">
      <c r="A13" s="10" t="inlineStr">
        <is>
          <t>MW-09</t>
        </is>
      </c>
      <c r="B13" s="10" t="inlineStr">
        <is>
          <t>现有总控任务</t>
        </is>
      </c>
      <c r="C13" s="10" t="inlineStr">
        <is>
          <t>完成数据迁移、清洗和对账演练；确认后续 MIG 计划执行的进入条件</t>
        </is>
      </c>
      <c r="D13" s="10" t="inlineStr">
        <is>
          <t>MW-07、MW-08</t>
        </is>
      </c>
      <c r="E13" s="14" t="n">
        <v>46521</v>
      </c>
      <c r="F13" s="10" t="inlineStr">
        <is>
          <t>现有 T087 结束</t>
        </is>
      </c>
      <c r="G13" s="10" t="inlineStr">
        <is>
          <t>项目经理</t>
        </is>
      </c>
      <c r="H13" s="10" t="inlineStr">
        <is>
          <t>总控演练验收证据</t>
        </is>
      </c>
      <c r="I13" s="10" t="inlineStr">
        <is>
          <t>T087 / MIG-001—006</t>
        </is>
      </c>
      <c r="J13" s="11" t="inlineStr">
        <is>
          <t>未开始</t>
        </is>
      </c>
    </row>
    <row r="14" ht="44" customHeight="1">
      <c r="A14" s="9" t="inlineStr">
        <is>
          <t>MW-10</t>
        </is>
      </c>
      <c r="B14" s="9" t="inlineStr">
        <is>
          <t>最终演练</t>
        </is>
      </c>
      <c r="C14" s="9" t="inlineStr">
        <is>
          <t>按真实窗口演练停写、抽取、装载、回退及恢复，完成业务签收</t>
        </is>
      </c>
      <c r="D14" s="9" t="inlineStr">
        <is>
          <t>MW-09、差异关闭</t>
        </is>
      </c>
      <c r="E14" s="15" t="n">
        <v>46527</v>
      </c>
      <c r="F14" s="9" t="inlineStr">
        <is>
          <t>建议，待批准</t>
        </is>
      </c>
      <c r="G14" s="9" t="inlineStr">
        <is>
          <t>项目经理</t>
        </is>
      </c>
      <c r="H14" s="9" t="inlineStr">
        <is>
          <t>演练日志、回退报告、业务/财务/档案签收</t>
        </is>
      </c>
      <c r="I14" s="9" t="inlineStr">
        <is>
          <t>MG-03 / RDY-005</t>
        </is>
      </c>
      <c r="J14" s="11" t="inlineStr">
        <is>
          <t>未开始</t>
        </is>
      </c>
    </row>
    <row r="15" ht="44" customHeight="1">
      <c r="A15" s="10" t="inlineStr">
        <is>
          <t>MW-11</t>
        </is>
      </c>
      <c r="B15" s="10" t="inlineStr">
        <is>
          <t>上线准入</t>
        </is>
      </c>
      <c r="C15" s="10" t="inlineStr">
        <is>
          <t>汇总迁移差异、接口与权限、回退证据，提交 Go/No-Go</t>
        </is>
      </c>
      <c r="D15" s="10" t="inlineStr">
        <is>
          <t>MW-10</t>
        </is>
      </c>
      <c r="E15" s="14" t="n">
        <v>46531</v>
      </c>
      <c r="F15" s="10" t="inlineStr">
        <is>
          <t>现有 MS015 目标</t>
        </is>
      </c>
      <c r="G15" s="10" t="inlineStr">
        <is>
          <t>项目集经理</t>
        </is>
      </c>
      <c r="H15" s="10" t="inlineStr">
        <is>
          <t>Go/No-Go 决策纪要</t>
        </is>
      </c>
      <c r="I15" s="10" t="inlineStr">
        <is>
          <t>MS015 / MG-04</t>
        </is>
      </c>
      <c r="J15" s="11" t="inlineStr">
        <is>
          <t>未开始</t>
        </is>
      </c>
    </row>
    <row r="16" ht="44" customHeight="1">
      <c r="A16" s="9" t="inlineStr">
        <is>
          <t>MW-12</t>
        </is>
      </c>
      <c r="B16" s="9" t="inlineStr">
        <is>
          <t>生产切换</t>
        </is>
      </c>
      <c r="C16" s="9" t="inlineStr">
        <is>
          <t>确认旧系统停写，执行正式批次、源目标对账与核心流程烟测</t>
        </is>
      </c>
      <c r="D16" s="9" t="inlineStr">
        <is>
          <t>MW-11</t>
        </is>
      </c>
      <c r="E16" s="15" t="n">
        <v>46537</v>
      </c>
      <c r="F16" s="9" t="inlineStr">
        <is>
          <t>现有 CUT-005 结束</t>
        </is>
      </c>
      <c r="G16" s="9" t="inlineStr">
        <is>
          <t>技术经理</t>
        </is>
      </c>
      <c r="H16" s="9" t="inlineStr">
        <is>
          <t>切换日志、对账与烟测记录</t>
        </is>
      </c>
      <c r="I16" s="9" t="inlineStr">
        <is>
          <t>CUT-005 / T092</t>
        </is>
      </c>
      <c r="J16" s="11" t="inlineStr">
        <is>
          <t>未开始</t>
        </is>
      </c>
    </row>
    <row r="17" ht="44" customHeight="1">
      <c r="A17" s="10" t="inlineStr">
        <is>
          <t>MW-13</t>
        </is>
      </c>
      <c r="B17" s="10" t="inlineStr">
        <is>
          <t>最终签收</t>
        </is>
      </c>
      <c r="C17" s="10" t="inlineStr">
        <is>
          <t>切换后最终对账、处理遗留差异并确认旧系统查询与运营移交</t>
        </is>
      </c>
      <c r="D17" s="10" t="inlineStr">
        <is>
          <t>MW-12</t>
        </is>
      </c>
      <c r="E17" s="14" t="n">
        <v>46538</v>
      </c>
      <c r="F17" s="10" t="inlineStr">
        <is>
          <t>建议，待批准</t>
        </is>
      </c>
      <c r="G17" s="10" t="inlineStr">
        <is>
          <t>业务负责人</t>
        </is>
      </c>
      <c r="H17" s="10" t="inlineStr">
        <is>
          <t>最终签收、遗留事项与运维交接</t>
        </is>
      </c>
      <c r="I17" s="10" t="inlineStr">
        <is>
          <t>MG-06 / RBK-002</t>
        </is>
      </c>
      <c r="J17" s="11" t="inlineStr">
        <is>
          <t>未开始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3" customWidth="1" min="1" max="1"/>
    <col width="74" customWidth="1" min="2" max="2"/>
    <col width="34" customWidth="1" min="3" max="3"/>
    <col width="45" customWidth="1" min="4" max="4"/>
  </cols>
  <sheetData>
    <row r="1">
      <c r="A1" s="1" t="inlineStr">
        <is>
          <t>使用说明</t>
        </is>
      </c>
    </row>
    <row r="2">
      <c r="A2" s="2" t="inlineStr">
        <is>
          <t>本文件是 G15 评审草案；人工结论以批准记录为准，不据此自动修改原台账。</t>
        </is>
      </c>
    </row>
    <row r="4" ht="30" customHeight="1">
      <c r="A4" s="6" t="inlineStr">
        <is>
          <t>主题</t>
        </is>
      </c>
      <c r="B4" s="6" t="inlineStr">
        <is>
          <t>使用规则</t>
        </is>
      </c>
      <c r="C4" s="6" t="inlineStr">
        <is>
          <t>权威位置</t>
        </is>
      </c>
      <c r="D4" s="6" t="inlineStr">
        <is>
          <t>下游/核对</t>
        </is>
      </c>
    </row>
    <row r="5" ht="44" customHeight="1">
      <c r="A5" s="10" t="inlineStr">
        <is>
          <t>更新顺序</t>
        </is>
      </c>
      <c r="B5" s="11" t="inlineStr">
        <is>
          <t>先盘点来源系统及数据量，再决定历史范围、责任、字段映射、质量规则和门禁</t>
        </is>
      </c>
      <c r="C5" s="10" t="inlineStr">
        <is>
          <t>本文件的盘点与决策栏</t>
        </is>
      </c>
      <c r="D5" s="10" t="inlineStr">
        <is>
          <t>G15 评审后再更新正式基线</t>
        </is>
      </c>
    </row>
    <row r="6" ht="44" customHeight="1">
      <c r="A6" s="9" t="inlineStr">
        <is>
          <t>当前业务事实</t>
        </is>
      </c>
      <c r="B6" s="11" t="inlineStr">
        <is>
          <t>09_上线移交与运营中的 MIG-001—MIG-006 仍为既有执行台账；本文件新增对象是待评审建议</t>
        </is>
      </c>
      <c r="C6" s="9" t="inlineStr">
        <is>
          <t>09 数据迁移与核验</t>
        </is>
      </c>
      <c r="D6" s="9" t="inlineStr">
        <is>
          <t>禁止把两处均当作正式录入点</t>
        </is>
      </c>
    </row>
    <row r="7" ht="44" customHeight="1">
      <c r="A7" s="10" t="inlineStr">
        <is>
          <t>唯一入口目标</t>
        </is>
      </c>
      <c r="B7" s="11" t="inlineStr">
        <is>
          <t>迁移策略获批准后，以本文件对象ID、映射ID、规则ID、门禁ID为规划主键；由负责人决定正式发布与同步方式</t>
        </is>
      </c>
      <c r="C7" s="10" t="inlineStr">
        <is>
          <t>本文件</t>
        </is>
      </c>
      <c r="D7" s="10" t="inlineStr">
        <is>
          <t>07 质量验收、09 上线切换和 02 总控只读取批准结果</t>
        </is>
      </c>
    </row>
    <row r="8" ht="44" customHeight="1">
      <c r="A8" s="9" t="inlineStr">
        <is>
          <t>范围变化</t>
        </is>
      </c>
      <c r="B8" s="11" t="inlineStr">
        <is>
          <t>新增或删减对象、历史范围、停写窗口须评估工期、资源、成本和风险，并走变更审批</t>
        </is>
      </c>
      <c r="C8" s="9" t="inlineStr">
        <is>
          <t>业务负责人/项目经理</t>
        </is>
      </c>
      <c r="D8" s="9" t="inlineStr">
        <is>
          <t>同步 RSK-007、RDY-005、MS015</t>
        </is>
      </c>
    </row>
    <row r="9" ht="44" customHeight="1">
      <c r="A9" s="10" t="inlineStr">
        <is>
          <t>未知数据</t>
        </is>
      </c>
      <c r="B9" s="11" t="inlineStr">
        <is>
          <t>源系统数量、数据规模、历史年限、实名责任人尚无批准依据，留空或写“待盘点/待确认”</t>
        </is>
      </c>
      <c r="C9" s="10" t="inlineStr">
        <is>
          <t>源系统与业务数据负责人</t>
        </is>
      </c>
      <c r="D9" s="10" t="inlineStr">
        <is>
          <t>不得填零或视为已完成</t>
        </is>
      </c>
    </row>
    <row r="10" ht="44" customHeight="1">
      <c r="A10" s="9" t="inlineStr">
        <is>
          <t>来源盘点</t>
        </is>
      </c>
      <c r="B10" s="11" t="inlineStr">
        <is>
          <t>来源系统盘点中的六行是 MIG 台账的来源文字，不是六套独立系统。实盘系统名称、数量、数据量与历史边界由源系统和业务责任人确认</t>
        </is>
      </c>
      <c r="C10" s="9" t="inlineStr">
        <is>
          <t>来源系统盘点</t>
        </is>
      </c>
      <c r="D10" s="9" t="inlineStr">
        <is>
          <t>批准后回填对象范围盘点，不凭斜杠估算数量</t>
        </is>
      </c>
    </row>
    <row r="11" ht="44" customHeight="1">
      <c r="A11" s="10" t="inlineStr">
        <is>
          <t>任务分解</t>
        </is>
      </c>
      <c r="B11" s="11" t="inlineStr">
        <is>
          <t>MW 任务是候选工作包；T087 的 5 月 13—14 日为演练，MIG 的 5 月 17—20 日是计划执行日，CUT-005 的 5 月 29—30 日为生产切换。核实阶段衔接与资源后再纳入总控</t>
        </is>
      </c>
      <c r="C11" s="10" t="inlineStr">
        <is>
          <t>迁移任务分解</t>
        </is>
      </c>
      <c r="D11" s="10" t="inlineStr">
        <is>
          <t>不能仅凭日期前后认定冲突；建议日期待批准</t>
        </is>
      </c>
    </row>
    <row r="12" ht="44" customHeight="1">
      <c r="A12" s="9" t="inlineStr">
        <is>
          <t>来源依据</t>
        </is>
      </c>
      <c r="B12" s="11" t="inlineStr">
        <is>
          <t>现有 G15、T087/T092、RSK-007、07 数据质量与迁移、09 MIG/RDY/CUT/RBK 台账</t>
        </is>
      </c>
      <c r="C12" s="9" t="inlineStr">
        <is>
          <t>现有项目管理套件</t>
        </is>
      </c>
      <c r="D12" s="9" t="inlineStr">
        <is>
          <t>本文件只承接规划，不反向覆盖源台账</t>
        </is>
      </c>
    </row>
    <row r="13">
      <c r="A13" s="16" t="inlineStr">
        <is>
          <t>_数据接口</t>
        </is>
      </c>
      <c r="B13" s="16" t="inlineStr">
        <is>
          <t>模块登记与联动口径（模块编码 09）；统计项为公式联动，随盘点进度自动更新</t>
        </is>
      </c>
    </row>
    <row r="14">
      <c r="A14" s="16" t="inlineStr">
        <is>
          <t>盘点进度</t>
        </is>
      </c>
      <c r="B14" s="16" t="inlineStr">
        <is>
          <t>G15 会前访谈核查清单：6 条线索×8 项主题 + 历史范围决策 4 项 + 回收检查 5 项；状态下拉登记，顶部汇总完成数与总进度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7" t="inlineStr">
        <is>
          <t>字段</t>
        </is>
      </c>
      <c r="B1" s="25" t="inlineStr">
        <is>
          <t>值</t>
        </is>
      </c>
    </row>
    <row r="2">
      <c r="A2" s="16" t="inlineStr">
        <is>
          <t>Project_ID</t>
        </is>
      </c>
      <c r="B2" s="21" t="inlineStr">
        <is>
          <t>ECM-2026</t>
        </is>
      </c>
    </row>
    <row r="3">
      <c r="A3" s="16" t="inlineStr">
        <is>
          <t>项目名称</t>
        </is>
      </c>
      <c r="B3" s="21" t="inlineStr">
        <is>
          <t>能源行业合同全生命周期管理系统</t>
        </is>
      </c>
    </row>
    <row r="4">
      <c r="A4" s="16" t="inlineStr">
        <is>
          <t>模块编码</t>
        </is>
      </c>
      <c r="B4" s="21" t="inlineStr">
        <is>
          <t>09</t>
        </is>
      </c>
    </row>
    <row r="5">
      <c r="A5" s="16" t="inlineStr">
        <is>
          <t>数据日期</t>
        </is>
      </c>
      <c r="B5" s="26" t="n">
        <v>46285</v>
      </c>
    </row>
    <row r="6">
      <c r="A6" s="16" t="inlineStr">
        <is>
          <t>文件性质</t>
        </is>
      </c>
      <c r="B6" s="21" t="inlineStr">
        <is>
          <t>G15 评审草案，未替代正式 MIG 台账</t>
        </is>
      </c>
    </row>
    <row r="7">
      <c r="A7" s="16" t="inlineStr">
        <is>
          <t>来源线索数</t>
        </is>
      </c>
      <c r="B7" s="21">
        <f>COUNTIF(来源系统盘点!$A$5:$A$100,"&lt;&gt;")</f>
        <v/>
      </c>
    </row>
    <row r="8">
      <c r="A8" s="16" t="inlineStr">
        <is>
          <t>已盘点来源系统数</t>
        </is>
      </c>
      <c r="B8" s="21">
        <f>COUNTIFS(来源系统盘点!$D$5:$D$100,"&lt;&gt;待盘点",来源系统盘点!$D$5:$D$100,"&lt;&gt;")</f>
        <v/>
      </c>
    </row>
    <row r="9">
      <c r="A9" s="16" t="inlineStr">
        <is>
          <t>迁移对象数</t>
        </is>
      </c>
      <c r="B9" s="21">
        <f>COUNTIF(对象范围盘点!$A$5:$A$100,"&lt;&gt;")</f>
        <v/>
      </c>
    </row>
    <row r="10">
      <c r="A10" s="16" t="inlineStr">
        <is>
          <t>迁移工作包数</t>
        </is>
      </c>
      <c r="B10" s="21">
        <f>COUNTIF(迁移任务分解!$A$5:$A$100,"&lt;&gt;")</f>
        <v/>
      </c>
    </row>
    <row r="11">
      <c r="A11" s="16" t="inlineStr">
        <is>
          <t>迁移门禁数</t>
        </is>
      </c>
      <c r="B11" s="21">
        <f>COUNTIF(门禁与演练!$A$5:$A$100,"&lt;&gt;")</f>
        <v/>
      </c>
    </row>
    <row r="12">
      <c r="A12" s="16" t="inlineStr">
        <is>
          <t>G15 目标日期</t>
        </is>
      </c>
      <c r="B12" s="26" t="n">
        <v>46308</v>
      </c>
    </row>
    <row r="13">
      <c r="A13" s="16" t="inlineStr">
        <is>
          <t>中央数据库</t>
        </is>
      </c>
      <c r="B13" s="21" t="inlineStr">
        <is>
          <t>../90_项目数据中心/ai_pmo.db</t>
        </is>
      </c>
    </row>
    <row r="14">
      <c r="A14" s="16" t="inlineStr">
        <is>
          <t>访谈核查项完成数</t>
        </is>
      </c>
      <c r="B14" s="21">
        <f>COUNTIF(盘点进度!$E$7:$E$200,"已完成")</f>
        <v/>
      </c>
    </row>
    <row r="15">
      <c r="A15" s="16" t="inlineStr">
        <is>
          <t>访谈核查项总数</t>
        </is>
      </c>
      <c r="B15" s="21">
        <f>COUNTIF(盘点进度!$A$7:$A$200,"SRC-*")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1" customWidth="1" min="3" max="3"/>
    <col width="52" customWidth="1" min="4" max="4"/>
    <col width="9" customWidth="1" min="5" max="5"/>
    <col width="10" customWidth="1" min="6" max="6"/>
    <col width="11" customWidth="1" min="7" max="7"/>
    <col width="22" customWidth="1" min="8" max="8"/>
    <col width="24" customWidth="1" min="9" max="9"/>
    <col width="24" customWidth="1" min="10" max="10"/>
  </cols>
  <sheetData>
    <row r="1">
      <c r="A1" s="22" t="inlineStr">
        <is>
          <t>来源系统盘点进度（G15 会前访谈核查清单）</t>
        </is>
      </c>
    </row>
    <row r="2">
      <c r="A2" s="23" t="inlineStr">
        <is>
          <t>每完成一项把状态改为“已完成”并登记证据；未核实保持“未开始”，不得填 0。状态列有下拉。线索不是系统数；发现一线索多系统时在“来源系统盘点”拆分，多线索同系统时建交叉引用。</t>
        </is>
      </c>
    </row>
    <row r="3">
      <c r="A3" t="inlineStr">
        <is>
          <t>核查项完成</t>
        </is>
      </c>
      <c r="B3">
        <f>COUNTIF($E$7:$E$200,"已完成")</f>
        <v/>
      </c>
      <c r="C3" t="inlineStr">
        <is>
          <t>核查项总数</t>
        </is>
      </c>
      <c r="D3">
        <f>COUNTIF($A$7:$A$200,"SRC-*")</f>
        <v/>
      </c>
    </row>
    <row r="4">
      <c r="A4" t="inlineStr">
        <is>
          <t>总进度</t>
        </is>
      </c>
      <c r="B4" s="24">
        <f>IF(D3=0,"",B3/D3)</f>
        <v/>
      </c>
    </row>
    <row r="6">
      <c r="A6" s="25" t="inlineStr">
        <is>
          <t>线索ID</t>
        </is>
      </c>
      <c r="B6" s="17" t="inlineStr">
        <is>
          <t>台账来源描述</t>
        </is>
      </c>
      <c r="C6" s="25" t="inlineStr">
        <is>
          <t>主题</t>
        </is>
      </c>
      <c r="D6" s="17" t="inlineStr">
        <is>
          <t>必问要点</t>
        </is>
      </c>
      <c r="E6" s="25" t="inlineStr">
        <is>
          <t>状态</t>
        </is>
      </c>
      <c r="F6" s="25" t="inlineStr">
        <is>
          <t>责任人</t>
        </is>
      </c>
      <c r="G6" s="25" t="inlineStr">
        <is>
          <t>完成日期</t>
        </is>
      </c>
      <c r="H6" s="17" t="inlineStr">
        <is>
          <t>证据名称</t>
        </is>
      </c>
      <c r="I6" s="17" t="inlineStr">
        <is>
          <t>证据存放位置</t>
        </is>
      </c>
      <c r="J6" s="17" t="inlineStr">
        <is>
          <t>备注</t>
        </is>
      </c>
    </row>
    <row r="7">
      <c r="A7" s="21" t="inlineStr">
        <is>
          <t>SRC-01</t>
        </is>
      </c>
      <c r="B7" s="16" t="inlineStr">
        <is>
          <t>现有合同系统/档案（MIG-001）</t>
        </is>
      </c>
      <c r="C7" s="21" t="inlineStr">
        <is>
          <t>优先核实</t>
        </is>
      </c>
      <c r="D7" s="16" t="inlineStr">
        <is>
          <t>合同业务库与档案库是否独立；在办合同和历史归档合同分别归谁管理？</t>
        </is>
      </c>
      <c r="E7" s="21" t="inlineStr">
        <is>
          <t>未开始</t>
        </is>
      </c>
      <c r="F7" s="21" t="n"/>
      <c r="G7" s="26" t="n"/>
      <c r="H7" s="16" t="n"/>
      <c r="I7" s="16" t="n"/>
      <c r="J7" s="16" t="n"/>
    </row>
    <row r="8">
      <c r="A8" s="21" t="inlineStr">
        <is>
          <t>SRC-01</t>
        </is>
      </c>
      <c r="B8" s="16" t="n"/>
      <c r="C8" s="21" t="inlineStr">
        <is>
          <t>系统边界</t>
        </is>
      </c>
      <c r="D8" s="16" t="inlineStr">
        <is>
          <t>系统正式名称、简称、环境、数据库/文件库；与其他线索是同一实例、上下游接口还是独立系统；运行与数据解释责任人</t>
        </is>
      </c>
      <c r="E8" s="21" t="inlineStr">
        <is>
          <t>未开始</t>
        </is>
      </c>
      <c r="F8" s="21" t="n"/>
      <c r="G8" s="26" t="n"/>
      <c r="H8" s="16" t="n"/>
      <c r="I8" s="16" t="n"/>
      <c r="J8" s="16" t="n"/>
    </row>
    <row r="9">
      <c r="A9" s="21" t="inlineStr">
        <is>
          <t>SRC-01</t>
        </is>
      </c>
      <c r="B9" s="16" t="n"/>
      <c r="C9" s="21" t="inlineStr">
        <is>
          <t>数据对象</t>
        </is>
      </c>
      <c r="D9" s="16" t="inlineStr">
        <is>
          <t>合同主数据、相对方、履约/收付款、附件、审批、签署、组织权限、BI 初始数据；主键与关联键</t>
        </is>
      </c>
      <c r="E9" s="21" t="inlineStr">
        <is>
          <t>未开始</t>
        </is>
      </c>
      <c r="F9" s="21" t="n"/>
      <c r="G9" s="26" t="n"/>
      <c r="H9" s="16" t="n"/>
      <c r="I9" s="16" t="n"/>
      <c r="J9" s="16" t="n"/>
    </row>
    <row r="10">
      <c r="A10" s="21" t="inlineStr">
        <is>
          <t>SRC-01</t>
        </is>
      </c>
      <c r="B10" s="16" t="n"/>
      <c r="C10" s="21" t="inlineStr">
        <is>
          <t>数据规模</t>
        </is>
      </c>
      <c r="D10" s="16" t="inlineStr">
        <is>
          <t>各对象记录数、合同数、附件数与容量；在办/有效/终止到期/归档分布；统计时点、过滤口径与生成方法</t>
        </is>
      </c>
      <c r="E10" s="21" t="inlineStr">
        <is>
          <t>未开始</t>
        </is>
      </c>
      <c r="F10" s="21" t="n"/>
      <c r="G10" s="26" t="n"/>
      <c r="H10" s="16" t="n"/>
      <c r="I10" s="16" t="n"/>
      <c r="J10" s="16" t="n"/>
    </row>
    <row r="11">
      <c r="A11" s="21" t="inlineStr">
        <is>
          <t>SRC-01</t>
        </is>
      </c>
      <c r="B11" s="16" t="n"/>
      <c r="C11" s="21" t="inlineStr">
        <is>
          <t>数据质量</t>
        </is>
      </c>
      <c r="D11" s="16" t="inlineStr">
        <is>
          <t>空值、重复、失联附件、金额/状态不一致、无效账号数量；是否阻断迁移</t>
        </is>
      </c>
      <c r="E11" s="21" t="inlineStr">
        <is>
          <t>未开始</t>
        </is>
      </c>
      <c r="F11" s="21" t="n"/>
      <c r="G11" s="26" t="n"/>
      <c r="H11" s="16" t="n"/>
      <c r="I11" s="16" t="n"/>
      <c r="J11" s="16" t="n"/>
    </row>
    <row r="12">
      <c r="A12" s="21" t="inlineStr">
        <is>
          <t>SRC-01</t>
        </is>
      </c>
      <c r="B12" s="16" t="n"/>
      <c r="C12" s="21" t="inlineStr">
        <is>
          <t>抽取与增量</t>
        </is>
      </c>
      <c r="D12" s="16" t="inlineStr">
        <is>
          <t>能否全量导出；更新时间/事务号/变更日志；批次重复抽取、失败重跑、断点续传</t>
        </is>
      </c>
      <c r="E12" s="21" t="inlineStr">
        <is>
          <t>未开始</t>
        </is>
      </c>
      <c r="F12" s="21" t="n"/>
      <c r="G12" s="26" t="n"/>
      <c r="H12" s="16" t="n"/>
      <c r="I12" s="16" t="n"/>
      <c r="J12" s="16" t="n"/>
    </row>
    <row r="13">
      <c r="A13" s="21" t="inlineStr">
        <is>
          <t>SRC-01</t>
        </is>
      </c>
      <c r="B13" s="16" t="n"/>
      <c r="C13" s="21" t="inlineStr">
        <is>
          <t>安全与保留</t>
        </is>
      </c>
      <c r="D13" s="16" t="inlineStr">
        <is>
          <t>原始合同与附件访问权限；加密、脱敏、审计、跨环境传输；旧系统停用后查询保留</t>
        </is>
      </c>
      <c r="E13" s="21" t="inlineStr">
        <is>
          <t>未开始</t>
        </is>
      </c>
      <c r="F13" s="21" t="n"/>
      <c r="G13" s="26" t="n"/>
      <c r="H13" s="16" t="n"/>
      <c r="I13" s="16" t="n"/>
      <c r="J13" s="16" t="n"/>
    </row>
    <row r="14">
      <c r="A14" s="21" t="inlineStr">
        <is>
          <t>SRC-01</t>
        </is>
      </c>
      <c r="B14" s="16" t="n"/>
      <c r="C14" s="21" t="inlineStr">
        <is>
          <t>运行约束</t>
        </is>
      </c>
      <c r="D14" s="16" t="inlineStr">
        <is>
          <t>业务高峰、停写时长、导出限速、夜间窗口、备份恢复能力</t>
        </is>
      </c>
      <c r="E14" s="21" t="inlineStr">
        <is>
          <t>未开始</t>
        </is>
      </c>
      <c r="F14" s="21" t="n"/>
      <c r="G14" s="26" t="n"/>
      <c r="H14" s="16" t="n"/>
      <c r="I14" s="16" t="n"/>
      <c r="J14" s="16" t="n"/>
    </row>
    <row r="15">
      <c r="A15" s="21" t="inlineStr">
        <is>
          <t>SRC-02</t>
        </is>
      </c>
      <c r="B15" s="16" t="inlineStr">
        <is>
          <t>主数据平台（MIG-002）</t>
        </is>
      </c>
      <c r="C15" s="21" t="inlineStr">
        <is>
          <t>优先核实</t>
        </is>
      </c>
      <c r="D15" s="16" t="inlineStr">
        <is>
          <t>相对方主数据的权威系统、统一编码和合同系统本地副本如何区分？</t>
        </is>
      </c>
      <c r="E15" s="21" t="inlineStr">
        <is>
          <t>未开始</t>
        </is>
      </c>
      <c r="F15" s="21" t="n"/>
      <c r="G15" s="26" t="n"/>
      <c r="H15" s="16" t="n"/>
      <c r="I15" s="16" t="n"/>
      <c r="J15" s="16" t="n"/>
    </row>
    <row r="16">
      <c r="A16" s="21" t="inlineStr">
        <is>
          <t>SRC-02</t>
        </is>
      </c>
      <c r="B16" s="16" t="n"/>
      <c r="C16" s="21" t="inlineStr">
        <is>
          <t>系统边界</t>
        </is>
      </c>
      <c r="D16" s="16" t="inlineStr">
        <is>
          <t>系统正式名称、简称、环境、数据库/文件库；与其他线索是同一实例、上下游接口还是独立系统；运行与数据解释责任人</t>
        </is>
      </c>
      <c r="E16" s="21" t="inlineStr">
        <is>
          <t>未开始</t>
        </is>
      </c>
      <c r="F16" s="21" t="n"/>
      <c r="G16" s="26" t="n"/>
      <c r="H16" s="16" t="n"/>
      <c r="I16" s="16" t="n"/>
      <c r="J16" s="16" t="n"/>
    </row>
    <row r="17">
      <c r="A17" s="21" t="inlineStr">
        <is>
          <t>SRC-02</t>
        </is>
      </c>
      <c r="B17" s="16" t="n"/>
      <c r="C17" s="21" t="inlineStr">
        <is>
          <t>数据对象</t>
        </is>
      </c>
      <c r="D17" s="16" t="inlineStr">
        <is>
          <t>合同主数据、相对方、履约/收付款、附件、审批、签署、组织权限、BI 初始数据；主键与关联键</t>
        </is>
      </c>
      <c r="E17" s="21" t="inlineStr">
        <is>
          <t>未开始</t>
        </is>
      </c>
      <c r="F17" s="21" t="n"/>
      <c r="G17" s="26" t="n"/>
      <c r="H17" s="16" t="n"/>
      <c r="I17" s="16" t="n"/>
      <c r="J17" s="16" t="n"/>
    </row>
    <row r="18">
      <c r="A18" s="21" t="inlineStr">
        <is>
          <t>SRC-02</t>
        </is>
      </c>
      <c r="B18" s="16" t="n"/>
      <c r="C18" s="21" t="inlineStr">
        <is>
          <t>数据规模</t>
        </is>
      </c>
      <c r="D18" s="16" t="inlineStr">
        <is>
          <t>各对象记录数、合同数、附件数与容量；在办/有效/终止到期/归档分布；统计时点、过滤口径与生成方法</t>
        </is>
      </c>
      <c r="E18" s="21" t="inlineStr">
        <is>
          <t>未开始</t>
        </is>
      </c>
      <c r="F18" s="21" t="n"/>
      <c r="G18" s="26" t="n"/>
      <c r="H18" s="16" t="n"/>
      <c r="I18" s="16" t="n"/>
      <c r="J18" s="16" t="n"/>
    </row>
    <row r="19">
      <c r="A19" s="21" t="inlineStr">
        <is>
          <t>SRC-02</t>
        </is>
      </c>
      <c r="B19" s="16" t="n"/>
      <c r="C19" s="21" t="inlineStr">
        <is>
          <t>数据质量</t>
        </is>
      </c>
      <c r="D19" s="16" t="inlineStr">
        <is>
          <t>空值、重复、失联附件、金额/状态不一致、无效账号数量；是否阻断迁移</t>
        </is>
      </c>
      <c r="E19" s="21" t="inlineStr">
        <is>
          <t>未开始</t>
        </is>
      </c>
      <c r="F19" s="21" t="n"/>
      <c r="G19" s="26" t="n"/>
      <c r="H19" s="16" t="n"/>
      <c r="I19" s="16" t="n"/>
      <c r="J19" s="16" t="n"/>
    </row>
    <row r="20">
      <c r="A20" s="21" t="inlineStr">
        <is>
          <t>SRC-02</t>
        </is>
      </c>
      <c r="B20" s="16" t="n"/>
      <c r="C20" s="21" t="inlineStr">
        <is>
          <t>抽取与增量</t>
        </is>
      </c>
      <c r="D20" s="16" t="inlineStr">
        <is>
          <t>能否全量导出；更新时间/事务号/变更日志；批次重复抽取、失败重跑、断点续传</t>
        </is>
      </c>
      <c r="E20" s="21" t="inlineStr">
        <is>
          <t>未开始</t>
        </is>
      </c>
      <c r="F20" s="21" t="n"/>
      <c r="G20" s="26" t="n"/>
      <c r="H20" s="16" t="n"/>
      <c r="I20" s="16" t="n"/>
      <c r="J20" s="16" t="n"/>
    </row>
    <row r="21">
      <c r="A21" s="21" t="inlineStr">
        <is>
          <t>SRC-02</t>
        </is>
      </c>
      <c r="B21" s="16" t="n"/>
      <c r="C21" s="21" t="inlineStr">
        <is>
          <t>安全与保留</t>
        </is>
      </c>
      <c r="D21" s="16" t="inlineStr">
        <is>
          <t>原始合同与附件访问权限；加密、脱敏、审计、跨环境传输；旧系统停用后查询保留</t>
        </is>
      </c>
      <c r="E21" s="21" t="inlineStr">
        <is>
          <t>未开始</t>
        </is>
      </c>
      <c r="F21" s="21" t="n"/>
      <c r="G21" s="26" t="n"/>
      <c r="H21" s="16" t="n"/>
      <c r="I21" s="16" t="n"/>
      <c r="J21" s="16" t="n"/>
    </row>
    <row r="22">
      <c r="A22" s="21" t="inlineStr">
        <is>
          <t>SRC-02</t>
        </is>
      </c>
      <c r="B22" s="16" t="n"/>
      <c r="C22" s="21" t="inlineStr">
        <is>
          <t>运行约束</t>
        </is>
      </c>
      <c r="D22" s="16" t="inlineStr">
        <is>
          <t>业务高峰、停写时长、导出限速、夜间窗口、备份恢复能力</t>
        </is>
      </c>
      <c r="E22" s="21" t="inlineStr">
        <is>
          <t>未开始</t>
        </is>
      </c>
      <c r="F22" s="21" t="n"/>
      <c r="G22" s="26" t="n"/>
      <c r="H22" s="16" t="n"/>
      <c r="I22" s="16" t="n"/>
      <c r="J22" s="16" t="n"/>
    </row>
    <row r="23">
      <c r="A23" s="21" t="inlineStr">
        <is>
          <t>SRC-03</t>
        </is>
      </c>
      <c r="B23" s="16" t="inlineStr">
        <is>
          <t>现有业务/财务系统（MIG-003）</t>
        </is>
      </c>
      <c r="C23" s="21" t="inlineStr">
        <is>
          <t>优先核实</t>
        </is>
      </c>
      <c r="D23" s="16" t="inlineStr">
        <is>
          <t>履约与收付款是否分属系统；账务余额的核对责任和时点是什么？</t>
        </is>
      </c>
      <c r="E23" s="21" t="inlineStr">
        <is>
          <t>未开始</t>
        </is>
      </c>
      <c r="F23" s="21" t="n"/>
      <c r="G23" s="26" t="n"/>
      <c r="H23" s="16" t="n"/>
      <c r="I23" s="16" t="n"/>
      <c r="J23" s="16" t="n"/>
    </row>
    <row r="24">
      <c r="A24" s="21" t="inlineStr">
        <is>
          <t>SRC-03</t>
        </is>
      </c>
      <c r="B24" s="16" t="n"/>
      <c r="C24" s="21" t="inlineStr">
        <is>
          <t>系统边界</t>
        </is>
      </c>
      <c r="D24" s="16" t="inlineStr">
        <is>
          <t>系统正式名称、简称、环境、数据库/文件库；与其他线索是同一实例、上下游接口还是独立系统；运行与数据解释责任人</t>
        </is>
      </c>
      <c r="E24" s="21" t="inlineStr">
        <is>
          <t>未开始</t>
        </is>
      </c>
      <c r="F24" s="21" t="n"/>
      <c r="G24" s="26" t="n"/>
      <c r="H24" s="16" t="n"/>
      <c r="I24" s="16" t="n"/>
      <c r="J24" s="16" t="n"/>
    </row>
    <row r="25">
      <c r="A25" s="21" t="inlineStr">
        <is>
          <t>SRC-03</t>
        </is>
      </c>
      <c r="B25" s="16" t="n"/>
      <c r="C25" s="21" t="inlineStr">
        <is>
          <t>数据对象</t>
        </is>
      </c>
      <c r="D25" s="16" t="inlineStr">
        <is>
          <t>合同主数据、相对方、履约/收付款、附件、审批、签署、组织权限、BI 初始数据；主键与关联键</t>
        </is>
      </c>
      <c r="E25" s="21" t="inlineStr">
        <is>
          <t>未开始</t>
        </is>
      </c>
      <c r="F25" s="21" t="n"/>
      <c r="G25" s="26" t="n"/>
      <c r="H25" s="16" t="n"/>
      <c r="I25" s="16" t="n"/>
      <c r="J25" s="16" t="n"/>
    </row>
    <row r="26">
      <c r="A26" s="21" t="inlineStr">
        <is>
          <t>SRC-03</t>
        </is>
      </c>
      <c r="B26" s="16" t="n"/>
      <c r="C26" s="21" t="inlineStr">
        <is>
          <t>数据规模</t>
        </is>
      </c>
      <c r="D26" s="16" t="inlineStr">
        <is>
          <t>各对象记录数、合同数、附件数与容量；在办/有效/终止到期/归档分布；统计时点、过滤口径与生成方法</t>
        </is>
      </c>
      <c r="E26" s="21" t="inlineStr">
        <is>
          <t>未开始</t>
        </is>
      </c>
      <c r="F26" s="21" t="n"/>
      <c r="G26" s="26" t="n"/>
      <c r="H26" s="16" t="n"/>
      <c r="I26" s="16" t="n"/>
      <c r="J26" s="16" t="n"/>
    </row>
    <row r="27">
      <c r="A27" s="21" t="inlineStr">
        <is>
          <t>SRC-03</t>
        </is>
      </c>
      <c r="B27" s="16" t="n"/>
      <c r="C27" s="21" t="inlineStr">
        <is>
          <t>数据质量</t>
        </is>
      </c>
      <c r="D27" s="16" t="inlineStr">
        <is>
          <t>空值、重复、失联附件、金额/状态不一致、无效账号数量；是否阻断迁移</t>
        </is>
      </c>
      <c r="E27" s="21" t="inlineStr">
        <is>
          <t>未开始</t>
        </is>
      </c>
      <c r="F27" s="21" t="n"/>
      <c r="G27" s="26" t="n"/>
      <c r="H27" s="16" t="n"/>
      <c r="I27" s="16" t="n"/>
      <c r="J27" s="16" t="n"/>
    </row>
    <row r="28">
      <c r="A28" s="21" t="inlineStr">
        <is>
          <t>SRC-03</t>
        </is>
      </c>
      <c r="B28" s="16" t="n"/>
      <c r="C28" s="21" t="inlineStr">
        <is>
          <t>抽取与增量</t>
        </is>
      </c>
      <c r="D28" s="16" t="inlineStr">
        <is>
          <t>能否全量导出；更新时间/事务号/变更日志；批次重复抽取、失败重跑、断点续传</t>
        </is>
      </c>
      <c r="E28" s="21" t="inlineStr">
        <is>
          <t>未开始</t>
        </is>
      </c>
      <c r="F28" s="21" t="n"/>
      <c r="G28" s="26" t="n"/>
      <c r="H28" s="16" t="n"/>
      <c r="I28" s="16" t="n"/>
      <c r="J28" s="16" t="n"/>
    </row>
    <row r="29">
      <c r="A29" s="21" t="inlineStr">
        <is>
          <t>SRC-03</t>
        </is>
      </c>
      <c r="B29" s="16" t="n"/>
      <c r="C29" s="21" t="inlineStr">
        <is>
          <t>安全与保留</t>
        </is>
      </c>
      <c r="D29" s="16" t="inlineStr">
        <is>
          <t>原始合同与附件访问权限；加密、脱敏、审计、跨环境传输；旧系统停用后查询保留</t>
        </is>
      </c>
      <c r="E29" s="21" t="inlineStr">
        <is>
          <t>未开始</t>
        </is>
      </c>
      <c r="F29" s="21" t="n"/>
      <c r="G29" s="26" t="n"/>
      <c r="H29" s="16" t="n"/>
      <c r="I29" s="16" t="n"/>
      <c r="J29" s="16" t="n"/>
    </row>
    <row r="30">
      <c r="A30" s="21" t="inlineStr">
        <is>
          <t>SRC-03</t>
        </is>
      </c>
      <c r="B30" s="16" t="n"/>
      <c r="C30" s="21" t="inlineStr">
        <is>
          <t>运行约束</t>
        </is>
      </c>
      <c r="D30" s="16" t="inlineStr">
        <is>
          <t>业务高峰、停写时长、导出限速、夜间窗口、备份恢复能力</t>
        </is>
      </c>
      <c r="E30" s="21" t="inlineStr">
        <is>
          <t>未开始</t>
        </is>
      </c>
      <c r="F30" s="21" t="n"/>
      <c r="G30" s="26" t="n"/>
      <c r="H30" s="16" t="n"/>
      <c r="I30" s="16" t="n"/>
      <c r="J30" s="16" t="n"/>
    </row>
    <row r="31">
      <c r="A31" s="21" t="inlineStr">
        <is>
          <t>SRC-04</t>
        </is>
      </c>
      <c r="B31" s="16" t="inlineStr">
        <is>
          <t>档案/文件系统（MIG-004）</t>
        </is>
      </c>
      <c r="C31" s="21" t="inlineStr">
        <is>
          <t>优先核实</t>
        </is>
      </c>
      <c r="D31" s="16" t="inlineStr">
        <is>
          <t>正文、附件、审批和签署证据存放在哪里，如何保持主合同关联和可读性？</t>
        </is>
      </c>
      <c r="E31" s="21" t="inlineStr">
        <is>
          <t>未开始</t>
        </is>
      </c>
      <c r="F31" s="21" t="n"/>
      <c r="G31" s="26" t="n"/>
      <c r="H31" s="16" t="n"/>
      <c r="I31" s="16" t="n"/>
      <c r="J31" s="16" t="n"/>
    </row>
    <row r="32">
      <c r="A32" s="21" t="inlineStr">
        <is>
          <t>SRC-04</t>
        </is>
      </c>
      <c r="B32" s="16" t="n"/>
      <c r="C32" s="21" t="inlineStr">
        <is>
          <t>系统边界</t>
        </is>
      </c>
      <c r="D32" s="16" t="inlineStr">
        <is>
          <t>系统正式名称、简称、环境、数据库/文件库；与其他线索是同一实例、上下游接口还是独立系统；运行与数据解释责任人</t>
        </is>
      </c>
      <c r="E32" s="21" t="inlineStr">
        <is>
          <t>未开始</t>
        </is>
      </c>
      <c r="F32" s="21" t="n"/>
      <c r="G32" s="26" t="n"/>
      <c r="H32" s="16" t="n"/>
      <c r="I32" s="16" t="n"/>
      <c r="J32" s="16" t="n"/>
    </row>
    <row r="33">
      <c r="A33" s="21" t="inlineStr">
        <is>
          <t>SRC-04</t>
        </is>
      </c>
      <c r="B33" s="16" t="n"/>
      <c r="C33" s="21" t="inlineStr">
        <is>
          <t>数据对象</t>
        </is>
      </c>
      <c r="D33" s="16" t="inlineStr">
        <is>
          <t>合同主数据、相对方、履约/收付款、附件、审批、签署、组织权限、BI 初始数据；主键与关联键</t>
        </is>
      </c>
      <c r="E33" s="21" t="inlineStr">
        <is>
          <t>未开始</t>
        </is>
      </c>
      <c r="F33" s="21" t="n"/>
      <c r="G33" s="26" t="n"/>
      <c r="H33" s="16" t="n"/>
      <c r="I33" s="16" t="n"/>
      <c r="J33" s="16" t="n"/>
    </row>
    <row r="34">
      <c r="A34" s="21" t="inlineStr">
        <is>
          <t>SRC-04</t>
        </is>
      </c>
      <c r="B34" s="16" t="n"/>
      <c r="C34" s="21" t="inlineStr">
        <is>
          <t>数据规模</t>
        </is>
      </c>
      <c r="D34" s="16" t="inlineStr">
        <is>
          <t>各对象记录数、合同数、附件数与容量；在办/有效/终止到期/归档分布；统计时点、过滤口径与生成方法</t>
        </is>
      </c>
      <c r="E34" s="21" t="inlineStr">
        <is>
          <t>未开始</t>
        </is>
      </c>
      <c r="F34" s="21" t="n"/>
      <c r="G34" s="26" t="n"/>
      <c r="H34" s="16" t="n"/>
      <c r="I34" s="16" t="n"/>
      <c r="J34" s="16" t="n"/>
    </row>
    <row r="35">
      <c r="A35" s="21" t="inlineStr">
        <is>
          <t>SRC-04</t>
        </is>
      </c>
      <c r="B35" s="16" t="n"/>
      <c r="C35" s="21" t="inlineStr">
        <is>
          <t>数据质量</t>
        </is>
      </c>
      <c r="D35" s="16" t="inlineStr">
        <is>
          <t>空值、重复、失联附件、金额/状态不一致、无效账号数量；是否阻断迁移</t>
        </is>
      </c>
      <c r="E35" s="21" t="inlineStr">
        <is>
          <t>未开始</t>
        </is>
      </c>
      <c r="F35" s="21" t="n"/>
      <c r="G35" s="26" t="n"/>
      <c r="H35" s="16" t="n"/>
      <c r="I35" s="16" t="n"/>
      <c r="J35" s="16" t="n"/>
    </row>
    <row r="36">
      <c r="A36" s="21" t="inlineStr">
        <is>
          <t>SRC-04</t>
        </is>
      </c>
      <c r="B36" s="16" t="n"/>
      <c r="C36" s="21" t="inlineStr">
        <is>
          <t>抽取与增量</t>
        </is>
      </c>
      <c r="D36" s="16" t="inlineStr">
        <is>
          <t>能否全量导出；更新时间/事务号/变更日志；批次重复抽取、失败重跑、断点续传</t>
        </is>
      </c>
      <c r="E36" s="21" t="inlineStr">
        <is>
          <t>未开始</t>
        </is>
      </c>
      <c r="F36" s="21" t="n"/>
      <c r="G36" s="26" t="n"/>
      <c r="H36" s="16" t="n"/>
      <c r="I36" s="16" t="n"/>
      <c r="J36" s="16" t="n"/>
    </row>
    <row r="37">
      <c r="A37" s="21" t="inlineStr">
        <is>
          <t>SRC-04</t>
        </is>
      </c>
      <c r="B37" s="16" t="n"/>
      <c r="C37" s="21" t="inlineStr">
        <is>
          <t>安全与保留</t>
        </is>
      </c>
      <c r="D37" s="16" t="inlineStr">
        <is>
          <t>原始合同与附件访问权限；加密、脱敏、审计、跨环境传输；旧系统停用后查询保留</t>
        </is>
      </c>
      <c r="E37" s="21" t="inlineStr">
        <is>
          <t>未开始</t>
        </is>
      </c>
      <c r="F37" s="21" t="n"/>
      <c r="G37" s="26" t="n"/>
      <c r="H37" s="16" t="n"/>
      <c r="I37" s="16" t="n"/>
      <c r="J37" s="16" t="n"/>
    </row>
    <row r="38">
      <c r="A38" s="21" t="inlineStr">
        <is>
          <t>SRC-04</t>
        </is>
      </c>
      <c r="B38" s="16" t="n"/>
      <c r="C38" s="21" t="inlineStr">
        <is>
          <t>运行约束</t>
        </is>
      </c>
      <c r="D38" s="16" t="inlineStr">
        <is>
          <t>业务高峰、停写时长、导出限速、夜间窗口、备份恢复能力</t>
        </is>
      </c>
      <c r="E38" s="21" t="inlineStr">
        <is>
          <t>未开始</t>
        </is>
      </c>
      <c r="F38" s="21" t="n"/>
      <c r="G38" s="26" t="n"/>
      <c r="H38" s="16" t="n"/>
      <c r="I38" s="16" t="n"/>
      <c r="J38" s="16" t="n"/>
    </row>
    <row r="39">
      <c r="A39" s="21" t="inlineStr">
        <is>
          <t>SRC-05</t>
        </is>
      </c>
      <c r="B39" s="16" t="inlineStr">
        <is>
          <t>组织/身份平台（MIG-005）</t>
        </is>
      </c>
      <c r="C39" s="21" t="inlineStr">
        <is>
          <t>优先核实</t>
        </is>
      </c>
      <c r="D39" s="16" t="inlineStr">
        <is>
          <t>组织、用户、岗位、角色和数据权限的权威来源分别是什么？</t>
        </is>
      </c>
      <c r="E39" s="21" t="inlineStr">
        <is>
          <t>未开始</t>
        </is>
      </c>
      <c r="F39" s="21" t="n"/>
      <c r="G39" s="26" t="n"/>
      <c r="H39" s="16" t="n"/>
      <c r="I39" s="16" t="n"/>
      <c r="J39" s="16" t="n"/>
    </row>
    <row r="40">
      <c r="A40" s="21" t="inlineStr">
        <is>
          <t>SRC-05</t>
        </is>
      </c>
      <c r="B40" s="16" t="n"/>
      <c r="C40" s="21" t="inlineStr">
        <is>
          <t>系统边界</t>
        </is>
      </c>
      <c r="D40" s="16" t="inlineStr">
        <is>
          <t>系统正式名称、简称、环境、数据库/文件库；与其他线索是同一实例、上下游接口还是独立系统；运行与数据解释责任人</t>
        </is>
      </c>
      <c r="E40" s="21" t="inlineStr">
        <is>
          <t>未开始</t>
        </is>
      </c>
      <c r="F40" s="21" t="n"/>
      <c r="G40" s="26" t="n"/>
      <c r="H40" s="16" t="n"/>
      <c r="I40" s="16" t="n"/>
      <c r="J40" s="16" t="n"/>
    </row>
    <row r="41">
      <c r="A41" s="21" t="inlineStr">
        <is>
          <t>SRC-05</t>
        </is>
      </c>
      <c r="B41" s="16" t="n"/>
      <c r="C41" s="21" t="inlineStr">
        <is>
          <t>数据对象</t>
        </is>
      </c>
      <c r="D41" s="16" t="inlineStr">
        <is>
          <t>合同主数据、相对方、履约/收付款、附件、审批、签署、组织权限、BI 初始数据；主键与关联键</t>
        </is>
      </c>
      <c r="E41" s="21" t="inlineStr">
        <is>
          <t>未开始</t>
        </is>
      </c>
      <c r="F41" s="21" t="n"/>
      <c r="G41" s="26" t="n"/>
      <c r="H41" s="16" t="n"/>
      <c r="I41" s="16" t="n"/>
      <c r="J41" s="16" t="n"/>
    </row>
    <row r="42">
      <c r="A42" s="21" t="inlineStr">
        <is>
          <t>SRC-05</t>
        </is>
      </c>
      <c r="B42" s="16" t="n"/>
      <c r="C42" s="21" t="inlineStr">
        <is>
          <t>数据规模</t>
        </is>
      </c>
      <c r="D42" s="16" t="inlineStr">
        <is>
          <t>各对象记录数、合同数、附件数与容量；在办/有效/终止到期/归档分布；统计时点、过滤口径与生成方法</t>
        </is>
      </c>
      <c r="E42" s="21" t="inlineStr">
        <is>
          <t>未开始</t>
        </is>
      </c>
      <c r="F42" s="21" t="n"/>
      <c r="G42" s="26" t="n"/>
      <c r="H42" s="16" t="n"/>
      <c r="I42" s="16" t="n"/>
      <c r="J42" s="16" t="n"/>
    </row>
    <row r="43">
      <c r="A43" s="21" t="inlineStr">
        <is>
          <t>SRC-05</t>
        </is>
      </c>
      <c r="B43" s="16" t="n"/>
      <c r="C43" s="21" t="inlineStr">
        <is>
          <t>数据质量</t>
        </is>
      </c>
      <c r="D43" s="16" t="inlineStr">
        <is>
          <t>空值、重复、失联附件、金额/状态不一致、无效账号数量；是否阻断迁移</t>
        </is>
      </c>
      <c r="E43" s="21" t="inlineStr">
        <is>
          <t>未开始</t>
        </is>
      </c>
      <c r="F43" s="21" t="n"/>
      <c r="G43" s="26" t="n"/>
      <c r="H43" s="16" t="n"/>
      <c r="I43" s="16" t="n"/>
      <c r="J43" s="16" t="n"/>
    </row>
    <row r="44">
      <c r="A44" s="21" t="inlineStr">
        <is>
          <t>SRC-05</t>
        </is>
      </c>
      <c r="B44" s="16" t="n"/>
      <c r="C44" s="21" t="inlineStr">
        <is>
          <t>抽取与增量</t>
        </is>
      </c>
      <c r="D44" s="16" t="inlineStr">
        <is>
          <t>能否全量导出；更新时间/事务号/变更日志；批次重复抽取、失败重跑、断点续传</t>
        </is>
      </c>
      <c r="E44" s="21" t="inlineStr">
        <is>
          <t>未开始</t>
        </is>
      </c>
      <c r="F44" s="21" t="n"/>
      <c r="G44" s="26" t="n"/>
      <c r="H44" s="16" t="n"/>
      <c r="I44" s="16" t="n"/>
      <c r="J44" s="16" t="n"/>
    </row>
    <row r="45">
      <c r="A45" s="21" t="inlineStr">
        <is>
          <t>SRC-05</t>
        </is>
      </c>
      <c r="B45" s="16" t="n"/>
      <c r="C45" s="21" t="inlineStr">
        <is>
          <t>安全与保留</t>
        </is>
      </c>
      <c r="D45" s="16" t="inlineStr">
        <is>
          <t>原始合同与附件访问权限；加密、脱敏、审计、跨环境传输；旧系统停用后查询保留</t>
        </is>
      </c>
      <c r="E45" s="21" t="inlineStr">
        <is>
          <t>未开始</t>
        </is>
      </c>
      <c r="F45" s="21" t="n"/>
      <c r="G45" s="26" t="n"/>
      <c r="H45" s="16" t="n"/>
      <c r="I45" s="16" t="n"/>
      <c r="J45" s="16" t="n"/>
    </row>
    <row r="46">
      <c r="A46" s="21" t="inlineStr">
        <is>
          <t>SRC-05</t>
        </is>
      </c>
      <c r="B46" s="16" t="n"/>
      <c r="C46" s="21" t="inlineStr">
        <is>
          <t>运行约束</t>
        </is>
      </c>
      <c r="D46" s="16" t="inlineStr">
        <is>
          <t>业务高峰、停写时长、导出限速、夜间窗口、备份恢复能力</t>
        </is>
      </c>
      <c r="E46" s="21" t="inlineStr">
        <is>
          <t>未开始</t>
        </is>
      </c>
      <c r="F46" s="21" t="n"/>
      <c r="G46" s="26" t="n"/>
      <c r="H46" s="16" t="n"/>
      <c r="I46" s="16" t="n"/>
      <c r="J46" s="16" t="n"/>
    </row>
    <row r="47">
      <c r="A47" s="21" t="inlineStr">
        <is>
          <t>SRC-06</t>
        </is>
      </c>
      <c r="B47" s="16" t="inlineStr">
        <is>
          <t>合同系统/BI（MIG-006）</t>
        </is>
      </c>
      <c r="C47" s="21" t="inlineStr">
        <is>
          <t>优先核实</t>
        </is>
      </c>
      <c r="D47" s="16" t="inlineStr">
        <is>
          <t>BI 是明细来源还是派生汇总；指标口径与权限如何验证？</t>
        </is>
      </c>
      <c r="E47" s="21" t="inlineStr">
        <is>
          <t>未开始</t>
        </is>
      </c>
      <c r="F47" s="21" t="n"/>
      <c r="G47" s="26" t="n"/>
      <c r="H47" s="16" t="n"/>
      <c r="I47" s="16" t="n"/>
      <c r="J47" s="16" t="n"/>
    </row>
    <row r="48">
      <c r="A48" s="21" t="inlineStr">
        <is>
          <t>SRC-06</t>
        </is>
      </c>
      <c r="B48" s="16" t="n"/>
      <c r="C48" s="21" t="inlineStr">
        <is>
          <t>系统边界</t>
        </is>
      </c>
      <c r="D48" s="16" t="inlineStr">
        <is>
          <t>系统正式名称、简称、环境、数据库/文件库；与其他线索是同一实例、上下游接口还是独立系统；运行与数据解释责任人</t>
        </is>
      </c>
      <c r="E48" s="21" t="inlineStr">
        <is>
          <t>未开始</t>
        </is>
      </c>
      <c r="F48" s="21" t="n"/>
      <c r="G48" s="26" t="n"/>
      <c r="H48" s="16" t="n"/>
      <c r="I48" s="16" t="n"/>
      <c r="J48" s="16" t="n"/>
    </row>
    <row r="49">
      <c r="A49" s="21" t="inlineStr">
        <is>
          <t>SRC-06</t>
        </is>
      </c>
      <c r="B49" s="16" t="n"/>
      <c r="C49" s="21" t="inlineStr">
        <is>
          <t>数据对象</t>
        </is>
      </c>
      <c r="D49" s="16" t="inlineStr">
        <is>
          <t>合同主数据、相对方、履约/收付款、附件、审批、签署、组织权限、BI 初始数据；主键与关联键</t>
        </is>
      </c>
      <c r="E49" s="21" t="inlineStr">
        <is>
          <t>未开始</t>
        </is>
      </c>
      <c r="F49" s="21" t="n"/>
      <c r="G49" s="26" t="n"/>
      <c r="H49" s="16" t="n"/>
      <c r="I49" s="16" t="n"/>
      <c r="J49" s="16" t="n"/>
    </row>
    <row r="50">
      <c r="A50" s="21" t="inlineStr">
        <is>
          <t>SRC-06</t>
        </is>
      </c>
      <c r="B50" s="16" t="n"/>
      <c r="C50" s="21" t="inlineStr">
        <is>
          <t>数据规模</t>
        </is>
      </c>
      <c r="D50" s="16" t="inlineStr">
        <is>
          <t>各对象记录数、合同数、附件数与容量；在办/有效/终止到期/归档分布；统计时点、过滤口径与生成方法</t>
        </is>
      </c>
      <c r="E50" s="21" t="inlineStr">
        <is>
          <t>未开始</t>
        </is>
      </c>
      <c r="F50" s="21" t="n"/>
      <c r="G50" s="26" t="n"/>
      <c r="H50" s="16" t="n"/>
      <c r="I50" s="16" t="n"/>
      <c r="J50" s="16" t="n"/>
    </row>
    <row r="51">
      <c r="A51" s="21" t="inlineStr">
        <is>
          <t>SRC-06</t>
        </is>
      </c>
      <c r="B51" s="16" t="n"/>
      <c r="C51" s="21" t="inlineStr">
        <is>
          <t>数据质量</t>
        </is>
      </c>
      <c r="D51" s="16" t="inlineStr">
        <is>
          <t>空值、重复、失联附件、金额/状态不一致、无效账号数量；是否阻断迁移</t>
        </is>
      </c>
      <c r="E51" s="21" t="inlineStr">
        <is>
          <t>未开始</t>
        </is>
      </c>
      <c r="F51" s="21" t="n"/>
      <c r="G51" s="26" t="n"/>
      <c r="H51" s="16" t="n"/>
      <c r="I51" s="16" t="n"/>
      <c r="J51" s="16" t="n"/>
    </row>
    <row r="52">
      <c r="A52" s="21" t="inlineStr">
        <is>
          <t>SRC-06</t>
        </is>
      </c>
      <c r="B52" s="16" t="n"/>
      <c r="C52" s="21" t="inlineStr">
        <is>
          <t>抽取与增量</t>
        </is>
      </c>
      <c r="D52" s="16" t="inlineStr">
        <is>
          <t>能否全量导出；更新时间/事务号/变更日志；批次重复抽取、失败重跑、断点续传</t>
        </is>
      </c>
      <c r="E52" s="21" t="inlineStr">
        <is>
          <t>未开始</t>
        </is>
      </c>
      <c r="F52" s="21" t="n"/>
      <c r="G52" s="26" t="n"/>
      <c r="H52" s="16" t="n"/>
      <c r="I52" s="16" t="n"/>
      <c r="J52" s="16" t="n"/>
    </row>
    <row r="53">
      <c r="A53" s="21" t="inlineStr">
        <is>
          <t>SRC-06</t>
        </is>
      </c>
      <c r="B53" s="16" t="n"/>
      <c r="C53" s="21" t="inlineStr">
        <is>
          <t>安全与保留</t>
        </is>
      </c>
      <c r="D53" s="16" t="inlineStr">
        <is>
          <t>原始合同与附件访问权限；加密、脱敏、审计、跨环境传输；旧系统停用后查询保留</t>
        </is>
      </c>
      <c r="E53" s="21" t="inlineStr">
        <is>
          <t>未开始</t>
        </is>
      </c>
      <c r="F53" s="21" t="n"/>
      <c r="G53" s="26" t="n"/>
      <c r="H53" s="16" t="n"/>
      <c r="I53" s="16" t="n"/>
      <c r="J53" s="16" t="n"/>
    </row>
    <row r="54">
      <c r="A54" s="21" t="inlineStr">
        <is>
          <t>SRC-06</t>
        </is>
      </c>
      <c r="B54" s="16" t="n"/>
      <c r="C54" s="21" t="inlineStr">
        <is>
          <t>运行约束</t>
        </is>
      </c>
      <c r="D54" s="16" t="inlineStr">
        <is>
          <t>业务高峰、停写时长、导出限速、夜间窗口、备份恢复能力</t>
        </is>
      </c>
      <c r="E54" s="21" t="inlineStr">
        <is>
          <t>未开始</t>
        </is>
      </c>
      <c r="F54" s="21" t="n"/>
      <c r="G54" s="26" t="n"/>
      <c r="H54" s="16" t="n"/>
      <c r="I54" s="16" t="n"/>
      <c r="J54" s="16" t="n"/>
    </row>
    <row r="55">
      <c r="A55" s="21" t="n"/>
      <c r="B55" s="16" t="n"/>
      <c r="C55" s="21" t="n"/>
      <c r="D55" s="16" t="n"/>
      <c r="E55" s="21" t="n"/>
      <c r="F55" s="21" t="n"/>
      <c r="G55" s="26" t="n"/>
      <c r="H55" s="16" t="n"/>
      <c r="I55" s="16" t="n"/>
      <c r="J55" s="16" t="n"/>
    </row>
    <row r="56">
      <c r="A56" s="27" t="inlineStr">
        <is>
          <t>历史合同范围决策（业务负责人逐项回答）</t>
        </is>
      </c>
      <c r="B56" s="16" t="n"/>
      <c r="C56" s="21" t="n"/>
      <c r="D56" s="16" t="n"/>
      <c r="E56" s="21" t="n"/>
      <c r="F56" s="21" t="n"/>
      <c r="G56" s="26" t="n"/>
      <c r="H56" s="16" t="n"/>
      <c r="I56" s="16" t="n"/>
      <c r="J56" s="16" t="n"/>
    </row>
    <row r="57">
      <c r="A57" s="21" t="inlineStr">
        <is>
          <t>HIS-01</t>
        </is>
      </c>
      <c r="B57" s="16" t="n"/>
      <c r="C57" s="21" t="inlineStr">
        <is>
          <t>范围决策</t>
        </is>
      </c>
      <c r="D57" s="16" t="inlineStr">
        <is>
          <t>必须在新系统继续办理、只需检索、只读归档的合同范围及判断依据</t>
        </is>
      </c>
      <c r="E57" s="21" t="inlineStr">
        <is>
          <t>未开始</t>
        </is>
      </c>
      <c r="F57" s="21" t="n"/>
      <c r="G57" s="26" t="n"/>
      <c r="H57" s="16" t="n"/>
      <c r="I57" s="16" t="n"/>
      <c r="J57" s="16" t="n"/>
    </row>
    <row r="58">
      <c r="A58" s="21" t="inlineStr">
        <is>
          <t>HIS-02</t>
        </is>
      </c>
      <c r="B58" s="16" t="n"/>
      <c r="C58" s="21" t="inlineStr">
        <is>
          <t>范围决策</t>
        </is>
      </c>
      <c r="D58" s="16" t="inlineStr">
        <is>
          <t>正文、补充协议、审批轨迹、签署证据、附件、履约/收付款的完整关联要求与例外批准人</t>
        </is>
      </c>
      <c r="E58" s="21" t="inlineStr">
        <is>
          <t>未开始</t>
        </is>
      </c>
      <c r="F58" s="21" t="n"/>
      <c r="G58" s="26" t="n"/>
      <c r="H58" s="16" t="n"/>
      <c r="I58" s="16" t="n"/>
      <c r="J58" s="16" t="n"/>
    </row>
    <row r="59">
      <c r="A59" s="21" t="inlineStr">
        <is>
          <t>HIS-03</t>
        </is>
      </c>
      <c r="B59" s="16" t="n"/>
      <c r="C59" s="21" t="inlineStr">
        <is>
          <t>范围决策</t>
        </is>
      </c>
      <c r="D59" s="16" t="inlineStr">
        <is>
          <t>历史年限、保留期限、旧系统可查询期限；诉讼、审计或监管冻结对象</t>
        </is>
      </c>
      <c r="E59" s="21" t="inlineStr">
        <is>
          <t>未开始</t>
        </is>
      </c>
      <c r="F59" s="21" t="n"/>
      <c r="G59" s="26" t="n"/>
      <c r="H59" s="16" t="n"/>
      <c r="I59" s="16" t="n"/>
      <c r="J59" s="16" t="n"/>
    </row>
    <row r="60">
      <c r="A60" s="21" t="inlineStr">
        <is>
          <t>HIS-04</t>
        </is>
      </c>
      <c r="B60" s="16" t="n"/>
      <c r="C60" s="21" t="inlineStr">
        <is>
          <t>范围决策</t>
        </is>
      </c>
      <c r="D60" s="16" t="inlineStr">
        <is>
          <t>逐笔核对与抽样范围；金额、状态、附件证据差异阈值及签收人</t>
        </is>
      </c>
      <c r="E60" s="21" t="inlineStr">
        <is>
          <t>未开始</t>
        </is>
      </c>
      <c r="F60" s="21" t="n"/>
      <c r="G60" s="26" t="n"/>
      <c r="H60" s="16" t="n"/>
      <c r="I60" s="16" t="n"/>
      <c r="J60" s="16" t="n"/>
    </row>
    <row r="61">
      <c r="A61" s="21" t="n"/>
      <c r="B61" s="16" t="n"/>
      <c r="C61" s="21" t="n"/>
      <c r="D61" s="16" t="n"/>
      <c r="E61" s="21" t="n"/>
      <c r="F61" s="21" t="n"/>
      <c r="G61" s="26" t="n"/>
      <c r="H61" s="16" t="n"/>
      <c r="I61" s="16" t="n"/>
      <c r="J61" s="16" t="n"/>
    </row>
    <row r="62">
      <c r="A62" s="27" t="inlineStr">
        <is>
          <t>回收与质量检查（G15 会前）</t>
        </is>
      </c>
      <c r="B62" s="16" t="n"/>
      <c r="C62" s="21" t="n"/>
      <c r="D62" s="16" t="n"/>
      <c r="E62" s="21" t="n"/>
      <c r="F62" s="21" t="n"/>
      <c r="G62" s="26" t="n"/>
      <c r="H62" s="16" t="n"/>
      <c r="I62" s="16" t="n"/>
      <c r="J62" s="16" t="n"/>
    </row>
    <row r="63">
      <c r="A63" s="21" t="inlineStr">
        <is>
          <t>CHK-01</t>
        </is>
      </c>
      <c r="B63" s="16" t="n"/>
      <c r="C63" s="21" t="inlineStr">
        <is>
          <t>来源唯一性</t>
        </is>
      </c>
      <c r="D63" s="16" t="inlineStr">
        <is>
          <t>每个实际系统/库有唯一名称、边界、责任人；重复线索已合并或交叉引用</t>
        </is>
      </c>
      <c r="E63" s="21" t="inlineStr">
        <is>
          <t>未开始</t>
        </is>
      </c>
      <c r="F63" s="21" t="n"/>
      <c r="G63" s="26" t="n"/>
      <c r="H63" s="16" t="n"/>
      <c r="I63" s="16" t="n"/>
      <c r="J63" s="16" t="n"/>
    </row>
    <row r="64">
      <c r="A64" s="21" t="inlineStr">
        <is>
          <t>CHK-02</t>
        </is>
      </c>
      <c r="B64" s="16" t="n"/>
      <c r="C64" s="21" t="inlineStr">
        <is>
          <t>规模可复核</t>
        </is>
      </c>
      <c r="D64" s="16" t="inlineStr">
        <is>
          <t>记录数/文件数附统计时点、过滤口径和生成方法；数量空白不填 0</t>
        </is>
      </c>
      <c r="E64" s="21" t="inlineStr">
        <is>
          <t>未开始</t>
        </is>
      </c>
      <c r="F64" s="21" t="n"/>
      <c r="G64" s="26" t="n"/>
      <c r="H64" s="16" t="n"/>
      <c r="I64" s="16" t="n"/>
      <c r="J64" s="16" t="n"/>
    </row>
    <row r="65">
      <c r="A65" s="21" t="inlineStr">
        <is>
          <t>CHK-03</t>
        </is>
      </c>
      <c r="B65" s="16" t="n"/>
      <c r="C65" s="21" t="inlineStr">
        <is>
          <t>范围可决策</t>
        </is>
      </c>
      <c r="D65" s="16" t="inlineStr">
        <is>
          <t>历史合同分类、建议处置、留存依据与业务责任人完整</t>
        </is>
      </c>
      <c r="E65" s="21" t="inlineStr">
        <is>
          <t>未开始</t>
        </is>
      </c>
      <c r="F65" s="21" t="n"/>
      <c r="G65" s="26" t="n"/>
      <c r="H65" s="16" t="n"/>
      <c r="I65" s="16" t="n"/>
      <c r="J65" s="16" t="n"/>
    </row>
    <row r="66">
      <c r="A66" s="21" t="inlineStr">
        <is>
          <t>CHK-04</t>
        </is>
      </c>
      <c r="B66" s="16" t="n"/>
      <c r="C66" s="21" t="inlineStr">
        <is>
          <t>技术可行</t>
        </is>
      </c>
      <c r="D66" s="16" t="inlineStr">
        <is>
          <t>全量、增量、重跑、停写、备份与恢复有可验证方案</t>
        </is>
      </c>
      <c r="E66" s="21" t="inlineStr">
        <is>
          <t>未开始</t>
        </is>
      </c>
      <c r="F66" s="21" t="n"/>
      <c r="G66" s="26" t="n"/>
      <c r="H66" s="16" t="n"/>
      <c r="I66" s="16" t="n"/>
      <c r="J66" s="16" t="n"/>
    </row>
    <row r="67">
      <c r="A67" s="21" t="inlineStr">
        <is>
          <t>CHK-05</t>
        </is>
      </c>
      <c r="B67" s="16" t="n"/>
      <c r="C67" s="21" t="inlineStr">
        <is>
          <t>验收可签收</t>
        </is>
      </c>
      <c r="D67" s="16" t="inlineStr">
        <is>
          <t>对账维度、阈值、差异处置和签收人明确（RDY-005 就绪前提）</t>
        </is>
      </c>
      <c r="E67" s="21" t="inlineStr">
        <is>
          <t>未开始</t>
        </is>
      </c>
      <c r="F67" s="21" t="n"/>
      <c r="G67" s="26" t="n"/>
      <c r="H67" s="16" t="n"/>
      <c r="I67" s="16" t="n"/>
      <c r="J67" s="16" t="n"/>
    </row>
  </sheetData>
  <dataValidations count="1">
    <dataValidation sqref="E7:E67" showDropDown="0" showInputMessage="0" showErrorMessage="0" allowBlank="0" type="list">
      <formula1>"未开始,进行中,已完成,不适用"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2026-09-23T03:03:08Z</dcterms:created>
  <dcterms:modified xmlns:dcterms="http://purl.org/dc/terms/" xmlns:xsi="http://www.w3.org/2001/XMLSchema-instance" xsi:type="dcterms:W3CDTF">2026-09-24T00:59:49Z</dcterms:modified>
</cp:coreProperties>
</file>
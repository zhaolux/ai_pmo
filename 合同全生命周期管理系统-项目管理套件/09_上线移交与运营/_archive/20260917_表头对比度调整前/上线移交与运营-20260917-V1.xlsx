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7352990bb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线总览" sheetId="1" r:id="R4567ade34d8e4467"/>
    <x:sheet xmlns:r="http://schemas.openxmlformats.org/officeDocument/2006/relationships" name="使用说明" sheetId="2" r:id="Rf796b0ae7b024a6c"/>
    <x:sheet xmlns:r="http://schemas.openxmlformats.org/officeDocument/2006/relationships" name="上线策略" sheetId="3" r:id="Ra9d3216252294db5"/>
    <x:sheet xmlns:r="http://schemas.openxmlformats.org/officeDocument/2006/relationships" name="上线准备清单" sheetId="4" r:id="R3fa4ab5e4edd410b"/>
    <x:sheet xmlns:r="http://schemas.openxmlformats.org/officeDocument/2006/relationships" name="数据迁移与核验" sheetId="5" r:id="R6d726e11a88c4b11"/>
    <x:sheet xmlns:r="http://schemas.openxmlformats.org/officeDocument/2006/relationships" name="切换执行计划" sheetId="6" r:id="R745195c1f32a4a9c"/>
    <x:sheet xmlns:r="http://schemas.openxmlformats.org/officeDocument/2006/relationships" name="回退方案" sheetId="7" r:id="Recc7bffc3eb14e03"/>
    <x:sheet xmlns:r="http://schemas.openxmlformats.org/officeDocument/2006/relationships" name="移交清单" sheetId="8" r:id="R41fe3f64b52c4577"/>
    <x:sheet xmlns:r="http://schemas.openxmlformats.org/officeDocument/2006/relationships" name="试运行台账" sheetId="9" r:id="Rf6716e0a30b84ee8"/>
    <x:sheet xmlns:r="http://schemas.openxmlformats.org/officeDocument/2006/relationships" name="运维SLA" sheetId="10" r:id="Raf2dccad6bb44f61"/>
    <x:sheet xmlns:r="http://schemas.openxmlformats.org/officeDocument/2006/relationships" name="上线事件日志" sheetId="11" r:id="Ra91b1183ff3d4547"/>
    <x:sheet xmlns:r="http://schemas.openxmlformats.org/officeDocument/2006/relationships" name="_数据接口" sheetId="12" r:id="Rb60ad846bc56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yyyy-mm-dd hh:mm"/>
  </x:numFmts>
  <x:fonts count="8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0"/>
      <x:color rgb="FF1F4E78"/>
      <x:name val="Arial"/>
    </x:font>
    <x:font>
      <x:b/>
      <x:sz val="14"/>
      <x:color rgb="FF1F4E78"/>
      <x:name val="Arial"/>
    </x:font>
    <x:font>
      <x:b/>
      <x:sz val="10"/>
      <x:color rgb="FFFFFFFF"/>
      <x:name val="Arial"/>
    </x:font>
    <x:font>
      <x:b/>
      <x:sz val="10"/>
      <x:color rgb="FF243447"/>
      <x:name val="Arial"/>
    </x:font>
    <x:font>
      <x:sz val="10"/>
      <x:color rgb="FF24344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5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200" fontId="7" fillId="5" borderId="4" xfId="0" applyNumberFormat="1" applyFont="1" applyFill="1" applyBorder="1" applyAlignment="1">
      <x:alignment vertical="center"/>
    </x:xf>
    <x:xf numFmtId="201" fontId="7" fillId="5" borderId="4" xfId="0" applyNumberFormat="1" applyFont="1" applyFill="1" applyBorder="1" applyAlignment="1">
      <x:alignment vertical="center"/>
    </x:xf>
    <x:xf numFmtId="202" fontId="7" fillId="6" borderId="4" xfId="0" applyNumberFormat="1" applyFont="1" applyFill="1" applyBorder="1" applyAlignment="1">
      <x:alignment vertical="center"/>
    </x:xf>
    <x:xf numFmtId="202" fontId="7" fillId="5" borderId="4" xfId="0" applyNumberFormat="1" applyFont="1" applyFill="1" applyBorder="1" applyAlignment="1">
      <x:alignment vertical="center"/>
    </x:xf>
    <x:xf numFmtId="203" fontId="7" fillId="5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f56ec76ce4b02" /><Relationship Type="http://schemas.openxmlformats.org/officeDocument/2006/relationships/theme" Target="/xl/theme/theme1.xml" Id="Rf79786e05e3f466d" /><Relationship Type="http://schemas.openxmlformats.org/officeDocument/2006/relationships/sharedStrings" Target="/xl/sharedStrings.xml" Id="Rfacf2e03eaab454d" /><Relationship Type="http://schemas.openxmlformats.org/officeDocument/2006/relationships/worksheet" Target="/xl/worksheets/sheet1.xml" Id="R4567ade34d8e4467" /><Relationship Type="http://schemas.openxmlformats.org/officeDocument/2006/relationships/worksheet" Target="/xl/worksheets/sheet2.xml" Id="Rf796b0ae7b024a6c" /><Relationship Type="http://schemas.openxmlformats.org/officeDocument/2006/relationships/worksheet" Target="/xl/worksheets/sheet3.xml" Id="Ra9d3216252294db5" /><Relationship Type="http://schemas.openxmlformats.org/officeDocument/2006/relationships/worksheet" Target="/xl/worksheets/sheet4.xml" Id="R3fa4ab5e4edd410b" /><Relationship Type="http://schemas.openxmlformats.org/officeDocument/2006/relationships/worksheet" Target="/xl/worksheets/sheet5.xml" Id="R6d726e11a88c4b11" /><Relationship Type="http://schemas.openxmlformats.org/officeDocument/2006/relationships/worksheet" Target="/xl/worksheets/sheet6.xml" Id="R745195c1f32a4a9c" /><Relationship Type="http://schemas.openxmlformats.org/officeDocument/2006/relationships/worksheet" Target="/xl/worksheets/sheet7.xml" Id="Recc7bffc3eb14e03" /><Relationship Type="http://schemas.openxmlformats.org/officeDocument/2006/relationships/worksheet" Target="/xl/worksheets/sheet8.xml" Id="R41fe3f64b52c4577" /><Relationship Type="http://schemas.openxmlformats.org/officeDocument/2006/relationships/worksheet" Target="/xl/worksheets/sheet9.xml" Id="Rf6716e0a30b84ee8" /><Relationship Type="http://schemas.openxmlformats.org/officeDocument/2006/relationships/worksheet" Target="/xl/worksheets/sheet10.xml" Id="Raf2dccad6bb44f61" /><Relationship Type="http://schemas.openxmlformats.org/officeDocument/2006/relationships/worksheet" Target="/xl/worksheets/sheet11.xml" Id="Ra91b1183ff3d4547" /><Relationship Type="http://schemas.openxmlformats.org/officeDocument/2006/relationships/worksheet" Target="/xl/worksheets/sheet12.xml" Id="Rb60ad846bc5643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44" hidden="0" customWidth="1"/>
    <x:col min="5" max="5" width="19" hidden="0" customWidth="1"/>
    <x:col min="6" max="6" width="19" hidden="0" customWidth="1"/>
    <x:col min="7" max="7" width="3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5" customHeight="1">
      <x:c r="A1" s="1" t="str">
        <x:v>上线移交与运营总览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数据日期：2026-09-17。计划2027-05-31完成系统上线，2027-06-30完成试运行退出。</x:v>
      </x:c>
    </x:row>
    <x:row r="4">
      <x:c r="A4" s="18" t="str">
        <x:v>上线检查项</x:v>
      </x:c>
      <x:c r="B4" s="18" t="str"/>
      <x:c r="C4" s="18" t="str">
        <x:v>已就绪</x:v>
      </x:c>
      <x:c r="D4" s="18" t="str"/>
      <x:c r="E4" s="18" t="str">
        <x:v>阻塞项</x:v>
      </x:c>
      <x:c r="F4" s="18" t="str"/>
      <x:c r="G4" s="18" t="str">
        <x:v>待完成移交</x:v>
      </x:c>
      <x:c r="H4" s="18" t="str"/>
      <x:c r="I4" s="18" t="str">
        <x:v>未关闭事件</x:v>
      </x:c>
      <x:c r="J4" s="18" t="str"/>
      <x:c r="K4" s="18" t="str">
        <x:v>综合状态</x:v>
      </x:c>
      <x:c r="L4" s="18" t="str"/>
    </x:row>
    <x:row r="5">
      <x:c r="A5" s="19" t="n">
        <x:f>COUNTA('上线准备清单'!A5:A34)</x:f>
        <x:v>20</x:v>
      </x:c>
      <x:c r="B5" s="19"/>
      <x:c r="C5" s="19" t="n">
        <x:f>COUNTIF('上线准备清单'!K5:K34,"已就绪")</x:f>
        <x:v>0</x:v>
      </x:c>
      <x:c r="D5" s="19"/>
      <x:c r="E5" s="19" t="n">
        <x:f>COUNTIF('上线准备清单'!K5:K34,"阻塞")</x:f>
        <x:v>0</x:v>
      </x:c>
      <x:c r="F5" s="19"/>
      <x:c r="G5" s="19" t="n">
        <x:f>COUNTIF('移交清单'!J5:J34,"&lt;&gt;已完成")-COUNTBLANK('移交清单'!A5:A34)</x:f>
        <x:v>12</x:v>
      </x:c>
      <x:c r="H5" s="19"/>
      <x:c r="I5" s="19" t="n">
        <x:f>COUNTIF('上线事件日志'!I5:I104,"&lt;&gt;已关闭")-COUNTBLANK('上线事件日志'!A5:A104)</x:f>
        <x:v>0</x:v>
      </x:c>
      <x:c r="J5" s="19"/>
      <x:c r="K5" s="19" t="str">
        <x:f>IF(E5&gt;0,"红",IF(C5&lt;A5,"黄","绿"))</x:f>
        <x:v>黄</x:v>
      </x:c>
      <x:c r="L5" s="19"/>
    </x:row>
    <x:row r="8">
      <x:c r="A8" s="18" t="str">
        <x:v>关键门禁</x:v>
      </x:c>
      <x:c r="B8" s="18"/>
      <x:c r="C8" s="18"/>
      <x:c r="D8" s="18"/>
      <x:c r="E8" s="18"/>
      <x:c r="F8" s="18"/>
      <x:c r="G8" s="18"/>
    </x:row>
    <x:row r="9" ht="32" customHeight="1">
      <x:c r="A9" s="29" t="str">
        <x:v>门禁</x:v>
      </x:c>
      <x:c r="B9" s="29" t="str">
        <x:v>计划日期</x:v>
      </x:c>
      <x:c r="C9" s="29" t="str">
        <x:v>负责人</x:v>
      </x:c>
      <x:c r="D9" s="29" t="str">
        <x:v>通过标准</x:v>
      </x:c>
      <x:c r="E9" s="29" t="str">
        <x:v>当前状态</x:v>
      </x:c>
      <x:c r="F9" s="29" t="str">
        <x:v>批准人</x:v>
      </x:c>
      <x:c r="G9" s="29" t="str">
        <x:v>证据</x:v>
      </x:c>
    </x:row>
    <x:row r="10">
      <x:c r="A10" s="30" t="str">
        <x:v>UAT验收门禁</x:v>
      </x:c>
      <x:c r="B10" s="31" t="n">
        <x:v>46517</x:v>
      </x:c>
      <x:c r="C10" s="30" t="str">
        <x:v>产品经理</x:v>
      </x:c>
      <x:c r="D10" s="32" t="str">
        <x:v>P0场景100%通过，遗留风险获得批准</x:v>
      </x:c>
      <x:c r="E10" s="33" t="str">
        <x:v>未通过</x:v>
      </x:c>
      <x:c r="F10" s="30" t="str">
        <x:v>业务负责人</x:v>
      </x:c>
      <x:c r="G10" s="30" t="str">
        <x:v>UAT报告/业务确认</x:v>
      </x:c>
    </x:row>
    <x:row r="11">
      <x:c r="A11" s="30" t="str">
        <x:v>数据迁移门禁</x:v>
      </x:c>
      <x:c r="B11" s="31" t="n">
        <x:v>46527</x:v>
      </x:c>
      <x:c r="C11" s="30" t="str">
        <x:v>产品经理</x:v>
      </x:c>
      <x:c r="D11" s="32" t="str">
        <x:v>完整性、准确性、金额和状态对账通过</x:v>
      </x:c>
      <x:c r="E11" s="33" t="str">
        <x:v>未通过</x:v>
      </x:c>
      <x:c r="F11" s="30" t="str">
        <x:v>业务负责人</x:v>
      </x:c>
      <x:c r="G11" s="30" t="str">
        <x:v>迁移和对账报告</x:v>
      </x:c>
    </x:row>
    <x:row r="12">
      <x:c r="A12" s="30" t="str">
        <x:v>技术上线门禁</x:v>
      </x:c>
      <x:c r="B12" s="31" t="n">
        <x:v>46531</x:v>
      </x:c>
      <x:c r="C12" s="30" t="str">
        <x:v>技术经理</x:v>
      </x:c>
      <x:c r="D12" s="32" t="str">
        <x:v>环境、接口、安全、性能、监控和回退可用</x:v>
      </x:c>
      <x:c r="E12" s="33" t="str">
        <x:v>未通过</x:v>
      </x:c>
      <x:c r="F12" s="30" t="str">
        <x:v>项目经理</x:v>
      </x:c>
      <x:c r="G12" s="30" t="str">
        <x:v>技术验证和演练证据</x:v>
      </x:c>
    </x:row>
    <x:row r="13">
      <x:c r="A13" s="30" t="str">
        <x:v>业务上线门禁</x:v>
      </x:c>
      <x:c r="B13" s="31" t="n">
        <x:v>46531</x:v>
      </x:c>
      <x:c r="C13" s="30" t="str">
        <x:v>产品经理</x:v>
      </x:c>
      <x:c r="D13" s="32" t="str">
        <x:v>流程、权限、用户、培训、手册和支持就绪</x:v>
      </x:c>
      <x:c r="E13" s="33" t="str">
        <x:v>未通过</x:v>
      </x:c>
      <x:c r="F13" s="30" t="str">
        <x:v>业务负责人</x:v>
      </x:c>
      <x:c r="G13" s="30" t="str">
        <x:v>培训和业务确认</x:v>
      </x:c>
    </x:row>
    <x:row r="14">
      <x:c r="A14" s="30" t="str">
        <x:v>Go/No-Go决策</x:v>
      </x:c>
      <x:c r="B14" s="31" t="n">
        <x:v>46535</x:v>
      </x:c>
      <x:c r="C14" s="30" t="str">
        <x:v>项目集经理</x:v>
      </x:c>
      <x:c r="D14" s="32" t="str">
        <x:v>所有必须项通过，遗留风险有批准和责任人</x:v>
      </x:c>
      <x:c r="E14" s="33" t="str">
        <x:v>未通过</x:v>
      </x:c>
      <x:c r="F14" s="30" t="str">
        <x:v>项目赞助人/治理委员会</x:v>
      </x:c>
      <x:c r="G14" s="30" t="str">
        <x:v>Go/No-Go决策记录</x:v>
      </x:c>
    </x:row>
    <x:row r="15">
      <x:c r="A15" s="30" t="str">
        <x:v>生产上线验证</x:v>
      </x:c>
      <x:c r="B15" s="31" t="n">
        <x:v>46538</x:v>
      </x:c>
      <x:c r="C15" s="30" t="str">
        <x:v>项目经理</x:v>
      </x:c>
      <x:c r="D15" s="32" t="str">
        <x:v>核心链路、数据、接口、权限和监控验证通过</x:v>
      </x:c>
      <x:c r="E15" s="33" t="str">
        <x:v>未通过</x:v>
      </x:c>
      <x:c r="F15" s="30" t="str">
        <x:v>项目集经理</x:v>
      </x:c>
      <x:c r="G15" s="30" t="str">
        <x:v>生产验证报告</x:v>
      </x:c>
    </x:row>
    <x:row r="16">
      <x:c r="A16" s="30" t="str">
        <x:v>试运行退出门禁</x:v>
      </x:c>
      <x:c r="B16" s="31" t="n">
        <x:v>46568</x:v>
      </x:c>
      <x:c r="C16" s="30" t="str">
        <x:v>项目经理</x:v>
      </x:c>
      <x:c r="D16" s="32" t="str">
        <x:v>事件、缺陷、性能、用户反馈和SLA达到批准标准</x:v>
      </x:c>
      <x:c r="E16" s="33" t="str">
        <x:v>未通过</x:v>
      </x:c>
      <x:c r="F16" s="30" t="str">
        <x:v>项目赞助人</x:v>
      </x:c>
      <x:c r="G16" s="30" t="str">
        <x:v>试运行报告/移交确认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25" customHeight="1">
      <x:c r="A1" s="1" t="str">
        <x:v>使用说明</x:v>
      </x:c>
      <x:c r="B1" s="1"/>
      <x:c r="C1" s="1"/>
      <x:c r="D1" s="1"/>
      <x:c r="E1" s="1"/>
      <x:c r="F1" s="1"/>
      <x:c r="G1" s="1"/>
      <x:c r="H1" s="1"/>
    </x:row>
    <x:row r="2">
      <x:c r="A2" s="2" t="str">
        <x:v>用于上线准备、生产切换、回退、移交和试运行闭环管理。</x:v>
      </x:c>
    </x:row>
    <x:row r="4">
      <x:c r="A4" s="18" t="str">
        <x:v>操作流程</x:v>
      </x:c>
      <x:c r="B4" s="18"/>
      <x:c r="C4" s="18"/>
      <x:c r="D4" s="18"/>
      <x:c r="E4" s="18"/>
      <x:c r="F4" s="18"/>
      <x:c r="G4" s="18"/>
      <x:c r="H4" s="18"/>
    </x:row>
    <x:row r="5" ht="32" customHeight="1">
      <x:c r="A5" s="29" t="str">
        <x:v>步骤</x:v>
      </x:c>
      <x:c r="B5" s="29" t="str">
        <x:v>操作</x:v>
      </x:c>
      <x:c r="C5" s="29" t="str">
        <x:v>主要Sheet</x:v>
      </x:c>
      <x:c r="D5" s="29" t="str">
        <x:v>负责人</x:v>
      </x:c>
      <x:c r="E5" s="29" t="str">
        <x:v>时点</x:v>
      </x:c>
      <x:c r="F5" s="29" t="str">
        <x:v>必须输入</x:v>
      </x:c>
      <x:c r="G5" s="29" t="str">
        <x:v>输出</x:v>
      </x:c>
      <x:c r="H5" s="29" t="str">
        <x:v>完成判定</x:v>
      </x:c>
    </x:row>
    <x:row r="6">
      <x:c r="A6" s="30" t="n">
        <x:v>1</x:v>
      </x:c>
      <x:c r="B6" s="32" t="str">
        <x:v>确定上线范围和策略</x:v>
      </x:c>
      <x:c r="C6" s="32" t="str">
        <x:v>上线策略</x:v>
      </x:c>
      <x:c r="D6" s="32" t="str">
        <x:v>项目集经理</x:v>
      </x:c>
      <x:c r="E6" s="32" t="str">
        <x:v>UAT前</x:v>
      </x:c>
      <x:c r="F6" s="32" t="str">
        <x:v>上线范围、窗口、策略、冻结和决策权</x:v>
      </x:c>
      <x:c r="G6" s="32" t="str">
        <x:v>获批准的上线策略</x:v>
      </x:c>
      <x:c r="H6" s="32" t="str">
        <x:v>必须项、授权和升级路径明确</x:v>
      </x:c>
    </x:row>
    <x:row r="7">
      <x:c r="A7" s="30" t="n">
        <x:v>2</x:v>
      </x:c>
      <x:c r="B7" s="32" t="str">
        <x:v>逐项检查上线条件</x:v>
      </x:c>
      <x:c r="C7" s="32" t="str">
        <x:v>上线准备清单</x:v>
      </x:c>
      <x:c r="D7" s="32" t="str">
        <x:v>项目经理</x:v>
      </x:c>
      <x:c r="E7" s="32" t="str">
        <x:v>上线前每日</x:v>
      </x:c>
      <x:c r="F7" s="32" t="str">
        <x:v>状态、证据、责任人和截止日期</x:v>
      </x:c>
      <x:c r="G7" s="32" t="str">
        <x:v>门禁状态和阻塞项</x:v>
      </x:c>
      <x:c r="H7" s="32" t="str">
        <x:v>没有证据不能标记已就绪</x:v>
      </x:c>
    </x:row>
    <x:row r="8">
      <x:c r="A8" s="30" t="n">
        <x:v>3</x:v>
      </x:c>
      <x:c r="B8" s="32" t="str">
        <x:v>完成数据迁移和对账</x:v>
      </x:c>
      <x:c r="C8" s="32" t="str">
        <x:v>数据迁移与核验</x:v>
      </x:c>
      <x:c r="D8" s="32" t="str">
        <x:v>产品经理</x:v>
      </x:c>
      <x:c r="E8" s="32" t="str">
        <x:v>切换前</x:v>
      </x:c>
      <x:c r="F8" s="32" t="str">
        <x:v>源数据、规则、批次和对账数据</x:v>
      </x:c>
      <x:c r="G8" s="32" t="str">
        <x:v>迁移结果和差异处置</x:v>
      </x:c>
      <x:c r="H8" s="32" t="str">
        <x:v>关键差异为0或获批准</x:v>
      </x:c>
    </x:row>
    <x:row r="9">
      <x:c r="A9" s="30" t="n">
        <x:v>4</x:v>
      </x:c>
      <x:c r="B9" s="32" t="str">
        <x:v>按时间窗执行切换</x:v>
      </x:c>
      <x:c r="C9" s="32" t="str">
        <x:v>切换执行计划</x:v>
      </x:c>
      <x:c r="D9" s="32" t="str">
        <x:v>项目经理/技术经理</x:v>
      </x:c>
      <x:c r="E9" s="32" t="str">
        <x:v>上线窗口</x:v>
      </x:c>
      <x:c r="F9" s="32" t="str">
        <x:v>任务、开始结束时间、前置和验证</x:v>
      </x:c>
      <x:c r="G9" s="32" t="str">
        <x:v>切换记录和生产验证</x:v>
      </x:c>
      <x:c r="H9" s="32" t="str">
        <x:v>所有关键任务有记录和证据</x:v>
      </x:c>
    </x:row>
    <x:row r="10">
      <x:c r="A10" s="30" t="n">
        <x:v>5</x:v>
      </x:c>
      <x:c r="B10" s="32" t="str">
        <x:v>达到触发条件时回退</x:v>
      </x:c>
      <x:c r="C10" s="32" t="str">
        <x:v>回退方案</x:v>
      </x:c>
      <x:c r="D10" s="32" t="str">
        <x:v>技术经理</x:v>
      </x:c>
      <x:c r="E10" s="32" t="str">
        <x:v>异常触发时</x:v>
      </x:c>
      <x:c r="F10" s="32" t="str">
        <x:v>触发条件、命令/步骤、数据处置和验证</x:v>
      </x:c>
      <x:c r="G10" s="32" t="str">
        <x:v>回退决策和执行证据</x:v>
      </x:c>
      <x:c r="H10" s="32" t="str">
        <x:v>回退后原系统或稳定版可用</x:v>
      </x:c>
    </x:row>
    <x:row r="11">
      <x:c r="A11" s="30" t="n">
        <x:v>6</x:v>
      </x:c>
      <x:c r="B11" s="32" t="str">
        <x:v>完成运维移交</x:v>
      </x:c>
      <x:c r="C11" s="32" t="str">
        <x:v>移交清单、运维SLA</x:v>
      </x:c>
      <x:c r="D11" s="32" t="str">
        <x:v>项目经理</x:v>
      </x:c>
      <x:c r="E11" s="32" t="str">
        <x:v>上线前至试运行结束</x:v>
      </x:c>
      <x:c r="F11" s="32" t="str">
        <x:v>文档、账号、配置、监控、备份、知识和联系人</x:v>
      </x:c>
      <x:c r="G11" s="32" t="str">
        <x:v>移交确认和SLA</x:v>
      </x:c>
      <x:c r="H11" s="32" t="str">
        <x:v>接收人确认并有证据</x:v>
      </x:c>
    </x:row>
    <x:row r="12">
      <x:c r="A12" s="30" t="n">
        <x:v>7</x:v>
      </x:c>
      <x:c r="B12" s="32" t="str">
        <x:v>管理试运行并退出</x:v>
      </x:c>
      <x:c r="C12" s="32" t="str">
        <x:v>试运行台账、上线事件日志</x:v>
      </x:c>
      <x:c r="D12" s="32" t="str">
        <x:v>项目经理</x:v>
      </x:c>
      <x:c r="E12" s="32" t="str">
        <x:v>2027-06-01至2027-06-30</x:v>
      </x:c>
      <x:c r="F12" s="32" t="str">
        <x:v>事件、缺陷、SLA、性能、用户反馈</x:v>
      </x:c>
      <x:c r="G12" s="32" t="str">
        <x:v>试运行报告和退出结论</x:v>
      </x:c>
      <x:c r="H12" s="32" t="str">
        <x:v>退出门禁通过</x:v>
      </x:c>
    </x:row>
    <x:row r="13">
      <x:c r="B13" s="38"/>
      <x:c r="C13" s="38"/>
      <x:c r="D13" s="38"/>
      <x:c r="E13" s="38"/>
      <x:c r="F13" s="38"/>
      <x:c r="G13" s="38"/>
      <x:c r="H13" s="38"/>
    </x:row>
    <x:row r="14">
      <x:c r="B14" s="38"/>
      <x:c r="C14" s="38"/>
      <x:c r="D14" s="38"/>
      <x:c r="E14" s="38"/>
      <x:c r="F14" s="38"/>
      <x:c r="G14" s="38"/>
      <x:c r="H14" s="38"/>
    </x:row>
    <x:row r="15">
      <x:c r="A15" s="18" t="str">
        <x:v>颜色和维护规则</x:v>
      </x:c>
      <x:c r="B15" s="39"/>
      <x:c r="C15" s="39"/>
      <x:c r="D15" s="39"/>
      <x:c r="E15" s="39"/>
      <x:c r="F15" s="39"/>
      <x:c r="G15" s="39"/>
      <x:c r="H15" s="39"/>
    </x:row>
    <x:row r="16" ht="32" customHeight="1">
      <x:c r="A16" s="29" t="str">
        <x:v>类型</x:v>
      </x:c>
      <x:c r="B16" s="29" t="str">
        <x:v>颜色</x:v>
      </x:c>
      <x:c r="C16" s="29" t="str">
        <x:v>含义</x:v>
      </x:c>
      <x:c r="D16" s="29" t="str">
        <x:v>可编辑</x:v>
      </x:c>
      <x:c r="E16" s="29" t="str">
        <x:v>维护原则</x:v>
      </x:c>
      <x:c r="F16" s="29" t="str">
        <x:v>编号</x:v>
      </x:c>
      <x:c r="G16" s="29" t="str">
        <x:v>证据要求</x:v>
      </x:c>
      <x:c r="H16" s="29" t="str">
        <x:v>关闭原则</x:v>
      </x:c>
    </x:row>
    <x:row r="17">
      <x:c r="A17" s="30" t="str">
        <x:v>人工输入</x:v>
      </x:c>
      <x:c r="B17" s="40" t="str">
        <x:v>浅黄</x:v>
      </x:c>
      <x:c r="C17" s="32" t="str">
        <x:v>责任人维护</x:v>
      </x:c>
      <x:c r="D17" s="32" t="str">
        <x:v>是</x:v>
      </x:c>
      <x:c r="E17" s="32" t="str">
        <x:v>只填写已知事实</x:v>
      </x:c>
      <x:c r="F17" s="32" t="str">
        <x:v>CUT/MIG/HOV/INC+三位序号</x:v>
      </x:c>
      <x:c r="G17" s="32" t="str">
        <x:v>文档链接、日志、截图或批准记录</x:v>
      </x:c>
      <x:c r="H17" s="32" t="str">
        <x:v>状态、完成日期和证据齐全</x:v>
      </x:c>
    </x:row>
    <x:row r="18">
      <x:c r="A18" s="30" t="str">
        <x:v>计算/关联</x:v>
      </x:c>
      <x:c r="B18" s="41" t="str">
        <x:v>浅灰</x:v>
      </x:c>
      <x:c r="C18" s="32" t="str">
        <x:v>公式生成</x:v>
      </x:c>
      <x:c r="D18" s="32" t="str">
        <x:v>否</x:v>
      </x:c>
      <x:c r="E18" s="32" t="str">
        <x:v>异常时检查源数据</x:v>
      </x:c>
      <x:c r="F18" s="32" t="str">
        <x:v>不修改</x:v>
      </x:c>
      <x:c r="G18" s="32" t="str">
        <x:v>引用业务台账</x:v>
      </x:c>
      <x:c r="H18" s="32" t="str">
        <x:v>随源数据变化</x:v>
      </x:c>
    </x:row>
    <x:row r="19">
      <x:c r="A19" s="30" t="str">
        <x:v>表头</x:v>
      </x:c>
      <x:c r="B19" s="42" t="str">
        <x:v>深蓝</x:v>
      </x:c>
      <x:c r="C19" s="32" t="str">
        <x:v>字段定义</x:v>
      </x:c>
      <x:c r="D19" s="32" t="str">
        <x:v>否</x:v>
      </x:c>
      <x:c r="E19" s="32" t="str">
        <x:v>保持字段稳定</x:v>
      </x:c>
      <x:c r="F19" s="32" t="str">
        <x:v>不适用</x:v>
      </x:c>
      <x:c r="G19" s="32" t="str">
        <x:v>不适用</x:v>
      </x:c>
      <x:c r="H19" s="32" t="str">
        <x:v>不适用</x:v>
      </x:c>
    </x:row>
    <x:row r="20">
      <x:c r="A20" s="30" t="str">
        <x:v>异常/阻塞</x:v>
      </x:c>
      <x:c r="B20" s="43" t="str">
        <x:v>浅红</x:v>
      </x:c>
      <x:c r="C20" s="32" t="str">
        <x:v>未通过、阻塞、逾期或差异</x:v>
      </x:c>
      <x:c r="D20" s="32" t="str">
        <x:v>按对应输入列</x:v>
      </x:c>
      <x:c r="E20" s="32" t="str">
        <x:v>优先处理根因</x:v>
      </x:c>
      <x:c r="F20" s="32" t="str">
        <x:v>不适用</x:v>
      </x:c>
      <x:c r="G20" s="32" t="str">
        <x:v>必须关联风险/问题/决策</x:v>
      </x:c>
      <x:c r="H20" s="32" t="str">
        <x:v>得到授权人批准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6" hidden="0" customWidth="1"/>
    <x:col min="3" max="3" width="19" hidden="0" customWidth="1"/>
    <x:col min="4" max="4" width="19" hidden="0" customWidth="1"/>
    <x:col min="5" max="5" width="16" hidden="0" customWidth="1"/>
    <x:col min="6" max="6" width="36" hidden="0" customWidth="1"/>
    <x:col min="7" max="7" width="36" hidden="0" customWidth="1"/>
    <x:col min="8" max="8" width="16" hidden="0" customWidth="1"/>
  </x:cols>
  <x:sheetData>
    <x:row r="1" ht="25" customHeight="1">
      <x:c r="A1" s="1" t="str">
        <x:v>上线策略</x:v>
      </x:c>
      <x:c r="B1" s="1"/>
      <x:c r="C1" s="1"/>
      <x:c r="D1" s="1"/>
      <x:c r="E1" s="1"/>
      <x:c r="F1" s="1"/>
      <x:c r="G1" s="1"/>
      <x:c r="H1" s="1"/>
    </x:row>
    <x:row r="2">
      <x:c r="A2" s="2" t="str">
        <x:v>本项目默认采用分阶段准备、统一窗口切换和一个月试运行。</x:v>
      </x:c>
    </x:row>
    <x:row r="4" ht="32" customHeight="1">
      <x:c r="A4" s="29" t="str">
        <x:v>策略项</x:v>
      </x:c>
      <x:c r="B4" s="29" t="str">
        <x:v>当前方案</x:v>
      </x:c>
      <x:c r="C4" s="29" t="str">
        <x:v>责任人</x:v>
      </x:c>
      <x:c r="D4" s="29" t="str">
        <x:v>批准人</x:v>
      </x:c>
      <x:c r="E4" s="29" t="str">
        <x:v>计划日期</x:v>
      </x:c>
      <x:c r="F4" s="29" t="str">
        <x:v>准入条件</x:v>
      </x:c>
      <x:c r="G4" s="29" t="str">
        <x:v>输出/证据</x:v>
      </x:c>
      <x:c r="H4" s="29" t="str">
        <x:v>状态</x:v>
      </x:c>
    </x:row>
    <x:row r="5">
      <x:c r="A5" s="30" t="str">
        <x:v>上线方式</x:v>
      </x:c>
      <x:c r="B5" s="40" t="str">
        <x:v>集中生产切换，关键流程分批开通</x:v>
      </x:c>
      <x:c r="C5" s="34" t="str">
        <x:v>项目集经理</x:v>
      </x:c>
      <x:c r="D5" s="34" t="str">
        <x:v>项目赞助人</x:v>
      </x:c>
      <x:c r="E5" s="44" t="n">
        <x:v>46535</x:v>
      </x:c>
      <x:c r="F5" s="40" t="str">
        <x:v>UAT、数据、接口和回退门禁通过</x:v>
      </x:c>
      <x:c r="G5" s="40" t="str">
        <x:v>Go/No-Go决策</x:v>
      </x:c>
      <x:c r="H5" s="34" t="str">
        <x:v>待批准</x:v>
      </x:c>
    </x:row>
    <x:row r="6">
      <x:c r="A6" s="30" t="str">
        <x:v>上线窗口</x:v>
      </x:c>
      <x:c r="B6" s="40" t="str">
        <x:v>2027-05-28冻结，2027-05-29至05-31切换和验证</x:v>
      </x:c>
      <x:c r="C6" s="34" t="str">
        <x:v>项目经理</x:v>
      </x:c>
      <x:c r="D6" s="34" t="str">
        <x:v>项目集经理</x:v>
      </x:c>
      <x:c r="E6" s="44" t="n">
        <x:v>46535</x:v>
      </x:c>
      <x:c r="F6" s="40" t="str">
        <x:v>生产环境、人员、授权和沟通到位</x:v>
      </x:c>
      <x:c r="G6" s="40" t="str">
        <x:v>切换计划</x:v>
      </x:c>
      <x:c r="H6" s="34" t="str">
        <x:v>待批准</x:v>
      </x:c>
    </x:row>
    <x:row r="7">
      <x:c r="A7" s="30" t="str">
        <x:v>数据策略</x:v>
      </x:c>
      <x:c r="B7" s="40" t="str">
        <x:v>全量初始化+增量补数+业务对账</x:v>
      </x:c>
      <x:c r="C7" s="34" t="str">
        <x:v>产品经理</x:v>
      </x:c>
      <x:c r="D7" s="34" t="str">
        <x:v>业务负责人</x:v>
      </x:c>
      <x:c r="E7" s="44" t="n">
        <x:v>46527</x:v>
      </x:c>
      <x:c r="F7" s="40" t="str">
        <x:v>数据规则、源数据、脱敏和验证脚本就绪</x:v>
      </x:c>
      <x:c r="G7" s="40" t="str">
        <x:v>迁移与对账报告</x:v>
      </x:c>
      <x:c r="H7" s="34" t="str">
        <x:v>待批准</x:v>
      </x:c>
    </x:row>
    <x:row r="8">
      <x:c r="A8" s="30" t="str">
        <x:v>变更冻结</x:v>
      </x:c>
      <x:c r="B8" s="40" t="str">
        <x:v>上线前3天冻结代码、配置、接口和数据规则</x:v>
      </x:c>
      <x:c r="C8" s="34" t="str">
        <x:v>技术经理</x:v>
      </x:c>
      <x:c r="D8" s="34" t="str">
        <x:v>项目经理</x:v>
      </x:c>
      <x:c r="E8" s="44" t="n">
        <x:v>46535</x:v>
      </x:c>
      <x:c r="F8" s="40" t="str">
        <x:v>生产版本、基线和紧急变更流程明确</x:v>
      </x:c>
      <x:c r="G8" s="40" t="str">
        <x:v>冻结清单/发布版本</x:v>
      </x:c>
      <x:c r="H8" s="34" t="str">
        <x:v>待批准</x:v>
      </x:c>
    </x:row>
    <x:row r="9">
      <x:c r="A9" s="30" t="str">
        <x:v>回退策略</x:v>
      </x:c>
      <x:c r="B9" s="40" t="str">
        <x:v>在规定判定窗口内回退至上一稳定版本</x:v>
      </x:c>
      <x:c r="C9" s="34" t="str">
        <x:v>技术经理</x:v>
      </x:c>
      <x:c r="D9" s="34" t="str">
        <x:v>项目集经理</x:v>
      </x:c>
      <x:c r="E9" s="44" t="n">
        <x:v>46531</x:v>
      </x:c>
      <x:c r="F9" s="40" t="str">
        <x:v>备份、回退脚本、数据处置和演练通过</x:v>
      </x:c>
      <x:c r="G9" s="40" t="str">
        <x:v>回退方案/演练报告</x:v>
      </x:c>
      <x:c r="H9" s="34" t="str">
        <x:v>待批准</x:v>
      </x:c>
    </x:row>
    <x:row r="10">
      <x:c r="A10" s="30" t="str">
        <x:v>支持策略</x:v>
      </x:c>
      <x:c r="B10" s="40" t="str">
        <x:v>试运行期间业务、产品、开发、测试和运维联合值守</x:v>
      </x:c>
      <x:c r="C10" s="34" t="str">
        <x:v>项目经理</x:v>
      </x:c>
      <x:c r="D10" s="34" t="str">
        <x:v>项目集经理</x:v>
      </x:c>
      <x:c r="E10" s="44" t="n">
        <x:v>46531</x:v>
      </x:c>
      <x:c r="F10" s="40" t="str">
        <x:v>联系人、排班、SLA、升级和工单渠道明确</x:v>
      </x:c>
      <x:c r="G10" s="40" t="str">
        <x:v>支持手册/值班表</x:v>
      </x:c>
      <x:c r="H10" s="34" t="str">
        <x:v>待批准</x:v>
      </x:c>
    </x:row>
    <x:row r="11">
      <x:c r="A11" s="30" t="str">
        <x:v>试运行</x:v>
      </x:c>
      <x:c r="B11" s="40" t="str">
        <x:v>2027-06-01至2027-06-30，按日监控、按周评审</x:v>
      </x:c>
      <x:c r="C11" s="34" t="str">
        <x:v>项目经理</x:v>
      </x:c>
      <x:c r="D11" s="34" t="str">
        <x:v>项目赞助人</x:v>
      </x:c>
      <x:c r="E11" s="44" t="n">
        <x:v>46538</x:v>
      </x:c>
      <x:c r="F11" s="40" t="str">
        <x:v>生产验证通过，支持和监控就绪</x:v>
      </x:c>
      <x:c r="G11" s="40" t="str">
        <x:v>试运行计划</x:v>
      </x:c>
      <x:c r="H11" s="34" t="str">
        <x:v>待批准</x:v>
      </x:c>
    </x:row>
    <x:row r="12">
      <x:c r="A12" s="30" t="str">
        <x:v>试运行退出</x:v>
      </x:c>
      <x:c r="B12" s="40" t="str">
        <x:v>达到SLA、缺陷、事件、性能和用户反馈标准后移交运营</x:v>
      </x:c>
      <x:c r="C12" s="34" t="str">
        <x:v>项目集经理</x:v>
      </x:c>
      <x:c r="D12" s="34" t="str">
        <x:v>项目赞助人</x:v>
      </x:c>
      <x:c r="E12" s="44" t="n">
        <x:v>46568</x:v>
      </x:c>
      <x:c r="F12" s="40" t="str">
        <x:v>试运行退出门禁通过</x:v>
      </x:c>
      <x:c r="G12" s="40" t="str">
        <x:v>试运行报告/移交确认</x:v>
      </x:c>
      <x:c r="H12" s="34" t="str">
        <x:v>未开始</x:v>
      </x:c>
    </x:row>
    <x:row r="13">
      <x:c r="A13" s="30" t="str">
        <x:v>沟通策略</x:v>
      </x:c>
      <x:c r="B13" s="40" t="str">
        <x:v>上线前每日准备会，窗口期间按节点通报，事件触发升级</x:v>
      </x:c>
      <x:c r="C13" s="34" t="str">
        <x:v>项目经理</x:v>
      </x:c>
      <x:c r="D13" s="34" t="str">
        <x:v>项目集经理</x:v>
      </x:c>
      <x:c r="E13" s="44" t="n">
        <x:v>46518</x:v>
      </x:c>
      <x:c r="F13" s="40" t="str">
        <x:v>通讯录、模板、群组和升级路径就绪</x:v>
      </x:c>
      <x:c r="G13" s="40" t="str">
        <x:v>沟通计划/上线通知</x:v>
      </x:c>
      <x:c r="H13" s="34" t="str">
        <x:v>未开始</x:v>
      </x:c>
    </x:row>
    <x:row r="14">
      <x:c r="A14" s="30" t="str">
        <x:v>业务连续性</x:v>
      </x:c>
      <x:c r="B14" s="40" t="str">
        <x:v>明确切换期业务暂停、手工处理、补录和对账机制</x:v>
      </x:c>
      <x:c r="C14" s="34" t="str">
        <x:v>产品经理</x:v>
      </x:c>
      <x:c r="D14" s="34" t="str">
        <x:v>业务负责人</x:v>
      </x:c>
      <x:c r="E14" s="44" t="n">
        <x:v>46531</x:v>
      </x:c>
      <x:c r="F14" s="40" t="str">
        <x:v>临时业务方案和恢复后补录规则明确</x:v>
      </x:c>
      <x:c r="G14" s="40" t="str">
        <x:v>业务连续性方案</x:v>
      </x:c>
      <x:c r="H14" s="34" t="str">
        <x:v>未开始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36" hidden="0" customWidth="1"/>
    <x:col min="4" max="4" width="18" hidden="0" customWidth="1"/>
    <x:col min="5" max="5" width="42" hidden="0" customWidth="1"/>
    <x:col min="6" max="6" width="19" hidden="0" customWidth="1"/>
    <x:col min="7" max="7" width="19" hidden="0" customWidth="1"/>
    <x:col min="8" max="8" width="19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5" customHeight="1">
      <x:c r="A1" s="1" t="str">
        <x:v>上线准备清单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必须项未就绪或阻塞时，Go/No-Go必须明确处置决定。</x:v>
      </x:c>
    </x:row>
    <x:row r="4" ht="32" customHeight="1">
      <x:c r="A4" s="29" t="str">
        <x:v>检查项ID</x:v>
      </x:c>
      <x:c r="B4" s="29" t="str">
        <x:v>领域</x:v>
      </x:c>
      <x:c r="C4" s="29" t="str">
        <x:v>检查项</x:v>
      </x:c>
      <x:c r="D4" s="29" t="str">
        <x:v>责任人</x:v>
      </x:c>
      <x:c r="E4" s="29" t="str">
        <x:v>通过标准</x:v>
      </x:c>
      <x:c r="F4" s="29" t="str">
        <x:v>计划完成</x:v>
      </x:c>
      <x:c r="G4" s="29" t="str">
        <x:v>是否必须</x:v>
      </x:c>
      <x:c r="H4" s="29" t="str">
        <x:v>实际完成</x:v>
      </x:c>
      <x:c r="I4" s="29" t="str">
        <x:v>验证人</x:v>
      </x:c>
      <x:c r="J4" s="29" t="str">
        <x:v>证据</x:v>
      </x:c>
      <x:c r="K4" s="29" t="str">
        <x:v>状态</x:v>
      </x:c>
      <x:c r="L4" s="29" t="str">
        <x:v>备注</x:v>
      </x:c>
    </x:row>
    <x:row r="5">
      <x:c r="A5" s="30" t="str">
        <x:v>RDY-001</x:v>
      </x:c>
      <x:c r="B5" s="30" t="str">
        <x:v>范围</x:v>
      </x:c>
      <x:c r="C5" s="32" t="str">
        <x:v>P0范围和上线版本冻结</x:v>
      </x:c>
      <x:c r="D5" s="32" t="str">
        <x:v>项目经理</x:v>
      </x:c>
      <x:c r="E5" s="32" t="str">
        <x:v>上线版本与批准范围一致</x:v>
      </x:c>
      <x:c r="F5" s="31" t="n">
        <x:v>46535</x:v>
      </x:c>
      <x:c r="G5" s="31" t="str">
        <x:v>必须</x:v>
      </x:c>
      <x:c r="H5" s="44"/>
      <x:c r="I5" s="34"/>
      <x:c r="J5" s="34"/>
      <x:c r="K5" s="34" t="str">
        <x:v>未就绪</x:v>
      </x:c>
      <x:c r="L5" s="34"/>
    </x:row>
    <x:row r="6">
      <x:c r="A6" s="30" t="str">
        <x:v>RDY-002</x:v>
      </x:c>
      <x:c r="B6" s="30" t="str">
        <x:v>需求</x:v>
      </x:c>
      <x:c r="C6" s="32" t="str">
        <x:v>P0需求和验收标准完成</x:v>
      </x:c>
      <x:c r="D6" s="32" t="str">
        <x:v>产品经理</x:v>
      </x:c>
      <x:c r="E6" s="32" t="str">
        <x:v>P0覆盖率100%</x:v>
      </x:c>
      <x:c r="F6" s="31" t="n">
        <x:v>46517</x:v>
      </x:c>
      <x:c r="G6" s="31" t="str">
        <x:v>必须</x:v>
      </x:c>
      <x:c r="H6" s="44"/>
      <x:c r="I6" s="34"/>
      <x:c r="J6" s="34"/>
      <x:c r="K6" s="34" t="str">
        <x:v>未就绪</x:v>
      </x:c>
      <x:c r="L6" s="34"/>
    </x:row>
    <x:row r="7">
      <x:c r="A7" s="30" t="str">
        <x:v>RDY-003</x:v>
      </x:c>
      <x:c r="B7" s="30" t="str">
        <x:v>缺陷</x:v>
      </x:c>
      <x:c r="C7" s="32" t="str">
        <x:v>Blocker/Critical缺陷清零</x:v>
      </x:c>
      <x:c r="D7" s="32" t="str">
        <x:v>测试负责人</x:v>
      </x:c>
      <x:c r="E7" s="32" t="str">
        <x:v>未关闭数为0或获得书面批准</x:v>
      </x:c>
      <x:c r="F7" s="31" t="n">
        <x:v>46531</x:v>
      </x:c>
      <x:c r="G7" s="31" t="str">
        <x:v>必须</x:v>
      </x:c>
      <x:c r="H7" s="44"/>
      <x:c r="I7" s="34"/>
      <x:c r="J7" s="34"/>
      <x:c r="K7" s="34" t="str">
        <x:v>未就绪</x:v>
      </x:c>
      <x:c r="L7" s="34"/>
    </x:row>
    <x:row r="8">
      <x:c r="A8" s="30" t="str">
        <x:v>RDY-004</x:v>
      </x:c>
      <x:c r="B8" s="30" t="str">
        <x:v>UAT</x:v>
      </x:c>
      <x:c r="C8" s="32" t="str">
        <x:v>关键用户完成UAT确认</x:v>
      </x:c>
      <x:c r="D8" s="32" t="str">
        <x:v>产品经理</x:v>
      </x:c>
      <x:c r="E8" s="32" t="str">
        <x:v>P0场景100%通过</x:v>
      </x:c>
      <x:c r="F8" s="31" t="n">
        <x:v>46517</x:v>
      </x:c>
      <x:c r="G8" s="31" t="str">
        <x:v>必须</x:v>
      </x:c>
      <x:c r="H8" s="44"/>
      <x:c r="I8" s="34"/>
      <x:c r="J8" s="34"/>
      <x:c r="K8" s="34" t="str">
        <x:v>未就绪</x:v>
      </x:c>
      <x:c r="L8" s="34"/>
    </x:row>
    <x:row r="9">
      <x:c r="A9" s="30" t="str">
        <x:v>RDY-005</x:v>
      </x:c>
      <x:c r="B9" s="30" t="str">
        <x:v>数据</x:v>
      </x:c>
      <x:c r="C9" s="32" t="str">
        <x:v>迁移、增量补数和业务对账通过</x:v>
      </x:c>
      <x:c r="D9" s="32" t="str">
        <x:v>产品经理</x:v>
      </x:c>
      <x:c r="E9" s="32" t="str">
        <x:v>关键对账差异为0或获批准</x:v>
      </x:c>
      <x:c r="F9" s="31" t="n">
        <x:v>46527</x:v>
      </x:c>
      <x:c r="G9" s="31" t="str">
        <x:v>必须</x:v>
      </x:c>
      <x:c r="H9" s="44"/>
      <x:c r="I9" s="34"/>
      <x:c r="J9" s="34"/>
      <x:c r="K9" s="34" t="str">
        <x:v>未就绪</x:v>
      </x:c>
      <x:c r="L9" s="34"/>
    </x:row>
    <x:row r="10">
      <x:c r="A10" s="30" t="str">
        <x:v>RDY-006</x:v>
      </x:c>
      <x:c r="B10" s="30" t="str">
        <x:v>接口</x:v>
      </x:c>
      <x:c r="C10" s="32" t="str">
        <x:v>ERP/财务/OA/CA/文档/BI/主数据联调通过</x:v>
      </x:c>
      <x:c r="D10" s="32" t="str">
        <x:v>技术经理</x:v>
      </x:c>
      <x:c r="E10" s="32" t="str">
        <x:v>核心接口、重试、补偿和对账通过</x:v>
      </x:c>
      <x:c r="F10" s="31" t="n">
        <x:v>46527</x:v>
      </x:c>
      <x:c r="G10" s="31" t="str">
        <x:v>必须</x:v>
      </x:c>
      <x:c r="H10" s="44"/>
      <x:c r="I10" s="34"/>
      <x:c r="J10" s="34"/>
      <x:c r="K10" s="34" t="str">
        <x:v>未就绪</x:v>
      </x:c>
      <x:c r="L10" s="34"/>
    </x:row>
    <x:row r="11">
      <x:c r="A11" s="30" t="str">
        <x:v>RDY-007</x:v>
      </x:c>
      <x:c r="B11" s="30" t="str">
        <x:v>权限</x:v>
      </x:c>
      <x:c r="C11" s="32" t="str">
        <x:v>角色、组织、数据权限和审计校验</x:v>
      </x:c>
      <x:c r="D11" s="32" t="str">
        <x:v>技术经理</x:v>
      </x:c>
      <x:c r="E11" s="32" t="str">
        <x:v>越权被阻止，审计日志完整</x:v>
      </x:c>
      <x:c r="F11" s="31" t="n">
        <x:v>46527</x:v>
      </x:c>
      <x:c r="G11" s="31" t="str">
        <x:v>必须</x:v>
      </x:c>
      <x:c r="H11" s="44"/>
      <x:c r="I11" s="34"/>
      <x:c r="J11" s="34"/>
      <x:c r="K11" s="34" t="str">
        <x:v>未就绪</x:v>
      </x:c>
      <x:c r="L11" s="34"/>
    </x:row>
    <x:row r="12">
      <x:c r="A12" s="30" t="str">
        <x:v>RDY-008</x:v>
      </x:c>
      <x:c r="B12" s="30" t="str">
        <x:v>性能</x:v>
      </x:c>
      <x:c r="C12" s="32" t="str">
        <x:v>核心页面和接口性能达标</x:v>
      </x:c>
      <x:c r="D12" s="32" t="str">
        <x:v>技术经理</x:v>
      </x:c>
      <x:c r="E12" s="32" t="str">
        <x:v>达到批准的并发、响应和容量指标</x:v>
      </x:c>
      <x:c r="F12" s="31" t="n">
        <x:v>46527</x:v>
      </x:c>
      <x:c r="G12" s="31" t="str">
        <x:v>必须</x:v>
      </x:c>
      <x:c r="H12" s="44"/>
      <x:c r="I12" s="34"/>
      <x:c r="J12" s="34"/>
      <x:c r="K12" s="34" t="str">
        <x:v>未就绪</x:v>
      </x:c>
      <x:c r="L12" s="34"/>
    </x:row>
    <x:row r="13">
      <x:c r="A13" s="30" t="str">
        <x:v>RDY-009</x:v>
      </x:c>
      <x:c r="B13" s="30" t="str">
        <x:v>安全</x:v>
      </x:c>
      <x:c r="C13" s="32" t="str">
        <x:v>安全测试和高风险整改完成</x:v>
      </x:c>
      <x:c r="D13" s="32" t="str">
        <x:v>技术经理</x:v>
      </x:c>
      <x:c r="E13" s="32" t="str">
        <x:v>高风险问题为0</x:v>
      </x:c>
      <x:c r="F13" s="31" t="n">
        <x:v>46527</x:v>
      </x:c>
      <x:c r="G13" s="31" t="str">
        <x:v>必须</x:v>
      </x:c>
      <x:c r="H13" s="44"/>
      <x:c r="I13" s="34"/>
      <x:c r="J13" s="34"/>
      <x:c r="K13" s="34" t="str">
        <x:v>未就绪</x:v>
      </x:c>
      <x:c r="L13" s="34"/>
    </x:row>
    <x:row r="14">
      <x:c r="A14" s="30" t="str">
        <x:v>RDY-010</x:v>
      </x:c>
      <x:c r="B14" s="30" t="str">
        <x:v>环境</x:v>
      </x:c>
      <x:c r="C14" s="32" t="str">
        <x:v>生产环境、网络、证书、域名和时间同步就绪</x:v>
      </x:c>
      <x:c r="D14" s="32" t="str">
        <x:v>配置人员</x:v>
      </x:c>
      <x:c r="E14" s="32" t="str">
        <x:v>环境验证清单通过</x:v>
      </x:c>
      <x:c r="F14" s="31" t="n">
        <x:v>46527</x:v>
      </x:c>
      <x:c r="G14" s="31" t="str">
        <x:v>必须</x:v>
      </x:c>
      <x:c r="H14" s="44"/>
      <x:c r="I14" s="34"/>
      <x:c r="J14" s="34"/>
      <x:c r="K14" s="34" t="str">
        <x:v>未就绪</x:v>
      </x:c>
      <x:c r="L14" s="34"/>
    </x:row>
    <x:row r="15">
      <x:c r="A15" s="30" t="str">
        <x:v>RDY-011</x:v>
      </x:c>
      <x:c r="B15" s="30" t="str">
        <x:v>发布</x:v>
      </x:c>
      <x:c r="C15" s="32" t="str">
        <x:v>发布包、脚本、配置和版本可追溯</x:v>
      </x:c>
      <x:c r="D15" s="32" t="str">
        <x:v>技术经理</x:v>
      </x:c>
      <x:c r="E15" s="32" t="str">
        <x:v>版本、校验值和审批完整</x:v>
      </x:c>
      <x:c r="F15" s="31" t="n">
        <x:v>46531</x:v>
      </x:c>
      <x:c r="G15" s="31" t="str">
        <x:v>必须</x:v>
      </x:c>
      <x:c r="H15" s="44"/>
      <x:c r="I15" s="34"/>
      <x:c r="J15" s="34"/>
      <x:c r="K15" s="34" t="str">
        <x:v>未就绪</x:v>
      </x:c>
      <x:c r="L15" s="34"/>
    </x:row>
    <x:row r="16">
      <x:c r="A16" s="30" t="str">
        <x:v>RDY-012</x:v>
      </x:c>
      <x:c r="B16" s="30" t="str">
        <x:v>监控</x:v>
      </x:c>
      <x:c r="C16" s="32" t="str">
        <x:v>应用、接口、数据库、中间件和业务监控就绪</x:v>
      </x:c>
      <x:c r="D16" s="32" t="str">
        <x:v>技术经理</x:v>
      </x:c>
      <x:c r="E16" s="32" t="str">
        <x:v>监控、告警、通知和值班验证通过</x:v>
      </x:c>
      <x:c r="F16" s="31" t="n">
        <x:v>46531</x:v>
      </x:c>
      <x:c r="G16" s="31" t="str">
        <x:v>必须</x:v>
      </x:c>
      <x:c r="H16" s="44"/>
      <x:c r="I16" s="34"/>
      <x:c r="J16" s="34"/>
      <x:c r="K16" s="34" t="str">
        <x:v>未就绪</x:v>
      </x:c>
      <x:c r="L16" s="34"/>
    </x:row>
    <x:row r="17">
      <x:c r="A17" s="30" t="str">
        <x:v>RDY-013</x:v>
      </x:c>
      <x:c r="B17" s="30" t="str">
        <x:v>备份</x:v>
      </x:c>
      <x:c r="C17" s="32" t="str">
        <x:v>数据库、文件、配置和密钥备份完成</x:v>
      </x:c>
      <x:c r="D17" s="32" t="str">
        <x:v>配置人员</x:v>
      </x:c>
      <x:c r="E17" s="32" t="str">
        <x:v>备份可恢复并完成抽样验证</x:v>
      </x:c>
      <x:c r="F17" s="31" t="n">
        <x:v>46531</x:v>
      </x:c>
      <x:c r="G17" s="31" t="str">
        <x:v>必须</x:v>
      </x:c>
      <x:c r="H17" s="44"/>
      <x:c r="I17" s="34"/>
      <x:c r="J17" s="34"/>
      <x:c r="K17" s="34" t="str">
        <x:v>未就绪</x:v>
      </x:c>
      <x:c r="L17" s="34"/>
    </x:row>
    <x:row r="18">
      <x:c r="A18" s="30" t="str">
        <x:v>RDY-014</x:v>
      </x:c>
      <x:c r="B18" s="30" t="str">
        <x:v>回退</x:v>
      </x:c>
      <x:c r="C18" s="32" t="str">
        <x:v>回退方案、脚本和演练通过</x:v>
      </x:c>
      <x:c r="D18" s="32" t="str">
        <x:v>技术经理</x:v>
      </x:c>
      <x:c r="E18" s="32" t="str">
        <x:v>RTO/RPO和业务验证达标</x:v>
      </x:c>
      <x:c r="F18" s="31" t="n">
        <x:v>46531</x:v>
      </x:c>
      <x:c r="G18" s="31" t="str">
        <x:v>必须</x:v>
      </x:c>
      <x:c r="H18" s="44"/>
      <x:c r="I18" s="34"/>
      <x:c r="J18" s="34"/>
      <x:c r="K18" s="34" t="str">
        <x:v>未就绪</x:v>
      </x:c>
      <x:c r="L18" s="34"/>
    </x:row>
    <x:row r="19">
      <x:c r="A19" s="30" t="str">
        <x:v>RDY-015</x:v>
      </x:c>
      <x:c r="B19" s="30" t="str">
        <x:v>用户</x:v>
      </x:c>
      <x:c r="C19" s="32" t="str">
        <x:v>生产用户、角色和初始化数据准备完成</x:v>
      </x:c>
      <x:c r="D19" s="32" t="str">
        <x:v>产品经理</x:v>
      </x:c>
      <x:c r="E19" s="32" t="str">
        <x:v>用户清单和授权审批完整</x:v>
      </x:c>
      <x:c r="F19" s="31" t="n">
        <x:v>46531</x:v>
      </x:c>
      <x:c r="G19" s="31" t="str">
        <x:v>必须</x:v>
      </x:c>
      <x:c r="H19" s="44"/>
      <x:c r="I19" s="34"/>
      <x:c r="J19" s="34"/>
      <x:c r="K19" s="34" t="str">
        <x:v>未就绪</x:v>
      </x:c>
      <x:c r="L19" s="34"/>
    </x:row>
    <x:row r="20">
      <x:c r="A20" s="30" t="str">
        <x:v>RDY-016</x:v>
      </x:c>
      <x:c r="B20" s="30" t="str">
        <x:v>培训</x:v>
      </x:c>
      <x:c r="C20" s="32" t="str">
        <x:v>管理员、关键用户和支持人员培训完成</x:v>
      </x:c>
      <x:c r="D20" s="32" t="str">
        <x:v>产品经理</x:v>
      </x:c>
      <x:c r="E20" s="32" t="str">
        <x:v>出席、课件、考核和问题记录完整</x:v>
      </x:c>
      <x:c r="F20" s="31" t="n">
        <x:v>46531</x:v>
      </x:c>
      <x:c r="G20" s="31" t="str">
        <x:v>必须</x:v>
      </x:c>
      <x:c r="H20" s="44"/>
      <x:c r="I20" s="34"/>
      <x:c r="J20" s="34"/>
      <x:c r="K20" s="34" t="str">
        <x:v>未就绪</x:v>
      </x:c>
      <x:c r="L20" s="34"/>
    </x:row>
    <x:row r="21">
      <x:c r="A21" s="30" t="str">
        <x:v>RDY-017</x:v>
      </x:c>
      <x:c r="B21" s="30" t="str">
        <x:v>文档</x:v>
      </x:c>
      <x:c r="C21" s="32" t="str">
        <x:v>用户手册、运维手册、应急手册和配置清单完成</x:v>
      </x:c>
      <x:c r="D21" s="32" t="str">
        <x:v>项目经理</x:v>
      </x:c>
      <x:c r="E21" s="32" t="str">
        <x:v>文档通过评审并存入指定位置</x:v>
      </x:c>
      <x:c r="F21" s="31" t="n">
        <x:v>46531</x:v>
      </x:c>
      <x:c r="G21" s="31" t="str">
        <x:v>必须</x:v>
      </x:c>
      <x:c r="H21" s="44"/>
      <x:c r="I21" s="34"/>
      <x:c r="J21" s="34"/>
      <x:c r="K21" s="34" t="str">
        <x:v>未就绪</x:v>
      </x:c>
      <x:c r="L21" s="34"/>
    </x:row>
    <x:row r="22">
      <x:c r="A22" s="30" t="str">
        <x:v>RDY-018</x:v>
      </x:c>
      <x:c r="B22" s="30" t="str">
        <x:v>支持</x:v>
      </x:c>
      <x:c r="C22" s="32" t="str">
        <x:v>试运行值守、工单、SLA和升级路径就绪</x:v>
      </x:c>
      <x:c r="D22" s="32" t="str">
        <x:v>项目经理</x:v>
      </x:c>
      <x:c r="E22" s="32" t="str">
        <x:v>轮值和升级演练通过</x:v>
      </x:c>
      <x:c r="F22" s="31" t="n">
        <x:v>46531</x:v>
      </x:c>
      <x:c r="G22" s="31" t="str">
        <x:v>必须</x:v>
      </x:c>
      <x:c r="H22" s="44"/>
      <x:c r="I22" s="34"/>
      <x:c r="J22" s="34"/>
      <x:c r="K22" s="34" t="str">
        <x:v>未就绪</x:v>
      </x:c>
      <x:c r="L22" s="34"/>
    </x:row>
    <x:row r="23">
      <x:c r="A23" s="30" t="str">
        <x:v>RDY-019</x:v>
      </x:c>
      <x:c r="B23" s="30" t="str">
        <x:v>通知</x:v>
      </x:c>
      <x:c r="C23" s="32" t="str">
        <x:v>上线、业务暂停、使用指南和支持渠道已通知</x:v>
      </x:c>
      <x:c r="D23" s="32" t="str">
        <x:v>项目经理</x:v>
      </x:c>
      <x:c r="E23" s="32" t="str">
        <x:v>发送范围和确认记录完整</x:v>
      </x:c>
      <x:c r="F23" s="31" t="n">
        <x:v>46535</x:v>
      </x:c>
      <x:c r="G23" s="31" t="str">
        <x:v>必须</x:v>
      </x:c>
      <x:c r="H23" s="44"/>
      <x:c r="I23" s="34"/>
      <x:c r="J23" s="34"/>
      <x:c r="K23" s="34" t="str">
        <x:v>未就绪</x:v>
      </x:c>
      <x:c r="L23" s="34"/>
    </x:row>
    <x:row r="24">
      <x:c r="A24" s="30" t="str">
        <x:v>RDY-020</x:v>
      </x:c>
      <x:c r="B24" s="30" t="str">
        <x:v>商务</x:v>
      </x:c>
      <x:c r="C24" s="32" t="str">
        <x:v>外部产品授权、证书、SLA和支持权益生效</x:v>
      </x:c>
      <x:c r="D24" s="32" t="str">
        <x:v>项目经理</x:v>
      </x:c>
      <x:c r="E24" s="32" t="str">
        <x:v>CA/电子文档/BI合同权益可用</x:v>
      </x:c>
      <x:c r="F24" s="31" t="n">
        <x:v>46531</x:v>
      </x:c>
      <x:c r="G24" s="31" t="str">
        <x:v>必须</x:v>
      </x:c>
      <x:c r="H24" s="44"/>
      <x:c r="I24" s="34"/>
      <x:c r="J24" s="34"/>
      <x:c r="K24" s="34" t="str">
        <x:v>未就绪</x:v>
      </x:c>
      <x:c r="L24" s="34"/>
    </x:row>
    <x:row r="25">
      <x:c r="A25" s="30"/>
      <x:c r="B25" s="30"/>
      <x:c r="C25" s="32"/>
      <x:c r="D25" s="32"/>
      <x:c r="E25" s="32"/>
      <x:c r="F25" s="31"/>
      <x:c r="G25" s="31"/>
      <x:c r="H25" s="44"/>
      <x:c r="I25" s="34"/>
      <x:c r="J25" s="34"/>
      <x:c r="K25" s="34"/>
      <x:c r="L25" s="34"/>
    </x:row>
    <x:row r="26">
      <x:c r="A26" s="30"/>
      <x:c r="B26" s="30"/>
      <x:c r="C26" s="32"/>
      <x:c r="D26" s="32"/>
      <x:c r="E26" s="32"/>
      <x:c r="F26" s="31"/>
      <x:c r="G26" s="31"/>
      <x:c r="H26" s="44"/>
      <x:c r="I26" s="34"/>
      <x:c r="J26" s="34"/>
      <x:c r="K26" s="34"/>
      <x:c r="L26" s="34"/>
    </x:row>
    <x:row r="27">
      <x:c r="A27" s="30"/>
      <x:c r="B27" s="30"/>
      <x:c r="C27" s="32"/>
      <x:c r="D27" s="32"/>
      <x:c r="E27" s="32"/>
      <x:c r="F27" s="31"/>
      <x:c r="G27" s="31"/>
      <x:c r="H27" s="44"/>
      <x:c r="I27" s="34"/>
      <x:c r="J27" s="34"/>
      <x:c r="K27" s="34"/>
      <x:c r="L27" s="34"/>
    </x:row>
    <x:row r="28">
      <x:c r="A28" s="30"/>
      <x:c r="B28" s="30"/>
      <x:c r="C28" s="32"/>
      <x:c r="D28" s="32"/>
      <x:c r="E28" s="32"/>
      <x:c r="F28" s="31"/>
      <x:c r="G28" s="31"/>
      <x:c r="H28" s="44"/>
      <x:c r="I28" s="34"/>
      <x:c r="J28" s="34"/>
      <x:c r="K28" s="34"/>
      <x:c r="L28" s="34"/>
    </x:row>
    <x:row r="29">
      <x:c r="A29" s="30"/>
      <x:c r="B29" s="30"/>
      <x:c r="C29" s="32"/>
      <x:c r="D29" s="32"/>
      <x:c r="E29" s="32"/>
      <x:c r="F29" s="31"/>
      <x:c r="G29" s="31"/>
      <x:c r="H29" s="44"/>
      <x:c r="I29" s="34"/>
      <x:c r="J29" s="34"/>
      <x:c r="K29" s="34"/>
      <x:c r="L29" s="34"/>
    </x:row>
    <x:row r="30">
      <x:c r="A30" s="30"/>
      <x:c r="B30" s="30"/>
      <x:c r="C30" s="32"/>
      <x:c r="D30" s="32"/>
      <x:c r="E30" s="32"/>
      <x:c r="F30" s="31"/>
      <x:c r="G30" s="31"/>
      <x:c r="H30" s="44"/>
      <x:c r="I30" s="34"/>
      <x:c r="J30" s="34"/>
      <x:c r="K30" s="34"/>
      <x:c r="L30" s="34"/>
    </x:row>
    <x:row r="31">
      <x:c r="A31" s="30"/>
      <x:c r="B31" s="30"/>
      <x:c r="C31" s="32"/>
      <x:c r="D31" s="32"/>
      <x:c r="E31" s="32"/>
      <x:c r="F31" s="31"/>
      <x:c r="G31" s="31"/>
      <x:c r="H31" s="44"/>
      <x:c r="I31" s="34"/>
      <x:c r="J31" s="34"/>
      <x:c r="K31" s="34"/>
      <x:c r="L31" s="34"/>
    </x:row>
    <x:row r="32">
      <x:c r="A32" s="30"/>
      <x:c r="B32" s="30"/>
      <x:c r="C32" s="32"/>
      <x:c r="D32" s="32"/>
      <x:c r="E32" s="32"/>
      <x:c r="F32" s="31"/>
      <x:c r="G32" s="31"/>
      <x:c r="H32" s="44"/>
      <x:c r="I32" s="34"/>
      <x:c r="J32" s="34"/>
      <x:c r="K32" s="34"/>
      <x:c r="L32" s="34"/>
    </x:row>
    <x:row r="33">
      <x:c r="A33" s="30"/>
      <x:c r="B33" s="30"/>
      <x:c r="C33" s="32"/>
      <x:c r="D33" s="32"/>
      <x:c r="E33" s="32"/>
      <x:c r="F33" s="31"/>
      <x:c r="G33" s="31"/>
      <x:c r="H33" s="44"/>
      <x:c r="I33" s="34"/>
      <x:c r="J33" s="34"/>
      <x:c r="K33" s="34"/>
      <x:c r="L33" s="34"/>
    </x:row>
    <x:row r="34">
      <x:c r="A34" s="30"/>
      <x:c r="B34" s="30"/>
      <x:c r="C34" s="32"/>
      <x:c r="D34" s="32"/>
      <x:c r="E34" s="32"/>
      <x:c r="F34" s="31"/>
      <x:c r="G34" s="31"/>
      <x:c r="H34" s="44"/>
      <x:c r="I34" s="34"/>
      <x:c r="J34" s="34"/>
      <x:c r="K34" s="34"/>
      <x:c r="L34" s="34"/>
    </x:row>
  </x:sheetData>
  <x:dataValidations count="1">
    <x:dataValidation type="list" sqref="K5:K34">
      <x:formula1>"未就绪,准备中,已就绪,阻塞,已豁免"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2" hidden="0" customWidth="1"/>
    <x:col min="13" max="13" width="32" hidden="0" customWidth="1"/>
    <x:col min="14" max="14" width="32" hidden="0" customWidth="1"/>
    <x:col min="15" max="15" width="20" hidden="0" customWidth="1"/>
    <x:col min="16" max="16" width="20" hidden="0" customWidth="1"/>
  </x:cols>
  <x:sheetData>
    <x:row r="1" ht="25" customHeight="1">
      <x:c r="A1" s="1" t="str">
        <x:v>数据迁移与核验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迁移必须同时验证完整性、准确性、一致性、附件可用性和业务可操作性。</x:v>
      </x:c>
    </x:row>
    <x:row r="4" ht="32" customHeight="1">
      <x:c r="A4" s="29" t="str">
        <x:v>迁移ID</x:v>
      </x:c>
      <x:c r="B4" s="29" t="str">
        <x:v>数据对象</x:v>
      </x:c>
      <x:c r="C4" s="29" t="str">
        <x:v>来源系统</x:v>
      </x:c>
      <x:c r="D4" s="29" t="str">
        <x:v>迁移范围</x:v>
      </x:c>
      <x:c r="E4" s="29" t="str">
        <x:v>迁移方式</x:v>
      </x:c>
      <x:c r="F4" s="29" t="str">
        <x:v>负责人</x:v>
      </x:c>
      <x:c r="G4" s="29" t="str">
        <x:v>计划执行</x:v>
      </x:c>
      <x:c r="H4" s="29" t="str">
        <x:v>源数量</x:v>
      </x:c>
      <x:c r="I4" s="29" t="str">
        <x:v>目标数量</x:v>
      </x:c>
      <x:c r="J4" s="29" t="str">
        <x:v>差异数量</x:v>
      </x:c>
      <x:c r="K4" s="29" t="str">
        <x:v>差异率</x:v>
      </x:c>
      <x:c r="L4" s="29" t="str">
        <x:v>核验规则</x:v>
      </x:c>
      <x:c r="M4" s="29" t="str">
        <x:v>核验结果</x:v>
      </x:c>
      <x:c r="N4" s="29" t="str">
        <x:v>差异处置</x:v>
      </x:c>
      <x:c r="O4" s="29" t="str">
        <x:v>批准人</x:v>
      </x:c>
      <x:c r="P4" s="29" t="str">
        <x:v>证据</x:v>
      </x:c>
    </x:row>
    <x:row r="5">
      <x:c r="A5" s="30" t="str">
        <x:v>MIG-001</x:v>
      </x:c>
      <x:c r="B5" s="30" t="str">
        <x:v>合同主数据</x:v>
      </x:c>
      <x:c r="C5" s="30" t="str">
        <x:v>现有合同系统/档案</x:v>
      </x:c>
      <x:c r="D5" s="32" t="str">
        <x:v>有效及需追溯合同</x:v>
      </x:c>
      <x:c r="E5" s="32" t="str">
        <x:v>全量+增量</x:v>
      </x:c>
      <x:c r="F5" s="30" t="str">
        <x:v>产品经理</x:v>
      </x:c>
      <x:c r="G5" s="31" t="n">
        <x:v>46524</x:v>
      </x:c>
      <x:c r="H5" s="45"/>
      <x:c r="I5" s="45"/>
      <x:c r="J5" s="45"/>
      <x:c r="K5" s="46" t="str">
        <x:f>IF(OR(H5="",I5=""),"",IF(H5=0,"n.a.",J5/H5))</x:f>
      </x:c>
      <x:c r="L5" s="40" t="str">
        <x:v>记录数、金额、状态、关键字段和抽样业务校验</x:v>
      </x:c>
      <x:c r="M5" s="40" t="str">
        <x:v>未执行</x:v>
      </x:c>
      <x:c r="N5" s="40"/>
      <x:c r="O5" s="34" t="str">
        <x:v>业务负责人</x:v>
      </x:c>
      <x:c r="P5" s="34"/>
    </x:row>
    <x:row r="6">
      <x:c r="A6" s="30" t="str">
        <x:v>MIG-002</x:v>
      </x:c>
      <x:c r="B6" s="30" t="str">
        <x:v>合同相对方</x:v>
      </x:c>
      <x:c r="C6" s="30" t="str">
        <x:v>主数据平台</x:v>
      </x:c>
      <x:c r="D6" s="32" t="str">
        <x:v>有效客户、供应商和资质</x:v>
      </x:c>
      <x:c r="E6" s="32" t="str">
        <x:v>全量+增量</x:v>
      </x:c>
      <x:c r="F6" s="30" t="str">
        <x:v>产品经理</x:v>
      </x:c>
      <x:c r="G6" s="31" t="n">
        <x:v>46524</x:v>
      </x:c>
      <x:c r="H6" s="45"/>
      <x:c r="I6" s="45"/>
      <x:c r="J6" s="45"/>
      <x:c r="K6" s="46" t="str">
        <x:f>IF(OR(H6="",I6=""),"",IF(H6=0,"n.a.",J6/H6))</x:f>
      </x:c>
      <x:c r="L6" s="40" t="str">
        <x:v>编码、名称、统一社会信用代码、状态和资质</x:v>
      </x:c>
      <x:c r="M6" s="40" t="str">
        <x:v>未执行</x:v>
      </x:c>
      <x:c r="N6" s="40"/>
      <x:c r="O6" s="34" t="str">
        <x:v>业务负责人</x:v>
      </x:c>
      <x:c r="P6" s="34"/>
    </x:row>
    <x:row r="7">
      <x:c r="A7" s="30" t="str">
        <x:v>MIG-003</x:v>
      </x:c>
      <x:c r="B7" s="30" t="str">
        <x:v>履约与收付款</x:v>
      </x:c>
      <x:c r="C7" s="30" t="str">
        <x:v>现有业务/财务系统</x:v>
      </x:c>
      <x:c r="D7" s="32" t="str">
        <x:v>未完成履约、应收应付和关键历史</x:v>
      </x:c>
      <x:c r="E7" s="32" t="str">
        <x:v>全量+增量</x:v>
      </x:c>
      <x:c r="F7" s="30" t="str">
        <x:v>产品经理</x:v>
      </x:c>
      <x:c r="G7" s="31" t="n">
        <x:v>46525</x:v>
      </x:c>
      <x:c r="H7" s="45"/>
      <x:c r="I7" s="45"/>
      <x:c r="J7" s="45"/>
      <x:c r="K7" s="46" t="str">
        <x:f>IF(OR(H7="",I7=""),"",IF(H7=0,"n.a.",J7/H7))</x:f>
      </x:c>
      <x:c r="L7" s="40" t="str">
        <x:v>节点、金额、余额、状态和业财对账</x:v>
      </x:c>
      <x:c r="M7" s="40" t="str">
        <x:v>未执行</x:v>
      </x:c>
      <x:c r="N7" s="40"/>
      <x:c r="O7" s="34" t="str">
        <x:v>业务/财务负责人</x:v>
      </x:c>
      <x:c r="P7" s="34"/>
    </x:row>
    <x:row r="8">
      <x:c r="A8" s="30" t="str">
        <x:v>MIG-004</x:v>
      </x:c>
      <x:c r="B8" s="30" t="str">
        <x:v>合同附件与归档文件</x:v>
      </x:c>
      <x:c r="C8" s="30" t="str">
        <x:v>档案/文件系统</x:v>
      </x:c>
      <x:c r="D8" s="32" t="str">
        <x:v>正文、附件、审批和签署证据</x:v>
      </x:c>
      <x:c r="E8" s="32" t="str">
        <x:v>全量+增量</x:v>
      </x:c>
      <x:c r="F8" s="30" t="str">
        <x:v>产品经理</x:v>
      </x:c>
      <x:c r="G8" s="31" t="n">
        <x:v>46526</x:v>
      </x:c>
      <x:c r="H8" s="45"/>
      <x:c r="I8" s="45"/>
      <x:c r="J8" s="45"/>
      <x:c r="K8" s="46" t="str">
        <x:f>IF(OR(H8="",I8=""),"",IF(H8=0,"n.a.",J8/H8))</x:f>
      </x:c>
      <x:c r="L8" s="40" t="str">
        <x:v>文件数、大小、哈希、关联、打开和权限</x:v>
      </x:c>
      <x:c r="M8" s="40" t="str">
        <x:v>未执行</x:v>
      </x:c>
      <x:c r="N8" s="40"/>
      <x:c r="O8" s="34" t="str">
        <x:v>档案负责人</x:v>
      </x:c>
      <x:c r="P8" s="34"/>
    </x:row>
    <x:row r="9">
      <x:c r="A9" s="30" t="str">
        <x:v>MIG-005</x:v>
      </x:c>
      <x:c r="B9" s="30" t="str">
        <x:v>组织、用户与权限</x:v>
      </x:c>
      <x:c r="C9" s="30" t="str">
        <x:v>组织/身份平台</x:v>
      </x:c>
      <x:c r="D9" s="32" t="str">
        <x:v>组织、人员、岗位、角色和数据范围</x:v>
      </x:c>
      <x:c r="E9" s="32" t="str">
        <x:v>全量+增量</x:v>
      </x:c>
      <x:c r="F9" s="30" t="str">
        <x:v>技术经理</x:v>
      </x:c>
      <x:c r="G9" s="31" t="n">
        <x:v>46526</x:v>
      </x:c>
      <x:c r="H9" s="45"/>
      <x:c r="I9" s="45"/>
      <x:c r="J9" s="45"/>
      <x:c r="K9" s="46" t="str">
        <x:f>IF(OR(H9="",I9=""),"",IF(H9=0,"n.a.",J9/H9))</x:f>
      </x:c>
      <x:c r="L9" s="40" t="str">
        <x:v>账号状态、角色、最小权限、离职失效和越权验证</x:v>
      </x:c>
      <x:c r="M9" s="40" t="str">
        <x:v>未执行</x:v>
      </x:c>
      <x:c r="N9" s="40"/>
      <x:c r="O9" s="34" t="str">
        <x:v>安全/业务负责人</x:v>
      </x:c>
      <x:c r="P9" s="34"/>
    </x:row>
    <x:row r="10">
      <x:c r="A10" s="30" t="str">
        <x:v>MIG-006</x:v>
      </x:c>
      <x:c r="B10" s="30" t="str">
        <x:v>经营指标初始数据</x:v>
      </x:c>
      <x:c r="C10" s="30" t="str">
        <x:v>合同系统/BI</x:v>
      </x:c>
      <x:c r="D10" s="32" t="str">
        <x:v>合同金额、履约、收付款和风险指标</x:v>
      </x:c>
      <x:c r="E10" s="32" t="str">
        <x:v>全量汇总</x:v>
      </x:c>
      <x:c r="F10" s="30" t="str">
        <x:v>产品经理</x:v>
      </x:c>
      <x:c r="G10" s="31" t="n">
        <x:v>46527</x:v>
      </x:c>
      <x:c r="H10" s="45"/>
      <x:c r="I10" s="45"/>
      <x:c r="J10" s="45"/>
      <x:c r="K10" s="46" t="str">
        <x:f>IF(OR(H10="",I10=""),"",IF(H10=0,"n.a.",J10/H10))</x:f>
      </x:c>
      <x:c r="L10" s="40" t="str">
        <x:v>明细与报表汇总、指标口径和数据权限</x:v>
      </x:c>
      <x:c r="M10" s="40" t="str">
        <x:v>未执行</x:v>
      </x:c>
      <x:c r="N10" s="40"/>
      <x:c r="O10" s="34" t="str">
        <x:v>业务负责人</x:v>
      </x:c>
      <x:c r="P10" s="34"/>
    </x:row>
    <x:row r="11">
      <x:c r="A11" s="30"/>
      <x:c r="B11" s="30"/>
      <x:c r="C11" s="30"/>
      <x:c r="D11" s="32"/>
      <x:c r="E11" s="32"/>
      <x:c r="F11" s="30"/>
      <x:c r="G11" s="31"/>
      <x:c r="H11" s="45"/>
      <x:c r="I11" s="45"/>
      <x:c r="J11" s="45"/>
      <x:c r="K11" s="46"/>
      <x:c r="L11" s="40"/>
      <x:c r="M11" s="40"/>
      <x:c r="N11" s="40"/>
      <x:c r="O11" s="34"/>
      <x:c r="P11" s="34"/>
    </x:row>
    <x:row r="12">
      <x:c r="A12" s="30"/>
      <x:c r="B12" s="30"/>
      <x:c r="C12" s="30"/>
      <x:c r="D12" s="32"/>
      <x:c r="E12" s="32"/>
      <x:c r="F12" s="30"/>
      <x:c r="G12" s="31"/>
      <x:c r="H12" s="45"/>
      <x:c r="I12" s="45"/>
      <x:c r="J12" s="45"/>
      <x:c r="K12" s="46"/>
      <x:c r="L12" s="40"/>
      <x:c r="M12" s="40"/>
      <x:c r="N12" s="40"/>
      <x:c r="O12" s="34"/>
      <x:c r="P12" s="34"/>
    </x:row>
    <x:row r="13">
      <x:c r="A13" s="30"/>
      <x:c r="B13" s="30"/>
      <x:c r="C13" s="30"/>
      <x:c r="D13" s="32"/>
      <x:c r="E13" s="32"/>
      <x:c r="F13" s="30"/>
      <x:c r="G13" s="31"/>
      <x:c r="H13" s="45"/>
      <x:c r="I13" s="45"/>
      <x:c r="J13" s="45"/>
      <x:c r="K13" s="46"/>
      <x:c r="L13" s="40"/>
      <x:c r="M13" s="40"/>
      <x:c r="N13" s="40"/>
      <x:c r="O13" s="34"/>
      <x:c r="P13" s="34"/>
    </x:row>
    <x:row r="14">
      <x:c r="A14" s="30"/>
      <x:c r="B14" s="30"/>
      <x:c r="C14" s="30"/>
      <x:c r="D14" s="32"/>
      <x:c r="E14" s="32"/>
      <x:c r="F14" s="30"/>
      <x:c r="G14" s="31"/>
      <x:c r="H14" s="45"/>
      <x:c r="I14" s="45"/>
      <x:c r="J14" s="45"/>
      <x:c r="K14" s="46"/>
      <x:c r="L14" s="40"/>
      <x:c r="M14" s="40"/>
      <x:c r="N14" s="40"/>
      <x:c r="O14" s="34"/>
      <x:c r="P14" s="34"/>
    </x:row>
    <x:row r="15">
      <x:c r="A15" s="30"/>
      <x:c r="B15" s="30"/>
      <x:c r="C15" s="30"/>
      <x:c r="D15" s="32"/>
      <x:c r="E15" s="32"/>
      <x:c r="F15" s="30"/>
      <x:c r="G15" s="31"/>
      <x:c r="H15" s="45"/>
      <x:c r="I15" s="45"/>
      <x:c r="J15" s="45"/>
      <x:c r="K15" s="46"/>
      <x:c r="L15" s="40"/>
      <x:c r="M15" s="40"/>
      <x:c r="N15" s="40"/>
      <x:c r="O15" s="34"/>
      <x:c r="P15" s="34"/>
    </x:row>
    <x:row r="16">
      <x:c r="A16" s="30"/>
      <x:c r="B16" s="30"/>
      <x:c r="C16" s="30"/>
      <x:c r="D16" s="32"/>
      <x:c r="E16" s="32"/>
      <x:c r="F16" s="30"/>
      <x:c r="G16" s="31"/>
      <x:c r="H16" s="45"/>
      <x:c r="I16" s="45"/>
      <x:c r="J16" s="45"/>
      <x:c r="K16" s="46"/>
      <x:c r="L16" s="40"/>
      <x:c r="M16" s="40"/>
      <x:c r="N16" s="40"/>
      <x:c r="O16" s="34"/>
      <x:c r="P16" s="34"/>
    </x:row>
    <x:row r="17">
      <x:c r="A17" s="30"/>
      <x:c r="B17" s="30"/>
      <x:c r="C17" s="30"/>
      <x:c r="D17" s="32"/>
      <x:c r="E17" s="32"/>
      <x:c r="F17" s="30"/>
      <x:c r="G17" s="31"/>
      <x:c r="H17" s="45"/>
      <x:c r="I17" s="45"/>
      <x:c r="J17" s="45"/>
      <x:c r="K17" s="46"/>
      <x:c r="L17" s="40"/>
      <x:c r="M17" s="40"/>
      <x:c r="N17" s="40"/>
      <x:c r="O17" s="34"/>
      <x:c r="P17" s="34"/>
    </x:row>
    <x:row r="18">
      <x:c r="A18" s="30"/>
      <x:c r="B18" s="30"/>
      <x:c r="C18" s="30"/>
      <x:c r="D18" s="32"/>
      <x:c r="E18" s="32"/>
      <x:c r="F18" s="30"/>
      <x:c r="G18" s="31"/>
      <x:c r="H18" s="45"/>
      <x:c r="I18" s="45"/>
      <x:c r="J18" s="45"/>
      <x:c r="K18" s="46"/>
      <x:c r="L18" s="40"/>
      <x:c r="M18" s="40"/>
      <x:c r="N18" s="40"/>
      <x:c r="O18" s="34"/>
      <x:c r="P18" s="34"/>
    </x:row>
    <x:row r="19">
      <x:c r="A19" s="30"/>
      <x:c r="B19" s="30"/>
      <x:c r="C19" s="30"/>
      <x:c r="D19" s="32"/>
      <x:c r="E19" s="32"/>
      <x:c r="F19" s="30"/>
      <x:c r="G19" s="31"/>
      <x:c r="H19" s="45"/>
      <x:c r="I19" s="45"/>
      <x:c r="J19" s="45"/>
      <x:c r="K19" s="46"/>
      <x:c r="L19" s="40"/>
      <x:c r="M19" s="40"/>
      <x:c r="N19" s="40"/>
      <x:c r="O19" s="34"/>
      <x:c r="P19" s="34"/>
    </x:row>
    <x:row r="20">
      <x:c r="A20" s="30"/>
      <x:c r="B20" s="30"/>
      <x:c r="C20" s="30"/>
      <x:c r="D20" s="32"/>
      <x:c r="E20" s="32"/>
      <x:c r="F20" s="30"/>
      <x:c r="G20" s="31"/>
      <x:c r="H20" s="45"/>
      <x:c r="I20" s="45"/>
      <x:c r="J20" s="45"/>
      <x:c r="K20" s="46"/>
      <x:c r="L20" s="40"/>
      <x:c r="M20" s="40"/>
      <x:c r="N20" s="40"/>
      <x:c r="O20" s="34"/>
      <x:c r="P20" s="34"/>
    </x:row>
    <x:row r="21">
      <x:c r="A21" s="30"/>
      <x:c r="B21" s="30"/>
      <x:c r="C21" s="30"/>
      <x:c r="D21" s="32"/>
      <x:c r="E21" s="32"/>
      <x:c r="F21" s="30"/>
      <x:c r="G21" s="31"/>
      <x:c r="H21" s="45"/>
      <x:c r="I21" s="45"/>
      <x:c r="J21" s="45"/>
      <x:c r="K21" s="46"/>
      <x:c r="L21" s="40"/>
      <x:c r="M21" s="40"/>
      <x:c r="N21" s="40"/>
      <x:c r="O21" s="34"/>
      <x:c r="P21" s="34"/>
    </x:row>
    <x:row r="22">
      <x:c r="A22" s="30"/>
      <x:c r="B22" s="30"/>
      <x:c r="C22" s="30"/>
      <x:c r="D22" s="32"/>
      <x:c r="E22" s="32"/>
      <x:c r="F22" s="30"/>
      <x:c r="G22" s="31"/>
      <x:c r="H22" s="45"/>
      <x:c r="I22" s="45"/>
      <x:c r="J22" s="45"/>
      <x:c r="K22" s="46"/>
      <x:c r="L22" s="40"/>
      <x:c r="M22" s="40"/>
      <x:c r="N22" s="40"/>
      <x:c r="O22" s="34"/>
      <x:c r="P22" s="34"/>
    </x:row>
    <x:row r="23">
      <x:c r="A23" s="30"/>
      <x:c r="B23" s="30"/>
      <x:c r="C23" s="30"/>
      <x:c r="D23" s="32"/>
      <x:c r="E23" s="32"/>
      <x:c r="F23" s="30"/>
      <x:c r="G23" s="31"/>
      <x:c r="H23" s="45"/>
      <x:c r="I23" s="45"/>
      <x:c r="J23" s="45"/>
      <x:c r="K23" s="46"/>
      <x:c r="L23" s="40"/>
      <x:c r="M23" s="40"/>
      <x:c r="N23" s="40"/>
      <x:c r="O23" s="34"/>
      <x:c r="P23" s="34"/>
    </x:row>
    <x:row r="24">
      <x:c r="A24" s="30"/>
      <x:c r="B24" s="30"/>
      <x:c r="C24" s="30"/>
      <x:c r="D24" s="32"/>
      <x:c r="E24" s="32"/>
      <x:c r="F24" s="30"/>
      <x:c r="G24" s="31"/>
      <x:c r="H24" s="45"/>
      <x:c r="I24" s="45"/>
      <x:c r="J24" s="45"/>
      <x:c r="K24" s="46"/>
      <x:c r="L24" s="40"/>
      <x:c r="M24" s="40"/>
      <x:c r="N24" s="40"/>
      <x:c r="O24" s="34"/>
      <x:c r="P24" s="34"/>
    </x:row>
    <x:row r="25">
      <x:c r="A25" s="30"/>
      <x:c r="B25" s="30"/>
      <x:c r="C25" s="30"/>
      <x:c r="D25" s="32"/>
      <x:c r="E25" s="32"/>
      <x:c r="F25" s="30"/>
      <x:c r="G25" s="31"/>
      <x:c r="H25" s="45"/>
      <x:c r="I25" s="45"/>
      <x:c r="J25" s="45"/>
      <x:c r="K25" s="46"/>
      <x:c r="L25" s="40"/>
      <x:c r="M25" s="40"/>
      <x:c r="N25" s="40"/>
      <x:c r="O25" s="34"/>
      <x:c r="P25" s="34"/>
    </x:row>
    <x:row r="26">
      <x:c r="A26" s="30"/>
      <x:c r="B26" s="30"/>
      <x:c r="C26" s="30"/>
      <x:c r="D26" s="32"/>
      <x:c r="E26" s="32"/>
      <x:c r="F26" s="30"/>
      <x:c r="G26" s="31"/>
      <x:c r="H26" s="45"/>
      <x:c r="I26" s="45"/>
      <x:c r="J26" s="45"/>
      <x:c r="K26" s="46"/>
      <x:c r="L26" s="40"/>
      <x:c r="M26" s="40"/>
      <x:c r="N26" s="40"/>
      <x:c r="O26" s="34"/>
      <x:c r="P26" s="34"/>
    </x:row>
    <x:row r="27">
      <x:c r="A27" s="30"/>
      <x:c r="B27" s="30"/>
      <x:c r="C27" s="30"/>
      <x:c r="D27" s="32"/>
      <x:c r="E27" s="32"/>
      <x:c r="F27" s="30"/>
      <x:c r="G27" s="31"/>
      <x:c r="H27" s="45"/>
      <x:c r="I27" s="45"/>
      <x:c r="J27" s="45"/>
      <x:c r="K27" s="46"/>
      <x:c r="L27" s="40"/>
      <x:c r="M27" s="40"/>
      <x:c r="N27" s="40"/>
      <x:c r="O27" s="34"/>
      <x:c r="P27" s="34"/>
    </x:row>
    <x:row r="28">
      <x:c r="A28" s="30"/>
      <x:c r="B28" s="30"/>
      <x:c r="C28" s="30"/>
      <x:c r="D28" s="32"/>
      <x:c r="E28" s="32"/>
      <x:c r="F28" s="30"/>
      <x:c r="G28" s="31"/>
      <x:c r="H28" s="45"/>
      <x:c r="I28" s="45"/>
      <x:c r="J28" s="45"/>
      <x:c r="K28" s="46"/>
      <x:c r="L28" s="40"/>
      <x:c r="M28" s="40"/>
      <x:c r="N28" s="40"/>
      <x:c r="O28" s="34"/>
      <x:c r="P28" s="34"/>
    </x:row>
    <x:row r="29">
      <x:c r="A29" s="30"/>
      <x:c r="B29" s="30"/>
      <x:c r="C29" s="30"/>
      <x:c r="D29" s="32"/>
      <x:c r="E29" s="32"/>
      <x:c r="F29" s="30"/>
      <x:c r="G29" s="31"/>
      <x:c r="H29" s="45"/>
      <x:c r="I29" s="45"/>
      <x:c r="J29" s="45"/>
      <x:c r="K29" s="46"/>
      <x:c r="L29" s="40"/>
      <x:c r="M29" s="40"/>
      <x:c r="N29" s="40"/>
      <x:c r="O29" s="34"/>
      <x:c r="P29" s="34"/>
    </x:row>
    <x:row r="30">
      <x:c r="A30" s="30"/>
      <x:c r="B30" s="30"/>
      <x:c r="C30" s="30"/>
      <x:c r="D30" s="32"/>
      <x:c r="E30" s="32"/>
      <x:c r="F30" s="30"/>
      <x:c r="G30" s="31"/>
      <x:c r="H30" s="45"/>
      <x:c r="I30" s="45"/>
      <x:c r="J30" s="45"/>
      <x:c r="K30" s="46"/>
      <x:c r="L30" s="40"/>
      <x:c r="M30" s="40"/>
      <x:c r="N30" s="40"/>
      <x:c r="O30" s="34"/>
      <x:c r="P30" s="3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6" hidden="0" customWidth="1"/>
    <x:col min="4" max="4" width="19" hidden="0" customWidth="1"/>
    <x:col min="5" max="5" width="19" hidden="0" customWidth="1"/>
    <x:col min="6" max="6" width="19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8" hidden="0" customWidth="1"/>
    <x:col min="12" max="12" width="3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5" customHeight="1">
      <x:c r="A1" s="1" t="str">
        <x:v>切换执行计划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以实际时间、执行人、验证结果和证据记录整个上线窗口。</x:v>
      </x:c>
    </x:row>
    <x:row r="4" ht="32" customHeight="1">
      <x:c r="A4" s="29" t="str">
        <x:v>任务ID</x:v>
      </x:c>
      <x:c r="B4" s="29" t="str">
        <x:v>阶段</x:v>
      </x:c>
      <x:c r="C4" s="29" t="str">
        <x:v>切换任务</x:v>
      </x:c>
      <x:c r="D4" s="29" t="str">
        <x:v>前置任务</x:v>
      </x:c>
      <x:c r="E4" s="29" t="str">
        <x:v>负责人</x:v>
      </x:c>
      <x:c r="F4" s="29" t="str">
        <x:v>复核人</x:v>
      </x:c>
      <x:c r="G4" s="29" t="str">
        <x:v>计划开始</x:v>
      </x:c>
      <x:c r="H4" s="29" t="str">
        <x:v>计划结束</x:v>
      </x:c>
      <x:c r="I4" s="29" t="str">
        <x:v>实际开始</x:v>
      </x:c>
      <x:c r="J4" s="29" t="str">
        <x:v>实际结束</x:v>
      </x:c>
      <x:c r="K4" s="29" t="str">
        <x:v>执行命令/步骤</x:v>
      </x:c>
      <x:c r="L4" s="29" t="str">
        <x:v>验证方法</x:v>
      </x:c>
      <x:c r="M4" s="29" t="str">
        <x:v>状态</x:v>
      </x:c>
      <x:c r="N4" s="29" t="str">
        <x:v>执行结果</x:v>
      </x:c>
      <x:c r="O4" s="29" t="str">
        <x:v>证据</x:v>
      </x:c>
      <x:c r="P4" s="29" t="str">
        <x:v>异常/事件ID</x:v>
      </x:c>
    </x:row>
    <x:row r="5">
      <x:c r="A5" s="30" t="str">
        <x:v>CUT-001</x:v>
      </x:c>
      <x:c r="B5" s="30" t="str">
        <x:v>准备</x:v>
      </x:c>
      <x:c r="C5" s="32" t="str">
        <x:v>确认Go/No-Go批准</x:v>
      </x:c>
      <x:c r="D5" s="32" t="str"/>
      <x:c r="E5" s="30" t="str">
        <x:v>项目集经理</x:v>
      </x:c>
      <x:c r="F5" s="30" t="str">
        <x:v>项目赞助人</x:v>
      </x:c>
      <x:c r="G5" s="31" t="n">
        <x:v>46535</x:v>
      </x:c>
      <x:c r="H5" s="31" t="n">
        <x:v>46535</x:v>
      </x:c>
      <x:c r="I5" s="44"/>
      <x:c r="J5" s="44"/>
      <x:c r="K5" s="40" t="str">
        <x:v>核对门禁、风险批准和责任人</x:v>
      </x:c>
      <x:c r="L5" s="40" t="str">
        <x:v>决策记录完整</x:v>
      </x:c>
      <x:c r="M5" s="34" t="str">
        <x:v>未开始</x:v>
      </x:c>
      <x:c r="N5" s="34"/>
      <x:c r="O5" s="34"/>
      <x:c r="P5" s="34"/>
    </x:row>
    <x:row r="6">
      <x:c r="A6" s="30" t="str">
        <x:v>CUT-002</x:v>
      </x:c>
      <x:c r="B6" s="30" t="str">
        <x:v>准备</x:v>
      </x:c>
      <x:c r="C6" s="32" t="str">
        <x:v>冻结代码、配置、数据规则和接口</x:v>
      </x:c>
      <x:c r="D6" s="32" t="str">
        <x:v>CUT-001</x:v>
      </x:c>
      <x:c r="E6" s="30" t="str">
        <x:v>技术经理</x:v>
      </x:c>
      <x:c r="F6" s="30" t="str">
        <x:v>项目经理</x:v>
      </x:c>
      <x:c r="G6" s="31" t="n">
        <x:v>46535</x:v>
      </x:c>
      <x:c r="H6" s="31" t="n">
        <x:v>46535</x:v>
      </x:c>
      <x:c r="I6" s="44"/>
      <x:c r="J6" s="44"/>
      <x:c r="K6" s="40" t="str">
        <x:v>标记生产基线，关闭普通变更入口</x:v>
      </x:c>
      <x:c r="L6" s="40" t="str">
        <x:v>基线编号、校验值可追溯</x:v>
      </x:c>
      <x:c r="M6" s="34" t="str">
        <x:v>未开始</x:v>
      </x:c>
      <x:c r="N6" s="34"/>
      <x:c r="O6" s="34"/>
      <x:c r="P6" s="34"/>
    </x:row>
    <x:row r="7">
      <x:c r="A7" s="30" t="str">
        <x:v>CUT-003</x:v>
      </x:c>
      <x:c r="B7" s="30" t="str">
        <x:v>备份</x:v>
      </x:c>
      <x:c r="C7" s="32" t="str">
        <x:v>执行生产前数据、文件、配置和密钥备份</x:v>
      </x:c>
      <x:c r="D7" s="32" t="str">
        <x:v>CUT-002</x:v>
      </x:c>
      <x:c r="E7" s="30" t="str">
        <x:v>配置人员</x:v>
      </x:c>
      <x:c r="F7" s="30" t="str">
        <x:v>技术经理</x:v>
      </x:c>
      <x:c r="G7" s="31" t="n">
        <x:v>46536</x:v>
      </x:c>
      <x:c r="H7" s="31" t="n">
        <x:v>46536</x:v>
      </x:c>
      <x:c r="I7" s="44"/>
      <x:c r="J7" s="44"/>
      <x:c r="K7" s="40" t="str">
        <x:v>按备份清单执行并记录校验值</x:v>
      </x:c>
      <x:c r="L7" s="40" t="str">
        <x:v>恢复抽样成功</x:v>
      </x:c>
      <x:c r="M7" s="34" t="str">
        <x:v>未开始</x:v>
      </x:c>
      <x:c r="N7" s="34"/>
      <x:c r="O7" s="34"/>
      <x:c r="P7" s="34"/>
    </x:row>
    <x:row r="8">
      <x:c r="A8" s="30" t="str">
        <x:v>CUT-004</x:v>
      </x:c>
      <x:c r="B8" s="30" t="str">
        <x:v>部署</x:v>
      </x:c>
      <x:c r="C8" s="32" t="str">
        <x:v>部署应用、配置、中间件和数据库变更</x:v>
      </x:c>
      <x:c r="D8" s="32" t="str">
        <x:v>CUT-003</x:v>
      </x:c>
      <x:c r="E8" s="30" t="str">
        <x:v>技术经理</x:v>
      </x:c>
      <x:c r="F8" s="30" t="str">
        <x:v>配置人员</x:v>
      </x:c>
      <x:c r="G8" s="31" t="n">
        <x:v>46536</x:v>
      </x:c>
      <x:c r="H8" s="31" t="n">
        <x:v>46536</x:v>
      </x:c>
      <x:c r="I8" s="44"/>
      <x:c r="J8" s="44"/>
      <x:c r="K8" s="40" t="str">
        <x:v>按发布手册和自动化脚本执行</x:v>
      </x:c>
      <x:c r="L8" s="40" t="str">
        <x:v>版本、配置、进程和日志正常</x:v>
      </x:c>
      <x:c r="M8" s="34" t="str">
        <x:v>未开始</x:v>
      </x:c>
      <x:c r="N8" s="34"/>
      <x:c r="O8" s="34"/>
      <x:c r="P8" s="34"/>
    </x:row>
    <x:row r="9">
      <x:c r="A9" s="30" t="str">
        <x:v>CUT-005</x:v>
      </x:c>
      <x:c r="B9" s="30" t="str">
        <x:v>数据</x:v>
      </x:c>
      <x:c r="C9" s="32" t="str">
        <x:v>执行全量/增量数据迁移</x:v>
      </x:c>
      <x:c r="D9" s="32" t="str">
        <x:v>CUT-003</x:v>
      </x:c>
      <x:c r="E9" s="30" t="str">
        <x:v>产品经理</x:v>
      </x:c>
      <x:c r="F9" s="30" t="str">
        <x:v>技术经理</x:v>
      </x:c>
      <x:c r="G9" s="31" t="n">
        <x:v>46536</x:v>
      </x:c>
      <x:c r="H9" s="31" t="n">
        <x:v>46537</x:v>
      </x:c>
      <x:c r="I9" s="44"/>
      <x:c r="J9" s="44"/>
      <x:c r="K9" s="40" t="str">
        <x:v>执行迁移脚本、增量补数和对账</x:v>
      </x:c>
      <x:c r="L9" s="40" t="str">
        <x:v>迁移对象逐项核验</x:v>
      </x:c>
      <x:c r="M9" s="34" t="str">
        <x:v>未开始</x:v>
      </x:c>
      <x:c r="N9" s="34"/>
      <x:c r="O9" s="34"/>
      <x:c r="P9" s="34"/>
    </x:row>
    <x:row r="10">
      <x:c r="A10" s="30" t="str">
        <x:v>CUT-006</x:v>
      </x:c>
      <x:c r="B10" s="30" t="str">
        <x:v>集成</x:v>
      </x:c>
      <x:c r="C10" s="32" t="str">
        <x:v>启用ERP/财务/OA/CA/文档/BI/主数据生产接口</x:v>
      </x:c>
      <x:c r="D10" s="32" t="str">
        <x:v>CUT-004,CUT-005</x:v>
      </x:c>
      <x:c r="E10" s="30" t="str">
        <x:v>技术经理</x:v>
      </x:c>
      <x:c r="F10" s="30" t="str">
        <x:v>接口负责人</x:v>
      </x:c>
      <x:c r="G10" s="31" t="n">
        <x:v>46537</x:v>
      </x:c>
      <x:c r="H10" s="31" t="n">
        <x:v>46537</x:v>
      </x:c>
      <x:c r="I10" s="44"/>
      <x:c r="J10" s="44"/>
      <x:c r="K10" s="40" t="str">
        <x:v>配置生产端点、证书、账号和调度</x:v>
      </x:c>
      <x:c r="L10" s="40" t="str">
        <x:v>健康检查、交易测试和对账</x:v>
      </x:c>
      <x:c r="M10" s="34" t="str">
        <x:v>未开始</x:v>
      </x:c>
      <x:c r="N10" s="34"/>
      <x:c r="O10" s="34"/>
      <x:c r="P10" s="34"/>
    </x:row>
    <x:row r="11">
      <x:c r="A11" s="30" t="str">
        <x:v>CUT-007</x:v>
      </x:c>
      <x:c r="B11" s="30" t="str">
        <x:v>权限</x:v>
      </x:c>
      <x:c r="C11" s="32" t="str">
        <x:v>初始化生产用户、角色和数据权限</x:v>
      </x:c>
      <x:c r="D11" s="32" t="str">
        <x:v>CUT-004,CUT-005</x:v>
      </x:c>
      <x:c r="E11" s="30" t="str">
        <x:v>产品经理</x:v>
      </x:c>
      <x:c r="F11" s="30" t="str">
        <x:v>安全负责人</x:v>
      </x:c>
      <x:c r="G11" s="31" t="n">
        <x:v>46537</x:v>
      </x:c>
      <x:c r="H11" s="31" t="n">
        <x:v>46537</x:v>
      </x:c>
      <x:c r="I11" s="44"/>
      <x:c r="J11" s="44"/>
      <x:c r="K11" s="40" t="str">
        <x:v>导入批准用户和权限清单</x:v>
      </x:c>
      <x:c r="L11" s="40" t="str">
        <x:v>允许、拒绝、数据范围和审计验证</x:v>
      </x:c>
      <x:c r="M11" s="34" t="str">
        <x:v>未开始</x:v>
      </x:c>
      <x:c r="N11" s="34"/>
      <x:c r="O11" s="34"/>
      <x:c r="P11" s="34"/>
    </x:row>
    <x:row r="12">
      <x:c r="A12" s="30" t="str">
        <x:v>CUT-008</x:v>
      </x:c>
      <x:c r="B12" s="30" t="str">
        <x:v>验证</x:v>
      </x:c>
      <x:c r="C12" s="32" t="str">
        <x:v>执行核心合同生命周期烟测</x:v>
      </x:c>
      <x:c r="D12" s="32" t="str">
        <x:v>CUT-004,CUT-005,CUT-006,CUT-007</x:v>
      </x:c>
      <x:c r="E12" s="30" t="str">
        <x:v>测试负责人</x:v>
      </x:c>
      <x:c r="F12" s="30" t="str">
        <x:v>产品经理</x:v>
      </x:c>
      <x:c r="G12" s="31" t="n">
        <x:v>46537</x:v>
      </x:c>
      <x:c r="H12" s="31" t="n">
        <x:v>46538</x:v>
      </x:c>
      <x:c r="I12" s="44"/>
      <x:c r="J12" s="44"/>
      <x:c r="K12" s="40" t="str">
        <x:v>创建、审查、审批、签署、履约、变更、归档</x:v>
      </x:c>
      <x:c r="L12" s="40" t="str">
        <x:v>业务结果、数据、接口和审计日志正确</x:v>
      </x:c>
      <x:c r="M12" s="34" t="str">
        <x:v>未开始</x:v>
      </x:c>
      <x:c r="N12" s="34"/>
      <x:c r="O12" s="34"/>
      <x:c r="P12" s="34"/>
    </x:row>
    <x:row r="13">
      <x:c r="A13" s="30" t="str">
        <x:v>CUT-009</x:v>
      </x:c>
      <x:c r="B13" s="30" t="str">
        <x:v>监控</x:v>
      </x:c>
      <x:c r="C13" s="32" t="str">
        <x:v>启用监控、告警、日志聚合和值班通知</x:v>
      </x:c>
      <x:c r="D13" s="32" t="str">
        <x:v>CUT-004</x:v>
      </x:c>
      <x:c r="E13" s="30" t="str">
        <x:v>技术经理</x:v>
      </x:c>
      <x:c r="F13" s="30" t="str">
        <x:v>运维负责人</x:v>
      </x:c>
      <x:c r="G13" s="31" t="n">
        <x:v>46537</x:v>
      </x:c>
      <x:c r="H13" s="31" t="n">
        <x:v>46537</x:v>
      </x:c>
      <x:c r="I13" s="44"/>
      <x:c r="J13" s="44"/>
      <x:c r="K13" s="40" t="str">
        <x:v>开启监控项、告警规则和通知链路</x:v>
      </x:c>
      <x:c r="L13" s="40" t="str">
        <x:v>模拟告警可送达并处理</x:v>
      </x:c>
      <x:c r="M13" s="34" t="str">
        <x:v>未开始</x:v>
      </x:c>
      <x:c r="N13" s="34"/>
      <x:c r="O13" s="34"/>
      <x:c r="P13" s="34"/>
    </x:row>
    <x:row r="14">
      <x:c r="A14" s="30" t="str">
        <x:v>CUT-010</x:v>
      </x:c>
      <x:c r="B14" s="30" t="str">
        <x:v>业务</x:v>
      </x:c>
      <x:c r="C14" s="32" t="str">
        <x:v>发布上线通知并开放生产访问</x:v>
      </x:c>
      <x:c r="D14" s="32" t="str">
        <x:v>CUT-008,CUT-009</x:v>
      </x:c>
      <x:c r="E14" s="30" t="str">
        <x:v>项目经理</x:v>
      </x:c>
      <x:c r="F14" s="30" t="str">
        <x:v>业务负责人</x:v>
      </x:c>
      <x:c r="G14" s="31" t="n">
        <x:v>46538</x:v>
      </x:c>
      <x:c r="H14" s="31" t="n">
        <x:v>46538</x:v>
      </x:c>
      <x:c r="I14" s="44"/>
      <x:c r="J14" s="44"/>
      <x:c r="K14" s="40" t="str">
        <x:v>按通知模板发送用户范围、入口和支持方式</x:v>
      </x:c>
      <x:c r="L14" s="40" t="str">
        <x:v>关键用户确认可访问</x:v>
      </x:c>
      <x:c r="M14" s="34" t="str">
        <x:v>未开始</x:v>
      </x:c>
      <x:c r="N14" s="34"/>
      <x:c r="O14" s="34"/>
      <x:c r="P14" s="34"/>
    </x:row>
    <x:row r="15">
      <x:c r="A15" s="30" t="str">
        <x:v>CUT-011</x:v>
      </x:c>
      <x:c r="B15" s="30" t="str">
        <x:v>试运行</x:v>
      </x:c>
      <x:c r="C15" s="32" t="str">
        <x:v>启动试运行值守和每日跟踪</x:v>
      </x:c>
      <x:c r="D15" s="32" t="str">
        <x:v>CUT-010</x:v>
      </x:c>
      <x:c r="E15" s="30" t="str">
        <x:v>项目经理</x:v>
      </x:c>
      <x:c r="F15" s="30" t="str">
        <x:v>项目集经理</x:v>
      </x:c>
      <x:c r="G15" s="31" t="n">
        <x:v>46539</x:v>
      </x:c>
      <x:c r="H15" s="31" t="n">
        <x:v>46539</x:v>
      </x:c>
      <x:c r="I15" s="44"/>
      <x:c r="J15" s="44"/>
      <x:c r="K15" s="40" t="str">
        <x:v>启动值班表、工单渠道、SLA和日报</x:v>
      </x:c>
      <x:c r="L15" s="40" t="str">
        <x:v>首日状态和联络链路正常</x:v>
      </x:c>
      <x:c r="M15" s="34" t="str">
        <x:v>未开始</x:v>
      </x:c>
      <x:c r="N15" s="34"/>
      <x:c r="O15" s="34"/>
      <x:c r="P15" s="34"/>
    </x:row>
    <x:row r="16">
      <x:c r="A16" s="30" t="str">
        <x:v>CUT-012</x:v>
      </x:c>
      <x:c r="B16" s="30" t="str">
        <x:v>收尾</x:v>
      </x:c>
      <x:c r="C16" s="32" t="str">
        <x:v>完成生产验证报告和窗口复盘</x:v>
      </x:c>
      <x:c r="D16" s="32" t="str">
        <x:v>CUT-010</x:v>
      </x:c>
      <x:c r="E16" s="30" t="str">
        <x:v>项目经理</x:v>
      </x:c>
      <x:c r="F16" s="30" t="str">
        <x:v>项目集经理</x:v>
      </x:c>
      <x:c r="G16" s="31" t="n">
        <x:v>46539</x:v>
      </x:c>
      <x:c r="H16" s="31" t="n">
        <x:v>46540</x:v>
      </x:c>
      <x:c r="I16" s="44"/>
      <x:c r="J16" s="44"/>
      <x:c r="K16" s="40" t="str">
        <x:v>汇总任务、异常、用时、结果和遗留项</x:v>
      </x:c>
      <x:c r="L16" s="40" t="str">
        <x:v>报告和行动项获得确认</x:v>
      </x:c>
      <x:c r="M16" s="34" t="str">
        <x:v>未开始</x:v>
      </x:c>
      <x:c r="N16" s="34"/>
      <x:c r="O16" s="34"/>
      <x:c r="P16" s="34"/>
    </x:row>
  </x:sheetData>
  <x:dataValidations count="1">
    <x:dataValidation type="list" sqref="M5:M54">
      <x:formula1>"未开始,就绪,执行中,已完成,失败,已回退,取消"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6" hidden="0" customWidth="1"/>
    <x:col min="3" max="3" width="36" hidden="0" customWidth="1"/>
    <x:col min="4" max="4" width="22" hidden="0" customWidth="1"/>
    <x:col min="5" max="5" width="22" hidden="0" customWidth="1"/>
    <x:col min="6" max="6" width="38" hidden="0" customWidth="1"/>
    <x:col min="7" max="7" width="38" hidden="0" customWidth="1"/>
    <x:col min="8" max="8" width="38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5" customHeight="1">
      <x:c r="A1" s="1" t="str">
        <x:v>回退方案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回退的核心是明确触发条件、决策时限、数据边界、恢复验证和沟通责任。</x:v>
      </x:c>
    </x:row>
    <x:row r="4" ht="32" customHeight="1">
      <x:c r="A4" s="29" t="str">
        <x:v>回退ID</x:v>
      </x:c>
      <x:c r="B4" s="29" t="str">
        <x:v>场景</x:v>
      </x:c>
      <x:c r="C4" s="29" t="str">
        <x:v>触发条件</x:v>
      </x:c>
      <x:c r="D4" s="29" t="str">
        <x:v>决策人</x:v>
      </x:c>
      <x:c r="E4" s="29" t="str">
        <x:v>决策截止</x:v>
      </x:c>
      <x:c r="F4" s="29" t="str">
        <x:v>回退步骤</x:v>
      </x:c>
      <x:c r="G4" s="29" t="str">
        <x:v>数据处理</x:v>
      </x:c>
      <x:c r="H4" s="29" t="str">
        <x:v>验证方法</x:v>
      </x:c>
      <x:c r="I4" s="29" t="str">
        <x:v>RTO目标</x:v>
      </x:c>
      <x:c r="J4" s="29" t="str">
        <x:v>RPO目标</x:v>
      </x:c>
      <x:c r="K4" s="29" t="str">
        <x:v>执行负责人</x:v>
      </x:c>
      <x:c r="L4" s="29" t="str">
        <x:v>沟通对象</x:v>
      </x:c>
      <x:c r="M4" s="29" t="str">
        <x:v>演练结果</x:v>
      </x:c>
      <x:c r="N4" s="29" t="str">
        <x:v>证据</x:v>
      </x:c>
    </x:row>
    <x:row r="5">
      <x:c r="A5" s="30" t="str">
        <x:v>RBK-001</x:v>
      </x:c>
      <x:c r="B5" s="32" t="str">
        <x:v>应用版本无法启动/核心链路不可用</x:v>
      </x:c>
      <x:c r="C5" s="32" t="str">
        <x:v>两次修复失败或超过切换窗口</x:v>
      </x:c>
      <x:c r="D5" s="32" t="str">
        <x:v>项目集经理</x:v>
      </x:c>
      <x:c r="E5" s="32" t="str">
        <x:v>问题确认后30分钟</x:v>
      </x:c>
      <x:c r="F5" s="32" t="str">
        <x:v>停止流量、卸载/停用新版本、恢复旧版、验证</x:v>
      </x:c>
      <x:c r="G5" s="32" t="str">
        <x:v>新版交易统计并按方案补偿</x:v>
      </x:c>
      <x:c r="H5" s="32" t="str">
        <x:v>登录、核心流程、接口、日志</x:v>
      </x:c>
      <x:c r="I5" s="30" t="str">
        <x:v>2小时</x:v>
      </x:c>
      <x:c r="J5" s="30" t="str">
        <x:v>15分钟</x:v>
      </x:c>
      <x:c r="K5" s="30" t="str">
        <x:v>技术经理</x:v>
      </x:c>
      <x:c r="L5" s="30" t="str">
        <x:v>业务、管理层、项目组</x:v>
      </x:c>
      <x:c r="M5" s="34" t="str">
        <x:v>未演练</x:v>
      </x:c>
      <x:c r="N5" s="34"/>
    </x:row>
    <x:row r="6">
      <x:c r="A6" s="30" t="str">
        <x:v>RBK-002</x:v>
      </x:c>
      <x:c r="B6" s="32" t="str">
        <x:v>数据迁移差异不可接受</x:v>
      </x:c>
      <x:c r="C6" s="32" t="str">
        <x:v>关键数据不完整、金额或状态差异无法在窗口内解决</x:v>
      </x:c>
      <x:c r="D6" s="32" t="str">
        <x:v>项目集经理</x:v>
      </x:c>
      <x:c r="E6" s="32" t="str">
        <x:v>对账结果出具后30分钟</x:v>
      </x:c>
      <x:c r="F6" s="32" t="str">
        <x:v>停止开放、保留旧系统、恢复备份、重新对账</x:v>
      </x:c>
      <x:c r="G6" s="32" t="str">
        <x:v>禁止双写，保留迁移批次和差异明细</x:v>
      </x:c>
      <x:c r="H6" s="32" t="str">
        <x:v>数量、金额、状态、附件和抽样</x:v>
      </x:c>
      <x:c r="I6" s="30" t="str">
        <x:v>4小时</x:v>
      </x:c>
      <x:c r="J6" s="30" t="str">
        <x:v>0</x:v>
      </x:c>
      <x:c r="K6" s="30" t="str">
        <x:v>产品经理/技术经理</x:v>
      </x:c>
      <x:c r="L6" s="30" t="str">
        <x:v>业务、财务、管理层</x:v>
      </x:c>
      <x:c r="M6" s="34" t="str">
        <x:v>未演练</x:v>
      </x:c>
      <x:c r="N6" s="34"/>
    </x:row>
    <x:row r="7">
      <x:c r="A7" s="30" t="str">
        <x:v>RBK-003</x:v>
      </x:c>
      <x:c r="B7" s="32" t="str">
        <x:v>外部接口核心交易不可用</x:v>
      </x:c>
      <x:c r="C7" s="32" t="str">
        <x:v>核心ERP/财务/CA/文档接口无法在时限内恢复</x:v>
      </x:c>
      <x:c r="D7" s="32" t="str">
        <x:v>项目集经理</x:v>
      </x:c>
      <x:c r="E7" s="32" t="str">
        <x:v>问题确认后60分钟</x:v>
      </x:c>
      <x:c r="F7" s="32" t="str">
        <x:v>停止新交易、切换旧链路/手工方案、重新对账</x:v>
      </x:c>
      <x:c r="G7" s="32" t="str">
        <x:v>记录待补偿交易和幂等键</x:v>
      </x:c>
      <x:c r="H7" s="32" t="str">
        <x:v>健康检查、交易、重试、补偿和对账</x:v>
      </x:c>
      <x:c r="I7" s="30" t="str">
        <x:v>2小时</x:v>
      </x:c>
      <x:c r="J7" s="30" t="str">
        <x:v>15分钟</x:v>
      </x:c>
      <x:c r="K7" s="30" t="str">
        <x:v>技术经理</x:v>
      </x:c>
      <x:c r="L7" s="30" t="str">
        <x:v>业务、外部系统、项目组</x:v>
      </x:c>
      <x:c r="M7" s="34" t="str">
        <x:v>未演练</x:v>
      </x:c>
      <x:c r="N7" s="34"/>
    </x:row>
    <x:row r="8">
      <x:c r="A8" s="30" t="str">
        <x:v>RBK-004</x:v>
      </x:c>
      <x:c r="B8" s="32" t="str">
        <x:v>权限或安全问题</x:v>
      </x:c>
      <x:c r="C8" s="32" t="str">
        <x:v>发生严重越权、数据泄露或高风险漏洞</x:v>
      </x:c>
      <x:c r="D8" s="32" t="str">
        <x:v>项目赞助人/安全负责人</x:v>
      </x:c>
      <x:c r="E8" s="32" t="str">
        <x:v>立即</x:v>
      </x:c>
      <x:c r="F8" s="32" t="str">
        <x:v>关闭入口、停止服务、保全日志、回退、启动应急响应</x:v>
      </x:c>
      <x:c r="G8" s="32" t="str">
        <x:v>保留现场，禁止未授权修改</x:v>
      </x:c>
      <x:c r="H8" s="32" t="str">
        <x:v>安全扫描、权限验证、日志审计</x:v>
      </x:c>
      <x:c r="I8" s="30" t="str">
        <x:v>2小时</x:v>
      </x:c>
      <x:c r="J8" s="30" t="str">
        <x:v>0</x:v>
      </x:c>
      <x:c r="K8" s="30" t="str">
        <x:v>技术经理</x:v>
      </x:c>
      <x:c r="L8" s="30" t="str">
        <x:v>安全、管理层、业务、法务</x:v>
      </x:c>
      <x:c r="M8" s="34" t="str">
        <x:v>未演练</x:v>
      </x:c>
      <x:c r="N8" s="34"/>
    </x:row>
    <x:row r="9">
      <x:c r="A9" s="30" t="str">
        <x:v>RBK-005</x:v>
      </x:c>
      <x:c r="B9" s="32" t="str">
        <x:v>性能或容量严重不足</x:v>
      </x:c>
      <x:c r="C9" s="32" t="str">
        <x:v>核心业务超时/错误率超阈值且扩容无效</x:v>
      </x:c>
      <x:c r="D9" s="32" t="str">
        <x:v>项目集经理</x:v>
      </x:c>
      <x:c r="E9" s="32" t="str">
        <x:v>超阈值后60分钟</x:v>
      </x:c>
      <x:c r="F9" s="32" t="str">
        <x:v>限流、降级、扩容，仍无效时回退</x:v>
      </x:c>
      <x:c r="G9" s="32" t="str">
        <x:v>确保交易不丢失不重复</x:v>
      </x:c>
      <x:c r="H9" s="32" t="str">
        <x:v>压力、交易量、错误率、资源和业务体验</x:v>
      </x:c>
      <x:c r="I9" s="30" t="str">
        <x:v>2小时</x:v>
      </x:c>
      <x:c r="J9" s="30" t="str">
        <x:v>15分钟</x:v>
      </x:c>
      <x:c r="K9" s="30" t="str">
        <x:v>技术经理</x:v>
      </x:c>
      <x:c r="L9" s="30" t="str">
        <x:v>业务、运维、管理层</x:v>
      </x:c>
      <x:c r="M9" s="34" t="str">
        <x:v>未演练</x:v>
      </x:c>
      <x:c r="N9" s="34"/>
    </x:row>
    <x:row r="10">
      <x:c r="A10" s="30" t="str">
        <x:v>RBK-006</x:v>
      </x:c>
      <x:c r="B10" s="32" t="str">
        <x:v>回退后验证</x:v>
      </x:c>
      <x:c r="C10" s="32" t="str">
        <x:v>任一回退场景触发</x:v>
      </x:c>
      <x:c r="D10" s="32" t="str">
        <x:v>项目集经理</x:v>
      </x:c>
      <x:c r="E10" s="32" t="str">
        <x:v>回退后30分钟内启动验证</x:v>
      </x:c>
      <x:c r="F10" s="32" t="str">
        <x:v>检查系统、数据、接口、权限、监控，发布恢复通知</x:v>
      </x:c>
      <x:c r="G10" s="32" t="str">
        <x:v>对账回退前后交易并形成补偿清单</x:v>
      </x:c>
      <x:c r="H10" s="32" t="str">
        <x:v>核心合同生命周期业务烟测</x:v>
      </x:c>
      <x:c r="I10" s="30" t="str">
        <x:v>1小时</x:v>
      </x:c>
      <x:c r="J10" s="30" t="str">
        <x:v>15分钟</x:v>
      </x:c>
      <x:c r="K10" s="30" t="str">
        <x:v>测试负责人</x:v>
      </x:c>
      <x:c r="L10" s="30" t="str">
        <x:v>全体相关方</x:v>
      </x:c>
      <x:c r="M10" s="34" t="str">
        <x:v>未演练</x:v>
      </x:c>
      <x:c r="N10" s="3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0" hidden="0" customWidth="1"/>
    <x:col min="4" max="4" width="4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1" t="str">
        <x:v>移交清单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移交以接收人可独立运营和可检索证据为完成标准。</x:v>
      </x:c>
    </x:row>
    <x:row r="4" ht="32" customHeight="1">
      <x:c r="A4" s="29" t="str">
        <x:v>移交ID</x:v>
      </x:c>
      <x:c r="B4" s="29" t="str">
        <x:v>类别</x:v>
      </x:c>
      <x:c r="C4" s="29" t="str">
        <x:v>移交项</x:v>
      </x:c>
      <x:c r="D4" s="29" t="str">
        <x:v>交付标准</x:v>
      </x:c>
      <x:c r="E4" s="29" t="str">
        <x:v>移交人</x:v>
      </x:c>
      <x:c r="F4" s="29" t="str">
        <x:v>接收人</x:v>
      </x:c>
      <x:c r="G4" s="29" t="str">
        <x:v>计划日期</x:v>
      </x:c>
      <x:c r="H4" s="29" t="str">
        <x:v>实际日期</x:v>
      </x:c>
      <x:c r="I4" s="29" t="str">
        <x:v>存放位置/链接</x:v>
      </x:c>
      <x:c r="J4" s="29" t="str">
        <x:v>状态</x:v>
      </x:c>
      <x:c r="K4" s="29" t="str">
        <x:v>确认人</x:v>
      </x:c>
      <x:c r="L4" s="29" t="str">
        <x:v>备注</x:v>
      </x:c>
    </x:row>
    <x:row r="5">
      <x:c r="A5" s="30" t="str">
        <x:v>HOV-001</x:v>
      </x:c>
      <x:c r="B5" s="30" t="str">
        <x:v>管理</x:v>
      </x:c>
      <x:c r="C5" s="32" t="str">
        <x:v>项目章程、基线、决策、风险、变更和会议记录</x:v>
      </x:c>
      <x:c r="D5" s="32" t="str">
        <x:v>索引完整、版本可追溯</x:v>
      </x:c>
      <x:c r="E5" s="30" t="str">
        <x:v>项目经理</x:v>
      </x:c>
      <x:c r="F5" s="30" t="str">
        <x:v>运营负责人</x:v>
      </x:c>
      <x:c r="G5" s="31" t="n">
        <x:v>46558</x:v>
      </x:c>
      <x:c r="H5" s="44"/>
      <x:c r="I5" s="34"/>
      <x:c r="J5" s="34" t="str">
        <x:v>未开始</x:v>
      </x:c>
      <x:c r="K5" s="34"/>
      <x:c r="L5" s="34"/>
    </x:row>
    <x:row r="6">
      <x:c r="A6" s="30" t="str">
        <x:v>HOV-002</x:v>
      </x:c>
      <x:c r="B6" s="30" t="str">
        <x:v>业务</x:v>
      </x:c>
      <x:c r="C6" s="32" t="str">
        <x:v>业务流程、规则、配置、权限和指标口径</x:v>
      </x:c>
      <x:c r="D6" s="32" t="str">
        <x:v>与生产配置一致并通过业务确认</x:v>
      </x:c>
      <x:c r="E6" s="30" t="str">
        <x:v>产品经理</x:v>
      </x:c>
      <x:c r="F6" s="30" t="str">
        <x:v>业务运营负责人</x:v>
      </x:c>
      <x:c r="G6" s="31" t="n">
        <x:v>46558</x:v>
      </x:c>
      <x:c r="H6" s="44"/>
      <x:c r="I6" s="34"/>
      <x:c r="J6" s="34" t="str">
        <x:v>未开始</x:v>
      </x:c>
      <x:c r="K6" s="34"/>
      <x:c r="L6" s="34"/>
    </x:row>
    <x:row r="7">
      <x:c r="A7" s="30" t="str">
        <x:v>HOV-003</x:v>
      </x:c>
      <x:c r="B7" s="30" t="str">
        <x:v>用户</x:v>
      </x:c>
      <x:c r="C7" s="32" t="str">
        <x:v>用户手册、常见问题和培训材料</x:v>
      </x:c>
      <x:c r="D7" s="32" t="str">
        <x:v>文档可用，关键用户完成培训</x:v>
      </x:c>
      <x:c r="E7" s="30" t="str">
        <x:v>产品经理</x:v>
      </x:c>
      <x:c r="F7" s="30" t="str">
        <x:v>业务运营负责人</x:v>
      </x:c>
      <x:c r="G7" s="31" t="n">
        <x:v>46558</x:v>
      </x:c>
      <x:c r="H7" s="44"/>
      <x:c r="I7" s="34"/>
      <x:c r="J7" s="34" t="str">
        <x:v>未开始</x:v>
      </x:c>
      <x:c r="K7" s="34"/>
      <x:c r="L7" s="34"/>
    </x:row>
    <x:row r="8">
      <x:c r="A8" s="30" t="str">
        <x:v>HOV-004</x:v>
      </x:c>
      <x:c r="B8" s="30" t="str">
        <x:v>技术</x:v>
      </x:c>
      <x:c r="C8" s="32" t="str">
        <x:v>架构、部署、接口、数据、安全和性能文档</x:v>
      </x:c>
      <x:c r="D8" s="32" t="str">
        <x:v>与生产一致，关键决策和已知限制明确</x:v>
      </x:c>
      <x:c r="E8" s="30" t="str">
        <x:v>技术经理</x:v>
      </x:c>
      <x:c r="F8" s="30" t="str">
        <x:v>运维负责人</x:v>
      </x:c>
      <x:c r="G8" s="31" t="n">
        <x:v>46558</x:v>
      </x:c>
      <x:c r="H8" s="44"/>
      <x:c r="I8" s="34"/>
      <x:c r="J8" s="34" t="str">
        <x:v>未开始</x:v>
      </x:c>
      <x:c r="K8" s="34"/>
      <x:c r="L8" s="34"/>
    </x:row>
    <x:row r="9">
      <x:c r="A9" s="30" t="str">
        <x:v>HOV-005</x:v>
      </x:c>
      <x:c r="B9" s="30" t="str">
        <x:v>运维</x:v>
      </x:c>
      <x:c r="C9" s="32" t="str">
        <x:v>运维手册、监控、告警、备份、恢复和日常巡检</x:v>
      </x:c>
      <x:c r="D9" s="32" t="str">
        <x:v>运维人员可独立执行标准操作</x:v>
      </x:c>
      <x:c r="E9" s="30" t="str">
        <x:v>技术经理</x:v>
      </x:c>
      <x:c r="F9" s="30" t="str">
        <x:v>运维负责人</x:v>
      </x:c>
      <x:c r="G9" s="31" t="n">
        <x:v>46558</x:v>
      </x:c>
      <x:c r="H9" s="44"/>
      <x:c r="I9" s="34"/>
      <x:c r="J9" s="34" t="str">
        <x:v>未开始</x:v>
      </x:c>
      <x:c r="K9" s="34"/>
      <x:c r="L9" s="34"/>
    </x:row>
    <x:row r="10">
      <x:c r="A10" s="30" t="str">
        <x:v>HOV-006</x:v>
      </x:c>
      <x:c r="B10" s="30" t="str">
        <x:v>账号</x:v>
      </x:c>
      <x:c r="C10" s="32" t="str">
        <x:v>系统账号、服务账号、证书、密钥和到期日</x:v>
      </x:c>
      <x:c r="D10" s="32" t="str">
        <x:v>权属、保管、轮换和审批流程明确</x:v>
      </x:c>
      <x:c r="E10" s="30" t="str">
        <x:v>配置人员</x:v>
      </x:c>
      <x:c r="F10" s="30" t="str">
        <x:v>运维/安全负责人</x:v>
      </x:c>
      <x:c r="G10" s="31" t="n">
        <x:v>46558</x:v>
      </x:c>
      <x:c r="H10" s="44"/>
      <x:c r="I10" s="34"/>
      <x:c r="J10" s="34" t="str">
        <x:v>未开始</x:v>
      </x:c>
      <x:c r="K10" s="34"/>
      <x:c r="L10" s="34"/>
    </x:row>
    <x:row r="11">
      <x:c r="A11" s="30" t="str">
        <x:v>HOV-007</x:v>
      </x:c>
      <x:c r="B11" s="30" t="str">
        <x:v>配置</x:v>
      </x:c>
      <x:c r="C11" s="32" t="str">
        <x:v>应用、数据库、中间件、调度和接口配置清单</x:v>
      </x:c>
      <x:c r="D11" s="32" t="str">
        <x:v>生产基线可追溯，敏感项脱敏</x:v>
      </x:c>
      <x:c r="E11" s="30" t="str">
        <x:v>配置人员</x:v>
      </x:c>
      <x:c r="F11" s="30" t="str">
        <x:v>运维负责人</x:v>
      </x:c>
      <x:c r="G11" s="31" t="n">
        <x:v>46558</x:v>
      </x:c>
      <x:c r="H11" s="44"/>
      <x:c r="I11" s="34"/>
      <x:c r="J11" s="34" t="str">
        <x:v>未开始</x:v>
      </x:c>
      <x:c r="K11" s="34"/>
      <x:c r="L11" s="34"/>
    </x:row>
    <x:row r="12">
      <x:c r="A12" s="30" t="str">
        <x:v>HOV-008</x:v>
      </x:c>
      <x:c r="B12" s="30" t="str">
        <x:v>供应商</x:v>
      </x:c>
      <x:c r="C12" s="32" t="str">
        <x:v>CA/电子文档/BI产品授权、SLA、联系人和支持流程</x:v>
      </x:c>
      <x:c r="D12" s="32" t="str">
        <x:v>权益生效，联系人和升级路径有效</x:v>
      </x:c>
      <x:c r="E12" s="30" t="str">
        <x:v>项目经理</x:v>
      </x:c>
      <x:c r="F12" s="30" t="str">
        <x:v>运维/采购负责人</x:v>
      </x:c>
      <x:c r="G12" s="31" t="n">
        <x:v>46558</x:v>
      </x:c>
      <x:c r="H12" s="44"/>
      <x:c r="I12" s="34"/>
      <x:c r="J12" s="34" t="str">
        <x:v>未开始</x:v>
      </x:c>
      <x:c r="K12" s="34"/>
      <x:c r="L12" s="34"/>
    </x:row>
    <x:row r="13">
      <x:c r="A13" s="30" t="str">
        <x:v>HOV-009</x:v>
      </x:c>
      <x:c r="B13" s="30" t="str">
        <x:v>未结事项</x:v>
      </x:c>
      <x:c r="C13" s="32" t="str">
        <x:v>已知缺陷、风险、技术债和后续优化</x:v>
      </x:c>
      <x:c r="D13" s="32" t="str">
        <x:v>影响、应对、责任人和日期明确并获批准</x:v>
      </x:c>
      <x:c r="E13" s="30" t="str">
        <x:v>项目经理</x:v>
      </x:c>
      <x:c r="F13" s="30" t="str">
        <x:v>运营负责人</x:v>
      </x:c>
      <x:c r="G13" s="31" t="n">
        <x:v>46563</x:v>
      </x:c>
      <x:c r="H13" s="44"/>
      <x:c r="I13" s="34"/>
      <x:c r="J13" s="34" t="str">
        <x:v>未开始</x:v>
      </x:c>
      <x:c r="K13" s="34"/>
      <x:c r="L13" s="34"/>
    </x:row>
    <x:row r="14">
      <x:c r="A14" s="30" t="str">
        <x:v>HOV-010</x:v>
      </x:c>
      <x:c r="B14" s="30" t="str">
        <x:v>验收</x:v>
      </x:c>
      <x:c r="C14" s="32" t="str">
        <x:v>交付物、验收证据、发票付款和合同义务</x:v>
      </x:c>
      <x:c r="D14" s="32" t="str">
        <x:v>交付物与合同清单匹配，未结义务明确</x:v>
      </x:c>
      <x:c r="E14" s="30" t="str">
        <x:v>项目经理</x:v>
      </x:c>
      <x:c r="F14" s="30" t="str">
        <x:v>合同/采购负责人</x:v>
      </x:c>
      <x:c r="G14" s="31" t="n">
        <x:v>46563</x:v>
      </x:c>
      <x:c r="H14" s="44"/>
      <x:c r="I14" s="34"/>
      <x:c r="J14" s="34" t="str">
        <x:v>未开始</x:v>
      </x:c>
      <x:c r="K14" s="34"/>
      <x:c r="L14" s="34"/>
    </x:row>
    <x:row r="15">
      <x:c r="A15" s="30" t="str">
        <x:v>HOV-011</x:v>
      </x:c>
      <x:c r="B15" s="30" t="str">
        <x:v>数据</x:v>
      </x:c>
      <x:c r="C15" s="32" t="str">
        <x:v>数据字典、迁移映射、对账规则和数据质量问题</x:v>
      </x:c>
      <x:c r="D15" s="32" t="str">
        <x:v>口径和数据责任明确</x:v>
      </x:c>
      <x:c r="E15" s="30" t="str">
        <x:v>产品经理</x:v>
      </x:c>
      <x:c r="F15" s="30" t="str">
        <x:v>数据/运营负责人</x:v>
      </x:c>
      <x:c r="G15" s="31" t="n">
        <x:v>46558</x:v>
      </x:c>
      <x:c r="H15" s="44"/>
      <x:c r="I15" s="34"/>
      <x:c r="J15" s="34" t="str">
        <x:v>未开始</x:v>
      </x:c>
      <x:c r="K15" s="34"/>
      <x:c r="L15" s="34"/>
    </x:row>
    <x:row r="16">
      <x:c r="A16" s="30" t="str">
        <x:v>HOV-012</x:v>
      </x:c>
      <x:c r="B16" s="30" t="str">
        <x:v>应急</x:v>
      </x:c>
      <x:c r="C16" s="32" t="str">
        <x:v>应急预案、回退方案、演练报告和通讯录</x:v>
      </x:c>
      <x:c r="D16" s="32" t="str">
        <x:v>运维可按预案独立组织响应</x:v>
      </x:c>
      <x:c r="E16" s="30" t="str">
        <x:v>技术经理</x:v>
      </x:c>
      <x:c r="F16" s="30" t="str">
        <x:v>运维负责人</x:v>
      </x:c>
      <x:c r="G16" s="31" t="n">
        <x:v>46558</x:v>
      </x:c>
      <x:c r="H16" s="44"/>
      <x:c r="I16" s="34"/>
      <x:c r="J16" s="34" t="str">
        <x:v>未开始</x:v>
      </x:c>
      <x:c r="K16" s="34"/>
      <x:c r="L16" s="34"/>
    </x:row>
    <x:row r="17">
      <x:c r="A17" s="30"/>
      <x:c r="B17" s="30"/>
      <x:c r="C17" s="32"/>
      <x:c r="D17" s="32"/>
      <x:c r="E17" s="30"/>
      <x:c r="F17" s="30"/>
      <x:c r="G17" s="31"/>
      <x:c r="H17" s="44"/>
      <x:c r="I17" s="34"/>
      <x:c r="J17" s="34"/>
      <x:c r="K17" s="34"/>
      <x:c r="L17" s="34"/>
    </x:row>
    <x:row r="18">
      <x:c r="A18" s="30"/>
      <x:c r="B18" s="30"/>
      <x:c r="C18" s="32"/>
      <x:c r="D18" s="32"/>
      <x:c r="E18" s="30"/>
      <x:c r="F18" s="30"/>
      <x:c r="G18" s="31"/>
      <x:c r="H18" s="44"/>
      <x:c r="I18" s="34"/>
      <x:c r="J18" s="34"/>
      <x:c r="K18" s="34"/>
      <x:c r="L18" s="34"/>
    </x:row>
    <x:row r="19">
      <x:c r="A19" s="30"/>
      <x:c r="B19" s="30"/>
      <x:c r="C19" s="32"/>
      <x:c r="D19" s="32"/>
      <x:c r="E19" s="30"/>
      <x:c r="F19" s="30"/>
      <x:c r="G19" s="31"/>
      <x:c r="H19" s="44"/>
      <x:c r="I19" s="34"/>
      <x:c r="J19" s="34"/>
      <x:c r="K19" s="34"/>
      <x:c r="L19" s="34"/>
    </x:row>
    <x:row r="20">
      <x:c r="A20" s="30"/>
      <x:c r="B20" s="30"/>
      <x:c r="C20" s="32"/>
      <x:c r="D20" s="32"/>
      <x:c r="E20" s="30"/>
      <x:c r="F20" s="30"/>
      <x:c r="G20" s="31"/>
      <x:c r="H20" s="44"/>
      <x:c r="I20" s="34"/>
      <x:c r="J20" s="34"/>
      <x:c r="K20" s="34"/>
      <x:c r="L20" s="34"/>
    </x:row>
    <x:row r="21">
      <x:c r="A21" s="30"/>
      <x:c r="B21" s="30"/>
      <x:c r="C21" s="32"/>
      <x:c r="D21" s="32"/>
      <x:c r="E21" s="30"/>
      <x:c r="F21" s="30"/>
      <x:c r="G21" s="31"/>
      <x:c r="H21" s="44"/>
      <x:c r="I21" s="34"/>
      <x:c r="J21" s="34"/>
      <x:c r="K21" s="34"/>
      <x:c r="L21" s="34"/>
    </x:row>
    <x:row r="22">
      <x:c r="A22" s="30"/>
      <x:c r="B22" s="30"/>
      <x:c r="C22" s="32"/>
      <x:c r="D22" s="32"/>
      <x:c r="E22" s="30"/>
      <x:c r="F22" s="30"/>
      <x:c r="G22" s="31"/>
      <x:c r="H22" s="44"/>
      <x:c r="I22" s="34"/>
      <x:c r="J22" s="34"/>
      <x:c r="K22" s="34"/>
      <x:c r="L22" s="34"/>
    </x:row>
    <x:row r="23">
      <x:c r="A23" s="30"/>
      <x:c r="B23" s="30"/>
      <x:c r="C23" s="32"/>
      <x:c r="D23" s="32"/>
      <x:c r="E23" s="30"/>
      <x:c r="F23" s="30"/>
      <x:c r="G23" s="31"/>
      <x:c r="H23" s="44"/>
      <x:c r="I23" s="34"/>
      <x:c r="J23" s="34"/>
      <x:c r="K23" s="34"/>
      <x:c r="L23" s="34"/>
    </x:row>
    <x:row r="24">
      <x:c r="A24" s="30"/>
      <x:c r="B24" s="30"/>
      <x:c r="C24" s="32"/>
      <x:c r="D24" s="32"/>
      <x:c r="E24" s="30"/>
      <x:c r="F24" s="30"/>
      <x:c r="G24" s="31"/>
      <x:c r="H24" s="44"/>
      <x:c r="I24" s="34"/>
      <x:c r="J24" s="34"/>
      <x:c r="K24" s="34"/>
      <x:c r="L24" s="34"/>
    </x:row>
    <x:row r="25">
      <x:c r="A25" s="30"/>
      <x:c r="B25" s="30"/>
      <x:c r="C25" s="32"/>
      <x:c r="D25" s="32"/>
      <x:c r="E25" s="30"/>
      <x:c r="F25" s="30"/>
      <x:c r="G25" s="31"/>
      <x:c r="H25" s="44"/>
      <x:c r="I25" s="34"/>
      <x:c r="J25" s="34"/>
      <x:c r="K25" s="34"/>
      <x:c r="L25" s="34"/>
    </x:row>
    <x:row r="26">
      <x:c r="A26" s="30"/>
      <x:c r="B26" s="30"/>
      <x:c r="C26" s="32"/>
      <x:c r="D26" s="32"/>
      <x:c r="E26" s="30"/>
      <x:c r="F26" s="30"/>
      <x:c r="G26" s="31"/>
      <x:c r="H26" s="44"/>
      <x:c r="I26" s="34"/>
      <x:c r="J26" s="34"/>
      <x:c r="K26" s="34"/>
      <x:c r="L26" s="34"/>
    </x:row>
    <x:row r="27">
      <x:c r="A27" s="30"/>
      <x:c r="B27" s="30"/>
      <x:c r="C27" s="32"/>
      <x:c r="D27" s="32"/>
      <x:c r="E27" s="30"/>
      <x:c r="F27" s="30"/>
      <x:c r="G27" s="31"/>
      <x:c r="H27" s="44"/>
      <x:c r="I27" s="34"/>
      <x:c r="J27" s="34"/>
      <x:c r="K27" s="34"/>
      <x:c r="L27" s="34"/>
    </x:row>
    <x:row r="28">
      <x:c r="A28" s="30"/>
      <x:c r="B28" s="30"/>
      <x:c r="C28" s="32"/>
      <x:c r="D28" s="32"/>
      <x:c r="E28" s="30"/>
      <x:c r="F28" s="30"/>
      <x:c r="G28" s="31"/>
      <x:c r="H28" s="44"/>
      <x:c r="I28" s="34"/>
      <x:c r="J28" s="34"/>
      <x:c r="K28" s="34"/>
      <x:c r="L28" s="34"/>
    </x:row>
    <x:row r="29">
      <x:c r="A29" s="30"/>
      <x:c r="B29" s="30"/>
      <x:c r="C29" s="32"/>
      <x:c r="D29" s="32"/>
      <x:c r="E29" s="30"/>
      <x:c r="F29" s="30"/>
      <x:c r="G29" s="31"/>
      <x:c r="H29" s="44"/>
      <x:c r="I29" s="34"/>
      <x:c r="J29" s="34"/>
      <x:c r="K29" s="34"/>
      <x:c r="L29" s="34"/>
    </x:row>
    <x:row r="30">
      <x:c r="A30" s="30"/>
      <x:c r="B30" s="30"/>
      <x:c r="C30" s="32"/>
      <x:c r="D30" s="32"/>
      <x:c r="E30" s="30"/>
      <x:c r="F30" s="30"/>
      <x:c r="G30" s="31"/>
      <x:c r="H30" s="44"/>
      <x:c r="I30" s="34"/>
      <x:c r="J30" s="34"/>
      <x:c r="K30" s="34"/>
      <x:c r="L30" s="34"/>
    </x:row>
    <x:row r="31">
      <x:c r="A31" s="30"/>
      <x:c r="B31" s="30"/>
      <x:c r="C31" s="32"/>
      <x:c r="D31" s="32"/>
      <x:c r="E31" s="30"/>
      <x:c r="F31" s="30"/>
      <x:c r="G31" s="31"/>
      <x:c r="H31" s="44"/>
      <x:c r="I31" s="34"/>
      <x:c r="J31" s="34"/>
      <x:c r="K31" s="34"/>
      <x:c r="L31" s="34"/>
    </x:row>
    <x:row r="32">
      <x:c r="A32" s="30"/>
      <x:c r="B32" s="30"/>
      <x:c r="C32" s="32"/>
      <x:c r="D32" s="32"/>
      <x:c r="E32" s="30"/>
      <x:c r="F32" s="30"/>
      <x:c r="G32" s="31"/>
      <x:c r="H32" s="44"/>
      <x:c r="I32" s="34"/>
      <x:c r="J32" s="34"/>
      <x:c r="K32" s="34"/>
      <x:c r="L32" s="34"/>
    </x:row>
    <x:row r="33">
      <x:c r="A33" s="30"/>
      <x:c r="B33" s="30"/>
      <x:c r="C33" s="32"/>
      <x:c r="D33" s="32"/>
      <x:c r="E33" s="30"/>
      <x:c r="F33" s="30"/>
      <x:c r="G33" s="31"/>
      <x:c r="H33" s="44"/>
      <x:c r="I33" s="34"/>
      <x:c r="J33" s="34"/>
      <x:c r="K33" s="34"/>
      <x:c r="L33" s="34"/>
    </x:row>
    <x:row r="34">
      <x:c r="A34" s="30"/>
      <x:c r="B34" s="30"/>
      <x:c r="C34" s="32"/>
      <x:c r="D34" s="32"/>
      <x:c r="E34" s="30"/>
      <x:c r="F34" s="30"/>
      <x:c r="G34" s="31"/>
      <x:c r="H34" s="44"/>
      <x:c r="I34" s="34"/>
      <x:c r="J34" s="34"/>
      <x:c r="K34" s="34"/>
      <x:c r="L34" s="34"/>
    </x:row>
  </x:sheetData>
  <x:dataValidations count="1">
    <x:dataValidation type="list" sqref="J5:J34">
      <x:formula1>"未开始,准备中,待确认,已完成,需整改"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4" hidden="0" customWidth="1"/>
    <x:col min="10" max="10" width="34" hidden="0" customWidth="1"/>
    <x:col min="11" max="11" width="34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5" customHeight="1">
      <x:c r="A1" s="1" t="str">
        <x:v>试运行台账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按日/周记录系统、业务、数据、接口、性能、支持和用户反馈。</x:v>
      </x:c>
    </x:row>
    <x:row r="4" ht="32" customHeight="1">
      <x:c r="A4" s="29" t="str">
        <x:v>周期ID</x:v>
      </x:c>
      <x:c r="B4" s="29" t="str">
        <x:v>开始日期</x:v>
      </x:c>
      <x:c r="C4" s="29" t="str">
        <x:v>结束日期</x:v>
      </x:c>
      <x:c r="D4" s="29" t="str">
        <x:v>生产交易量</x:v>
      </x:c>
      <x:c r="E4" s="29" t="str">
        <x:v>核心链路成功率</x:v>
      </x:c>
      <x:c r="F4" s="29" t="str">
        <x:v>P1/P2事件数</x:v>
      </x:c>
      <x:c r="G4" s="29" t="str">
        <x:v>未关闭严重缺陷</x:v>
      </x:c>
      <x:c r="H4" s="29" t="str">
        <x:v>SLA达成率</x:v>
      </x:c>
      <x:c r="I4" s="29" t="str">
        <x:v>用户反馈</x:v>
      </x:c>
      <x:c r="J4" s="29" t="str">
        <x:v>主要问题</x:v>
      </x:c>
      <x:c r="K4" s="29" t="str">
        <x:v>本期行动</x:v>
      </x:c>
      <x:c r="L4" s="29" t="str">
        <x:v>负责人</x:v>
      </x:c>
      <x:c r="M4" s="29" t="str">
        <x:v>状态</x:v>
      </x:c>
      <x:c r="N4" s="29" t="str">
        <x:v>证据/报告</x:v>
      </x:c>
    </x:row>
    <x:row r="5">
      <x:c r="A5" s="30" t="str">
        <x:v>OPS-001</x:v>
      </x:c>
      <x:c r="B5" s="31" t="n">
        <x:v>46539</x:v>
      </x:c>
      <x:c r="C5" s="31" t="n">
        <x:v>46544</x:v>
      </x:c>
      <x:c r="D5" s="45"/>
      <x:c r="E5" s="47"/>
      <x:c r="F5" s="34"/>
      <x:c r="G5" s="34"/>
      <x:c r="H5" s="47"/>
      <x:c r="I5" s="40"/>
      <x:c r="J5" s="40"/>
      <x:c r="K5" s="40"/>
      <x:c r="L5" s="34" t="str">
        <x:v>项目经理</x:v>
      </x:c>
      <x:c r="M5" s="34" t="str">
        <x:v>未开始</x:v>
      </x:c>
      <x:c r="N5" s="34"/>
    </x:row>
    <x:row r="6">
      <x:c r="A6" s="30" t="str">
        <x:v>OPS-002</x:v>
      </x:c>
      <x:c r="B6" s="31" t="n">
        <x:v>46545</x:v>
      </x:c>
      <x:c r="C6" s="31" t="n">
        <x:v>46551</x:v>
      </x:c>
      <x:c r="D6" s="45"/>
      <x:c r="E6" s="47"/>
      <x:c r="F6" s="34"/>
      <x:c r="G6" s="34"/>
      <x:c r="H6" s="47"/>
      <x:c r="I6" s="40"/>
      <x:c r="J6" s="40"/>
      <x:c r="K6" s="40"/>
      <x:c r="L6" s="34" t="str">
        <x:v>项目经理</x:v>
      </x:c>
      <x:c r="M6" s="34" t="str">
        <x:v>未开始</x:v>
      </x:c>
      <x:c r="N6" s="34"/>
    </x:row>
    <x:row r="7">
      <x:c r="A7" s="30" t="str">
        <x:v>OPS-003</x:v>
      </x:c>
      <x:c r="B7" s="31" t="n">
        <x:v>46552</x:v>
      </x:c>
      <x:c r="C7" s="31" t="n">
        <x:v>46558</x:v>
      </x:c>
      <x:c r="D7" s="45"/>
      <x:c r="E7" s="47"/>
      <x:c r="F7" s="34"/>
      <x:c r="G7" s="34"/>
      <x:c r="H7" s="47"/>
      <x:c r="I7" s="40"/>
      <x:c r="J7" s="40"/>
      <x:c r="K7" s="40"/>
      <x:c r="L7" s="34" t="str">
        <x:v>项目经理</x:v>
      </x:c>
      <x:c r="M7" s="34" t="str">
        <x:v>未开始</x:v>
      </x:c>
      <x:c r="N7" s="34"/>
    </x:row>
    <x:row r="8">
      <x:c r="A8" s="30" t="str">
        <x:v>OPS-004</x:v>
      </x:c>
      <x:c r="B8" s="31" t="n">
        <x:v>46559</x:v>
      </x:c>
      <x:c r="C8" s="31" t="n">
        <x:v>46565</x:v>
      </x:c>
      <x:c r="D8" s="45"/>
      <x:c r="E8" s="47"/>
      <x:c r="F8" s="34"/>
      <x:c r="G8" s="34"/>
      <x:c r="H8" s="47"/>
      <x:c r="I8" s="40"/>
      <x:c r="J8" s="40"/>
      <x:c r="K8" s="40"/>
      <x:c r="L8" s="34" t="str">
        <x:v>项目经理</x:v>
      </x:c>
      <x:c r="M8" s="34" t="str">
        <x:v>未开始</x:v>
      </x:c>
      <x:c r="N8" s="34"/>
    </x:row>
    <x:row r="9">
      <x:c r="A9" s="30" t="str">
        <x:v>OPS-005</x:v>
      </x:c>
      <x:c r="B9" s="31" t="n">
        <x:v>46566</x:v>
      </x:c>
      <x:c r="C9" s="31" t="n">
        <x:v>46568</x:v>
      </x:c>
      <x:c r="D9" s="45"/>
      <x:c r="E9" s="47"/>
      <x:c r="F9" s="34"/>
      <x:c r="G9" s="34"/>
      <x:c r="H9" s="47"/>
      <x:c r="I9" s="40"/>
      <x:c r="J9" s="40"/>
      <x:c r="K9" s="40"/>
      <x:c r="L9" s="34" t="str">
        <x:v>项目经理</x:v>
      </x:c>
      <x:c r="M9" s="34" t="str">
        <x:v>未开始</x:v>
      </x:c>
      <x:c r="N9" s="34"/>
    </x:row>
    <x:row r="10">
      <x:c r="A10" s="30"/>
      <x:c r="B10" s="31"/>
      <x:c r="C10" s="31"/>
      <x:c r="D10" s="45"/>
      <x:c r="E10" s="47"/>
      <x:c r="F10" s="34"/>
      <x:c r="G10" s="34"/>
      <x:c r="H10" s="47"/>
      <x:c r="I10" s="40"/>
      <x:c r="J10" s="40"/>
      <x:c r="K10" s="40"/>
      <x:c r="L10" s="34"/>
      <x:c r="M10" s="34"/>
      <x:c r="N10" s="34"/>
    </x:row>
    <x:row r="11">
      <x:c r="A11" s="30"/>
      <x:c r="B11" s="31"/>
      <x:c r="C11" s="31"/>
      <x:c r="D11" s="45"/>
      <x:c r="E11" s="47"/>
      <x:c r="F11" s="34"/>
      <x:c r="G11" s="34"/>
      <x:c r="H11" s="47"/>
      <x:c r="I11" s="40"/>
      <x:c r="J11" s="40"/>
      <x:c r="K11" s="40"/>
      <x:c r="L11" s="34"/>
      <x:c r="M11" s="34"/>
      <x:c r="N11" s="34"/>
    </x:row>
    <x:row r="12">
      <x:c r="A12" s="30"/>
      <x:c r="B12" s="31"/>
      <x:c r="C12" s="31"/>
      <x:c r="D12" s="45"/>
      <x:c r="E12" s="47"/>
      <x:c r="F12" s="34"/>
      <x:c r="G12" s="34"/>
      <x:c r="H12" s="47"/>
      <x:c r="I12" s="40"/>
      <x:c r="J12" s="40"/>
      <x:c r="K12" s="40"/>
      <x:c r="L12" s="34"/>
      <x:c r="M12" s="34"/>
      <x:c r="N12" s="34"/>
    </x:row>
    <x:row r="13">
      <x:c r="A13" s="30"/>
      <x:c r="B13" s="31"/>
      <x:c r="C13" s="31"/>
      <x:c r="D13" s="45"/>
      <x:c r="E13" s="47"/>
      <x:c r="F13" s="34"/>
      <x:c r="G13" s="34"/>
      <x:c r="H13" s="47"/>
      <x:c r="I13" s="40"/>
      <x:c r="J13" s="40"/>
      <x:c r="K13" s="40"/>
      <x:c r="L13" s="34"/>
      <x:c r="M13" s="34"/>
      <x:c r="N13" s="34"/>
    </x:row>
    <x:row r="14">
      <x:c r="A14" s="30"/>
      <x:c r="B14" s="31"/>
      <x:c r="C14" s="31"/>
      <x:c r="D14" s="45"/>
      <x:c r="E14" s="47"/>
      <x:c r="F14" s="34"/>
      <x:c r="G14" s="34"/>
      <x:c r="H14" s="47"/>
      <x:c r="I14" s="40"/>
      <x:c r="J14" s="40"/>
      <x:c r="K14" s="40"/>
      <x:c r="L14" s="34"/>
      <x:c r="M14" s="34"/>
      <x:c r="N14" s="34"/>
    </x:row>
    <x:row r="15">
      <x:c r="A15" s="30"/>
      <x:c r="B15" s="31"/>
      <x:c r="C15" s="31"/>
      <x:c r="D15" s="45"/>
      <x:c r="E15" s="47"/>
      <x:c r="F15" s="34"/>
      <x:c r="G15" s="34"/>
      <x:c r="H15" s="47"/>
      <x:c r="I15" s="40"/>
      <x:c r="J15" s="40"/>
      <x:c r="K15" s="40"/>
      <x:c r="L15" s="34"/>
      <x:c r="M15" s="34"/>
      <x:c r="N15" s="34"/>
    </x:row>
    <x:row r="16">
      <x:c r="A16" s="30"/>
      <x:c r="B16" s="31"/>
      <x:c r="C16" s="31"/>
      <x:c r="D16" s="45"/>
      <x:c r="E16" s="47"/>
      <x:c r="F16" s="34"/>
      <x:c r="G16" s="34"/>
      <x:c r="H16" s="47"/>
      <x:c r="I16" s="40"/>
      <x:c r="J16" s="40"/>
      <x:c r="K16" s="40"/>
      <x:c r="L16" s="34"/>
      <x:c r="M16" s="34"/>
      <x:c r="N16" s="34"/>
    </x:row>
    <x:row r="17">
      <x:c r="A17" s="30"/>
      <x:c r="B17" s="31"/>
      <x:c r="C17" s="31"/>
      <x:c r="D17" s="45"/>
      <x:c r="E17" s="47"/>
      <x:c r="F17" s="34"/>
      <x:c r="G17" s="34"/>
      <x:c r="H17" s="47"/>
      <x:c r="I17" s="40"/>
      <x:c r="J17" s="40"/>
      <x:c r="K17" s="40"/>
      <x:c r="L17" s="34"/>
      <x:c r="M17" s="34"/>
      <x:c r="N17" s="34"/>
    </x:row>
    <x:row r="18">
      <x:c r="A18" s="30"/>
      <x:c r="B18" s="31"/>
      <x:c r="C18" s="31"/>
      <x:c r="D18" s="45"/>
      <x:c r="E18" s="47"/>
      <x:c r="F18" s="34"/>
      <x:c r="G18" s="34"/>
      <x:c r="H18" s="47"/>
      <x:c r="I18" s="40"/>
      <x:c r="J18" s="40"/>
      <x:c r="K18" s="40"/>
      <x:c r="L18" s="34"/>
      <x:c r="M18" s="34"/>
      <x:c r="N18" s="34"/>
    </x:row>
    <x:row r="19">
      <x:c r="A19" s="30"/>
      <x:c r="B19" s="31"/>
      <x:c r="C19" s="31"/>
      <x:c r="D19" s="45"/>
      <x:c r="E19" s="47"/>
      <x:c r="F19" s="34"/>
      <x:c r="G19" s="34"/>
      <x:c r="H19" s="47"/>
      <x:c r="I19" s="40"/>
      <x:c r="J19" s="40"/>
      <x:c r="K19" s="40"/>
      <x:c r="L19" s="34"/>
      <x:c r="M19" s="34"/>
      <x:c r="N19" s="34"/>
    </x:row>
    <x:row r="20">
      <x:c r="A20" s="30"/>
      <x:c r="B20" s="31"/>
      <x:c r="C20" s="31"/>
      <x:c r="D20" s="45"/>
      <x:c r="E20" s="47"/>
      <x:c r="F20" s="34"/>
      <x:c r="G20" s="34"/>
      <x:c r="H20" s="47"/>
      <x:c r="I20" s="40"/>
      <x:c r="J20" s="40"/>
      <x:c r="K20" s="40"/>
      <x:c r="L20" s="34"/>
      <x:c r="M20" s="34"/>
      <x:c r="N20" s="34"/>
    </x:row>
    <x:row r="21">
      <x:c r="A21" s="30"/>
      <x:c r="B21" s="31"/>
      <x:c r="C21" s="31"/>
      <x:c r="D21" s="45"/>
      <x:c r="E21" s="47"/>
      <x:c r="F21" s="34"/>
      <x:c r="G21" s="34"/>
      <x:c r="H21" s="47"/>
      <x:c r="I21" s="40"/>
      <x:c r="J21" s="40"/>
      <x:c r="K21" s="40"/>
      <x:c r="L21" s="34"/>
      <x:c r="M21" s="34"/>
      <x:c r="N21" s="34"/>
    </x:row>
    <x:row r="22">
      <x:c r="A22" s="30"/>
      <x:c r="B22" s="31"/>
      <x:c r="C22" s="31"/>
      <x:c r="D22" s="45"/>
      <x:c r="E22" s="47"/>
      <x:c r="F22" s="34"/>
      <x:c r="G22" s="34"/>
      <x:c r="H22" s="47"/>
      <x:c r="I22" s="40"/>
      <x:c r="J22" s="40"/>
      <x:c r="K22" s="40"/>
      <x:c r="L22" s="34"/>
      <x:c r="M22" s="34"/>
      <x:c r="N22" s="34"/>
    </x:row>
    <x:row r="23">
      <x:c r="A23" s="30"/>
      <x:c r="B23" s="31"/>
      <x:c r="C23" s="31"/>
      <x:c r="D23" s="45"/>
      <x:c r="E23" s="47"/>
      <x:c r="F23" s="34"/>
      <x:c r="G23" s="34"/>
      <x:c r="H23" s="47"/>
      <x:c r="I23" s="40"/>
      <x:c r="J23" s="40"/>
      <x:c r="K23" s="40"/>
      <x:c r="L23" s="34"/>
      <x:c r="M23" s="34"/>
      <x:c r="N23" s="34"/>
    </x:row>
    <x:row r="24">
      <x:c r="A24" s="30"/>
      <x:c r="B24" s="31"/>
      <x:c r="C24" s="31"/>
      <x:c r="D24" s="45"/>
      <x:c r="E24" s="47"/>
      <x:c r="F24" s="34"/>
      <x:c r="G24" s="34"/>
      <x:c r="H24" s="47"/>
      <x:c r="I24" s="40"/>
      <x:c r="J24" s="40"/>
      <x:c r="K24" s="40"/>
      <x:c r="L24" s="34"/>
      <x:c r="M24" s="34"/>
      <x:c r="N24" s="34"/>
    </x:row>
    <x:row r="25">
      <x:c r="A25" s="30"/>
      <x:c r="B25" s="31"/>
      <x:c r="C25" s="31"/>
      <x:c r="D25" s="45"/>
      <x:c r="E25" s="47"/>
      <x:c r="F25" s="34"/>
      <x:c r="G25" s="34"/>
      <x:c r="H25" s="47"/>
      <x:c r="I25" s="40"/>
      <x:c r="J25" s="40"/>
      <x:c r="K25" s="40"/>
      <x:c r="L25" s="34"/>
      <x:c r="M25" s="34"/>
      <x:c r="N25" s="34"/>
    </x:row>
    <x:row r="26">
      <x:c r="A26" s="30"/>
      <x:c r="B26" s="31"/>
      <x:c r="C26" s="31"/>
      <x:c r="D26" s="45"/>
      <x:c r="E26" s="47"/>
      <x:c r="F26" s="34"/>
      <x:c r="G26" s="34"/>
      <x:c r="H26" s="47"/>
      <x:c r="I26" s="40"/>
      <x:c r="J26" s="40"/>
      <x:c r="K26" s="40"/>
      <x:c r="L26" s="34"/>
      <x:c r="M26" s="34"/>
      <x:c r="N26" s="34"/>
    </x:row>
    <x:row r="27">
      <x:c r="A27" s="30"/>
      <x:c r="B27" s="31"/>
      <x:c r="C27" s="31"/>
      <x:c r="D27" s="45"/>
      <x:c r="E27" s="47"/>
      <x:c r="F27" s="34"/>
      <x:c r="G27" s="34"/>
      <x:c r="H27" s="47"/>
      <x:c r="I27" s="40"/>
      <x:c r="J27" s="40"/>
      <x:c r="K27" s="40"/>
      <x:c r="L27" s="34"/>
      <x:c r="M27" s="34"/>
      <x:c r="N27" s="34"/>
    </x:row>
    <x:row r="28">
      <x:c r="A28" s="30"/>
      <x:c r="B28" s="31"/>
      <x:c r="C28" s="31"/>
      <x:c r="D28" s="45"/>
      <x:c r="E28" s="47"/>
      <x:c r="F28" s="34"/>
      <x:c r="G28" s="34"/>
      <x:c r="H28" s="47"/>
      <x:c r="I28" s="40"/>
      <x:c r="J28" s="40"/>
      <x:c r="K28" s="40"/>
      <x:c r="L28" s="34"/>
      <x:c r="M28" s="34"/>
      <x:c r="N28" s="34"/>
    </x:row>
    <x:row r="29">
      <x:c r="A29" s="30"/>
      <x:c r="B29" s="31"/>
      <x:c r="C29" s="31"/>
      <x:c r="D29" s="45"/>
      <x:c r="E29" s="47"/>
      <x:c r="F29" s="34"/>
      <x:c r="G29" s="34"/>
      <x:c r="H29" s="47"/>
      <x:c r="I29" s="40"/>
      <x:c r="J29" s="40"/>
      <x:c r="K29" s="40"/>
      <x:c r="L29" s="34"/>
      <x:c r="M29" s="34"/>
      <x:c r="N29" s="34"/>
    </x:row>
    <x:row r="30">
      <x:c r="A30" s="30"/>
      <x:c r="B30" s="31"/>
      <x:c r="C30" s="31"/>
      <x:c r="D30" s="45"/>
      <x:c r="E30" s="47"/>
      <x:c r="F30" s="34"/>
      <x:c r="G30" s="34"/>
      <x:c r="H30" s="47"/>
      <x:c r="I30" s="40"/>
      <x:c r="J30" s="40"/>
      <x:c r="K30" s="40"/>
      <x:c r="L30" s="34"/>
      <x:c r="M30" s="34"/>
      <x:c r="N30" s="34"/>
    </x:row>
  </x:sheetData>
  <x:dataValidations count="1">
    <x:dataValidation type="list" sqref="M5:M30">
      <x:formula1>"未开始,正常,关注,异常,已完成"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22" hidden="0" customWidth="1"/>
    <x:col min="10" max="10" width="34" hidden="0" customWidth="1"/>
    <x:col min="11" max="11" width="34" hidden="0" customWidth="1"/>
    <x:col min="12" max="12" width="16" hidden="0" customWidth="1"/>
  </x:cols>
  <x:sheetData>
    <x:row r="1" ht="25" customHeight="1">
      <x:c r="A1" s="1" t="str">
        <x:v>运维SLA与支持模型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SLA阈值为项目建议初值，正式生效前应由业务、运维和供应商确认。</x:v>
      </x:c>
    </x:row>
    <x:row r="4" ht="32" customHeight="1">
      <x:c r="A4" s="29" t="str">
        <x:v>服务项</x:v>
      </x:c>
      <x:c r="B4" s="29" t="str">
        <x:v>级别/场景</x:v>
      </x:c>
      <x:c r="C4" s="29" t="str">
        <x:v>服务时间</x:v>
      </x:c>
      <x:c r="D4" s="29" t="str">
        <x:v>响应时限</x:v>
      </x:c>
      <x:c r="E4" s="29" t="str">
        <x:v>恢复/解决目标</x:v>
      </x:c>
      <x:c r="F4" s="29" t="str">
        <x:v>升级时限</x:v>
      </x:c>
      <x:c r="G4" s="29" t="str">
        <x:v>一线负责</x:v>
      </x:c>
      <x:c r="H4" s="29" t="str">
        <x:v>二线负责</x:v>
      </x:c>
      <x:c r="I4" s="29" t="str">
        <x:v>三线/供应商</x:v>
      </x:c>
      <x:c r="J4" s="29" t="str">
        <x:v>监控/证据</x:v>
      </x:c>
      <x:c r="K4" s="29" t="str">
        <x:v>报告频率</x:v>
      </x:c>
      <x:c r="L4" s="29" t="str">
        <x:v>状态</x:v>
      </x:c>
    </x:row>
    <x:row r="5">
      <x:c r="A5" s="30" t="str">
        <x:v>事件处理</x:v>
      </x:c>
      <x:c r="B5" s="32" t="str">
        <x:v>P1-系统不可用/严重数据或安全影响</x:v>
      </x:c>
      <x:c r="C5" s="32" t="str">
        <x:v>7×24</x:v>
      </x:c>
      <x:c r="D5" s="40" t="str">
        <x:v>15分钟</x:v>
      </x:c>
      <x:c r="E5" s="40" t="str">
        <x:v>2小时恢复，根因按批准时限</x:v>
      </x:c>
      <x:c r="F5" s="40" t="str">
        <x:v>15分钟</x:v>
      </x:c>
      <x:c r="G5" s="40" t="str">
        <x:v>服务台</x:v>
      </x:c>
      <x:c r="H5" s="40" t="str">
        <x:v>运维/技术经理</x:v>
      </x:c>
      <x:c r="I5" s="40" t="str">
        <x:v>项目集经理/供应商</x:v>
      </x:c>
      <x:c r="J5" s="40" t="str">
        <x:v>工单、监控、时间线和复盘</x:v>
      </x:c>
      <x:c r="K5" s="40" t="str">
        <x:v>每30分钟通报</x:v>
      </x:c>
      <x:c r="L5" s="34" t="str">
        <x:v>待确认</x:v>
      </x:c>
    </x:row>
    <x:row r="6">
      <x:c r="A6" s="30" t="str">
        <x:v>事件处理</x:v>
      </x:c>
      <x:c r="B6" s="32" t="str">
        <x:v>P2-核心功能严重受影响</x:v>
      </x:c>
      <x:c r="C6" s="32" t="str">
        <x:v>7×24</x:v>
      </x:c>
      <x:c r="D6" s="40" t="str">
        <x:v>30分钟</x:v>
      </x:c>
      <x:c r="E6" s="40" t="str">
        <x:v>4小时恢复</x:v>
      </x:c>
      <x:c r="F6" s="40" t="str">
        <x:v>1小时</x:v>
      </x:c>
      <x:c r="G6" s="40" t="str">
        <x:v>服务台</x:v>
      </x:c>
      <x:c r="H6" s="40" t="str">
        <x:v>运维/开发</x:v>
      </x:c>
      <x:c r="I6" s="40" t="str">
        <x:v>技术经理/供应商</x:v>
      </x:c>
      <x:c r="J6" s="40" t="str">
        <x:v>工单、日志和处理证据</x:v>
      </x:c>
      <x:c r="K6" s="40" t="str">
        <x:v>每2小时通报</x:v>
      </x:c>
      <x:c r="L6" s="34" t="str">
        <x:v>待确认</x:v>
      </x:c>
    </x:row>
    <x:row r="7">
      <x:c r="A7" s="30" t="str">
        <x:v>事件处理</x:v>
      </x:c>
      <x:c r="B7" s="32" t="str">
        <x:v>P3-一般功能受影响</x:v>
      </x:c>
      <x:c r="C7" s="32" t="str">
        <x:v>5×8</x:v>
      </x:c>
      <x:c r="D7" s="40" t="str">
        <x:v>4小时</x:v>
      </x:c>
      <x:c r="E7" s="40" t="str">
        <x:v>2个工作日</x:v>
      </x:c>
      <x:c r="F7" s="40" t="str">
        <x:v>1个工作日</x:v>
      </x:c>
      <x:c r="G7" s="40" t="str">
        <x:v>服务台</x:v>
      </x:c>
      <x:c r="H7" s="40" t="str">
        <x:v>运维/开发</x:v>
      </x:c>
      <x:c r="I7" s="40" t="str">
        <x:v>供应商</x:v>
      </x:c>
      <x:c r="J7" s="40" t="str">
        <x:v>工单和解决记录</x:v>
      </x:c>
      <x:c r="K7" s="40" t="str">
        <x:v>日报</x:v>
      </x:c>
      <x:c r="L7" s="34" t="str">
        <x:v>待确认</x:v>
      </x:c>
    </x:row>
    <x:row r="8">
      <x:c r="A8" s="30" t="str">
        <x:v>事件处理</x:v>
      </x:c>
      <x:c r="B8" s="32" t="str">
        <x:v>P4-咨询/轻微影响</x:v>
      </x:c>
      <x:c r="C8" s="32" t="str">
        <x:v>5×8</x:v>
      </x:c>
      <x:c r="D8" s="40" t="str">
        <x:v>1个工作日</x:v>
      </x:c>
      <x:c r="E8" s="40" t="str">
        <x:v>5个工作日</x:v>
      </x:c>
      <x:c r="F8" s="40" t="str">
        <x:v>3个工作日</x:v>
      </x:c>
      <x:c r="G8" s="40" t="str">
        <x:v>服务台</x:v>
      </x:c>
      <x:c r="H8" s="40" t="str">
        <x:v>运维/产品</x:v>
      </x:c>
      <x:c r="I8" s="40" t="str">
        <x:v>供应商</x:v>
      </x:c>
      <x:c r="J8" s="40" t="str">
        <x:v>工单和知识库</x:v>
      </x:c>
      <x:c r="K8" s="40" t="str">
        <x:v>周报</x:v>
      </x:c>
      <x:c r="L8" s="34" t="str">
        <x:v>待确认</x:v>
      </x:c>
    </x:row>
    <x:row r="9">
      <x:c r="A9" s="30" t="str">
        <x:v>系统可用性</x:v>
      </x:c>
      <x:c r="B9" s="32" t="str">
        <x:v>核心服务</x:v>
      </x:c>
      <x:c r="C9" s="32" t="str">
        <x:v>7×24</x:v>
      </x:c>
      <x:c r="D9" s="40" t="str">
        <x:v>监控实时</x:v>
      </x:c>
      <x:c r="E9" s="40" t="str">
        <x:v>月度可用性≥99.9%</x:v>
      </x:c>
      <x:c r="F9" s="40" t="str">
        <x:v>超阈值立即</x:v>
      </x:c>
      <x:c r="G9" s="40" t="str">
        <x:v>运维</x:v>
      </x:c>
      <x:c r="H9" s="40" t="str">
        <x:v>技术经理</x:v>
      </x:c>
      <x:c r="I9" s="40" t="str">
        <x:v>供应商</x:v>
      </x:c>
      <x:c r="J9" s="40" t="str">
        <x:v>可用性、停机时间和排除项</x:v>
      </x:c>
      <x:c r="K9" s="40" t="str">
        <x:v>月报</x:v>
      </x:c>
      <x:c r="L9" s="34" t="str">
        <x:v>待确认</x:v>
      </x:c>
    </x:row>
    <x:row r="10">
      <x:c r="A10" s="30" t="str">
        <x:v>接口可用性</x:v>
      </x:c>
      <x:c r="B10" s="32" t="str">
        <x:v>核心ERP/财务/CA/文档接口</x:v>
      </x:c>
      <x:c r="C10" s="32" t="str">
        <x:v>7×24</x:v>
      </x:c>
      <x:c r="D10" s="40" t="str">
        <x:v>监控实时</x:v>
      </x:c>
      <x:c r="E10" s="40" t="str">
        <x:v>成功率≥99.9%，失败可重试补偿</x:v>
      </x:c>
      <x:c r="F10" s="40" t="str">
        <x:v>连续失败超阈值</x:v>
      </x:c>
      <x:c r="G10" s="40" t="str">
        <x:v>运维</x:v>
      </x:c>
      <x:c r="H10" s="40" t="str">
        <x:v>技术经理</x:v>
      </x:c>
      <x:c r="I10" s="40" t="str">
        <x:v>外部系统/供应商</x:v>
      </x:c>
      <x:c r="J10" s="40" t="str">
        <x:v>成功率、延迟、重试、补偿和对账</x:v>
      </x:c>
      <x:c r="K10" s="40" t="str">
        <x:v>日报/月报</x:v>
      </x:c>
      <x:c r="L10" s="34" t="str">
        <x:v>待确认</x:v>
      </x:c>
    </x:row>
    <x:row r="11">
      <x:c r="A11" s="30" t="str">
        <x:v>备份与恢复</x:v>
      </x:c>
      <x:c r="B11" s="32" t="str">
        <x:v>数据库、文件和配置</x:v>
      </x:c>
      <x:c r="C11" s="32" t="str">
        <x:v>7×24</x:v>
      </x:c>
      <x:c r="D11" s="40" t="str">
        <x:v>备份失败立即</x:v>
      </x:c>
      <x:c r="E11" s="40" t="str">
        <x:v>RPO≤15分钟，RTO≤4小时</x:v>
      </x:c>
      <x:c r="F11" s="40" t="str">
        <x:v>备份失败后30分钟</x:v>
      </x:c>
      <x:c r="G11" s="40" t="str">
        <x:v>运维</x:v>
      </x:c>
      <x:c r="H11" s="40" t="str">
        <x:v>技术经理</x:v>
      </x:c>
      <x:c r="I11" s="40" t="str">
        <x:v>基础设施供应商</x:v>
      </x:c>
      <x:c r="J11" s="40" t="str">
        <x:v>备份作业、恢复演练和校验记录</x:v>
      </x:c>
      <x:c r="K11" s="40" t="str">
        <x:v>日报/季度演练</x:v>
      </x:c>
      <x:c r="L11" s="34" t="str">
        <x:v>待确认</x:v>
      </x:c>
    </x:row>
    <x:row r="12">
      <x:c r="A12" s="30" t="str">
        <x:v>支持与报告</x:v>
      </x:c>
      <x:c r="B12" s="32" t="str">
        <x:v>试运行联合支持</x:v>
      </x:c>
      <x:c r="C12" s="32" t="str">
        <x:v>7×24</x:v>
      </x:c>
      <x:c r="D12" s="40" t="str">
        <x:v>按事件级别</x:v>
      </x:c>
      <x:c r="E12" s="40" t="str">
        <x:v>问题当日分类并持续跟踪</x:v>
      </x:c>
      <x:c r="F12" s="40" t="str">
        <x:v>阻塞或逾期立即</x:v>
      </x:c>
      <x:c r="G12" s="40" t="str">
        <x:v>服务台</x:v>
      </x:c>
      <x:c r="H12" s="40" t="str">
        <x:v>项目组</x:v>
      </x:c>
      <x:c r="I12" s="40" t="str">
        <x:v>供应商</x:v>
      </x:c>
      <x:c r="J12" s="40" t="str">
        <x:v>工单、日报、趋势和复盘</x:v>
      </x:c>
      <x:c r="K12" s="40" t="str">
        <x:v>每日/每周</x:v>
      </x:c>
      <x:c r="L12" s="34" t="str">
        <x:v>待确认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9" hidden="0" customWidth="1"/>
    <x:col min="11" max="11" width="19" hidden="0" customWidth="1"/>
    <x:col min="12" max="12" width="34" hidden="0" customWidth="1"/>
    <x:col min="13" max="13" width="34" hidden="0" customWidth="1"/>
    <x:col min="14" max="14" width="23" hidden="0" customWidth="1"/>
    <x:col min="15" max="15" width="23" hidden="0" customWidth="1"/>
  </x:cols>
  <x:sheetData>
    <x:row r="1" ht="25" customHeight="1">
      <x:c r="A1" s="1" t="str">
        <x:v>上线事件日志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记录上线窗口和试运行事件。P1/P2事件需复盘和根因分析。</x:v>
      </x:c>
    </x:row>
    <x:row r="4" ht="32" customHeight="1">
      <x:c r="A4" s="29" t="str">
        <x:v>事件ID</x:v>
      </x:c>
      <x:c r="B4" s="29" t="str">
        <x:v>发生时间</x:v>
      </x:c>
      <x:c r="C4" s="29" t="str">
        <x:v>级别</x:v>
      </x:c>
      <x:c r="D4" s="29" t="str">
        <x:v>类别</x:v>
      </x:c>
      <x:c r="E4" s="29" t="str">
        <x:v>现象/影响</x:v>
      </x:c>
      <x:c r="F4" s="29" t="str">
        <x:v>发现方式</x:v>
      </x:c>
      <x:c r="G4" s="29" t="str">
        <x:v>负责人</x:v>
      </x:c>
      <x:c r="H4" s="29" t="str">
        <x:v>首次响应</x:v>
      </x:c>
      <x:c r="I4" s="29" t="str">
        <x:v>状态</x:v>
      </x:c>
      <x:c r="J4" s="29" t="str">
        <x:v>恢复时间</x:v>
      </x:c>
      <x:c r="K4" s="29" t="str">
        <x:v>解决时间</x:v>
      </x:c>
      <x:c r="L4" s="29" t="str">
        <x:v>根因</x:v>
      </x:c>
      <x:c r="M4" s="29" t="str">
        <x:v>处置措施</x:v>
      </x:c>
      <x:c r="N4" s="29" t="str">
        <x:v>问题/缺陷ID</x:v>
      </x:c>
      <x:c r="O4" s="29" t="str">
        <x:v>证据/复盘</x:v>
      </x:c>
    </x:row>
    <x:row r="5">
      <x:c r="A5" s="34"/>
      <x:c r="B5" s="48"/>
      <x:c r="C5" s="34"/>
      <x:c r="D5" s="34"/>
      <x:c r="E5" s="40"/>
      <x:c r="F5" s="34"/>
      <x:c r="G5" s="34"/>
      <x:c r="H5" s="48"/>
      <x:c r="I5" s="34"/>
      <x:c r="J5" s="48"/>
      <x:c r="K5" s="48"/>
      <x:c r="L5" s="40"/>
      <x:c r="M5" s="40"/>
      <x:c r="N5" s="34"/>
      <x:c r="O5" s="34"/>
    </x:row>
    <x:row r="6">
      <x:c r="A6" s="34"/>
      <x:c r="B6" s="48"/>
      <x:c r="C6" s="34"/>
      <x:c r="D6" s="34"/>
      <x:c r="E6" s="40"/>
      <x:c r="F6" s="34"/>
      <x:c r="G6" s="34"/>
      <x:c r="H6" s="48"/>
      <x:c r="I6" s="34"/>
      <x:c r="J6" s="48"/>
      <x:c r="K6" s="48"/>
      <x:c r="L6" s="40"/>
      <x:c r="M6" s="40"/>
      <x:c r="N6" s="34"/>
      <x:c r="O6" s="34"/>
    </x:row>
    <x:row r="7">
      <x:c r="A7" s="34"/>
      <x:c r="B7" s="48"/>
      <x:c r="C7" s="34"/>
      <x:c r="D7" s="34"/>
      <x:c r="E7" s="40"/>
      <x:c r="F7" s="34"/>
      <x:c r="G7" s="34"/>
      <x:c r="H7" s="48"/>
      <x:c r="I7" s="34"/>
      <x:c r="J7" s="48"/>
      <x:c r="K7" s="48"/>
      <x:c r="L7" s="40"/>
      <x:c r="M7" s="40"/>
      <x:c r="N7" s="34"/>
      <x:c r="O7" s="34"/>
    </x:row>
    <x:row r="8">
      <x:c r="A8" s="34"/>
      <x:c r="B8" s="48"/>
      <x:c r="C8" s="34"/>
      <x:c r="D8" s="34"/>
      <x:c r="E8" s="40"/>
      <x:c r="F8" s="34"/>
      <x:c r="G8" s="34"/>
      <x:c r="H8" s="48"/>
      <x:c r="I8" s="34"/>
      <x:c r="J8" s="48"/>
      <x:c r="K8" s="48"/>
      <x:c r="L8" s="40"/>
      <x:c r="M8" s="40"/>
      <x:c r="N8" s="34"/>
      <x:c r="O8" s="34"/>
    </x:row>
    <x:row r="9">
      <x:c r="A9" s="34"/>
      <x:c r="B9" s="48"/>
      <x:c r="C9" s="34"/>
      <x:c r="D9" s="34"/>
      <x:c r="E9" s="40"/>
      <x:c r="F9" s="34"/>
      <x:c r="G9" s="34"/>
      <x:c r="H9" s="48"/>
      <x:c r="I9" s="34"/>
      <x:c r="J9" s="48"/>
      <x:c r="K9" s="48"/>
      <x:c r="L9" s="40"/>
      <x:c r="M9" s="40"/>
      <x:c r="N9" s="34"/>
      <x:c r="O9" s="34"/>
    </x:row>
    <x:row r="10">
      <x:c r="A10" s="34"/>
      <x:c r="B10" s="48"/>
      <x:c r="C10" s="34"/>
      <x:c r="D10" s="34"/>
      <x:c r="E10" s="40"/>
      <x:c r="F10" s="34"/>
      <x:c r="G10" s="34"/>
      <x:c r="H10" s="48"/>
      <x:c r="I10" s="34"/>
      <x:c r="J10" s="48"/>
      <x:c r="K10" s="48"/>
      <x:c r="L10" s="40"/>
      <x:c r="M10" s="40"/>
      <x:c r="N10" s="34"/>
      <x:c r="O10" s="34"/>
    </x:row>
    <x:row r="11">
      <x:c r="A11" s="34"/>
      <x:c r="B11" s="48"/>
      <x:c r="C11" s="34"/>
      <x:c r="D11" s="34"/>
      <x:c r="E11" s="40"/>
      <x:c r="F11" s="34"/>
      <x:c r="G11" s="34"/>
      <x:c r="H11" s="48"/>
      <x:c r="I11" s="34"/>
      <x:c r="J11" s="48"/>
      <x:c r="K11" s="48"/>
      <x:c r="L11" s="40"/>
      <x:c r="M11" s="40"/>
      <x:c r="N11" s="34"/>
      <x:c r="O11" s="34"/>
    </x:row>
    <x:row r="12">
      <x:c r="A12" s="34"/>
      <x:c r="B12" s="48"/>
      <x:c r="C12" s="34"/>
      <x:c r="D12" s="34"/>
      <x:c r="E12" s="40"/>
      <x:c r="F12" s="34"/>
      <x:c r="G12" s="34"/>
      <x:c r="H12" s="48"/>
      <x:c r="I12" s="34"/>
      <x:c r="J12" s="48"/>
      <x:c r="K12" s="48"/>
      <x:c r="L12" s="40"/>
      <x:c r="M12" s="40"/>
      <x:c r="N12" s="34"/>
      <x:c r="O12" s="34"/>
    </x:row>
    <x:row r="13">
      <x:c r="A13" s="34"/>
      <x:c r="B13" s="48"/>
      <x:c r="C13" s="34"/>
      <x:c r="D13" s="34"/>
      <x:c r="E13" s="40"/>
      <x:c r="F13" s="34"/>
      <x:c r="G13" s="34"/>
      <x:c r="H13" s="48"/>
      <x:c r="I13" s="34"/>
      <x:c r="J13" s="48"/>
      <x:c r="K13" s="48"/>
      <x:c r="L13" s="40"/>
      <x:c r="M13" s="40"/>
      <x:c r="N13" s="34"/>
      <x:c r="O13" s="34"/>
    </x:row>
    <x:row r="14">
      <x:c r="A14" s="34"/>
      <x:c r="B14" s="48"/>
      <x:c r="C14" s="34"/>
      <x:c r="D14" s="34"/>
      <x:c r="E14" s="40"/>
      <x:c r="F14" s="34"/>
      <x:c r="G14" s="34"/>
      <x:c r="H14" s="48"/>
      <x:c r="I14" s="34"/>
      <x:c r="J14" s="48"/>
      <x:c r="K14" s="48"/>
      <x:c r="L14" s="40"/>
      <x:c r="M14" s="40"/>
      <x:c r="N14" s="34"/>
      <x:c r="O14" s="34"/>
    </x:row>
    <x:row r="15">
      <x:c r="A15" s="34"/>
      <x:c r="B15" s="48"/>
      <x:c r="C15" s="34"/>
      <x:c r="D15" s="34"/>
      <x:c r="E15" s="40"/>
      <x:c r="F15" s="34"/>
      <x:c r="G15" s="34"/>
      <x:c r="H15" s="48"/>
      <x:c r="I15" s="34"/>
      <x:c r="J15" s="48"/>
      <x:c r="K15" s="48"/>
      <x:c r="L15" s="40"/>
      <x:c r="M15" s="40"/>
      <x:c r="N15" s="34"/>
      <x:c r="O15" s="34"/>
    </x:row>
    <x:row r="16">
      <x:c r="A16" s="34"/>
      <x:c r="B16" s="48"/>
      <x:c r="C16" s="34"/>
      <x:c r="D16" s="34"/>
      <x:c r="E16" s="40"/>
      <x:c r="F16" s="34"/>
      <x:c r="G16" s="34"/>
      <x:c r="H16" s="48"/>
      <x:c r="I16" s="34"/>
      <x:c r="J16" s="48"/>
      <x:c r="K16" s="48"/>
      <x:c r="L16" s="40"/>
      <x:c r="M16" s="40"/>
      <x:c r="N16" s="34"/>
      <x:c r="O16" s="34"/>
    </x:row>
    <x:row r="17">
      <x:c r="A17" s="34"/>
      <x:c r="B17" s="48"/>
      <x:c r="C17" s="34"/>
      <x:c r="D17" s="34"/>
      <x:c r="E17" s="40"/>
      <x:c r="F17" s="34"/>
      <x:c r="G17" s="34"/>
      <x:c r="H17" s="48"/>
      <x:c r="I17" s="34"/>
      <x:c r="J17" s="48"/>
      <x:c r="K17" s="48"/>
      <x:c r="L17" s="40"/>
      <x:c r="M17" s="40"/>
      <x:c r="N17" s="34"/>
      <x:c r="O17" s="34"/>
    </x:row>
    <x:row r="18">
      <x:c r="A18" s="34"/>
      <x:c r="B18" s="48"/>
      <x:c r="C18" s="34"/>
      <x:c r="D18" s="34"/>
      <x:c r="E18" s="40"/>
      <x:c r="F18" s="34"/>
      <x:c r="G18" s="34"/>
      <x:c r="H18" s="48"/>
      <x:c r="I18" s="34"/>
      <x:c r="J18" s="48"/>
      <x:c r="K18" s="48"/>
      <x:c r="L18" s="40"/>
      <x:c r="M18" s="40"/>
      <x:c r="N18" s="34"/>
      <x:c r="O18" s="34"/>
    </x:row>
    <x:row r="19">
      <x:c r="A19" s="34"/>
      <x:c r="B19" s="48"/>
      <x:c r="C19" s="34"/>
      <x:c r="D19" s="34"/>
      <x:c r="E19" s="40"/>
      <x:c r="F19" s="34"/>
      <x:c r="G19" s="34"/>
      <x:c r="H19" s="48"/>
      <x:c r="I19" s="34"/>
      <x:c r="J19" s="48"/>
      <x:c r="K19" s="48"/>
      <x:c r="L19" s="40"/>
      <x:c r="M19" s="40"/>
      <x:c r="N19" s="34"/>
      <x:c r="O19" s="34"/>
    </x:row>
    <x:row r="20">
      <x:c r="A20" s="34"/>
      <x:c r="B20" s="48"/>
      <x:c r="C20" s="34"/>
      <x:c r="D20" s="34"/>
      <x:c r="E20" s="40"/>
      <x:c r="F20" s="34"/>
      <x:c r="G20" s="34"/>
      <x:c r="H20" s="48"/>
      <x:c r="I20" s="34"/>
      <x:c r="J20" s="48"/>
      <x:c r="K20" s="48"/>
      <x:c r="L20" s="40"/>
      <x:c r="M20" s="40"/>
      <x:c r="N20" s="34"/>
      <x:c r="O20" s="34"/>
    </x:row>
    <x:row r="21">
      <x:c r="A21" s="34"/>
      <x:c r="B21" s="48"/>
      <x:c r="C21" s="34"/>
      <x:c r="D21" s="34"/>
      <x:c r="E21" s="40"/>
      <x:c r="F21" s="34"/>
      <x:c r="G21" s="34"/>
      <x:c r="H21" s="48"/>
      <x:c r="I21" s="34"/>
      <x:c r="J21" s="48"/>
      <x:c r="K21" s="48"/>
      <x:c r="L21" s="40"/>
      <x:c r="M21" s="40"/>
      <x:c r="N21" s="34"/>
      <x:c r="O21" s="34"/>
    </x:row>
    <x:row r="22">
      <x:c r="A22" s="34"/>
      <x:c r="B22" s="48"/>
      <x:c r="C22" s="34"/>
      <x:c r="D22" s="34"/>
      <x:c r="E22" s="40"/>
      <x:c r="F22" s="34"/>
      <x:c r="G22" s="34"/>
      <x:c r="H22" s="48"/>
      <x:c r="I22" s="34"/>
      <x:c r="J22" s="48"/>
      <x:c r="K22" s="48"/>
      <x:c r="L22" s="40"/>
      <x:c r="M22" s="40"/>
      <x:c r="N22" s="34"/>
      <x:c r="O22" s="34"/>
    </x:row>
    <x:row r="23">
      <x:c r="A23" s="34"/>
      <x:c r="B23" s="48"/>
      <x:c r="C23" s="34"/>
      <x:c r="D23" s="34"/>
      <x:c r="E23" s="40"/>
      <x:c r="F23" s="34"/>
      <x:c r="G23" s="34"/>
      <x:c r="H23" s="48"/>
      <x:c r="I23" s="34"/>
      <x:c r="J23" s="48"/>
      <x:c r="K23" s="48"/>
      <x:c r="L23" s="40"/>
      <x:c r="M23" s="40"/>
      <x:c r="N23" s="34"/>
      <x:c r="O23" s="34"/>
    </x:row>
    <x:row r="24">
      <x:c r="A24" s="34"/>
      <x:c r="B24" s="48"/>
      <x:c r="C24" s="34"/>
      <x:c r="D24" s="34"/>
      <x:c r="E24" s="40"/>
      <x:c r="F24" s="34"/>
      <x:c r="G24" s="34"/>
      <x:c r="H24" s="48"/>
      <x:c r="I24" s="34"/>
      <x:c r="J24" s="48"/>
      <x:c r="K24" s="48"/>
      <x:c r="L24" s="40"/>
      <x:c r="M24" s="40"/>
      <x:c r="N24" s="34"/>
      <x:c r="O24" s="34"/>
    </x:row>
    <x:row r="25">
      <x:c r="A25" s="34"/>
      <x:c r="B25" s="48"/>
      <x:c r="C25" s="34"/>
      <x:c r="D25" s="34"/>
      <x:c r="E25" s="40"/>
      <x:c r="F25" s="34"/>
      <x:c r="G25" s="34"/>
      <x:c r="H25" s="48"/>
      <x:c r="I25" s="34"/>
      <x:c r="J25" s="48"/>
      <x:c r="K25" s="48"/>
      <x:c r="L25" s="40"/>
      <x:c r="M25" s="40"/>
      <x:c r="N25" s="34"/>
      <x:c r="O25" s="34"/>
    </x:row>
    <x:row r="26">
      <x:c r="A26" s="34"/>
      <x:c r="B26" s="48"/>
      <x:c r="C26" s="34"/>
      <x:c r="D26" s="34"/>
      <x:c r="E26" s="40"/>
      <x:c r="F26" s="34"/>
      <x:c r="G26" s="34"/>
      <x:c r="H26" s="48"/>
      <x:c r="I26" s="34"/>
      <x:c r="J26" s="48"/>
      <x:c r="K26" s="48"/>
      <x:c r="L26" s="40"/>
      <x:c r="M26" s="40"/>
      <x:c r="N26" s="34"/>
      <x:c r="O26" s="34"/>
    </x:row>
    <x:row r="27">
      <x:c r="A27" s="34"/>
      <x:c r="B27" s="48"/>
      <x:c r="C27" s="34"/>
      <x:c r="D27" s="34"/>
      <x:c r="E27" s="40"/>
      <x:c r="F27" s="34"/>
      <x:c r="G27" s="34"/>
      <x:c r="H27" s="48"/>
      <x:c r="I27" s="34"/>
      <x:c r="J27" s="48"/>
      <x:c r="K27" s="48"/>
      <x:c r="L27" s="40"/>
      <x:c r="M27" s="40"/>
      <x:c r="N27" s="34"/>
      <x:c r="O27" s="34"/>
    </x:row>
    <x:row r="28">
      <x:c r="A28" s="34"/>
      <x:c r="B28" s="48"/>
      <x:c r="C28" s="34"/>
      <x:c r="D28" s="34"/>
      <x:c r="E28" s="40"/>
      <x:c r="F28" s="34"/>
      <x:c r="G28" s="34"/>
      <x:c r="H28" s="48"/>
      <x:c r="I28" s="34"/>
      <x:c r="J28" s="48"/>
      <x:c r="K28" s="48"/>
      <x:c r="L28" s="40"/>
      <x:c r="M28" s="40"/>
      <x:c r="N28" s="34"/>
      <x:c r="O28" s="34"/>
    </x:row>
    <x:row r="29">
      <x:c r="A29" s="34"/>
      <x:c r="B29" s="48"/>
      <x:c r="C29" s="34"/>
      <x:c r="D29" s="34"/>
      <x:c r="E29" s="40"/>
      <x:c r="F29" s="34"/>
      <x:c r="G29" s="34"/>
      <x:c r="H29" s="48"/>
      <x:c r="I29" s="34"/>
      <x:c r="J29" s="48"/>
      <x:c r="K29" s="48"/>
      <x:c r="L29" s="40"/>
      <x:c r="M29" s="40"/>
      <x:c r="N29" s="34"/>
      <x:c r="O29" s="34"/>
    </x:row>
    <x:row r="30">
      <x:c r="A30" s="34"/>
      <x:c r="B30" s="48"/>
      <x:c r="C30" s="34"/>
      <x:c r="D30" s="34"/>
      <x:c r="E30" s="40"/>
      <x:c r="F30" s="34"/>
      <x:c r="G30" s="34"/>
      <x:c r="H30" s="48"/>
      <x:c r="I30" s="34"/>
      <x:c r="J30" s="48"/>
      <x:c r="K30" s="48"/>
      <x:c r="L30" s="40"/>
      <x:c r="M30" s="40"/>
      <x:c r="N30" s="34"/>
      <x:c r="O30" s="34"/>
    </x:row>
    <x:row r="31">
      <x:c r="A31" s="34"/>
      <x:c r="B31" s="48"/>
      <x:c r="C31" s="34"/>
      <x:c r="D31" s="34"/>
      <x:c r="E31" s="40"/>
      <x:c r="F31" s="34"/>
      <x:c r="G31" s="34"/>
      <x:c r="H31" s="48"/>
      <x:c r="I31" s="34"/>
      <x:c r="J31" s="48"/>
      <x:c r="K31" s="48"/>
      <x:c r="L31" s="40"/>
      <x:c r="M31" s="40"/>
      <x:c r="N31" s="34"/>
      <x:c r="O31" s="34"/>
    </x:row>
    <x:row r="32">
      <x:c r="A32" s="34"/>
      <x:c r="B32" s="48"/>
      <x:c r="C32" s="34"/>
      <x:c r="D32" s="34"/>
      <x:c r="E32" s="40"/>
      <x:c r="F32" s="34"/>
      <x:c r="G32" s="34"/>
      <x:c r="H32" s="48"/>
      <x:c r="I32" s="34"/>
      <x:c r="J32" s="48"/>
      <x:c r="K32" s="48"/>
      <x:c r="L32" s="40"/>
      <x:c r="M32" s="40"/>
      <x:c r="N32" s="34"/>
      <x:c r="O32" s="34"/>
    </x:row>
    <x:row r="33">
      <x:c r="A33" s="34"/>
      <x:c r="B33" s="48"/>
      <x:c r="C33" s="34"/>
      <x:c r="D33" s="34"/>
      <x:c r="E33" s="40"/>
      <x:c r="F33" s="34"/>
      <x:c r="G33" s="34"/>
      <x:c r="H33" s="48"/>
      <x:c r="I33" s="34"/>
      <x:c r="J33" s="48"/>
      <x:c r="K33" s="48"/>
      <x:c r="L33" s="40"/>
      <x:c r="M33" s="40"/>
      <x:c r="N33" s="34"/>
      <x:c r="O33" s="34"/>
    </x:row>
    <x:row r="34">
      <x:c r="A34" s="34"/>
      <x:c r="B34" s="48"/>
      <x:c r="C34" s="34"/>
      <x:c r="D34" s="34"/>
      <x:c r="E34" s="40"/>
      <x:c r="F34" s="34"/>
      <x:c r="G34" s="34"/>
      <x:c r="H34" s="48"/>
      <x:c r="I34" s="34"/>
      <x:c r="J34" s="48"/>
      <x:c r="K34" s="48"/>
      <x:c r="L34" s="40"/>
      <x:c r="M34" s="40"/>
      <x:c r="N34" s="34"/>
      <x:c r="O34" s="34"/>
    </x:row>
    <x:row r="35">
      <x:c r="A35" s="34"/>
      <x:c r="B35" s="48"/>
      <x:c r="C35" s="34"/>
      <x:c r="D35" s="34"/>
      <x:c r="E35" s="40"/>
      <x:c r="F35" s="34"/>
      <x:c r="G35" s="34"/>
      <x:c r="H35" s="48"/>
      <x:c r="I35" s="34"/>
      <x:c r="J35" s="48"/>
      <x:c r="K35" s="48"/>
      <x:c r="L35" s="40"/>
      <x:c r="M35" s="40"/>
      <x:c r="N35" s="34"/>
      <x:c r="O35" s="34"/>
    </x:row>
    <x:row r="36">
      <x:c r="A36" s="34"/>
      <x:c r="B36" s="48"/>
      <x:c r="C36" s="34"/>
      <x:c r="D36" s="34"/>
      <x:c r="E36" s="40"/>
      <x:c r="F36" s="34"/>
      <x:c r="G36" s="34"/>
      <x:c r="H36" s="48"/>
      <x:c r="I36" s="34"/>
      <x:c r="J36" s="48"/>
      <x:c r="K36" s="48"/>
      <x:c r="L36" s="40"/>
      <x:c r="M36" s="40"/>
      <x:c r="N36" s="34"/>
      <x:c r="O36" s="34"/>
    </x:row>
    <x:row r="37">
      <x:c r="A37" s="34"/>
      <x:c r="B37" s="48"/>
      <x:c r="C37" s="34"/>
      <x:c r="D37" s="34"/>
      <x:c r="E37" s="40"/>
      <x:c r="F37" s="34"/>
      <x:c r="G37" s="34"/>
      <x:c r="H37" s="48"/>
      <x:c r="I37" s="34"/>
      <x:c r="J37" s="48"/>
      <x:c r="K37" s="48"/>
      <x:c r="L37" s="40"/>
      <x:c r="M37" s="40"/>
      <x:c r="N37" s="34"/>
      <x:c r="O37" s="34"/>
    </x:row>
    <x:row r="38">
      <x:c r="A38" s="34"/>
      <x:c r="B38" s="48"/>
      <x:c r="C38" s="34"/>
      <x:c r="D38" s="34"/>
      <x:c r="E38" s="40"/>
      <x:c r="F38" s="34"/>
      <x:c r="G38" s="34"/>
      <x:c r="H38" s="48"/>
      <x:c r="I38" s="34"/>
      <x:c r="J38" s="48"/>
      <x:c r="K38" s="48"/>
      <x:c r="L38" s="40"/>
      <x:c r="M38" s="40"/>
      <x:c r="N38" s="34"/>
      <x:c r="O38" s="34"/>
    </x:row>
    <x:row r="39">
      <x:c r="A39" s="34"/>
      <x:c r="B39" s="48"/>
      <x:c r="C39" s="34"/>
      <x:c r="D39" s="34"/>
      <x:c r="E39" s="40"/>
      <x:c r="F39" s="34"/>
      <x:c r="G39" s="34"/>
      <x:c r="H39" s="48"/>
      <x:c r="I39" s="34"/>
      <x:c r="J39" s="48"/>
      <x:c r="K39" s="48"/>
      <x:c r="L39" s="40"/>
      <x:c r="M39" s="40"/>
      <x:c r="N39" s="34"/>
      <x:c r="O39" s="34"/>
    </x:row>
    <x:row r="40">
      <x:c r="A40" s="34"/>
      <x:c r="B40" s="48"/>
      <x:c r="C40" s="34"/>
      <x:c r="D40" s="34"/>
      <x:c r="E40" s="40"/>
      <x:c r="F40" s="34"/>
      <x:c r="G40" s="34"/>
      <x:c r="H40" s="48"/>
      <x:c r="I40" s="34"/>
      <x:c r="J40" s="48"/>
      <x:c r="K40" s="48"/>
      <x:c r="L40" s="40"/>
      <x:c r="M40" s="40"/>
      <x:c r="N40" s="34"/>
      <x:c r="O40" s="34"/>
    </x:row>
    <x:row r="41">
      <x:c r="A41" s="34"/>
      <x:c r="B41" s="48"/>
      <x:c r="C41" s="34"/>
      <x:c r="D41" s="34"/>
      <x:c r="E41" s="40"/>
      <x:c r="F41" s="34"/>
      <x:c r="G41" s="34"/>
      <x:c r="H41" s="48"/>
      <x:c r="I41" s="34"/>
      <x:c r="J41" s="48"/>
      <x:c r="K41" s="48"/>
      <x:c r="L41" s="40"/>
      <x:c r="M41" s="40"/>
      <x:c r="N41" s="34"/>
      <x:c r="O41" s="34"/>
    </x:row>
    <x:row r="42">
      <x:c r="A42" s="34"/>
      <x:c r="B42" s="48"/>
      <x:c r="C42" s="34"/>
      <x:c r="D42" s="34"/>
      <x:c r="E42" s="40"/>
      <x:c r="F42" s="34"/>
      <x:c r="G42" s="34"/>
      <x:c r="H42" s="48"/>
      <x:c r="I42" s="34"/>
      <x:c r="J42" s="48"/>
      <x:c r="K42" s="48"/>
      <x:c r="L42" s="40"/>
      <x:c r="M42" s="40"/>
      <x:c r="N42" s="34"/>
      <x:c r="O42" s="34"/>
    </x:row>
    <x:row r="43">
      <x:c r="A43" s="34"/>
      <x:c r="B43" s="48"/>
      <x:c r="C43" s="34"/>
      <x:c r="D43" s="34"/>
      <x:c r="E43" s="40"/>
      <x:c r="F43" s="34"/>
      <x:c r="G43" s="34"/>
      <x:c r="H43" s="48"/>
      <x:c r="I43" s="34"/>
      <x:c r="J43" s="48"/>
      <x:c r="K43" s="48"/>
      <x:c r="L43" s="40"/>
      <x:c r="M43" s="40"/>
      <x:c r="N43" s="34"/>
      <x:c r="O43" s="34"/>
    </x:row>
    <x:row r="44">
      <x:c r="A44" s="34"/>
      <x:c r="B44" s="48"/>
      <x:c r="C44" s="34"/>
      <x:c r="D44" s="34"/>
      <x:c r="E44" s="40"/>
      <x:c r="F44" s="34"/>
      <x:c r="G44" s="34"/>
      <x:c r="H44" s="48"/>
      <x:c r="I44" s="34"/>
      <x:c r="J44" s="48"/>
      <x:c r="K44" s="48"/>
      <x:c r="L44" s="40"/>
      <x:c r="M44" s="40"/>
      <x:c r="N44" s="34"/>
      <x:c r="O44" s="34"/>
    </x:row>
    <x:row r="45">
      <x:c r="A45" s="34"/>
      <x:c r="B45" s="48"/>
      <x:c r="C45" s="34"/>
      <x:c r="D45" s="34"/>
      <x:c r="E45" s="40"/>
      <x:c r="F45" s="34"/>
      <x:c r="G45" s="34"/>
      <x:c r="H45" s="48"/>
      <x:c r="I45" s="34"/>
      <x:c r="J45" s="48"/>
      <x:c r="K45" s="48"/>
      <x:c r="L45" s="40"/>
      <x:c r="M45" s="40"/>
      <x:c r="N45" s="34"/>
      <x:c r="O45" s="34"/>
    </x:row>
    <x:row r="46">
      <x:c r="A46" s="34"/>
      <x:c r="B46" s="48"/>
      <x:c r="C46" s="34"/>
      <x:c r="D46" s="34"/>
      <x:c r="E46" s="40"/>
      <x:c r="F46" s="34"/>
      <x:c r="G46" s="34"/>
      <x:c r="H46" s="48"/>
      <x:c r="I46" s="34"/>
      <x:c r="J46" s="48"/>
      <x:c r="K46" s="48"/>
      <x:c r="L46" s="40"/>
      <x:c r="M46" s="40"/>
      <x:c r="N46" s="34"/>
      <x:c r="O46" s="34"/>
    </x:row>
    <x:row r="47">
      <x:c r="A47" s="34"/>
      <x:c r="B47" s="48"/>
      <x:c r="C47" s="34"/>
      <x:c r="D47" s="34"/>
      <x:c r="E47" s="40"/>
      <x:c r="F47" s="34"/>
      <x:c r="G47" s="34"/>
      <x:c r="H47" s="48"/>
      <x:c r="I47" s="34"/>
      <x:c r="J47" s="48"/>
      <x:c r="K47" s="48"/>
      <x:c r="L47" s="40"/>
      <x:c r="M47" s="40"/>
      <x:c r="N47" s="34"/>
      <x:c r="O47" s="34"/>
    </x:row>
    <x:row r="48">
      <x:c r="A48" s="34"/>
      <x:c r="B48" s="48"/>
      <x:c r="C48" s="34"/>
      <x:c r="D48" s="34"/>
      <x:c r="E48" s="40"/>
      <x:c r="F48" s="34"/>
      <x:c r="G48" s="34"/>
      <x:c r="H48" s="48"/>
      <x:c r="I48" s="34"/>
      <x:c r="J48" s="48"/>
      <x:c r="K48" s="48"/>
      <x:c r="L48" s="40"/>
      <x:c r="M48" s="40"/>
      <x:c r="N48" s="34"/>
      <x:c r="O48" s="34"/>
    </x:row>
    <x:row r="49">
      <x:c r="A49" s="34"/>
      <x:c r="B49" s="48"/>
      <x:c r="C49" s="34"/>
      <x:c r="D49" s="34"/>
      <x:c r="E49" s="40"/>
      <x:c r="F49" s="34"/>
      <x:c r="G49" s="34"/>
      <x:c r="H49" s="48"/>
      <x:c r="I49" s="34"/>
      <x:c r="J49" s="48"/>
      <x:c r="K49" s="48"/>
      <x:c r="L49" s="40"/>
      <x:c r="M49" s="40"/>
      <x:c r="N49" s="34"/>
      <x:c r="O49" s="34"/>
    </x:row>
    <x:row r="50">
      <x:c r="A50" s="34"/>
      <x:c r="B50" s="48"/>
      <x:c r="C50" s="34"/>
      <x:c r="D50" s="34"/>
      <x:c r="E50" s="40"/>
      <x:c r="F50" s="34"/>
      <x:c r="G50" s="34"/>
      <x:c r="H50" s="48"/>
      <x:c r="I50" s="34"/>
      <x:c r="J50" s="48"/>
      <x:c r="K50" s="48"/>
      <x:c r="L50" s="40"/>
      <x:c r="M50" s="40"/>
      <x:c r="N50" s="34"/>
      <x:c r="O50" s="34"/>
    </x:row>
    <x:row r="51">
      <x:c r="A51" s="34"/>
      <x:c r="B51" s="48"/>
      <x:c r="C51" s="34"/>
      <x:c r="D51" s="34"/>
      <x:c r="E51" s="40"/>
      <x:c r="F51" s="34"/>
      <x:c r="G51" s="34"/>
      <x:c r="H51" s="48"/>
      <x:c r="I51" s="34"/>
      <x:c r="J51" s="48"/>
      <x:c r="K51" s="48"/>
      <x:c r="L51" s="40"/>
      <x:c r="M51" s="40"/>
      <x:c r="N51" s="34"/>
      <x:c r="O51" s="34"/>
    </x:row>
    <x:row r="52">
      <x:c r="A52" s="34"/>
      <x:c r="B52" s="48"/>
      <x:c r="C52" s="34"/>
      <x:c r="D52" s="34"/>
      <x:c r="E52" s="40"/>
      <x:c r="F52" s="34"/>
      <x:c r="G52" s="34"/>
      <x:c r="H52" s="48"/>
      <x:c r="I52" s="34"/>
      <x:c r="J52" s="48"/>
      <x:c r="K52" s="48"/>
      <x:c r="L52" s="40"/>
      <x:c r="M52" s="40"/>
      <x:c r="N52" s="34"/>
      <x:c r="O52" s="34"/>
    </x:row>
    <x:row r="53">
      <x:c r="A53" s="34"/>
      <x:c r="B53" s="48"/>
      <x:c r="C53" s="34"/>
      <x:c r="D53" s="34"/>
      <x:c r="E53" s="40"/>
      <x:c r="F53" s="34"/>
      <x:c r="G53" s="34"/>
      <x:c r="H53" s="48"/>
      <x:c r="I53" s="34"/>
      <x:c r="J53" s="48"/>
      <x:c r="K53" s="48"/>
      <x:c r="L53" s="40"/>
      <x:c r="M53" s="40"/>
      <x:c r="N53" s="34"/>
      <x:c r="O53" s="34"/>
    </x:row>
    <x:row r="54">
      <x:c r="A54" s="34"/>
      <x:c r="B54" s="48"/>
      <x:c r="C54" s="34"/>
      <x:c r="D54" s="34"/>
      <x:c r="E54" s="40"/>
      <x:c r="F54" s="34"/>
      <x:c r="G54" s="34"/>
      <x:c r="H54" s="48"/>
      <x:c r="I54" s="34"/>
      <x:c r="J54" s="48"/>
      <x:c r="K54" s="48"/>
      <x:c r="L54" s="40"/>
      <x:c r="M54" s="40"/>
      <x:c r="N54" s="34"/>
      <x:c r="O54" s="34"/>
    </x:row>
    <x:row r="55">
      <x:c r="A55" s="34"/>
      <x:c r="B55" s="48"/>
      <x:c r="C55" s="34"/>
      <x:c r="D55" s="34"/>
      <x:c r="E55" s="40"/>
      <x:c r="F55" s="34"/>
      <x:c r="G55" s="34"/>
      <x:c r="H55" s="48"/>
      <x:c r="I55" s="34"/>
      <x:c r="J55" s="48"/>
      <x:c r="K55" s="48"/>
      <x:c r="L55" s="40"/>
      <x:c r="M55" s="40"/>
      <x:c r="N55" s="34"/>
      <x:c r="O55" s="34"/>
    </x:row>
    <x:row r="56">
      <x:c r="A56" s="34"/>
      <x:c r="B56" s="48"/>
      <x:c r="C56" s="34"/>
      <x:c r="D56" s="34"/>
      <x:c r="E56" s="40"/>
      <x:c r="F56" s="34"/>
      <x:c r="G56" s="34"/>
      <x:c r="H56" s="48"/>
      <x:c r="I56" s="34"/>
      <x:c r="J56" s="48"/>
      <x:c r="K56" s="48"/>
      <x:c r="L56" s="40"/>
      <x:c r="M56" s="40"/>
      <x:c r="N56" s="34"/>
      <x:c r="O56" s="34"/>
    </x:row>
    <x:row r="57">
      <x:c r="A57" s="34"/>
      <x:c r="B57" s="48"/>
      <x:c r="C57" s="34"/>
      <x:c r="D57" s="34"/>
      <x:c r="E57" s="40"/>
      <x:c r="F57" s="34"/>
      <x:c r="G57" s="34"/>
      <x:c r="H57" s="48"/>
      <x:c r="I57" s="34"/>
      <x:c r="J57" s="48"/>
      <x:c r="K57" s="48"/>
      <x:c r="L57" s="40"/>
      <x:c r="M57" s="40"/>
      <x:c r="N57" s="34"/>
      <x:c r="O57" s="34"/>
    </x:row>
    <x:row r="58">
      <x:c r="A58" s="34"/>
      <x:c r="B58" s="48"/>
      <x:c r="C58" s="34"/>
      <x:c r="D58" s="34"/>
      <x:c r="E58" s="40"/>
      <x:c r="F58" s="34"/>
      <x:c r="G58" s="34"/>
      <x:c r="H58" s="48"/>
      <x:c r="I58" s="34"/>
      <x:c r="J58" s="48"/>
      <x:c r="K58" s="48"/>
      <x:c r="L58" s="40"/>
      <x:c r="M58" s="40"/>
      <x:c r="N58" s="34"/>
      <x:c r="O58" s="34"/>
    </x:row>
    <x:row r="59">
      <x:c r="A59" s="34"/>
      <x:c r="B59" s="48"/>
      <x:c r="C59" s="34"/>
      <x:c r="D59" s="34"/>
      <x:c r="E59" s="40"/>
      <x:c r="F59" s="34"/>
      <x:c r="G59" s="34"/>
      <x:c r="H59" s="48"/>
      <x:c r="I59" s="34"/>
      <x:c r="J59" s="48"/>
      <x:c r="K59" s="48"/>
      <x:c r="L59" s="40"/>
      <x:c r="M59" s="40"/>
      <x:c r="N59" s="34"/>
      <x:c r="O59" s="34"/>
    </x:row>
    <x:row r="60">
      <x:c r="A60" s="34"/>
      <x:c r="B60" s="48"/>
      <x:c r="C60" s="34"/>
      <x:c r="D60" s="34"/>
      <x:c r="E60" s="40"/>
      <x:c r="F60" s="34"/>
      <x:c r="G60" s="34"/>
      <x:c r="H60" s="48"/>
      <x:c r="I60" s="34"/>
      <x:c r="J60" s="48"/>
      <x:c r="K60" s="48"/>
      <x:c r="L60" s="40"/>
      <x:c r="M60" s="40"/>
      <x:c r="N60" s="34"/>
      <x:c r="O60" s="34"/>
    </x:row>
    <x:row r="61">
      <x:c r="A61" s="34"/>
      <x:c r="B61" s="48"/>
      <x:c r="C61" s="34"/>
      <x:c r="D61" s="34"/>
      <x:c r="E61" s="40"/>
      <x:c r="F61" s="34"/>
      <x:c r="G61" s="34"/>
      <x:c r="H61" s="48"/>
      <x:c r="I61" s="34"/>
      <x:c r="J61" s="48"/>
      <x:c r="K61" s="48"/>
      <x:c r="L61" s="40"/>
      <x:c r="M61" s="40"/>
      <x:c r="N61" s="34"/>
      <x:c r="O61" s="34"/>
    </x:row>
    <x:row r="62">
      <x:c r="A62" s="34"/>
      <x:c r="B62" s="48"/>
      <x:c r="C62" s="34"/>
      <x:c r="D62" s="34"/>
      <x:c r="E62" s="40"/>
      <x:c r="F62" s="34"/>
      <x:c r="G62" s="34"/>
      <x:c r="H62" s="48"/>
      <x:c r="I62" s="34"/>
      <x:c r="J62" s="48"/>
      <x:c r="K62" s="48"/>
      <x:c r="L62" s="40"/>
      <x:c r="M62" s="40"/>
      <x:c r="N62" s="34"/>
      <x:c r="O62" s="34"/>
    </x:row>
    <x:row r="63">
      <x:c r="A63" s="34"/>
      <x:c r="B63" s="48"/>
      <x:c r="C63" s="34"/>
      <x:c r="D63" s="34"/>
      <x:c r="E63" s="40"/>
      <x:c r="F63" s="34"/>
      <x:c r="G63" s="34"/>
      <x:c r="H63" s="48"/>
      <x:c r="I63" s="34"/>
      <x:c r="J63" s="48"/>
      <x:c r="K63" s="48"/>
      <x:c r="L63" s="40"/>
      <x:c r="M63" s="40"/>
      <x:c r="N63" s="34"/>
      <x:c r="O63" s="34"/>
    </x:row>
    <x:row r="64">
      <x:c r="A64" s="34"/>
      <x:c r="B64" s="48"/>
      <x:c r="C64" s="34"/>
      <x:c r="D64" s="34"/>
      <x:c r="E64" s="40"/>
      <x:c r="F64" s="34"/>
      <x:c r="G64" s="34"/>
      <x:c r="H64" s="48"/>
      <x:c r="I64" s="34"/>
      <x:c r="J64" s="48"/>
      <x:c r="K64" s="48"/>
      <x:c r="L64" s="40"/>
      <x:c r="M64" s="40"/>
      <x:c r="N64" s="34"/>
      <x:c r="O64" s="34"/>
    </x:row>
    <x:row r="65">
      <x:c r="A65" s="34"/>
      <x:c r="B65" s="48"/>
      <x:c r="C65" s="34"/>
      <x:c r="D65" s="34"/>
      <x:c r="E65" s="40"/>
      <x:c r="F65" s="34"/>
      <x:c r="G65" s="34"/>
      <x:c r="H65" s="48"/>
      <x:c r="I65" s="34"/>
      <x:c r="J65" s="48"/>
      <x:c r="K65" s="48"/>
      <x:c r="L65" s="40"/>
      <x:c r="M65" s="40"/>
      <x:c r="N65" s="34"/>
      <x:c r="O65" s="34"/>
    </x:row>
    <x:row r="66">
      <x:c r="A66" s="34"/>
      <x:c r="B66" s="48"/>
      <x:c r="C66" s="34"/>
      <x:c r="D66" s="34"/>
      <x:c r="E66" s="40"/>
      <x:c r="F66" s="34"/>
      <x:c r="G66" s="34"/>
      <x:c r="H66" s="48"/>
      <x:c r="I66" s="34"/>
      <x:c r="J66" s="48"/>
      <x:c r="K66" s="48"/>
      <x:c r="L66" s="40"/>
      <x:c r="M66" s="40"/>
      <x:c r="N66" s="34"/>
      <x:c r="O66" s="34"/>
    </x:row>
    <x:row r="67">
      <x:c r="A67" s="34"/>
      <x:c r="B67" s="48"/>
      <x:c r="C67" s="34"/>
      <x:c r="D67" s="34"/>
      <x:c r="E67" s="40"/>
      <x:c r="F67" s="34"/>
      <x:c r="G67" s="34"/>
      <x:c r="H67" s="48"/>
      <x:c r="I67" s="34"/>
      <x:c r="J67" s="48"/>
      <x:c r="K67" s="48"/>
      <x:c r="L67" s="40"/>
      <x:c r="M67" s="40"/>
      <x:c r="N67" s="34"/>
      <x:c r="O67" s="34"/>
    </x:row>
    <x:row r="68">
      <x:c r="A68" s="34"/>
      <x:c r="B68" s="48"/>
      <x:c r="C68" s="34"/>
      <x:c r="D68" s="34"/>
      <x:c r="E68" s="40"/>
      <x:c r="F68" s="34"/>
      <x:c r="G68" s="34"/>
      <x:c r="H68" s="48"/>
      <x:c r="I68" s="34"/>
      <x:c r="J68" s="48"/>
      <x:c r="K68" s="48"/>
      <x:c r="L68" s="40"/>
      <x:c r="M68" s="40"/>
      <x:c r="N68" s="34"/>
      <x:c r="O68" s="34"/>
    </x:row>
    <x:row r="69">
      <x:c r="A69" s="34"/>
      <x:c r="B69" s="48"/>
      <x:c r="C69" s="34"/>
      <x:c r="D69" s="34"/>
      <x:c r="E69" s="40"/>
      <x:c r="F69" s="34"/>
      <x:c r="G69" s="34"/>
      <x:c r="H69" s="48"/>
      <x:c r="I69" s="34"/>
      <x:c r="J69" s="48"/>
      <x:c r="K69" s="48"/>
      <x:c r="L69" s="40"/>
      <x:c r="M69" s="40"/>
      <x:c r="N69" s="34"/>
      <x:c r="O69" s="34"/>
    </x:row>
    <x:row r="70">
      <x:c r="A70" s="34"/>
      <x:c r="B70" s="48"/>
      <x:c r="C70" s="34"/>
      <x:c r="D70" s="34"/>
      <x:c r="E70" s="40"/>
      <x:c r="F70" s="34"/>
      <x:c r="G70" s="34"/>
      <x:c r="H70" s="48"/>
      <x:c r="I70" s="34"/>
      <x:c r="J70" s="48"/>
      <x:c r="K70" s="48"/>
      <x:c r="L70" s="40"/>
      <x:c r="M70" s="40"/>
      <x:c r="N70" s="34"/>
      <x:c r="O70" s="34"/>
    </x:row>
    <x:row r="71">
      <x:c r="A71" s="34"/>
      <x:c r="B71" s="48"/>
      <x:c r="C71" s="34"/>
      <x:c r="D71" s="34"/>
      <x:c r="E71" s="40"/>
      <x:c r="F71" s="34"/>
      <x:c r="G71" s="34"/>
      <x:c r="H71" s="48"/>
      <x:c r="I71" s="34"/>
      <x:c r="J71" s="48"/>
      <x:c r="K71" s="48"/>
      <x:c r="L71" s="40"/>
      <x:c r="M71" s="40"/>
      <x:c r="N71" s="34"/>
      <x:c r="O71" s="34"/>
    </x:row>
    <x:row r="72">
      <x:c r="A72" s="34"/>
      <x:c r="B72" s="48"/>
      <x:c r="C72" s="34"/>
      <x:c r="D72" s="34"/>
      <x:c r="E72" s="40"/>
      <x:c r="F72" s="34"/>
      <x:c r="G72" s="34"/>
      <x:c r="H72" s="48"/>
      <x:c r="I72" s="34"/>
      <x:c r="J72" s="48"/>
      <x:c r="K72" s="48"/>
      <x:c r="L72" s="40"/>
      <x:c r="M72" s="40"/>
      <x:c r="N72" s="34"/>
      <x:c r="O72" s="34"/>
    </x:row>
    <x:row r="73">
      <x:c r="A73" s="34"/>
      <x:c r="B73" s="48"/>
      <x:c r="C73" s="34"/>
      <x:c r="D73" s="34"/>
      <x:c r="E73" s="40"/>
      <x:c r="F73" s="34"/>
      <x:c r="G73" s="34"/>
      <x:c r="H73" s="48"/>
      <x:c r="I73" s="34"/>
      <x:c r="J73" s="48"/>
      <x:c r="K73" s="48"/>
      <x:c r="L73" s="40"/>
      <x:c r="M73" s="40"/>
      <x:c r="N73" s="34"/>
      <x:c r="O73" s="34"/>
    </x:row>
    <x:row r="74">
      <x:c r="A74" s="34"/>
      <x:c r="B74" s="48"/>
      <x:c r="C74" s="34"/>
      <x:c r="D74" s="34"/>
      <x:c r="E74" s="40"/>
      <x:c r="F74" s="34"/>
      <x:c r="G74" s="34"/>
      <x:c r="H74" s="48"/>
      <x:c r="I74" s="34"/>
      <x:c r="J74" s="48"/>
      <x:c r="K74" s="48"/>
      <x:c r="L74" s="40"/>
      <x:c r="M74" s="40"/>
      <x:c r="N74" s="34"/>
      <x:c r="O74" s="34"/>
    </x:row>
    <x:row r="75">
      <x:c r="A75" s="34"/>
      <x:c r="B75" s="48"/>
      <x:c r="C75" s="34"/>
      <x:c r="D75" s="34"/>
      <x:c r="E75" s="40"/>
      <x:c r="F75" s="34"/>
      <x:c r="G75" s="34"/>
      <x:c r="H75" s="48"/>
      <x:c r="I75" s="34"/>
      <x:c r="J75" s="48"/>
      <x:c r="K75" s="48"/>
      <x:c r="L75" s="40"/>
      <x:c r="M75" s="40"/>
      <x:c r="N75" s="34"/>
      <x:c r="O75" s="34"/>
    </x:row>
    <x:row r="76">
      <x:c r="A76" s="34"/>
      <x:c r="B76" s="48"/>
      <x:c r="C76" s="34"/>
      <x:c r="D76" s="34"/>
      <x:c r="E76" s="40"/>
      <x:c r="F76" s="34"/>
      <x:c r="G76" s="34"/>
      <x:c r="H76" s="48"/>
      <x:c r="I76" s="34"/>
      <x:c r="J76" s="48"/>
      <x:c r="K76" s="48"/>
      <x:c r="L76" s="40"/>
      <x:c r="M76" s="40"/>
      <x:c r="N76" s="34"/>
      <x:c r="O76" s="34"/>
    </x:row>
    <x:row r="77">
      <x:c r="A77" s="34"/>
      <x:c r="B77" s="48"/>
      <x:c r="C77" s="34"/>
      <x:c r="D77" s="34"/>
      <x:c r="E77" s="40"/>
      <x:c r="F77" s="34"/>
      <x:c r="G77" s="34"/>
      <x:c r="H77" s="48"/>
      <x:c r="I77" s="34"/>
      <x:c r="J77" s="48"/>
      <x:c r="K77" s="48"/>
      <x:c r="L77" s="40"/>
      <x:c r="M77" s="40"/>
      <x:c r="N77" s="34"/>
      <x:c r="O77" s="34"/>
    </x:row>
    <x:row r="78">
      <x:c r="A78" s="34"/>
      <x:c r="B78" s="48"/>
      <x:c r="C78" s="34"/>
      <x:c r="D78" s="34"/>
      <x:c r="E78" s="40"/>
      <x:c r="F78" s="34"/>
      <x:c r="G78" s="34"/>
      <x:c r="H78" s="48"/>
      <x:c r="I78" s="34"/>
      <x:c r="J78" s="48"/>
      <x:c r="K78" s="48"/>
      <x:c r="L78" s="40"/>
      <x:c r="M78" s="40"/>
      <x:c r="N78" s="34"/>
      <x:c r="O78" s="34"/>
    </x:row>
    <x:row r="79">
      <x:c r="A79" s="34"/>
      <x:c r="B79" s="48"/>
      <x:c r="C79" s="34"/>
      <x:c r="D79" s="34"/>
      <x:c r="E79" s="40"/>
      <x:c r="F79" s="34"/>
      <x:c r="G79" s="34"/>
      <x:c r="H79" s="48"/>
      <x:c r="I79" s="34"/>
      <x:c r="J79" s="48"/>
      <x:c r="K79" s="48"/>
      <x:c r="L79" s="40"/>
      <x:c r="M79" s="40"/>
      <x:c r="N79" s="34"/>
      <x:c r="O79" s="34"/>
    </x:row>
    <x:row r="80">
      <x:c r="A80" s="34"/>
      <x:c r="B80" s="48"/>
      <x:c r="C80" s="34"/>
      <x:c r="D80" s="34"/>
      <x:c r="E80" s="40"/>
      <x:c r="F80" s="34"/>
      <x:c r="G80" s="34"/>
      <x:c r="H80" s="48"/>
      <x:c r="I80" s="34"/>
      <x:c r="J80" s="48"/>
      <x:c r="K80" s="48"/>
      <x:c r="L80" s="40"/>
      <x:c r="M80" s="40"/>
      <x:c r="N80" s="34"/>
      <x:c r="O80" s="34"/>
    </x:row>
    <x:row r="81">
      <x:c r="A81" s="34"/>
      <x:c r="B81" s="48"/>
      <x:c r="C81" s="34"/>
      <x:c r="D81" s="34"/>
      <x:c r="E81" s="40"/>
      <x:c r="F81" s="34"/>
      <x:c r="G81" s="34"/>
      <x:c r="H81" s="48"/>
      <x:c r="I81" s="34"/>
      <x:c r="J81" s="48"/>
      <x:c r="K81" s="48"/>
      <x:c r="L81" s="40"/>
      <x:c r="M81" s="40"/>
      <x:c r="N81" s="34"/>
      <x:c r="O81" s="34"/>
    </x:row>
    <x:row r="82">
      <x:c r="A82" s="34"/>
      <x:c r="B82" s="48"/>
      <x:c r="C82" s="34"/>
      <x:c r="D82" s="34"/>
      <x:c r="E82" s="40"/>
      <x:c r="F82" s="34"/>
      <x:c r="G82" s="34"/>
      <x:c r="H82" s="48"/>
      <x:c r="I82" s="34"/>
      <x:c r="J82" s="48"/>
      <x:c r="K82" s="48"/>
      <x:c r="L82" s="40"/>
      <x:c r="M82" s="40"/>
      <x:c r="N82" s="34"/>
      <x:c r="O82" s="34"/>
    </x:row>
    <x:row r="83">
      <x:c r="A83" s="34"/>
      <x:c r="B83" s="48"/>
      <x:c r="C83" s="34"/>
      <x:c r="D83" s="34"/>
      <x:c r="E83" s="40"/>
      <x:c r="F83" s="34"/>
      <x:c r="G83" s="34"/>
      <x:c r="H83" s="48"/>
      <x:c r="I83" s="34"/>
      <x:c r="J83" s="48"/>
      <x:c r="K83" s="48"/>
      <x:c r="L83" s="40"/>
      <x:c r="M83" s="40"/>
      <x:c r="N83" s="34"/>
      <x:c r="O83" s="34"/>
    </x:row>
    <x:row r="84">
      <x:c r="A84" s="34"/>
      <x:c r="B84" s="48"/>
      <x:c r="C84" s="34"/>
      <x:c r="D84" s="34"/>
      <x:c r="E84" s="40"/>
      <x:c r="F84" s="34"/>
      <x:c r="G84" s="34"/>
      <x:c r="H84" s="48"/>
      <x:c r="I84" s="34"/>
      <x:c r="J84" s="48"/>
      <x:c r="K84" s="48"/>
      <x:c r="L84" s="40"/>
      <x:c r="M84" s="40"/>
      <x:c r="N84" s="34"/>
      <x:c r="O84" s="34"/>
    </x:row>
    <x:row r="85">
      <x:c r="A85" s="34"/>
      <x:c r="B85" s="48"/>
      <x:c r="C85" s="34"/>
      <x:c r="D85" s="34"/>
      <x:c r="E85" s="40"/>
      <x:c r="F85" s="34"/>
      <x:c r="G85" s="34"/>
      <x:c r="H85" s="48"/>
      <x:c r="I85" s="34"/>
      <x:c r="J85" s="48"/>
      <x:c r="K85" s="48"/>
      <x:c r="L85" s="40"/>
      <x:c r="M85" s="40"/>
      <x:c r="N85" s="34"/>
      <x:c r="O85" s="34"/>
    </x:row>
    <x:row r="86">
      <x:c r="A86" s="34"/>
      <x:c r="B86" s="48"/>
      <x:c r="C86" s="34"/>
      <x:c r="D86" s="34"/>
      <x:c r="E86" s="40"/>
      <x:c r="F86" s="34"/>
      <x:c r="G86" s="34"/>
      <x:c r="H86" s="48"/>
      <x:c r="I86" s="34"/>
      <x:c r="J86" s="48"/>
      <x:c r="K86" s="48"/>
      <x:c r="L86" s="40"/>
      <x:c r="M86" s="40"/>
      <x:c r="N86" s="34"/>
      <x:c r="O86" s="34"/>
    </x:row>
    <x:row r="87">
      <x:c r="A87" s="34"/>
      <x:c r="B87" s="48"/>
      <x:c r="C87" s="34"/>
      <x:c r="D87" s="34"/>
      <x:c r="E87" s="40"/>
      <x:c r="F87" s="34"/>
      <x:c r="G87" s="34"/>
      <x:c r="H87" s="48"/>
      <x:c r="I87" s="34"/>
      <x:c r="J87" s="48"/>
      <x:c r="K87" s="48"/>
      <x:c r="L87" s="40"/>
      <x:c r="M87" s="40"/>
      <x:c r="N87" s="34"/>
      <x:c r="O87" s="34"/>
    </x:row>
    <x:row r="88">
      <x:c r="A88" s="34"/>
      <x:c r="B88" s="48"/>
      <x:c r="C88" s="34"/>
      <x:c r="D88" s="34"/>
      <x:c r="E88" s="40"/>
      <x:c r="F88" s="34"/>
      <x:c r="G88" s="34"/>
      <x:c r="H88" s="48"/>
      <x:c r="I88" s="34"/>
      <x:c r="J88" s="48"/>
      <x:c r="K88" s="48"/>
      <x:c r="L88" s="40"/>
      <x:c r="M88" s="40"/>
      <x:c r="N88" s="34"/>
      <x:c r="O88" s="34"/>
    </x:row>
    <x:row r="89">
      <x:c r="A89" s="34"/>
      <x:c r="B89" s="48"/>
      <x:c r="C89" s="34"/>
      <x:c r="D89" s="34"/>
      <x:c r="E89" s="40"/>
      <x:c r="F89" s="34"/>
      <x:c r="G89" s="34"/>
      <x:c r="H89" s="48"/>
      <x:c r="I89" s="34"/>
      <x:c r="J89" s="48"/>
      <x:c r="K89" s="48"/>
      <x:c r="L89" s="40"/>
      <x:c r="M89" s="40"/>
      <x:c r="N89" s="34"/>
      <x:c r="O89" s="34"/>
    </x:row>
    <x:row r="90">
      <x:c r="A90" s="34"/>
      <x:c r="B90" s="48"/>
      <x:c r="C90" s="34"/>
      <x:c r="D90" s="34"/>
      <x:c r="E90" s="40"/>
      <x:c r="F90" s="34"/>
      <x:c r="G90" s="34"/>
      <x:c r="H90" s="48"/>
      <x:c r="I90" s="34"/>
      <x:c r="J90" s="48"/>
      <x:c r="K90" s="48"/>
      <x:c r="L90" s="40"/>
      <x:c r="M90" s="40"/>
      <x:c r="N90" s="34"/>
      <x:c r="O90" s="34"/>
    </x:row>
    <x:row r="91">
      <x:c r="A91" s="34"/>
      <x:c r="B91" s="48"/>
      <x:c r="C91" s="34"/>
      <x:c r="D91" s="34"/>
      <x:c r="E91" s="40"/>
      <x:c r="F91" s="34"/>
      <x:c r="G91" s="34"/>
      <x:c r="H91" s="48"/>
      <x:c r="I91" s="34"/>
      <x:c r="J91" s="48"/>
      <x:c r="K91" s="48"/>
      <x:c r="L91" s="40"/>
      <x:c r="M91" s="40"/>
      <x:c r="N91" s="34"/>
      <x:c r="O91" s="34"/>
    </x:row>
    <x:row r="92">
      <x:c r="A92" s="34"/>
      <x:c r="B92" s="48"/>
      <x:c r="C92" s="34"/>
      <x:c r="D92" s="34"/>
      <x:c r="E92" s="40"/>
      <x:c r="F92" s="34"/>
      <x:c r="G92" s="34"/>
      <x:c r="H92" s="48"/>
      <x:c r="I92" s="34"/>
      <x:c r="J92" s="48"/>
      <x:c r="K92" s="48"/>
      <x:c r="L92" s="40"/>
      <x:c r="M92" s="40"/>
      <x:c r="N92" s="34"/>
      <x:c r="O92" s="34"/>
    </x:row>
    <x:row r="93">
      <x:c r="A93" s="34"/>
      <x:c r="B93" s="48"/>
      <x:c r="C93" s="34"/>
      <x:c r="D93" s="34"/>
      <x:c r="E93" s="40"/>
      <x:c r="F93" s="34"/>
      <x:c r="G93" s="34"/>
      <x:c r="H93" s="48"/>
      <x:c r="I93" s="34"/>
      <x:c r="J93" s="48"/>
      <x:c r="K93" s="48"/>
      <x:c r="L93" s="40"/>
      <x:c r="M93" s="40"/>
      <x:c r="N93" s="34"/>
      <x:c r="O93" s="34"/>
    </x:row>
    <x:row r="94">
      <x:c r="A94" s="34"/>
      <x:c r="B94" s="48"/>
      <x:c r="C94" s="34"/>
      <x:c r="D94" s="34"/>
      <x:c r="E94" s="40"/>
      <x:c r="F94" s="34"/>
      <x:c r="G94" s="34"/>
      <x:c r="H94" s="48"/>
      <x:c r="I94" s="34"/>
      <x:c r="J94" s="48"/>
      <x:c r="K94" s="48"/>
      <x:c r="L94" s="40"/>
      <x:c r="M94" s="40"/>
      <x:c r="N94" s="34"/>
      <x:c r="O94" s="34"/>
    </x:row>
    <x:row r="95">
      <x:c r="A95" s="34"/>
      <x:c r="B95" s="48"/>
      <x:c r="C95" s="34"/>
      <x:c r="D95" s="34"/>
      <x:c r="E95" s="40"/>
      <x:c r="F95" s="34"/>
      <x:c r="G95" s="34"/>
      <x:c r="H95" s="48"/>
      <x:c r="I95" s="34"/>
      <x:c r="J95" s="48"/>
      <x:c r="K95" s="48"/>
      <x:c r="L95" s="40"/>
      <x:c r="M95" s="40"/>
      <x:c r="N95" s="34"/>
      <x:c r="O95" s="34"/>
    </x:row>
    <x:row r="96">
      <x:c r="A96" s="34"/>
      <x:c r="B96" s="48"/>
      <x:c r="C96" s="34"/>
      <x:c r="D96" s="34"/>
      <x:c r="E96" s="40"/>
      <x:c r="F96" s="34"/>
      <x:c r="G96" s="34"/>
      <x:c r="H96" s="48"/>
      <x:c r="I96" s="34"/>
      <x:c r="J96" s="48"/>
      <x:c r="K96" s="48"/>
      <x:c r="L96" s="40"/>
      <x:c r="M96" s="40"/>
      <x:c r="N96" s="34"/>
      <x:c r="O96" s="34"/>
    </x:row>
    <x:row r="97">
      <x:c r="A97" s="34"/>
      <x:c r="B97" s="48"/>
      <x:c r="C97" s="34"/>
      <x:c r="D97" s="34"/>
      <x:c r="E97" s="40"/>
      <x:c r="F97" s="34"/>
      <x:c r="G97" s="34"/>
      <x:c r="H97" s="48"/>
      <x:c r="I97" s="34"/>
      <x:c r="J97" s="48"/>
      <x:c r="K97" s="48"/>
      <x:c r="L97" s="40"/>
      <x:c r="M97" s="40"/>
      <x:c r="N97" s="34"/>
      <x:c r="O97" s="34"/>
    </x:row>
    <x:row r="98">
      <x:c r="A98" s="34"/>
      <x:c r="B98" s="48"/>
      <x:c r="C98" s="34"/>
      <x:c r="D98" s="34"/>
      <x:c r="E98" s="40"/>
      <x:c r="F98" s="34"/>
      <x:c r="G98" s="34"/>
      <x:c r="H98" s="48"/>
      <x:c r="I98" s="34"/>
      <x:c r="J98" s="48"/>
      <x:c r="K98" s="48"/>
      <x:c r="L98" s="40"/>
      <x:c r="M98" s="40"/>
      <x:c r="N98" s="34"/>
      <x:c r="O98" s="34"/>
    </x:row>
    <x:row r="99">
      <x:c r="A99" s="34"/>
      <x:c r="B99" s="48"/>
      <x:c r="C99" s="34"/>
      <x:c r="D99" s="34"/>
      <x:c r="E99" s="40"/>
      <x:c r="F99" s="34"/>
      <x:c r="G99" s="34"/>
      <x:c r="H99" s="48"/>
      <x:c r="I99" s="34"/>
      <x:c r="J99" s="48"/>
      <x:c r="K99" s="48"/>
      <x:c r="L99" s="40"/>
      <x:c r="M99" s="40"/>
      <x:c r="N99" s="34"/>
      <x:c r="O99" s="34"/>
    </x:row>
    <x:row r="100">
      <x:c r="A100" s="34"/>
      <x:c r="B100" s="48"/>
      <x:c r="C100" s="34"/>
      <x:c r="D100" s="34"/>
      <x:c r="E100" s="40"/>
      <x:c r="F100" s="34"/>
      <x:c r="G100" s="34"/>
      <x:c r="H100" s="48"/>
      <x:c r="I100" s="34"/>
      <x:c r="J100" s="48"/>
      <x:c r="K100" s="48"/>
      <x:c r="L100" s="40"/>
      <x:c r="M100" s="40"/>
      <x:c r="N100" s="34"/>
      <x:c r="O100" s="34"/>
    </x:row>
    <x:row r="101">
      <x:c r="A101" s="34"/>
      <x:c r="B101" s="48"/>
      <x:c r="C101" s="34"/>
      <x:c r="D101" s="34"/>
      <x:c r="E101" s="40"/>
      <x:c r="F101" s="34"/>
      <x:c r="G101" s="34"/>
      <x:c r="H101" s="48"/>
      <x:c r="I101" s="34"/>
      <x:c r="J101" s="48"/>
      <x:c r="K101" s="48"/>
      <x:c r="L101" s="40"/>
      <x:c r="M101" s="40"/>
      <x:c r="N101" s="34"/>
      <x:c r="O101" s="34"/>
    </x:row>
    <x:row r="102">
      <x:c r="A102" s="34"/>
      <x:c r="B102" s="48"/>
      <x:c r="C102" s="34"/>
      <x:c r="D102" s="34"/>
      <x:c r="E102" s="40"/>
      <x:c r="F102" s="34"/>
      <x:c r="G102" s="34"/>
      <x:c r="H102" s="48"/>
      <x:c r="I102" s="34"/>
      <x:c r="J102" s="48"/>
      <x:c r="K102" s="48"/>
      <x:c r="L102" s="40"/>
      <x:c r="M102" s="40"/>
      <x:c r="N102" s="34"/>
      <x:c r="O102" s="34"/>
    </x:row>
    <x:row r="103">
      <x:c r="A103" s="34"/>
      <x:c r="B103" s="48"/>
      <x:c r="C103" s="34"/>
      <x:c r="D103" s="34"/>
      <x:c r="E103" s="40"/>
      <x:c r="F103" s="34"/>
      <x:c r="G103" s="34"/>
      <x:c r="H103" s="48"/>
      <x:c r="I103" s="34"/>
      <x:c r="J103" s="48"/>
      <x:c r="K103" s="48"/>
      <x:c r="L103" s="40"/>
      <x:c r="M103" s="40"/>
      <x:c r="N103" s="34"/>
      <x:c r="O103" s="34"/>
    </x:row>
    <x:row r="104">
      <x:c r="A104" s="34"/>
      <x:c r="B104" s="48"/>
      <x:c r="C104" s="34"/>
      <x:c r="D104" s="34"/>
      <x:c r="E104" s="40"/>
      <x:c r="F104" s="34"/>
      <x:c r="G104" s="34"/>
      <x:c r="H104" s="48"/>
      <x:c r="I104" s="34"/>
      <x:c r="J104" s="48"/>
      <x:c r="K104" s="48"/>
      <x:c r="L104" s="40"/>
      <x:c r="M104" s="40"/>
      <x:c r="N104" s="34"/>
      <x:c r="O104" s="34"/>
    </x:row>
  </x:sheetData>
  <x:dataValidations count="2">
    <x:dataValidation type="list" sqref="C5:C104">
      <x:formula1>"P1,P2,P3,P4"</x:formula1>
    </x:dataValidation>
    <x:dataValidation type="list" sqref="I5:I104">
      <x:formula1>"新建,已响应,处理中,已恢复,已解决,已关闭"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30" hidden="0" customWidth="1"/>
    <x:col min="2" max="2" width="86" hidden="0" customWidth="1"/>
  </x:cols>
  <x:sheetData>
    <x:row r="1" ht="32" customHeight="1">
      <x:c r="A1" s="29" t="str">
        <x:v>字段</x:v>
      </x:c>
      <x:c r="B1" s="29" t="str">
        <x:v>值</x:v>
      </x:c>
    </x:row>
    <x:row r="2">
      <x:c r="A2" s="30" t="str">
        <x:v>Project_ID</x:v>
      </x:c>
      <x:c r="B2" s="30" t="str">
        <x:v>ECM-2026</x:v>
      </x:c>
    </x:row>
    <x:row r="3">
      <x:c r="A3" s="30" t="str">
        <x:v>项目名称</x:v>
      </x:c>
      <x:c r="B3" s="30" t="str">
        <x:v>能源行业合同全生命周期管理系统</x:v>
      </x:c>
    </x:row>
    <x:row r="4">
      <x:c r="A4" s="30" t="str">
        <x:v>模块编码</x:v>
      </x:c>
      <x:c r="B4" s="30" t="str">
        <x:v>08</x:v>
      </x:c>
    </x:row>
    <x:row r="5">
      <x:c r="A5" s="30" t="str">
        <x:v>版本日期</x:v>
      </x:c>
      <x:c r="B5" s="31" t="n">
        <x:v>46282</x:v>
      </x:c>
    </x:row>
    <x:row r="6">
      <x:c r="A6" s="30" t="str">
        <x:v>数据日期</x:v>
      </x:c>
      <x:c r="B6" s="31" t="n">
        <x:v>46282</x:v>
      </x:c>
    </x:row>
    <x:row r="7">
      <x:c r="A7" s="30" t="str">
        <x:v>计划上线日期</x:v>
      </x:c>
      <x:c r="B7" s="31" t="n">
        <x:v>46538</x:v>
      </x:c>
    </x:row>
    <x:row r="8">
      <x:c r="A8" s="30" t="str">
        <x:v>试运行开始</x:v>
      </x:c>
      <x:c r="B8" s="31" t="n">
        <x:v>46539</x:v>
      </x:c>
    </x:row>
    <x:row r="9">
      <x:c r="A9" s="30" t="str">
        <x:v>试运行退出</x:v>
      </x:c>
      <x:c r="B9" s="31" t="n">
        <x:v>46568</x:v>
      </x:c>
    </x:row>
    <x:row r="10">
      <x:c r="A10" s="30" t="str">
        <x:v>上线门禁数</x:v>
      </x:c>
      <x:c r="B10" s="30" t="n">
        <x:v>7</x:v>
      </x:c>
    </x:row>
    <x:row r="11">
      <x:c r="A11" s="30" t="str">
        <x:v>上线准备项数</x:v>
      </x:c>
      <x:c r="B11" s="30" t="n">
        <x:v>20</x:v>
      </x:c>
    </x:row>
    <x:row r="12">
      <x:c r="A12" s="30" t="str">
        <x:v>迁移对象数</x:v>
      </x:c>
      <x:c r="B12" s="30" t="n">
        <x:v>6</x:v>
      </x:c>
    </x:row>
    <x:row r="13">
      <x:c r="A13" s="30" t="str">
        <x:v>切换任务数</x:v>
      </x:c>
      <x:c r="B13" s="30" t="n">
        <x:v>12</x:v>
      </x:c>
    </x:row>
    <x:row r="14">
      <x:c r="A14" s="30" t="str">
        <x:v>移交项数</x:v>
      </x:c>
      <x:c r="B14" s="30" t="n">
        <x:v>12</x:v>
      </x:c>
    </x:row>
    <x:row r="15">
      <x:c r="A15" s="30" t="str">
        <x:v>使用说明Sheet</x:v>
      </x:c>
      <x:c r="B15" s="30" t="str">
        <x:v>已包含</x:v>
      </x:c>
    </x:row>
    <x:row r="16">
      <x:c r="A16" s="30" t="str">
        <x:v>使用说明版本</x:v>
      </x:c>
      <x:c r="B16" s="30" t="str">
        <x:v>20260917-V1</x:v>
      </x:c>
    </x:row>
    <x:row r="17">
      <x:c r="A17" s="30" t="str">
        <x:v>上游模块</x:v>
      </x:c>
      <x:c r="B17" s="30" t="str">
        <x:v>02_计划与进度/05_风险问题与变更/06_质量测试与验收/07_沟通会议与报告</x:v>
      </x:c>
    </x:row>
    <x:row r="18">
      <x:c r="A18" s="30" t="str">
        <x:v>下游模块</x:v>
      </x:c>
      <x:c r="B18" s="30" t="str">
        <x:v>09_复盘与经验沉淀/10_AI_PMO中心</x:v>
      </x:c>
    </x:row>
    <x:row r="19">
      <x:c r="A19" s="30" t="str">
        <x:v>中央数据库</x:v>
      </x:c>
      <x:c r="B19" s="30" t="str">
        <x:v>../90_项目数据中心/ai_pmo.db</x:v>
      </x:c>
    </x:row>
  </x:sheetData>
  <x:pageMargins left="0.7" right="0.7" top="0.75" bottom="0.75" header="0.3" footer="0.3"/>
</x:worksheet>
</file>
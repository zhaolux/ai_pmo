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用说明" sheetId="1" state="visible" r:id="rId3"/>
    <sheet name="上线总览" sheetId="2" state="visible" r:id="rId4"/>
    <sheet name="上线策略" sheetId="3" state="visible" r:id="rId5"/>
    <sheet name="上线准备清单" sheetId="4" state="visible" r:id="rId6"/>
    <sheet name="数据迁移与核验" sheetId="5" state="visible" r:id="rId7"/>
    <sheet name="切换执行计划" sheetId="6" state="visible" r:id="rId8"/>
    <sheet name="上线部署" sheetId="7" state="visible" r:id="rId9"/>
    <sheet name="回退方案" sheetId="8" state="visible" r:id="rId10"/>
    <sheet name="移交清单" sheetId="9" state="visible" r:id="rId11"/>
    <sheet name="试运行台账" sheetId="10" state="visible" r:id="rId12"/>
    <sheet name="运维SLA" sheetId="11" state="visible" r:id="rId13"/>
    <sheet name="上线事件日志" sheetId="12" state="visible" r:id="rId14"/>
    <sheet name="_数据接口" sheetId="13" state="visible" r:id="rId15"/>
  </sheets>
  <definedNames>
    <definedName function="false" hidden="true" localSheetId="6" name="_xlnm._FilterDatabase" vbProcedure="false">上线部署!$A$4:$H$24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<sst xmlns="http://schemas.openxmlformats.org/spreadsheetml/2006/main" count="952" uniqueCount="644">
  <si>
    <r>
      <rPr>
        <b val="true"/>
        <sz val="16"/>
        <color rgb="FF1F4E78"/>
        <rFont val="微软雅黑"/>
        <family val="2"/>
      </rPr>
      <t xml:space="preserve">上线移交与运营</t>
    </r>
    <r>
      <rPr>
        <b val="true"/>
        <sz val="16"/>
        <color rgb="FF1F4E78"/>
        <rFont val="Arial"/>
        <family val="0"/>
        <charset val="134"/>
      </rPr>
      <t xml:space="preserve">-20260918-V5 </t>
    </r>
    <r>
      <rPr>
        <b val="true"/>
        <sz val="16"/>
        <color rgb="FF1F4E78"/>
        <rFont val="微软雅黑"/>
        <family val="2"/>
      </rPr>
      <t xml:space="preserve">使用说明</t>
    </r>
  </si>
  <si>
    <r>
      <rPr>
        <i val="true"/>
        <sz val="10"/>
        <color rgb="FF666666"/>
        <rFont val="微软雅黑"/>
        <family val="2"/>
      </rPr>
      <t xml:space="preserve">管理上线策略、准备、迁移、切换、回退、移交、试运行和</t>
    </r>
    <r>
      <rPr>
        <i val="true"/>
        <sz val="10"/>
        <color rgb="FF666666"/>
        <rFont val="Arial"/>
        <family val="0"/>
        <charset val="134"/>
      </rPr>
      <t xml:space="preserve">SLA</t>
    </r>
    <r>
      <rPr>
        <i val="true"/>
        <sz val="10"/>
        <color rgb="FF666666"/>
        <rFont val="微软雅黑"/>
        <family val="2"/>
      </rPr>
      <t xml:space="preserve">。</t>
    </r>
  </si>
  <si>
    <t xml:space="preserve">项目</t>
  </si>
  <si>
    <t xml:space="preserve">能源行业合同全生命周期管理系统</t>
  </si>
  <si>
    <t xml:space="preserve">适用对象</t>
  </si>
  <si>
    <t xml:space="preserve">项目经理、技术经理、运维负责人、业务负责人</t>
  </si>
  <si>
    <t xml:space="preserve">更新频率</t>
  </si>
  <si>
    <t xml:space="preserve">上线准备期每周更新；上线窗口和试运行期每日更新。</t>
  </si>
  <si>
    <t xml:space="preserve">版本日期</t>
  </si>
  <si>
    <t xml:space="preserve">2026-10-19</t>
  </si>
  <si>
    <t xml:space="preserve">颜色约定</t>
  </si>
  <si>
    <r>
      <rPr>
        <sz val="10"/>
        <color rgb="FF404040"/>
        <rFont val="微软雅黑"/>
        <family val="2"/>
      </rPr>
      <t xml:space="preserve">浅蓝表头；黄色为人工输入区；白色</t>
    </r>
    <r>
      <rPr>
        <sz val="10"/>
        <color rgb="FF404040"/>
        <rFont val="Arial"/>
        <family val="0"/>
        <charset val="134"/>
      </rPr>
      <t xml:space="preserve">/</t>
    </r>
    <r>
      <rPr>
        <sz val="10"/>
        <color rgb="FF404040"/>
        <rFont val="微软雅黑"/>
        <family val="2"/>
      </rPr>
      <t xml:space="preserve">灰色通常为公式、说明或系统数据。</t>
    </r>
  </si>
  <si>
    <t xml:space="preserve">推荐使用流程</t>
  </si>
  <si>
    <t xml:space="preserve">确认上线策略和门禁</t>
  </si>
  <si>
    <t xml:space="preserve">完成准备项及数据迁移核验</t>
  </si>
  <si>
    <t xml:space="preserve">按切换计划执行并保留证据</t>
  </si>
  <si>
    <t xml:space="preserve">必要时按回退方案决策</t>
  </si>
  <si>
    <r>
      <rPr>
        <sz val="10"/>
        <color rgb="FF404040"/>
        <rFont val="微软雅黑"/>
        <family val="2"/>
      </rPr>
      <t xml:space="preserve">完成运维移交并跟踪试运行和</t>
    </r>
    <r>
      <rPr>
        <sz val="10"/>
        <color rgb="FF404040"/>
        <rFont val="Arial"/>
        <family val="0"/>
        <charset val="134"/>
      </rPr>
      <t xml:space="preserve">SLA</t>
    </r>
  </si>
  <si>
    <t xml:space="preserve">工作表导航</t>
  </si>
  <si>
    <t xml:space="preserve">顺序</t>
  </si>
  <si>
    <t xml:space="preserve">工作表</t>
  </si>
  <si>
    <t xml:space="preserve">用途</t>
  </si>
  <si>
    <t xml:space="preserve">上线总览</t>
  </si>
  <si>
    <t xml:space="preserve">查看上线准备、迁移、移交和事件状态。</t>
  </si>
  <si>
    <t xml:space="preserve">上线策略</t>
  </si>
  <si>
    <t xml:space="preserve">定义上线方式、窗口、门禁和组织。</t>
  </si>
  <si>
    <t xml:space="preserve">上线准备清单</t>
  </si>
  <si>
    <t xml:space="preserve">核对上线前置条件。</t>
  </si>
  <si>
    <t xml:space="preserve">数据迁移与核验</t>
  </si>
  <si>
    <t xml:space="preserve">记录迁移批次和核验结果。</t>
  </si>
  <si>
    <t xml:space="preserve">切换执行计划</t>
  </si>
  <si>
    <t xml:space="preserve">编排上线窗口任务。</t>
  </si>
  <si>
    <t xml:space="preserve">6</t>
  </si>
  <si>
    <t xml:space="preserve">上线部署</t>
  </si>
  <si>
    <r>
      <rPr>
        <sz val="11"/>
        <color rgb="FF243447"/>
        <rFont val="微软雅黑"/>
        <family val="2"/>
      </rPr>
      <t xml:space="preserve">按部署批次跟踪部署人员、上线状态与计划</t>
    </r>
    <r>
      <rPr>
        <sz val="11"/>
        <color rgb="FF243447"/>
        <rFont val="Cambria"/>
        <family val="0"/>
        <charset val="1"/>
      </rPr>
      <t xml:space="preserve">/</t>
    </r>
    <r>
      <rPr>
        <sz val="11"/>
        <color rgb="FF243447"/>
        <rFont val="微软雅黑"/>
        <family val="2"/>
      </rPr>
      <t xml:space="preserve">实际上线时间；</t>
    </r>
    <r>
      <rPr>
        <sz val="11"/>
        <color rgb="FF243447"/>
        <rFont val="Cambria"/>
        <family val="0"/>
        <charset val="1"/>
      </rPr>
      <t xml:space="preserve">G</t>
    </r>
    <r>
      <rPr>
        <sz val="11"/>
        <color rgb="FF243447"/>
        <rFont val="微软雅黑"/>
        <family val="2"/>
      </rPr>
      <t xml:space="preserve">列状态公式自动联动。</t>
    </r>
  </si>
  <si>
    <t xml:space="preserve">7</t>
  </si>
  <si>
    <t xml:space="preserve">回退方案</t>
  </si>
  <si>
    <t xml:space="preserve">定义触发条件和回退步骤。</t>
  </si>
  <si>
    <t xml:space="preserve">8</t>
  </si>
  <si>
    <t xml:space="preserve">移交清单</t>
  </si>
  <si>
    <t xml:space="preserve">跟踪向运维和业务移交。</t>
  </si>
  <si>
    <t xml:space="preserve">9</t>
  </si>
  <si>
    <t xml:space="preserve">试运行台账</t>
  </si>
  <si>
    <t xml:space="preserve">记录试运行问题和观察结果。</t>
  </si>
  <si>
    <t xml:space="preserve">10</t>
  </si>
  <si>
    <r>
      <rPr>
        <sz val="11"/>
        <color rgb="FF243447"/>
        <rFont val="微软雅黑"/>
        <family val="2"/>
      </rPr>
      <t xml:space="preserve">运维</t>
    </r>
    <r>
      <rPr>
        <sz val="11"/>
        <color rgb="FF243447"/>
        <rFont val="Cambria"/>
        <family val="0"/>
        <charset val="1"/>
      </rPr>
      <t xml:space="preserve">SLA</t>
    </r>
  </si>
  <si>
    <t xml:space="preserve">定义服务级别和责任。</t>
  </si>
  <si>
    <t xml:space="preserve">11</t>
  </si>
  <si>
    <t xml:space="preserve">上线事件日志</t>
  </si>
  <si>
    <t xml:space="preserve">记录上线事件及处置。</t>
  </si>
  <si>
    <t xml:space="preserve">12</t>
  </si>
  <si>
    <r>
      <rPr>
        <sz val="11"/>
        <color rgb="FF243447"/>
        <rFont val="Cambria"/>
        <family val="0"/>
        <charset val="1"/>
      </rPr>
      <t xml:space="preserve">_</t>
    </r>
    <r>
      <rPr>
        <sz val="11"/>
        <color rgb="FF243447"/>
        <rFont val="微软雅黑"/>
        <family val="2"/>
      </rPr>
      <t xml:space="preserve">数据接口</t>
    </r>
  </si>
  <si>
    <r>
      <rPr>
        <sz val="11"/>
        <color rgb="FF243447"/>
        <rFont val="微软雅黑"/>
        <family val="2"/>
      </rPr>
      <t xml:space="preserve">供</t>
    </r>
    <r>
      <rPr>
        <sz val="11"/>
        <color rgb="FF243447"/>
        <rFont val="Cambria"/>
        <family val="0"/>
        <charset val="1"/>
      </rPr>
      <t xml:space="preserve">Python</t>
    </r>
    <r>
      <rPr>
        <sz val="11"/>
        <color rgb="FF243447"/>
        <rFont val="微软雅黑"/>
        <family val="2"/>
      </rPr>
      <t xml:space="preserve">脚本和</t>
    </r>
    <r>
      <rPr>
        <sz val="11"/>
        <color rgb="FF243447"/>
        <rFont val="Cambria"/>
        <family val="0"/>
        <charset val="1"/>
      </rPr>
      <t xml:space="preserve">AI PMO</t>
    </r>
    <r>
      <rPr>
        <sz val="11"/>
        <color rgb="FF243447"/>
        <rFont val="微软雅黑"/>
        <family val="2"/>
      </rPr>
      <t xml:space="preserve">读取，人工一般不直接修改。</t>
    </r>
  </si>
  <si>
    <t xml:space="preserve">维护与检查规则</t>
  </si>
  <si>
    <t xml:space="preserve">先维护唯一编号、责任人、计划日期和状态，再补充说明与证据。</t>
  </si>
  <si>
    <t xml:space="preserve">状态变化时同步更新实际日期、完成比例、阻塞原因或验证结果。</t>
  </si>
  <si>
    <t xml:space="preserve">涉及基线、预算、范围、合同或上线门禁的变化，须先履行评审或审批。</t>
  </si>
  <si>
    <r>
      <rPr>
        <sz val="10"/>
        <color rgb="FF404040"/>
        <rFont val="微软雅黑"/>
        <family val="2"/>
      </rPr>
      <t xml:space="preserve">不要覆盖公式、汇总区、图表数据区和“</t>
    </r>
    <r>
      <rPr>
        <sz val="10"/>
        <color rgb="FF404040"/>
        <rFont val="Arial"/>
        <family val="0"/>
        <charset val="134"/>
      </rPr>
      <t xml:space="preserve">_</t>
    </r>
    <r>
      <rPr>
        <sz val="10"/>
        <color rgb="FF404040"/>
        <rFont val="微软雅黑"/>
        <family val="2"/>
      </rPr>
      <t xml:space="preserve">数据接口”中的系统字段。</t>
    </r>
  </si>
  <si>
    <t xml:space="preserve">每周检查空责任人、逾期未完成、状态与日期矛盾、缺少证据和公式错误。</t>
  </si>
  <si>
    <r>
      <rPr>
        <sz val="10"/>
        <color rgb="FF404040"/>
        <rFont val="微软雅黑"/>
        <family val="2"/>
      </rPr>
      <t xml:space="preserve">文件升级后，将被替换版本移入本模块</t>
    </r>
    <r>
      <rPr>
        <sz val="10"/>
        <color rgb="FF404040"/>
        <rFont val="Arial"/>
        <family val="0"/>
        <charset val="134"/>
      </rPr>
      <t xml:space="preserve">_archive</t>
    </r>
    <r>
      <rPr>
        <sz val="10"/>
        <color rgb="FF404040"/>
        <rFont val="微软雅黑"/>
        <family val="2"/>
      </rPr>
      <t xml:space="preserve">目录，不在正式目录保留多个现行版本。</t>
    </r>
  </si>
  <si>
    <r>
      <rPr>
        <sz val="11"/>
        <color rgb="FF243447"/>
        <rFont val="微软雅黑"/>
        <family val="2"/>
      </rPr>
      <t xml:space="preserve">上线部署</t>
    </r>
    <r>
      <rPr>
        <sz val="11"/>
        <color rgb="FF243447"/>
        <rFont val="Cambria"/>
        <family val="0"/>
        <charset val="1"/>
      </rPr>
      <t xml:space="preserve">G</t>
    </r>
    <r>
      <rPr>
        <sz val="11"/>
        <color rgb="FF243447"/>
        <rFont val="微软雅黑"/>
        <family val="2"/>
      </rPr>
      <t xml:space="preserve">列</t>
    </r>
    <r>
      <rPr>
        <sz val="11"/>
        <color rgb="FF243447"/>
        <rFont val="Cambria"/>
        <family val="0"/>
        <charset val="1"/>
      </rPr>
      <t xml:space="preserve">"</t>
    </r>
    <r>
      <rPr>
        <sz val="11"/>
        <color rgb="FF243447"/>
        <rFont val="微软雅黑"/>
        <family val="2"/>
      </rPr>
      <t xml:space="preserve">状态</t>
    </r>
    <r>
      <rPr>
        <sz val="11"/>
        <color rgb="FF243447"/>
        <rFont val="Cambria"/>
        <family val="0"/>
        <charset val="1"/>
      </rPr>
      <t xml:space="preserve">"</t>
    </r>
    <r>
      <rPr>
        <sz val="11"/>
        <color rgb="FF243447"/>
        <rFont val="微软雅黑"/>
        <family val="2"/>
      </rPr>
      <t xml:space="preserve">为公式联动列：上线状态改</t>
    </r>
    <r>
      <rPr>
        <sz val="11"/>
        <color rgb="FF243447"/>
        <rFont val="Cambria"/>
        <family val="0"/>
        <charset val="1"/>
      </rPr>
      <t xml:space="preserve">"</t>
    </r>
    <r>
      <rPr>
        <sz val="11"/>
        <color rgb="FF243447"/>
        <rFont val="微软雅黑"/>
        <family val="2"/>
      </rPr>
      <t xml:space="preserve">已完成</t>
    </r>
    <r>
      <rPr>
        <sz val="11"/>
        <color rgb="FF243447"/>
        <rFont val="Cambria"/>
        <family val="0"/>
        <charset val="1"/>
      </rPr>
      <t xml:space="preserve">"</t>
    </r>
    <r>
      <rPr>
        <sz val="11"/>
        <color rgb="FF243447"/>
        <rFont val="微软雅黑"/>
        <family val="2"/>
      </rPr>
      <t xml:space="preserve">后自动变为</t>
    </r>
    <r>
      <rPr>
        <sz val="11"/>
        <color rgb="FF243447"/>
        <rFont val="Cambria"/>
        <family val="0"/>
        <charset val="1"/>
      </rPr>
      <t xml:space="preserve">"</t>
    </r>
    <r>
      <rPr>
        <sz val="11"/>
        <color rgb="FF243447"/>
        <rFont val="微软雅黑"/>
        <family val="2"/>
      </rPr>
      <t xml:space="preserve">已完成</t>
    </r>
    <r>
      <rPr>
        <sz val="11"/>
        <color rgb="FF243447"/>
        <rFont val="Cambria"/>
        <family val="0"/>
        <charset val="1"/>
      </rPr>
      <t xml:space="preserve">"</t>
    </r>
    <r>
      <rPr>
        <sz val="11"/>
        <color rgb="FF243447"/>
        <rFont val="微软雅黑"/>
        <family val="2"/>
      </rPr>
      <t xml:space="preserve">；实际上线日期与上线状态须同步维护，勿改</t>
    </r>
    <r>
      <rPr>
        <sz val="11"/>
        <color rgb="FF243447"/>
        <rFont val="Cambria"/>
        <family val="0"/>
        <charset val="1"/>
      </rPr>
      <t xml:space="preserve">G</t>
    </r>
    <r>
      <rPr>
        <sz val="11"/>
        <color rgb="FF243447"/>
        <rFont val="微软雅黑"/>
        <family val="2"/>
      </rPr>
      <t xml:space="preserve">列公式。</t>
    </r>
  </si>
  <si>
    <t xml:space="preserve">上线移交与运营总览</t>
  </si>
  <si>
    <r>
      <rPr>
        <i val="true"/>
        <sz val="10"/>
        <color rgb="FF667788"/>
        <rFont val="微软雅黑"/>
        <family val="2"/>
      </rPr>
      <t xml:space="preserve">数据日期：</t>
    </r>
    <r>
      <rPr>
        <i val="true"/>
        <sz val="10"/>
        <color rgb="FF667788"/>
        <rFont val="Arial"/>
        <family val="0"/>
        <charset val="134"/>
      </rPr>
      <t xml:space="preserve">2026-09-17</t>
    </r>
    <r>
      <rPr>
        <i val="true"/>
        <sz val="10"/>
        <color rgb="FF667788"/>
        <rFont val="微软雅黑"/>
        <family val="2"/>
      </rPr>
      <t xml:space="preserve">。计划</t>
    </r>
    <r>
      <rPr>
        <i val="true"/>
        <sz val="10"/>
        <color rgb="FF667788"/>
        <rFont val="Arial"/>
        <family val="0"/>
        <charset val="134"/>
      </rPr>
      <t xml:space="preserve">2027-05-31</t>
    </r>
    <r>
      <rPr>
        <i val="true"/>
        <sz val="10"/>
        <color rgb="FF667788"/>
        <rFont val="微软雅黑"/>
        <family val="2"/>
      </rPr>
      <t xml:space="preserve">完成系统上线，</t>
    </r>
    <r>
      <rPr>
        <i val="true"/>
        <sz val="10"/>
        <color rgb="FF667788"/>
        <rFont val="Arial"/>
        <family val="0"/>
        <charset val="134"/>
      </rPr>
      <t xml:space="preserve">2027-06-30</t>
    </r>
    <r>
      <rPr>
        <i val="true"/>
        <sz val="10"/>
        <color rgb="FF667788"/>
        <rFont val="微软雅黑"/>
        <family val="2"/>
      </rPr>
      <t xml:space="preserve">完成试运行退出。</t>
    </r>
  </si>
  <si>
    <t xml:space="preserve">上线检查项</t>
  </si>
  <si>
    <t xml:space="preserve">已就绪</t>
  </si>
  <si>
    <t xml:space="preserve">阻塞项</t>
  </si>
  <si>
    <t xml:space="preserve">待完成移交</t>
  </si>
  <si>
    <t xml:space="preserve">未关闭事件</t>
  </si>
  <si>
    <t xml:space="preserve">综合状态</t>
  </si>
  <si>
    <t xml:space="preserve">关键门禁</t>
  </si>
  <si>
    <t xml:space="preserve">门禁</t>
  </si>
  <si>
    <t xml:space="preserve">计划日期</t>
  </si>
  <si>
    <t xml:space="preserve">负责人</t>
  </si>
  <si>
    <t xml:space="preserve">通过标准</t>
  </si>
  <si>
    <t xml:space="preserve">当前状态</t>
  </si>
  <si>
    <t xml:space="preserve">批准人</t>
  </si>
  <si>
    <t xml:space="preserve">证据</t>
  </si>
  <si>
    <r>
      <rPr>
        <sz val="10"/>
        <color rgb="FF243447"/>
        <rFont val="Arial"/>
        <family val="0"/>
        <charset val="134"/>
      </rPr>
      <t xml:space="preserve">UAT</t>
    </r>
    <r>
      <rPr>
        <sz val="10"/>
        <color rgb="FF243447"/>
        <rFont val="微软雅黑"/>
        <family val="2"/>
      </rPr>
      <t xml:space="preserve">验收门禁</t>
    </r>
  </si>
  <si>
    <t xml:space="preserve">产品经理</t>
  </si>
  <si>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场景</t>
    </r>
    <r>
      <rPr>
        <sz val="10"/>
        <color rgb="FF243447"/>
        <rFont val="Arial"/>
        <family val="0"/>
        <charset val="134"/>
      </rPr>
      <t xml:space="preserve">100%</t>
    </r>
    <r>
      <rPr>
        <sz val="10"/>
        <color rgb="FF243447"/>
        <rFont val="微软雅黑"/>
        <family val="2"/>
      </rPr>
      <t xml:space="preserve">通过，遗留风险获得批准</t>
    </r>
  </si>
  <si>
    <t xml:space="preserve">未通过</t>
  </si>
  <si>
    <t xml:space="preserve">业务负责人</t>
  </si>
  <si>
    <r>
      <rPr>
        <sz val="10"/>
        <color rgb="FF243447"/>
        <rFont val="Arial"/>
        <family val="0"/>
        <charset val="134"/>
      </rPr>
      <t xml:space="preserve">UAT</t>
    </r>
    <r>
      <rPr>
        <sz val="10"/>
        <color rgb="FF243447"/>
        <rFont val="微软雅黑"/>
        <family val="2"/>
      </rPr>
      <t xml:space="preserve">报告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业务确认</t>
    </r>
  </si>
  <si>
    <t xml:space="preserve">数据迁移门禁</t>
  </si>
  <si>
    <t xml:space="preserve">完整性、准确性、金额和状态对账通过</t>
  </si>
  <si>
    <t xml:space="preserve">迁移和对账报告</t>
  </si>
  <si>
    <t xml:space="preserve">技术上线门禁</t>
  </si>
  <si>
    <t xml:space="preserve">技术经理</t>
  </si>
  <si>
    <t xml:space="preserve">环境、接口、安全、性能、监控和回退可用</t>
  </si>
  <si>
    <t xml:space="preserve">项目经理</t>
  </si>
  <si>
    <t xml:space="preserve">技术验证和演练证据</t>
  </si>
  <si>
    <t xml:space="preserve">业务上线门禁</t>
  </si>
  <si>
    <t xml:space="preserve">流程、权限、用户、培训、手册和支持就绪</t>
  </si>
  <si>
    <t xml:space="preserve">培训和业务确认</t>
  </si>
  <si>
    <r>
      <rPr>
        <sz val="10"/>
        <color rgb="FF243447"/>
        <rFont val="Arial"/>
        <family val="0"/>
        <charset val="134"/>
      </rPr>
      <t xml:space="preserve">Go/No-Go</t>
    </r>
    <r>
      <rPr>
        <sz val="10"/>
        <color rgb="FF243447"/>
        <rFont val="微软雅黑"/>
        <family val="2"/>
      </rPr>
      <t xml:space="preserve">决策</t>
    </r>
  </si>
  <si>
    <t xml:space="preserve">项目集经理</t>
  </si>
  <si>
    <t xml:space="preserve">所有必须项通过，遗留风险有批准和责任人</t>
  </si>
  <si>
    <r>
      <rPr>
        <sz val="10"/>
        <color rgb="FF243447"/>
        <rFont val="微软雅黑"/>
        <family val="2"/>
      </rPr>
      <t xml:space="preserve">项目赞助人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治理委员会</t>
    </r>
  </si>
  <si>
    <r>
      <rPr>
        <sz val="10"/>
        <color rgb="FF243447"/>
        <rFont val="Arial"/>
        <family val="0"/>
        <charset val="134"/>
      </rPr>
      <t xml:space="preserve">Go/No-Go</t>
    </r>
    <r>
      <rPr>
        <sz val="10"/>
        <color rgb="FF243447"/>
        <rFont val="微软雅黑"/>
        <family val="2"/>
      </rPr>
      <t xml:space="preserve">决策记录</t>
    </r>
  </si>
  <si>
    <t xml:space="preserve">生产上线验证</t>
  </si>
  <si>
    <t xml:space="preserve">核心链路、数据、接口、权限和监控验证通过</t>
  </si>
  <si>
    <t xml:space="preserve">生产验证报告</t>
  </si>
  <si>
    <t xml:space="preserve">试运行退出门禁</t>
  </si>
  <si>
    <r>
      <rPr>
        <sz val="10"/>
        <color rgb="FF243447"/>
        <rFont val="微软雅黑"/>
        <family val="2"/>
      </rPr>
      <t xml:space="preserve">事件、缺陷、性能、用户反馈和</t>
    </r>
    <r>
      <rPr>
        <sz val="10"/>
        <color rgb="FF243447"/>
        <rFont val="Arial"/>
        <family val="0"/>
        <charset val="134"/>
      </rPr>
      <t xml:space="preserve">SLA</t>
    </r>
    <r>
      <rPr>
        <sz val="10"/>
        <color rgb="FF243447"/>
        <rFont val="微软雅黑"/>
        <family val="2"/>
      </rPr>
      <t xml:space="preserve">达到批准标准</t>
    </r>
  </si>
  <si>
    <t xml:space="preserve">项目赞助人</t>
  </si>
  <si>
    <r>
      <rPr>
        <sz val="10"/>
        <color rgb="FF243447"/>
        <rFont val="微软雅黑"/>
        <family val="2"/>
      </rPr>
      <t xml:space="preserve">试运行报告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移交确认</t>
    </r>
  </si>
  <si>
    <t xml:space="preserve">本项目默认采用分阶段准备、统一窗口切换和一个月试运行。</t>
  </si>
  <si>
    <t xml:space="preserve">策略项</t>
  </si>
  <si>
    <t xml:space="preserve">当前方案</t>
  </si>
  <si>
    <t xml:space="preserve">责任人</t>
  </si>
  <si>
    <t xml:space="preserve">准入条件</t>
  </si>
  <si>
    <r>
      <rPr>
        <b val="true"/>
        <sz val="10"/>
        <color rgb="FF1F4E78"/>
        <rFont val="微软雅黑"/>
        <family val="2"/>
      </rPr>
      <t xml:space="preserve">输出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证据</t>
    </r>
  </si>
  <si>
    <t xml:space="preserve">状态</t>
  </si>
  <si>
    <t xml:space="preserve">上线方式</t>
  </si>
  <si>
    <t xml:space="preserve">集中生产切换，关键流程分批开通</t>
  </si>
  <si>
    <r>
      <rPr>
        <sz val="10"/>
        <color rgb="FF243447"/>
        <rFont val="Arial"/>
        <family val="0"/>
        <charset val="134"/>
      </rPr>
      <t xml:space="preserve">UAT</t>
    </r>
    <r>
      <rPr>
        <sz val="10"/>
        <color rgb="FF243447"/>
        <rFont val="微软雅黑"/>
        <family val="2"/>
      </rPr>
      <t xml:space="preserve">、数据、接口和回退门禁通过</t>
    </r>
  </si>
  <si>
    <t xml:space="preserve">待批准</t>
  </si>
  <si>
    <t xml:space="preserve">上线窗口</t>
  </si>
  <si>
    <r>
      <rPr>
        <sz val="10"/>
        <color rgb="FF243447"/>
        <rFont val="Arial"/>
        <family val="0"/>
        <charset val="134"/>
      </rPr>
      <t xml:space="preserve">2027-05-28</t>
    </r>
    <r>
      <rPr>
        <sz val="10"/>
        <color rgb="FF243447"/>
        <rFont val="微软雅黑"/>
        <family val="2"/>
      </rPr>
      <t xml:space="preserve">冻结，</t>
    </r>
    <r>
      <rPr>
        <sz val="10"/>
        <color rgb="FF243447"/>
        <rFont val="Arial"/>
        <family val="0"/>
        <charset val="134"/>
      </rPr>
      <t xml:space="preserve">2027-05-29</t>
    </r>
    <r>
      <rPr>
        <sz val="10"/>
        <color rgb="FF243447"/>
        <rFont val="微软雅黑"/>
        <family val="2"/>
      </rPr>
      <t xml:space="preserve">至</t>
    </r>
    <r>
      <rPr>
        <sz val="10"/>
        <color rgb="FF243447"/>
        <rFont val="Arial"/>
        <family val="0"/>
        <charset val="134"/>
      </rPr>
      <t xml:space="preserve">05-31</t>
    </r>
    <r>
      <rPr>
        <sz val="10"/>
        <color rgb="FF243447"/>
        <rFont val="微软雅黑"/>
        <family val="2"/>
      </rPr>
      <t xml:space="preserve">切换和验证</t>
    </r>
  </si>
  <si>
    <t xml:space="preserve">生产环境、人员、授权和沟通到位</t>
  </si>
  <si>
    <t xml:space="preserve">切换计划</t>
  </si>
  <si>
    <t xml:space="preserve">数据策略</t>
  </si>
  <si>
    <r>
      <rPr>
        <sz val="10"/>
        <color rgb="FF243447"/>
        <rFont val="微软雅黑"/>
        <family val="2"/>
      </rPr>
      <t xml:space="preserve">全量初始化</t>
    </r>
    <r>
      <rPr>
        <sz val="10"/>
        <color rgb="FF243447"/>
        <rFont val="Arial"/>
        <family val="0"/>
        <charset val="134"/>
      </rPr>
      <t xml:space="preserve">+</t>
    </r>
    <r>
      <rPr>
        <sz val="10"/>
        <color rgb="FF243447"/>
        <rFont val="微软雅黑"/>
        <family val="2"/>
      </rPr>
      <t xml:space="preserve">增量补数</t>
    </r>
    <r>
      <rPr>
        <sz val="10"/>
        <color rgb="FF243447"/>
        <rFont val="Arial"/>
        <family val="0"/>
        <charset val="134"/>
      </rPr>
      <t xml:space="preserve">+</t>
    </r>
    <r>
      <rPr>
        <sz val="10"/>
        <color rgb="FF243447"/>
        <rFont val="微软雅黑"/>
        <family val="2"/>
      </rPr>
      <t xml:space="preserve">业务对账</t>
    </r>
  </si>
  <si>
    <t xml:space="preserve">数据规则、源数据、脱敏和验证脚本就绪</t>
  </si>
  <si>
    <t xml:space="preserve">迁移与对账报告</t>
  </si>
  <si>
    <t xml:space="preserve">变更冻结</t>
  </si>
  <si>
    <r>
      <rPr>
        <sz val="10"/>
        <color rgb="FF243447"/>
        <rFont val="微软雅黑"/>
        <family val="2"/>
      </rPr>
      <t xml:space="preserve">上线前</t>
    </r>
    <r>
      <rPr>
        <sz val="10"/>
        <color rgb="FF243447"/>
        <rFont val="Arial"/>
        <family val="0"/>
        <charset val="134"/>
      </rPr>
      <t xml:space="preserve">3</t>
    </r>
    <r>
      <rPr>
        <sz val="10"/>
        <color rgb="FF243447"/>
        <rFont val="微软雅黑"/>
        <family val="2"/>
      </rPr>
      <t xml:space="preserve">天冻结代码、配置、接口和数据规则</t>
    </r>
  </si>
  <si>
    <t xml:space="preserve">生产版本、基线和紧急变更流程明确</t>
  </si>
  <si>
    <r>
      <rPr>
        <sz val="10"/>
        <color rgb="FF243447"/>
        <rFont val="微软雅黑"/>
        <family val="2"/>
      </rPr>
      <t xml:space="preserve">冻结清单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发布版本</t>
    </r>
  </si>
  <si>
    <t xml:space="preserve">回退策略</t>
  </si>
  <si>
    <t xml:space="preserve">在规定判定窗口内回退至上一稳定版本</t>
  </si>
  <si>
    <t xml:space="preserve">备份、回退脚本、数据处置和演练通过</t>
  </si>
  <si>
    <r>
      <rPr>
        <sz val="10"/>
        <color rgb="FF243447"/>
        <rFont val="微软雅黑"/>
        <family val="2"/>
      </rPr>
      <t xml:space="preserve">回退方案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演练报告</t>
    </r>
  </si>
  <si>
    <t xml:space="preserve">支持策略</t>
  </si>
  <si>
    <t xml:space="preserve">试运行期间业务、产品、开发、测试和运维联合值守</t>
  </si>
  <si>
    <r>
      <rPr>
        <sz val="10"/>
        <color rgb="FF243447"/>
        <rFont val="微软雅黑"/>
        <family val="2"/>
      </rPr>
      <t xml:space="preserve">联系人、排班、</t>
    </r>
    <r>
      <rPr>
        <sz val="10"/>
        <color rgb="FF243447"/>
        <rFont val="Arial"/>
        <family val="0"/>
        <charset val="134"/>
      </rPr>
      <t xml:space="preserve">SLA</t>
    </r>
    <r>
      <rPr>
        <sz val="10"/>
        <color rgb="FF243447"/>
        <rFont val="微软雅黑"/>
        <family val="2"/>
      </rPr>
      <t xml:space="preserve">、升级和工单渠道明确</t>
    </r>
  </si>
  <si>
    <r>
      <rPr>
        <sz val="10"/>
        <color rgb="FF243447"/>
        <rFont val="微软雅黑"/>
        <family val="2"/>
      </rPr>
      <t xml:space="preserve">支持手册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值班表</t>
    </r>
  </si>
  <si>
    <t xml:space="preserve">试运行</t>
  </si>
  <si>
    <r>
      <rPr>
        <sz val="10"/>
        <color rgb="FF243447"/>
        <rFont val="Arial"/>
        <family val="0"/>
        <charset val="134"/>
      </rPr>
      <t xml:space="preserve">2027-06-01</t>
    </r>
    <r>
      <rPr>
        <sz val="10"/>
        <color rgb="FF243447"/>
        <rFont val="微软雅黑"/>
        <family val="2"/>
      </rPr>
      <t xml:space="preserve">至</t>
    </r>
    <r>
      <rPr>
        <sz val="10"/>
        <color rgb="FF243447"/>
        <rFont val="Arial"/>
        <family val="0"/>
        <charset val="134"/>
      </rPr>
      <t xml:space="preserve">2027-06-30</t>
    </r>
    <r>
      <rPr>
        <sz val="10"/>
        <color rgb="FF243447"/>
        <rFont val="微软雅黑"/>
        <family val="2"/>
      </rPr>
      <t xml:space="preserve">，按日监控、按周评审</t>
    </r>
  </si>
  <si>
    <t xml:space="preserve">生产验证通过，支持和监控就绪</t>
  </si>
  <si>
    <t xml:space="preserve">试运行计划</t>
  </si>
  <si>
    <t xml:space="preserve">试运行退出</t>
  </si>
  <si>
    <r>
      <rPr>
        <sz val="10"/>
        <color rgb="FF243447"/>
        <rFont val="微软雅黑"/>
        <family val="2"/>
      </rPr>
      <t xml:space="preserve">达到</t>
    </r>
    <r>
      <rPr>
        <sz val="10"/>
        <color rgb="FF243447"/>
        <rFont val="Arial"/>
        <family val="0"/>
        <charset val="134"/>
      </rPr>
      <t xml:space="preserve">SLA</t>
    </r>
    <r>
      <rPr>
        <sz val="10"/>
        <color rgb="FF243447"/>
        <rFont val="微软雅黑"/>
        <family val="2"/>
      </rPr>
      <t xml:space="preserve">、缺陷、事件、性能和用户反馈标准后移交运营</t>
    </r>
  </si>
  <si>
    <t xml:space="preserve">试运行退出门禁通过</t>
  </si>
  <si>
    <t xml:space="preserve">未开始</t>
  </si>
  <si>
    <t xml:space="preserve">沟通策略</t>
  </si>
  <si>
    <t xml:space="preserve">上线前每日准备会，窗口期间按节点通报，事件触发升级</t>
  </si>
  <si>
    <t xml:space="preserve">通讯录、模板、群组和升级路径就绪</t>
  </si>
  <si>
    <r>
      <rPr>
        <sz val="10"/>
        <color rgb="FF243447"/>
        <rFont val="微软雅黑"/>
        <family val="2"/>
      </rPr>
      <t xml:space="preserve">沟通计划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上线通知</t>
    </r>
  </si>
  <si>
    <t xml:space="preserve">业务连续性</t>
  </si>
  <si>
    <t xml:space="preserve">明确切换期业务暂停、手工处理、补录和对账机制</t>
  </si>
  <si>
    <t xml:space="preserve">临时业务方案和恢复后补录规则明确</t>
  </si>
  <si>
    <t xml:space="preserve">业务连续性方案</t>
  </si>
  <si>
    <r>
      <rPr>
        <i val="true"/>
        <sz val="10"/>
        <color rgb="FF667788"/>
        <rFont val="微软雅黑"/>
        <family val="2"/>
      </rPr>
      <t xml:space="preserve">必须项未就绪或阻塞时，</t>
    </r>
    <r>
      <rPr>
        <i val="true"/>
        <sz val="10"/>
        <color rgb="FF667788"/>
        <rFont val="Arial"/>
        <family val="0"/>
        <charset val="134"/>
      </rPr>
      <t xml:space="preserve">Go/No-Go</t>
    </r>
    <r>
      <rPr>
        <i val="true"/>
        <sz val="10"/>
        <color rgb="FF667788"/>
        <rFont val="微软雅黑"/>
        <family val="2"/>
      </rPr>
      <t xml:space="preserve">必须明确处置决定。</t>
    </r>
  </si>
  <si>
    <r>
      <rPr>
        <b val="true"/>
        <sz val="10"/>
        <color rgb="FF1F4E78"/>
        <rFont val="微软雅黑"/>
        <family val="2"/>
      </rPr>
      <t xml:space="preserve">检查项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</si>
  <si>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领域</t>
  </si>
  <si>
    <t xml:space="preserve">检查项</t>
  </si>
  <si>
    <t xml:space="preserve">计划完成</t>
  </si>
  <si>
    <t xml:space="preserve">是否必须</t>
  </si>
  <si>
    <t xml:space="preserve">实际完成</t>
  </si>
  <si>
    <t xml:space="preserve">验证人</t>
  </si>
  <si>
    <t xml:space="preserve">备注</t>
  </si>
  <si>
    <t xml:space="preserve">RDY-001</t>
  </si>
  <si>
    <t xml:space="preserve">范围</t>
  </si>
  <si>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范围和上线版本冻结</t>
    </r>
  </si>
  <si>
    <t xml:space="preserve">上线版本与批准范围一致</t>
  </si>
  <si>
    <t xml:space="preserve">必须</t>
  </si>
  <si>
    <t xml:space="preserve">未就绪</t>
  </si>
  <si>
    <t xml:space="preserve">RDY-002</t>
  </si>
  <si>
    <t xml:space="preserve">需求</t>
  </si>
  <si>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需求和验收标准完成</t>
    </r>
  </si>
  <si>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覆盖率</t>
    </r>
    <r>
      <rPr>
        <sz val="10"/>
        <color rgb="FF243447"/>
        <rFont val="Arial"/>
        <family val="0"/>
        <charset val="134"/>
      </rPr>
      <t xml:space="preserve">100%</t>
    </r>
  </si>
  <si>
    <t xml:space="preserve">RDY-003</t>
  </si>
  <si>
    <t xml:space="preserve">缺陷</t>
  </si>
  <si>
    <r>
      <rPr>
        <sz val="10"/>
        <color rgb="FF243447"/>
        <rFont val="Arial"/>
        <family val="0"/>
        <charset val="134"/>
      </rPr>
      <t xml:space="preserve">Blocker/Critical</t>
    </r>
    <r>
      <rPr>
        <sz val="10"/>
        <color rgb="FF243447"/>
        <rFont val="微软雅黑"/>
        <family val="2"/>
      </rPr>
      <t xml:space="preserve">缺陷清零</t>
    </r>
  </si>
  <si>
    <t xml:space="preserve">测试负责人</t>
  </si>
  <si>
    <r>
      <rPr>
        <sz val="10"/>
        <color rgb="FF243447"/>
        <rFont val="微软雅黑"/>
        <family val="2"/>
      </rPr>
      <t xml:space="preserve">未关闭数为</t>
    </r>
    <r>
      <rPr>
        <sz val="10"/>
        <color rgb="FF243447"/>
        <rFont val="Arial"/>
        <family val="0"/>
        <charset val="134"/>
      </rPr>
      <t xml:space="preserve">0</t>
    </r>
    <r>
      <rPr>
        <sz val="10"/>
        <color rgb="FF243447"/>
        <rFont val="微软雅黑"/>
        <family val="2"/>
      </rPr>
      <t xml:space="preserve">或获得书面批准</t>
    </r>
  </si>
  <si>
    <t xml:space="preserve">RDY-004</t>
  </si>
  <si>
    <t xml:space="preserve">UAT</t>
  </si>
  <si>
    <r>
      <rPr>
        <sz val="10"/>
        <color rgb="FF243447"/>
        <rFont val="微软雅黑"/>
        <family val="2"/>
      </rPr>
      <t xml:space="preserve">关键用户完成</t>
    </r>
    <r>
      <rPr>
        <sz val="10"/>
        <color rgb="FF243447"/>
        <rFont val="Arial"/>
        <family val="0"/>
        <charset val="134"/>
      </rPr>
      <t xml:space="preserve">UAT</t>
    </r>
    <r>
      <rPr>
        <sz val="10"/>
        <color rgb="FF243447"/>
        <rFont val="微软雅黑"/>
        <family val="2"/>
      </rPr>
      <t xml:space="preserve">确认</t>
    </r>
  </si>
  <si>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场景</t>
    </r>
    <r>
      <rPr>
        <sz val="10"/>
        <color rgb="FF243447"/>
        <rFont val="Arial"/>
        <family val="0"/>
        <charset val="134"/>
      </rPr>
      <t xml:space="preserve">100%</t>
    </r>
    <r>
      <rPr>
        <sz val="10"/>
        <color rgb="FF243447"/>
        <rFont val="微软雅黑"/>
        <family val="2"/>
      </rPr>
      <t xml:space="preserve">通过</t>
    </r>
  </si>
  <si>
    <t xml:space="preserve">RDY-005</t>
  </si>
  <si>
    <t xml:space="preserve">数据</t>
  </si>
  <si>
    <t xml:space="preserve">迁移、增量补数和业务对账通过</t>
  </si>
  <si>
    <r>
      <rPr>
        <sz val="10"/>
        <color rgb="FF243447"/>
        <rFont val="微软雅黑"/>
        <family val="2"/>
      </rPr>
      <t xml:space="preserve">关键对账差异为</t>
    </r>
    <r>
      <rPr>
        <sz val="10"/>
        <color rgb="FF243447"/>
        <rFont val="Arial"/>
        <family val="0"/>
        <charset val="134"/>
      </rPr>
      <t xml:space="preserve">0</t>
    </r>
    <r>
      <rPr>
        <sz val="10"/>
        <color rgb="FF243447"/>
        <rFont val="微软雅黑"/>
        <family val="2"/>
      </rPr>
      <t xml:space="preserve">或获批准</t>
    </r>
  </si>
  <si>
    <t xml:space="preserve">RDY-006</t>
  </si>
  <si>
    <t xml:space="preserve">接口</t>
  </si>
  <si>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接口完成联调、异常补偿、对账和生产参数核验</t>
    </r>
  </si>
  <si>
    <r>
      <rPr>
        <sz val="10"/>
        <color rgb="FF243447"/>
        <rFont val="Arial"/>
        <family val="0"/>
        <charset val="134"/>
      </rPr>
      <t xml:space="preserve">37</t>
    </r>
    <r>
      <rPr>
        <sz val="10"/>
        <color rgb="FF243447"/>
        <rFont val="微软雅黑"/>
        <family val="2"/>
      </rPr>
      <t xml:space="preserve">个系统完成范围决策；</t>
    </r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接口联调通过率</t>
    </r>
    <r>
      <rPr>
        <sz val="10"/>
        <color rgb="FF243447"/>
        <rFont val="Arial"/>
        <family val="0"/>
        <charset val="134"/>
      </rPr>
      <t xml:space="preserve">100%</t>
    </r>
    <r>
      <rPr>
        <sz val="10"/>
        <color rgb="FF243447"/>
        <rFont val="微软雅黑"/>
        <family val="2"/>
      </rPr>
      <t xml:space="preserve">，未关闭对账差异为</t>
    </r>
    <r>
      <rPr>
        <sz val="10"/>
        <color rgb="FF243447"/>
        <rFont val="Arial"/>
        <family val="0"/>
        <charset val="134"/>
      </rPr>
      <t xml:space="preserve">0</t>
    </r>
    <r>
      <rPr>
        <sz val="10"/>
        <color rgb="FF243447"/>
        <rFont val="微软雅黑"/>
        <family val="2"/>
      </rPr>
      <t xml:space="preserve">或获批准</t>
    </r>
  </si>
  <si>
    <t xml:space="preserve">接口范围基线、联调报告、对账报告、生产参数清单</t>
  </si>
  <si>
    <t xml:space="preserve">RDY-007</t>
  </si>
  <si>
    <t xml:space="preserve">权限</t>
  </si>
  <si>
    <t xml:space="preserve">角色、组织、数据权限和审计校验</t>
  </si>
  <si>
    <t xml:space="preserve">越权被阻止，审计日志完整</t>
  </si>
  <si>
    <t xml:space="preserve">RDY-008</t>
  </si>
  <si>
    <t xml:space="preserve">性能</t>
  </si>
  <si>
    <t xml:space="preserve">核心页面和接口性能达标</t>
  </si>
  <si>
    <t xml:space="preserve">达到批准的并发、响应和容量指标</t>
  </si>
  <si>
    <t xml:space="preserve">RDY-009</t>
  </si>
  <si>
    <t xml:space="preserve">安全</t>
  </si>
  <si>
    <t xml:space="preserve">安全测试和高风险整改完成</t>
  </si>
  <si>
    <r>
      <rPr>
        <sz val="10"/>
        <color rgb="FF243447"/>
        <rFont val="微软雅黑"/>
        <family val="2"/>
      </rPr>
      <t xml:space="preserve">高风险问题为</t>
    </r>
    <r>
      <rPr>
        <sz val="10"/>
        <color rgb="FF243447"/>
        <rFont val="Arial"/>
        <family val="0"/>
        <charset val="134"/>
      </rPr>
      <t xml:space="preserve">0</t>
    </r>
  </si>
  <si>
    <t xml:space="preserve">RDY-010</t>
  </si>
  <si>
    <t xml:space="preserve">环境</t>
  </si>
  <si>
    <t xml:space="preserve">生产环境、网络、证书、域名和时间同步就绪</t>
  </si>
  <si>
    <t xml:space="preserve">配置人员</t>
  </si>
  <si>
    <t xml:space="preserve">环境验证清单通过</t>
  </si>
  <si>
    <t xml:space="preserve">RDY-011</t>
  </si>
  <si>
    <t xml:space="preserve">发布</t>
  </si>
  <si>
    <t xml:space="preserve">发布包、脚本、配置和版本可追溯</t>
  </si>
  <si>
    <t xml:space="preserve">版本、校验值和审批完整</t>
  </si>
  <si>
    <t xml:space="preserve">RDY-012</t>
  </si>
  <si>
    <t xml:space="preserve">监控</t>
  </si>
  <si>
    <t xml:space="preserve">应用、接口、数据库、中间件和业务监控就绪</t>
  </si>
  <si>
    <t xml:space="preserve">监控、告警、通知和值班验证通过</t>
  </si>
  <si>
    <t xml:space="preserve">RDY-013</t>
  </si>
  <si>
    <t xml:space="preserve">备份</t>
  </si>
  <si>
    <t xml:space="preserve">数据库、文件、配置和密钥备份完成</t>
  </si>
  <si>
    <t xml:space="preserve">备份可恢复并完成抽样验证</t>
  </si>
  <si>
    <t xml:space="preserve">RDY-014</t>
  </si>
  <si>
    <t xml:space="preserve">回退</t>
  </si>
  <si>
    <t xml:space="preserve">回退方案、脚本和演练通过</t>
  </si>
  <si>
    <r>
      <rPr>
        <sz val="10"/>
        <color rgb="FF243447"/>
        <rFont val="Arial"/>
        <family val="0"/>
        <charset val="134"/>
      </rPr>
      <t xml:space="preserve">RTO/RPO</t>
    </r>
    <r>
      <rPr>
        <sz val="10"/>
        <color rgb="FF243447"/>
        <rFont val="微软雅黑"/>
        <family val="2"/>
      </rPr>
      <t xml:space="preserve">和业务验证达标</t>
    </r>
  </si>
  <si>
    <t xml:space="preserve">RDY-015</t>
  </si>
  <si>
    <t xml:space="preserve">用户</t>
  </si>
  <si>
    <t xml:space="preserve">生产用户、角色和初始化数据准备完成</t>
  </si>
  <si>
    <t xml:space="preserve">用户清单和授权审批完整</t>
  </si>
  <si>
    <t xml:space="preserve">RDY-016</t>
  </si>
  <si>
    <t xml:space="preserve">培训</t>
  </si>
  <si>
    <t xml:space="preserve">管理员、关键用户和支持人员培训完成</t>
  </si>
  <si>
    <t xml:space="preserve">出席、课件、考核和问题记录完整</t>
  </si>
  <si>
    <t xml:space="preserve">RDY-017</t>
  </si>
  <si>
    <t xml:space="preserve">文档</t>
  </si>
  <si>
    <t xml:space="preserve">用户手册、运维手册、应急手册和配置清单完成</t>
  </si>
  <si>
    <t xml:space="preserve">文档通过评审并存入指定位置</t>
  </si>
  <si>
    <t xml:space="preserve">RDY-018</t>
  </si>
  <si>
    <t xml:space="preserve">支持</t>
  </si>
  <si>
    <r>
      <rPr>
        <sz val="10"/>
        <color rgb="FF243447"/>
        <rFont val="微软雅黑"/>
        <family val="2"/>
      </rPr>
      <t xml:space="preserve">试运行值守、工单、</t>
    </r>
    <r>
      <rPr>
        <sz val="10"/>
        <color rgb="FF243447"/>
        <rFont val="Arial"/>
        <family val="0"/>
        <charset val="134"/>
      </rPr>
      <t xml:space="preserve">SLA</t>
    </r>
    <r>
      <rPr>
        <sz val="10"/>
        <color rgb="FF243447"/>
        <rFont val="微软雅黑"/>
        <family val="2"/>
      </rPr>
      <t xml:space="preserve">和升级路径就绪</t>
    </r>
  </si>
  <si>
    <t xml:space="preserve">轮值和升级演练通过</t>
  </si>
  <si>
    <t xml:space="preserve">RDY-019</t>
  </si>
  <si>
    <t xml:space="preserve">通知</t>
  </si>
  <si>
    <t xml:space="preserve">上线、业务暂停、使用指南和支持渠道已通知</t>
  </si>
  <si>
    <t xml:space="preserve">发送范围和确认记录完整</t>
  </si>
  <si>
    <t xml:space="preserve">RDY-020</t>
  </si>
  <si>
    <t xml:space="preserve">商务</t>
  </si>
  <si>
    <r>
      <rPr>
        <sz val="10"/>
        <color rgb="FF243447"/>
        <rFont val="微软雅黑"/>
        <family val="2"/>
      </rPr>
      <t xml:space="preserve">外部产品授权、证书、</t>
    </r>
    <r>
      <rPr>
        <sz val="10"/>
        <color rgb="FF243447"/>
        <rFont val="Arial"/>
        <family val="0"/>
        <charset val="134"/>
      </rPr>
      <t xml:space="preserve">SLA</t>
    </r>
    <r>
      <rPr>
        <sz val="10"/>
        <color rgb="FF243447"/>
        <rFont val="微软雅黑"/>
        <family val="2"/>
      </rPr>
      <t xml:space="preserve">和支持权益生效</t>
    </r>
  </si>
  <si>
    <r>
      <rPr>
        <sz val="10"/>
        <color rgb="FF243447"/>
        <rFont val="Arial"/>
        <family val="0"/>
        <charset val="134"/>
      </rPr>
      <t xml:space="preserve">CA/</t>
    </r>
    <r>
      <rPr>
        <sz val="10"/>
        <color rgb="FF243447"/>
        <rFont val="微软雅黑"/>
        <family val="2"/>
      </rPr>
      <t xml:space="preserve">电子文档</t>
    </r>
    <r>
      <rPr>
        <sz val="10"/>
        <color rgb="FF243447"/>
        <rFont val="Arial"/>
        <family val="0"/>
        <charset val="134"/>
      </rPr>
      <t xml:space="preserve">/BI</t>
    </r>
    <r>
      <rPr>
        <sz val="10"/>
        <color rgb="FF243447"/>
        <rFont val="微软雅黑"/>
        <family val="2"/>
      </rPr>
      <t xml:space="preserve">合同权益可用</t>
    </r>
  </si>
  <si>
    <t xml:space="preserve">迁移必须同时验证完整性、准确性、一致性、附件可用性和业务可操作性。</t>
  </si>
  <si>
    <r>
      <rPr>
        <b val="true"/>
        <sz val="10"/>
        <color rgb="FF1F4E78"/>
        <rFont val="微软雅黑"/>
        <family val="2"/>
      </rPr>
      <t xml:space="preserve">迁移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</si>
  <si>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数据对象</t>
  </si>
  <si>
    <t xml:space="preserve">来源系统</t>
  </si>
  <si>
    <t xml:space="preserve">迁移范围</t>
  </si>
  <si>
    <t xml:space="preserve">迁移方式</t>
  </si>
  <si>
    <t xml:space="preserve">计划执行</t>
  </si>
  <si>
    <t xml:space="preserve">源数量</t>
  </si>
  <si>
    <t xml:space="preserve">目标数量</t>
  </si>
  <si>
    <t xml:space="preserve">差异数量</t>
  </si>
  <si>
    <t xml:space="preserve">差异率</t>
  </si>
  <si>
    <t xml:space="preserve">核验规则</t>
  </si>
  <si>
    <t xml:space="preserve">核验结果</t>
  </si>
  <si>
    <t xml:space="preserve">差异处置</t>
  </si>
  <si>
    <t xml:space="preserve">MIG-001</t>
  </si>
  <si>
    <t xml:space="preserve">合同主数据</t>
  </si>
  <si>
    <r>
      <rPr>
        <sz val="10"/>
        <color rgb="FF243447"/>
        <rFont val="微软雅黑"/>
        <family val="2"/>
      </rPr>
      <t xml:space="preserve">现有合同系统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档案</t>
    </r>
  </si>
  <si>
    <t xml:space="preserve">有效及需追溯合同</t>
  </si>
  <si>
    <r>
      <rPr>
        <sz val="10"/>
        <color rgb="FF243447"/>
        <rFont val="微软雅黑"/>
        <family val="2"/>
      </rPr>
      <t xml:space="preserve">全量</t>
    </r>
    <r>
      <rPr>
        <sz val="10"/>
        <color rgb="FF243447"/>
        <rFont val="Arial"/>
        <family val="0"/>
        <charset val="134"/>
      </rPr>
      <t xml:space="preserve">+</t>
    </r>
    <r>
      <rPr>
        <sz val="10"/>
        <color rgb="FF243447"/>
        <rFont val="微软雅黑"/>
        <family val="2"/>
      </rPr>
      <t xml:space="preserve">增量</t>
    </r>
  </si>
  <si>
    <t xml:space="preserve">记录数、金额、状态、关键字段和抽样业务校验</t>
  </si>
  <si>
    <t xml:space="preserve">未执行</t>
  </si>
  <si>
    <t xml:space="preserve">MIG-002</t>
  </si>
  <si>
    <t xml:space="preserve">合同相对方</t>
  </si>
  <si>
    <t xml:space="preserve">主数据平台</t>
  </si>
  <si>
    <t xml:space="preserve">有效客户、供应商和资质</t>
  </si>
  <si>
    <t xml:space="preserve">编码、名称、统一社会信用代码、状态和资质</t>
  </si>
  <si>
    <t xml:space="preserve">MIG-003</t>
  </si>
  <si>
    <t xml:space="preserve">履约与收付款</t>
  </si>
  <si>
    <r>
      <rPr>
        <sz val="10"/>
        <color rgb="FF243447"/>
        <rFont val="微软雅黑"/>
        <family val="2"/>
      </rPr>
      <t xml:space="preserve">现有业务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财务系统</t>
    </r>
  </si>
  <si>
    <t xml:space="preserve">未完成履约、应收应付和关键历史</t>
  </si>
  <si>
    <t xml:space="preserve">节点、金额、余额、状态和业财对账</t>
  </si>
  <si>
    <r>
      <rPr>
        <sz val="10"/>
        <color rgb="FF243447"/>
        <rFont val="微软雅黑"/>
        <family val="2"/>
      </rPr>
      <t xml:space="preserve">业务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财务负责人</t>
    </r>
  </si>
  <si>
    <t xml:space="preserve">MIG-004</t>
  </si>
  <si>
    <t xml:space="preserve">合同附件与归档文件</t>
  </si>
  <si>
    <r>
      <rPr>
        <sz val="10"/>
        <color rgb="FF243447"/>
        <rFont val="微软雅黑"/>
        <family val="2"/>
      </rPr>
      <t xml:space="preserve">档案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文件系统</t>
    </r>
  </si>
  <si>
    <t xml:space="preserve">正文、附件、审批和签署证据</t>
  </si>
  <si>
    <t xml:space="preserve">文件数、大小、哈希、关联、打开和权限</t>
  </si>
  <si>
    <t xml:space="preserve">档案负责人</t>
  </si>
  <si>
    <t xml:space="preserve">MIG-005</t>
  </si>
  <si>
    <t xml:space="preserve">组织、用户与权限</t>
  </si>
  <si>
    <r>
      <rPr>
        <sz val="10"/>
        <color rgb="FF243447"/>
        <rFont val="微软雅黑"/>
        <family val="2"/>
      </rPr>
      <t xml:space="preserve">组织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身份平台</t>
    </r>
  </si>
  <si>
    <t xml:space="preserve">组织、人员、岗位、角色和数据范围</t>
  </si>
  <si>
    <t xml:space="preserve">账号状态、角色、最小权限、离职失效和越权验证</t>
  </si>
  <si>
    <r>
      <rPr>
        <sz val="10"/>
        <color rgb="FF243447"/>
        <rFont val="微软雅黑"/>
        <family val="2"/>
      </rPr>
      <t xml:space="preserve">安全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业务负责人</t>
    </r>
  </si>
  <si>
    <t xml:space="preserve">MIG-006</t>
  </si>
  <si>
    <t xml:space="preserve">经营指标初始数据</t>
  </si>
  <si>
    <r>
      <rPr>
        <sz val="10"/>
        <color rgb="FF243447"/>
        <rFont val="微软雅黑"/>
        <family val="2"/>
      </rPr>
      <t xml:space="preserve">合同系统</t>
    </r>
    <r>
      <rPr>
        <sz val="10"/>
        <color rgb="FF243447"/>
        <rFont val="Arial"/>
        <family val="0"/>
        <charset val="134"/>
      </rPr>
      <t xml:space="preserve">/BI</t>
    </r>
  </si>
  <si>
    <t xml:space="preserve">合同金额、履约、收付款和风险指标</t>
  </si>
  <si>
    <t xml:space="preserve">全量汇总</t>
  </si>
  <si>
    <t xml:space="preserve">明细与报表汇总、指标口径和数据权限</t>
  </si>
  <si>
    <t xml:space="preserve">以实际时间、执行人、验证结果和证据记录整个上线窗口。</t>
  </si>
  <si>
    <r>
      <rPr>
        <b val="true"/>
        <sz val="10"/>
        <color rgb="FF1F4E78"/>
        <rFont val="微软雅黑"/>
        <family val="2"/>
      </rPr>
      <t xml:space="preserve">任务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</si>
  <si>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阶段</t>
  </si>
  <si>
    <t xml:space="preserve">切换任务</t>
  </si>
  <si>
    <t xml:space="preserve">前置任务</t>
  </si>
  <si>
    <t xml:space="preserve">复核人</t>
  </si>
  <si>
    <t xml:space="preserve">计划开始</t>
  </si>
  <si>
    <t xml:space="preserve">计划结束</t>
  </si>
  <si>
    <t xml:space="preserve">实际开始</t>
  </si>
  <si>
    <t xml:space="preserve">实际结束</t>
  </si>
  <si>
    <r>
      <rPr>
        <b val="true"/>
        <sz val="10"/>
        <color rgb="FF1F4E78"/>
        <rFont val="微软雅黑"/>
        <family val="2"/>
      </rPr>
      <t xml:space="preserve">执行命令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步骤</t>
    </r>
  </si>
  <si>
    <t xml:space="preserve">验证方法</t>
  </si>
  <si>
    <t xml:space="preserve">执行结果</t>
  </si>
  <si>
    <r>
      <rPr>
        <b val="true"/>
        <sz val="10"/>
        <color rgb="FF1F4E78"/>
        <rFont val="微软雅黑"/>
        <family val="2"/>
      </rPr>
      <t xml:space="preserve">异常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事件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</si>
  <si>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CUT-001</t>
  </si>
  <si>
    <t xml:space="preserve">准备</t>
  </si>
  <si>
    <r>
      <rPr>
        <sz val="10"/>
        <color rgb="FF243447"/>
        <rFont val="微软雅黑"/>
        <family val="2"/>
      </rPr>
      <t xml:space="preserve">确认</t>
    </r>
    <r>
      <rPr>
        <sz val="10"/>
        <color rgb="FF243447"/>
        <rFont val="Arial"/>
        <family val="0"/>
        <charset val="134"/>
      </rPr>
      <t xml:space="preserve">Go/No-Go</t>
    </r>
    <r>
      <rPr>
        <sz val="10"/>
        <color rgb="FF243447"/>
        <rFont val="微软雅黑"/>
        <family val="2"/>
      </rPr>
      <t xml:space="preserve">批准</t>
    </r>
  </si>
  <si>
    <t xml:space="preserve">核对门禁、风险批准和责任人</t>
  </si>
  <si>
    <t xml:space="preserve">决策记录完整</t>
  </si>
  <si>
    <t xml:space="preserve">CUT-002</t>
  </si>
  <si>
    <t xml:space="preserve">冻结代码、配置、数据规则和接口</t>
  </si>
  <si>
    <t xml:space="preserve">标记生产基线，关闭普通变更入口</t>
  </si>
  <si>
    <t xml:space="preserve">基线编号、校验值可追溯</t>
  </si>
  <si>
    <t xml:space="preserve">CUT-003</t>
  </si>
  <si>
    <t xml:space="preserve">执行生产前数据、文件、配置和密钥备份</t>
  </si>
  <si>
    <t xml:space="preserve">按备份清单执行并记录校验值</t>
  </si>
  <si>
    <t xml:space="preserve">恢复抽样成功</t>
  </si>
  <si>
    <t xml:space="preserve">CUT-004</t>
  </si>
  <si>
    <t xml:space="preserve">部署</t>
  </si>
  <si>
    <t xml:space="preserve">部署应用、配置、中间件和数据库变更</t>
  </si>
  <si>
    <t xml:space="preserve">按发布手册和自动化脚本执行</t>
  </si>
  <si>
    <t xml:space="preserve">版本、配置、进程和日志正常</t>
  </si>
  <si>
    <t xml:space="preserve">CUT-005</t>
  </si>
  <si>
    <r>
      <rPr>
        <sz val="10"/>
        <color rgb="FF243447"/>
        <rFont val="微软雅黑"/>
        <family val="2"/>
      </rPr>
      <t xml:space="preserve">执行全量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增量数据迁移</t>
    </r>
  </si>
  <si>
    <t xml:space="preserve">执行迁移脚本、增量补数和对账</t>
  </si>
  <si>
    <t xml:space="preserve">迁移对象逐项核验</t>
  </si>
  <si>
    <t xml:space="preserve">CUT-006</t>
  </si>
  <si>
    <t xml:space="preserve">集成</t>
  </si>
  <si>
    <r>
      <rPr>
        <sz val="10"/>
        <color rgb="FF243447"/>
        <rFont val="微软雅黑"/>
        <family val="2"/>
      </rPr>
      <t xml:space="preserve">启用大集中</t>
    </r>
    <r>
      <rPr>
        <sz val="10"/>
        <color rgb="FF243447"/>
        <rFont val="Arial"/>
        <family val="0"/>
        <charset val="134"/>
      </rPr>
      <t xml:space="preserve">ERP</t>
    </r>
    <r>
      <rPr>
        <sz val="10"/>
        <color rgb="FF243447"/>
        <rFont val="微软雅黑"/>
        <family val="2"/>
      </rPr>
      <t xml:space="preserve">、昆仑</t>
    </r>
    <r>
      <rPr>
        <sz val="10"/>
        <color rgb="FF243447"/>
        <rFont val="Arial"/>
        <family val="0"/>
        <charset val="134"/>
      </rPr>
      <t xml:space="preserve">ERP</t>
    </r>
    <r>
      <rPr>
        <sz val="10"/>
        <color rgb="FF243447"/>
        <rFont val="微软雅黑"/>
        <family val="2"/>
      </rPr>
      <t xml:space="preserve">、云梦泽、财务共享、档案、</t>
    </r>
    <r>
      <rPr>
        <sz val="10"/>
        <color rgb="FF243447"/>
        <rFont val="Arial"/>
        <family val="0"/>
        <charset val="134"/>
      </rPr>
      <t xml:space="preserve">IAM</t>
    </r>
    <r>
      <rPr>
        <sz val="10"/>
        <color rgb="FF243447"/>
        <rFont val="微软雅黑"/>
        <family val="2"/>
      </rPr>
      <t xml:space="preserve">、</t>
    </r>
    <r>
      <rPr>
        <sz val="10"/>
        <color rgb="FF243447"/>
        <rFont val="Arial"/>
        <family val="0"/>
        <charset val="134"/>
      </rPr>
      <t xml:space="preserve">EPM</t>
    </r>
    <r>
      <rPr>
        <sz val="10"/>
        <color rgb="FF243447"/>
        <rFont val="微软雅黑"/>
        <family val="2"/>
      </rPr>
      <t xml:space="preserve">、</t>
    </r>
    <r>
      <rPr>
        <sz val="10"/>
        <color rgb="FF243447"/>
        <rFont val="Arial"/>
        <family val="0"/>
        <charset val="134"/>
      </rPr>
      <t xml:space="preserve">MDG</t>
    </r>
    <r>
      <rPr>
        <sz val="10"/>
        <color rgb="FF243447"/>
        <rFont val="微软雅黑"/>
        <family val="2"/>
      </rPr>
      <t xml:space="preserve">及外部产品生产接口</t>
    </r>
  </si>
  <si>
    <t xml:space="preserve">CUT-004,CUT-005</t>
  </si>
  <si>
    <t xml:space="preserve">接口负责人</t>
  </si>
  <si>
    <r>
      <rPr>
        <sz val="10"/>
        <color rgb="FF243447"/>
        <rFont val="微软雅黑"/>
        <family val="2"/>
      </rPr>
      <t xml:space="preserve">按批准的</t>
    </r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接口清单配置生产端点、证书、账号、白名单和调度</t>
    </r>
  </si>
  <si>
    <t xml:space="preserve">逐系统健康检查、核心交易验证、重试补偿和对账</t>
  </si>
  <si>
    <t xml:space="preserve">CUT-007</t>
  </si>
  <si>
    <t xml:space="preserve">初始化生产用户、角色和数据权限</t>
  </si>
  <si>
    <t xml:space="preserve">安全负责人</t>
  </si>
  <si>
    <t xml:space="preserve">导入批准用户和权限清单</t>
  </si>
  <si>
    <t xml:space="preserve">允许、拒绝、数据范围和审计验证</t>
  </si>
  <si>
    <t xml:space="preserve">CUT-008</t>
  </si>
  <si>
    <t xml:space="preserve">验证</t>
  </si>
  <si>
    <t xml:space="preserve">执行核心合同生命周期烟测</t>
  </si>
  <si>
    <t xml:space="preserve">CUT-004,CUT-005,CUT-006,CUT-007</t>
  </si>
  <si>
    <t xml:space="preserve">创建、审查、审批、签署、履约、变更、归档</t>
  </si>
  <si>
    <t xml:space="preserve">业务结果、数据、接口和审计日志正确</t>
  </si>
  <si>
    <t xml:space="preserve">CUT-009</t>
  </si>
  <si>
    <t xml:space="preserve">启用监控、告警、日志聚合和值班通知</t>
  </si>
  <si>
    <t xml:space="preserve">运维负责人</t>
  </si>
  <si>
    <t xml:space="preserve">开启监控项、告警规则和通知链路</t>
  </si>
  <si>
    <t xml:space="preserve">模拟告警可送达并处理</t>
  </si>
  <si>
    <t xml:space="preserve">CUT-010</t>
  </si>
  <si>
    <t xml:space="preserve">业务</t>
  </si>
  <si>
    <t xml:space="preserve">发布上线通知并开放生产访问</t>
  </si>
  <si>
    <t xml:space="preserve">CUT-008,CUT-009</t>
  </si>
  <si>
    <t xml:space="preserve">按通知模板发送用户范围、入口和支持方式</t>
  </si>
  <si>
    <t xml:space="preserve">关键用户确认可访问</t>
  </si>
  <si>
    <t xml:space="preserve">CUT-011</t>
  </si>
  <si>
    <t xml:space="preserve">启动试运行值守和每日跟踪</t>
  </si>
  <si>
    <r>
      <rPr>
        <sz val="10"/>
        <color rgb="FF243447"/>
        <rFont val="微软雅黑"/>
        <family val="2"/>
      </rPr>
      <t xml:space="preserve">启动值班表、工单渠道、</t>
    </r>
    <r>
      <rPr>
        <sz val="10"/>
        <color rgb="FF243447"/>
        <rFont val="Arial"/>
        <family val="0"/>
        <charset val="134"/>
      </rPr>
      <t xml:space="preserve">SLA</t>
    </r>
    <r>
      <rPr>
        <sz val="10"/>
        <color rgb="FF243447"/>
        <rFont val="微软雅黑"/>
        <family val="2"/>
      </rPr>
      <t xml:space="preserve">和日报</t>
    </r>
  </si>
  <si>
    <t xml:space="preserve">首日状态和联络链路正常</t>
  </si>
  <si>
    <t xml:space="preserve">CUT-012</t>
  </si>
  <si>
    <t xml:space="preserve">收尾</t>
  </si>
  <si>
    <t xml:space="preserve">完成生产验证报告和窗口复盘</t>
  </si>
  <si>
    <t xml:space="preserve">汇总任务、异常、用时、结果和遗留项</t>
  </si>
  <si>
    <t xml:space="preserve">报告和行动项获得确认</t>
  </si>
  <si>
    <r>
      <rPr>
        <sz val="11"/>
        <color rgb="FF667788"/>
        <rFont val="微软雅黑"/>
        <family val="2"/>
      </rPr>
      <t xml:space="preserve">按部署批次跟踪上线部署的人员、上线状态与计划</t>
    </r>
    <r>
      <rPr>
        <sz val="11"/>
        <color rgb="FF667788"/>
        <rFont val="Cambria"/>
        <family val="0"/>
        <charset val="1"/>
      </rPr>
      <t xml:space="preserve">/</t>
    </r>
    <r>
      <rPr>
        <sz val="11"/>
        <color rgb="FF667788"/>
        <rFont val="微软雅黑"/>
        <family val="2"/>
      </rPr>
      <t xml:space="preserve">实际上线时间。</t>
    </r>
    <r>
      <rPr>
        <sz val="11"/>
        <color rgb="FF667788"/>
        <rFont val="Cambria"/>
        <family val="0"/>
        <charset val="1"/>
      </rPr>
      <t xml:space="preserve">G</t>
    </r>
    <r>
      <rPr>
        <sz val="11"/>
        <color rgb="FF667788"/>
        <rFont val="微软雅黑"/>
        <family val="2"/>
      </rPr>
      <t xml:space="preserve">列</t>
    </r>
    <r>
      <rPr>
        <sz val="11"/>
        <color rgb="FF667788"/>
        <rFont val="Cambria"/>
        <family val="0"/>
        <charset val="1"/>
      </rPr>
      <t xml:space="preserve">"</t>
    </r>
    <r>
      <rPr>
        <sz val="11"/>
        <color rgb="FF667788"/>
        <rFont val="微软雅黑"/>
        <family val="2"/>
      </rPr>
      <t xml:space="preserve">状态</t>
    </r>
    <r>
      <rPr>
        <sz val="11"/>
        <color rgb="FF667788"/>
        <rFont val="Cambria"/>
        <family val="0"/>
        <charset val="1"/>
      </rPr>
      <t xml:space="preserve">"</t>
    </r>
    <r>
      <rPr>
        <sz val="11"/>
        <color rgb="FF667788"/>
        <rFont val="微软雅黑"/>
        <family val="2"/>
      </rPr>
      <t xml:space="preserve">为公式联动：上线状态</t>
    </r>
    <r>
      <rPr>
        <sz val="11"/>
        <color rgb="FF667788"/>
        <rFont val="Cambria"/>
        <family val="0"/>
        <charset val="1"/>
      </rPr>
      <t xml:space="preserve">=</t>
    </r>
    <r>
      <rPr>
        <sz val="11"/>
        <color rgb="FF667788"/>
        <rFont val="微软雅黑"/>
        <family val="2"/>
      </rPr>
      <t xml:space="preserve">已完成→已完成、已回退→已回退、进行中→进行中；其余按计划上线时间与数据日期（</t>
    </r>
    <r>
      <rPr>
        <sz val="11"/>
        <color rgb="FF667788"/>
        <rFont val="Cambria"/>
        <family val="0"/>
        <charset val="1"/>
      </rPr>
      <t xml:space="preserve">_</t>
    </r>
    <r>
      <rPr>
        <sz val="11"/>
        <color rgb="FF667788"/>
        <rFont val="微软雅黑"/>
        <family val="2"/>
      </rPr>
      <t xml:space="preserve">数据接口</t>
    </r>
    <r>
      <rPr>
        <sz val="11"/>
        <color rgb="FF667788"/>
        <rFont val="Cambria"/>
        <family val="0"/>
        <charset val="1"/>
      </rPr>
      <t xml:space="preserve">!B6</t>
    </r>
    <r>
      <rPr>
        <sz val="11"/>
        <color rgb="FF667788"/>
        <rFont val="微软雅黑"/>
        <family val="2"/>
      </rPr>
      <t xml:space="preserve">）判定未排期</t>
    </r>
    <r>
      <rPr>
        <sz val="11"/>
        <color rgb="FF667788"/>
        <rFont val="Cambria"/>
        <family val="0"/>
        <charset val="1"/>
      </rPr>
      <t xml:space="preserve">/</t>
    </r>
    <r>
      <rPr>
        <sz val="11"/>
        <color rgb="FF667788"/>
        <rFont val="微软雅黑"/>
        <family val="2"/>
      </rPr>
      <t xml:space="preserve">已延期</t>
    </r>
    <r>
      <rPr>
        <sz val="11"/>
        <color rgb="FF667788"/>
        <rFont val="Cambria"/>
        <family val="0"/>
        <charset val="1"/>
      </rPr>
      <t xml:space="preserve">/</t>
    </r>
    <r>
      <rPr>
        <sz val="11"/>
        <color rgb="FF667788"/>
        <rFont val="微软雅黑"/>
        <family val="2"/>
      </rPr>
      <t xml:space="preserve">未开始。参考样式：港口交易平台开发计划上线字段。</t>
    </r>
  </si>
  <si>
    <r>
      <rPr>
        <b val="true"/>
        <sz val="11"/>
        <color rgb="FF1F4E78"/>
        <rFont val="微软雅黑"/>
        <family val="2"/>
      </rPr>
      <t xml:space="preserve">部署</t>
    </r>
    <r>
      <rPr>
        <b val="true"/>
        <sz val="11"/>
        <color rgb="FF1F4E78"/>
        <rFont val="Cambria"/>
        <family val="0"/>
        <charset val="1"/>
      </rPr>
      <t xml:space="preserve">ID</t>
    </r>
  </si>
  <si>
    <t xml:space="preserve">部署对象</t>
  </si>
  <si>
    <t xml:space="preserve">人员</t>
  </si>
  <si>
    <t xml:space="preserve">上线状态</t>
  </si>
  <si>
    <t xml:space="preserve">计划上线时间</t>
  </si>
  <si>
    <t xml:space="preserve">实际上线日期</t>
  </si>
  <si>
    <t xml:space="preserve">DPL-001</t>
  </si>
  <si>
    <t xml:space="preserve">生产环境部署与冒烟验证</t>
  </si>
  <si>
    <t xml:space="preserve">DPL-002</t>
  </si>
  <si>
    <t xml:space="preserve">数据迁移切换执行</t>
  </si>
  <si>
    <t xml:space="preserve">DPL-003</t>
  </si>
  <si>
    <t xml:space="preserve">系统正式上线切换</t>
  </si>
  <si>
    <t xml:space="preserve">DPL-004</t>
  </si>
  <si>
    <t xml:space="preserve">试运行保障与退出门禁</t>
  </si>
  <si>
    <t xml:space="preserve">回退的核心是明确触发条件、决策时限、数据边界、恢复验证和沟通责任。</t>
  </si>
  <si>
    <r>
      <rPr>
        <b val="true"/>
        <sz val="10"/>
        <color rgb="FF1F4E78"/>
        <rFont val="微软雅黑"/>
        <family val="2"/>
      </rPr>
      <t xml:space="preserve">回退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</si>
  <si>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场景</t>
  </si>
  <si>
    <t xml:space="preserve">触发条件</t>
  </si>
  <si>
    <t xml:space="preserve">决策人</t>
  </si>
  <si>
    <t xml:space="preserve">决策截止</t>
  </si>
  <si>
    <t xml:space="preserve">回退步骤</t>
  </si>
  <si>
    <t xml:space="preserve">数据处理</t>
  </si>
  <si>
    <r>
      <rPr>
        <b val="true"/>
        <sz val="10"/>
        <color rgb="FF1F4E78"/>
        <rFont val="Arial"/>
        <family val="0"/>
        <charset val="134"/>
      </rPr>
      <t xml:space="preserve">RTO</t>
    </r>
    <r>
      <rPr>
        <b val="true"/>
        <sz val="10"/>
        <color rgb="FF1F4E78"/>
        <rFont val="微软雅黑"/>
        <family val="2"/>
      </rPr>
      <t xml:space="preserve">目标</t>
    </r>
  </si>
  <si>
    <r>
      <rPr>
        <b val="true"/>
        <sz val="10"/>
        <color rgb="FF1F4E78"/>
        <rFont val="Arial"/>
        <family val="0"/>
        <charset val="134"/>
      </rPr>
      <t xml:space="preserve">RPO</t>
    </r>
    <r>
      <rPr>
        <b val="true"/>
        <sz val="10"/>
        <color rgb="FF1F4E78"/>
        <rFont val="微软雅黑"/>
        <family val="2"/>
      </rPr>
      <t xml:space="preserve">目标</t>
    </r>
  </si>
  <si>
    <t xml:space="preserve">执行负责人</t>
  </si>
  <si>
    <t xml:space="preserve">沟通对象</t>
  </si>
  <si>
    <t xml:space="preserve">演练结果</t>
  </si>
  <si>
    <t xml:space="preserve">RBK-001</t>
  </si>
  <si>
    <r>
      <rPr>
        <sz val="10"/>
        <color rgb="FF243447"/>
        <rFont val="微软雅黑"/>
        <family val="2"/>
      </rPr>
      <t xml:space="preserve">应用版本无法启动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核心链路不可用</t>
    </r>
  </si>
  <si>
    <t xml:space="preserve">两次修复失败或超过切换窗口</t>
  </si>
  <si>
    <r>
      <rPr>
        <sz val="10"/>
        <color rgb="FF243447"/>
        <rFont val="微软雅黑"/>
        <family val="2"/>
      </rPr>
      <t xml:space="preserve">问题确认后</t>
    </r>
    <r>
      <rPr>
        <sz val="10"/>
        <color rgb="FF243447"/>
        <rFont val="Arial"/>
        <family val="0"/>
        <charset val="134"/>
      </rPr>
      <t xml:space="preserve">30</t>
    </r>
    <r>
      <rPr>
        <sz val="10"/>
        <color rgb="FF243447"/>
        <rFont val="微软雅黑"/>
        <family val="2"/>
      </rPr>
      <t xml:space="preserve">分钟</t>
    </r>
  </si>
  <si>
    <r>
      <rPr>
        <sz val="10"/>
        <color rgb="FF243447"/>
        <rFont val="微软雅黑"/>
        <family val="2"/>
      </rPr>
      <t xml:space="preserve">停止流量、卸载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停用新版本、恢复旧版、验证</t>
    </r>
  </si>
  <si>
    <t xml:space="preserve">新版交易统计并按方案补偿</t>
  </si>
  <si>
    <t xml:space="preserve">登录、核心流程、接口、日志</t>
  </si>
  <si>
    <r>
      <rPr>
        <sz val="10"/>
        <color rgb="FF243447"/>
        <rFont val="Arial"/>
        <family val="0"/>
        <charset val="134"/>
      </rPr>
      <t xml:space="preserve">2</t>
    </r>
    <r>
      <rPr>
        <sz val="10"/>
        <color rgb="FF243447"/>
        <rFont val="微软雅黑"/>
        <family val="2"/>
      </rPr>
      <t xml:space="preserve">小时</t>
    </r>
  </si>
  <si>
    <r>
      <rPr>
        <sz val="10"/>
        <color rgb="FF243447"/>
        <rFont val="Arial"/>
        <family val="0"/>
        <charset val="134"/>
      </rPr>
      <t xml:space="preserve">15</t>
    </r>
    <r>
      <rPr>
        <sz val="10"/>
        <color rgb="FF243447"/>
        <rFont val="微软雅黑"/>
        <family val="2"/>
      </rPr>
      <t xml:space="preserve">分钟</t>
    </r>
  </si>
  <si>
    <t xml:space="preserve">业务、管理层、项目组</t>
  </si>
  <si>
    <t xml:space="preserve">未演练</t>
  </si>
  <si>
    <t xml:space="preserve">RBK-002</t>
  </si>
  <si>
    <t xml:space="preserve">数据迁移差异不可接受</t>
  </si>
  <si>
    <t xml:space="preserve">关键数据不完整、金额或状态差异无法在窗口内解决</t>
  </si>
  <si>
    <r>
      <rPr>
        <sz val="10"/>
        <color rgb="FF243447"/>
        <rFont val="微软雅黑"/>
        <family val="2"/>
      </rPr>
      <t xml:space="preserve">对账结果出具后</t>
    </r>
    <r>
      <rPr>
        <sz val="10"/>
        <color rgb="FF243447"/>
        <rFont val="Arial"/>
        <family val="0"/>
        <charset val="134"/>
      </rPr>
      <t xml:space="preserve">30</t>
    </r>
    <r>
      <rPr>
        <sz val="10"/>
        <color rgb="FF243447"/>
        <rFont val="微软雅黑"/>
        <family val="2"/>
      </rPr>
      <t xml:space="preserve">分钟</t>
    </r>
  </si>
  <si>
    <t xml:space="preserve">停止开放、保留旧系统、恢复备份、重新对账</t>
  </si>
  <si>
    <t xml:space="preserve">禁止双写，保留迁移批次和差异明细</t>
  </si>
  <si>
    <t xml:space="preserve">数量、金额、状态、附件和抽样</t>
  </si>
  <si>
    <r>
      <rPr>
        <sz val="10"/>
        <color rgb="FF243447"/>
        <rFont val="Arial"/>
        <family val="0"/>
        <charset val="134"/>
      </rPr>
      <t xml:space="preserve">4</t>
    </r>
    <r>
      <rPr>
        <sz val="10"/>
        <color rgb="FF243447"/>
        <rFont val="微软雅黑"/>
        <family val="2"/>
      </rPr>
      <t xml:space="preserve">小时</t>
    </r>
  </si>
  <si>
    <t xml:space="preserve">0</t>
  </si>
  <si>
    <r>
      <rPr>
        <sz val="10"/>
        <color rgb="FF243447"/>
        <rFont val="微软雅黑"/>
        <family val="2"/>
      </rPr>
      <t xml:space="preserve">产品经理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技术经理</t>
    </r>
  </si>
  <si>
    <t xml:space="preserve">业务、财务、管理层</t>
  </si>
  <si>
    <t xml:space="preserve">RBK-003</t>
  </si>
  <si>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外部接口核心交易不可用</t>
    </r>
  </si>
  <si>
    <r>
      <rPr>
        <sz val="10"/>
        <color rgb="FF243447"/>
        <rFont val="微软雅黑"/>
        <family val="2"/>
      </rPr>
      <t xml:space="preserve">任一大集中</t>
    </r>
    <r>
      <rPr>
        <sz val="10"/>
        <color rgb="FF243447"/>
        <rFont val="Arial"/>
        <family val="0"/>
        <charset val="134"/>
      </rPr>
      <t xml:space="preserve">ERP</t>
    </r>
    <r>
      <rPr>
        <sz val="10"/>
        <color rgb="FF243447"/>
        <rFont val="微软雅黑"/>
        <family val="2"/>
      </rPr>
      <t xml:space="preserve">、昆仑</t>
    </r>
    <r>
      <rPr>
        <sz val="10"/>
        <color rgb="FF243447"/>
        <rFont val="Arial"/>
        <family val="0"/>
        <charset val="134"/>
      </rPr>
      <t xml:space="preserve">ERP</t>
    </r>
    <r>
      <rPr>
        <sz val="10"/>
        <color rgb="FF243447"/>
        <rFont val="微软雅黑"/>
        <family val="2"/>
      </rPr>
      <t xml:space="preserve">、云梦泽、财务共享、档案、</t>
    </r>
    <r>
      <rPr>
        <sz val="10"/>
        <color rgb="FF243447"/>
        <rFont val="Arial"/>
        <family val="0"/>
        <charset val="134"/>
      </rPr>
      <t xml:space="preserve">MDG</t>
    </r>
    <r>
      <rPr>
        <sz val="10"/>
        <color rgb="FF243447"/>
        <rFont val="微软雅黑"/>
        <family val="2"/>
      </rPr>
      <t xml:space="preserve">等</t>
    </r>
    <r>
      <rPr>
        <sz val="10"/>
        <color rgb="FF243447"/>
        <rFont val="Arial"/>
        <family val="0"/>
        <charset val="134"/>
      </rPr>
      <t xml:space="preserve">P0</t>
    </r>
    <r>
      <rPr>
        <sz val="10"/>
        <color rgb="FF243447"/>
        <rFont val="微软雅黑"/>
        <family val="2"/>
      </rPr>
      <t xml:space="preserve">链路无法在批准时限内恢复</t>
    </r>
  </si>
  <si>
    <r>
      <rPr>
        <sz val="10"/>
        <color rgb="FF243447"/>
        <rFont val="微软雅黑"/>
        <family val="2"/>
      </rPr>
      <t xml:space="preserve">问题确认后</t>
    </r>
    <r>
      <rPr>
        <sz val="10"/>
        <color rgb="FF243447"/>
        <rFont val="Arial"/>
        <family val="0"/>
        <charset val="134"/>
      </rPr>
      <t xml:space="preserve">60</t>
    </r>
    <r>
      <rPr>
        <sz val="10"/>
        <color rgb="FF243447"/>
        <rFont val="微软雅黑"/>
        <family val="2"/>
      </rPr>
      <t xml:space="preserve">分钟</t>
    </r>
  </si>
  <si>
    <r>
      <rPr>
        <sz val="10"/>
        <color rgb="FF243447"/>
        <rFont val="微软雅黑"/>
        <family val="2"/>
      </rPr>
      <t xml:space="preserve">停止新交易、切换旧链路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手工方案、重新对账</t>
    </r>
  </si>
  <si>
    <t xml:space="preserve">记录待补偿交易和幂等键</t>
  </si>
  <si>
    <t xml:space="preserve">按接口清单执行健康检查、核心交易、重试、补偿和对账</t>
  </si>
  <si>
    <t xml:space="preserve">业务、外部系统、项目组</t>
  </si>
  <si>
    <t xml:space="preserve">RBK-004</t>
  </si>
  <si>
    <t xml:space="preserve">权限或安全问题</t>
  </si>
  <si>
    <t xml:space="preserve">发生严重越权、数据泄露或高风险漏洞</t>
  </si>
  <si>
    <r>
      <rPr>
        <sz val="10"/>
        <color rgb="FF243447"/>
        <rFont val="微软雅黑"/>
        <family val="2"/>
      </rPr>
      <t xml:space="preserve">项目赞助人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安全负责人</t>
    </r>
  </si>
  <si>
    <t xml:space="preserve">立即</t>
  </si>
  <si>
    <t xml:space="preserve">关闭入口、停止服务、保全日志、回退、启动应急响应</t>
  </si>
  <si>
    <t xml:space="preserve">保留现场，禁止未授权修改</t>
  </si>
  <si>
    <t xml:space="preserve">安全扫描、权限验证、日志审计</t>
  </si>
  <si>
    <t xml:space="preserve">安全、管理层、业务、法务</t>
  </si>
  <si>
    <t xml:space="preserve">RBK-005</t>
  </si>
  <si>
    <t xml:space="preserve">性能或容量严重不足</t>
  </si>
  <si>
    <r>
      <rPr>
        <sz val="10"/>
        <color rgb="FF243447"/>
        <rFont val="微软雅黑"/>
        <family val="2"/>
      </rPr>
      <t xml:space="preserve">核心业务超时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错误率超阈值且扩容无效</t>
    </r>
  </si>
  <si>
    <r>
      <rPr>
        <sz val="10"/>
        <color rgb="FF243447"/>
        <rFont val="微软雅黑"/>
        <family val="2"/>
      </rPr>
      <t xml:space="preserve">超阈值后</t>
    </r>
    <r>
      <rPr>
        <sz val="10"/>
        <color rgb="FF243447"/>
        <rFont val="Arial"/>
        <family val="0"/>
        <charset val="134"/>
      </rPr>
      <t xml:space="preserve">60</t>
    </r>
    <r>
      <rPr>
        <sz val="10"/>
        <color rgb="FF243447"/>
        <rFont val="微软雅黑"/>
        <family val="2"/>
      </rPr>
      <t xml:space="preserve">分钟</t>
    </r>
  </si>
  <si>
    <t xml:space="preserve">限流、降级、扩容，仍无效时回退</t>
  </si>
  <si>
    <t xml:space="preserve">确保交易不丢失不重复</t>
  </si>
  <si>
    <t xml:space="preserve">压力、交易量、错误率、资源和业务体验</t>
  </si>
  <si>
    <t xml:space="preserve">业务、运维、管理层</t>
  </si>
  <si>
    <t xml:space="preserve">RBK-006</t>
  </si>
  <si>
    <t xml:space="preserve">回退后验证</t>
  </si>
  <si>
    <t xml:space="preserve">任一回退场景触发</t>
  </si>
  <si>
    <r>
      <rPr>
        <sz val="10"/>
        <color rgb="FF243447"/>
        <rFont val="微软雅黑"/>
        <family val="2"/>
      </rPr>
      <t xml:space="preserve">回退后</t>
    </r>
    <r>
      <rPr>
        <sz val="10"/>
        <color rgb="FF243447"/>
        <rFont val="Arial"/>
        <family val="0"/>
        <charset val="134"/>
      </rPr>
      <t xml:space="preserve">30</t>
    </r>
    <r>
      <rPr>
        <sz val="10"/>
        <color rgb="FF243447"/>
        <rFont val="微软雅黑"/>
        <family val="2"/>
      </rPr>
      <t xml:space="preserve">分钟内启动验证</t>
    </r>
  </si>
  <si>
    <t xml:space="preserve">检查系统、数据、接口、权限、监控，发布恢复通知</t>
  </si>
  <si>
    <t xml:space="preserve">对账回退前后交易并形成补偿清单</t>
  </si>
  <si>
    <t xml:space="preserve">核心合同生命周期业务烟测</t>
  </si>
  <si>
    <r>
      <rPr>
        <sz val="10"/>
        <color rgb="FF243447"/>
        <rFont val="Arial"/>
        <family val="0"/>
        <charset val="134"/>
      </rPr>
      <t xml:space="preserve">1</t>
    </r>
    <r>
      <rPr>
        <sz val="10"/>
        <color rgb="FF243447"/>
        <rFont val="微软雅黑"/>
        <family val="2"/>
      </rPr>
      <t xml:space="preserve">小时</t>
    </r>
  </si>
  <si>
    <t xml:space="preserve">全体相关方</t>
  </si>
  <si>
    <t xml:space="preserve">移交以接收人可独立运营和可检索证据为完成标准。</t>
  </si>
  <si>
    <r>
      <rPr>
        <b val="true"/>
        <sz val="10"/>
        <color rgb="FF1F4E78"/>
        <rFont val="微软雅黑"/>
        <family val="2"/>
      </rPr>
      <t xml:space="preserve">移交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</si>
  <si>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类别</t>
  </si>
  <si>
    <t xml:space="preserve">移交项</t>
  </si>
  <si>
    <t xml:space="preserve">交付标准</t>
  </si>
  <si>
    <t xml:space="preserve">移交人</t>
  </si>
  <si>
    <t xml:space="preserve">接收人</t>
  </si>
  <si>
    <t xml:space="preserve">实际日期</t>
  </si>
  <si>
    <r>
      <rPr>
        <b val="true"/>
        <sz val="10"/>
        <color rgb="FF1F4E78"/>
        <rFont val="微软雅黑"/>
        <family val="2"/>
      </rPr>
      <t xml:space="preserve">存放位置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链接</t>
    </r>
  </si>
  <si>
    <t xml:space="preserve">确认人</t>
  </si>
  <si>
    <t xml:space="preserve">HOV-001</t>
  </si>
  <si>
    <t xml:space="preserve">管理</t>
  </si>
  <si>
    <t xml:space="preserve">项目章程、基线、决策、风险、变更和会议记录</t>
  </si>
  <si>
    <t xml:space="preserve">索引完整、版本可追溯</t>
  </si>
  <si>
    <t xml:space="preserve">运营负责人</t>
  </si>
  <si>
    <t xml:space="preserve">HOV-002</t>
  </si>
  <si>
    <t xml:space="preserve">业务流程、规则、配置、权限和指标口径</t>
  </si>
  <si>
    <t xml:space="preserve">与生产配置一致并通过业务确认</t>
  </si>
  <si>
    <t xml:space="preserve">业务运营负责人</t>
  </si>
  <si>
    <t xml:space="preserve">HOV-003</t>
  </si>
  <si>
    <t xml:space="preserve">用户手册、常见问题和培训材料</t>
  </si>
  <si>
    <t xml:space="preserve">文档可用，关键用户完成培训</t>
  </si>
  <si>
    <t xml:space="preserve">HOV-004</t>
  </si>
  <si>
    <t xml:space="preserve">技术</t>
  </si>
  <si>
    <t xml:space="preserve">架构、部署、接口、数据、安全和性能文档</t>
  </si>
  <si>
    <t xml:space="preserve">与生产一致，关键决策和已知限制明确</t>
  </si>
  <si>
    <t xml:space="preserve">HOV-005</t>
  </si>
  <si>
    <t xml:space="preserve">运维</t>
  </si>
  <si>
    <t xml:space="preserve">运维手册、监控、告警、备份、恢复和日常巡检</t>
  </si>
  <si>
    <t xml:space="preserve">运维人员可独立执行标准操作</t>
  </si>
  <si>
    <t xml:space="preserve">HOV-006</t>
  </si>
  <si>
    <t xml:space="preserve">账号</t>
  </si>
  <si>
    <t xml:space="preserve">系统账号、服务账号、证书、密钥和到期日</t>
  </si>
  <si>
    <t xml:space="preserve">权属、保管、轮换和审批流程明确</t>
  </si>
  <si>
    <r>
      <rPr>
        <sz val="10"/>
        <color rgb="FF243447"/>
        <rFont val="微软雅黑"/>
        <family val="2"/>
      </rPr>
      <t xml:space="preserve">运维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安全负责人</t>
    </r>
  </si>
  <si>
    <t xml:space="preserve">HOV-007</t>
  </si>
  <si>
    <t xml:space="preserve">配置</t>
  </si>
  <si>
    <t xml:space="preserve">应用、数据库、中间件、调度和接口配置清单</t>
  </si>
  <si>
    <t xml:space="preserve">生产基线可追溯，敏感项脱敏</t>
  </si>
  <si>
    <t xml:space="preserve">HOV-008</t>
  </si>
  <si>
    <t xml:space="preserve">供应商</t>
  </si>
  <si>
    <r>
      <rPr>
        <sz val="10"/>
        <color rgb="FF243447"/>
        <rFont val="Arial"/>
        <family val="0"/>
        <charset val="134"/>
      </rPr>
      <t xml:space="preserve">CA/</t>
    </r>
    <r>
      <rPr>
        <sz val="10"/>
        <color rgb="FF243447"/>
        <rFont val="微软雅黑"/>
        <family val="2"/>
      </rPr>
      <t xml:space="preserve">电子文档</t>
    </r>
    <r>
      <rPr>
        <sz val="10"/>
        <color rgb="FF243447"/>
        <rFont val="Arial"/>
        <family val="0"/>
        <charset val="134"/>
      </rPr>
      <t xml:space="preserve">/BI</t>
    </r>
    <r>
      <rPr>
        <sz val="10"/>
        <color rgb="FF243447"/>
        <rFont val="微软雅黑"/>
        <family val="2"/>
      </rPr>
      <t xml:space="preserve">产品授权、</t>
    </r>
    <r>
      <rPr>
        <sz val="10"/>
        <color rgb="FF243447"/>
        <rFont val="Arial"/>
        <family val="0"/>
        <charset val="134"/>
      </rPr>
      <t xml:space="preserve">SLA</t>
    </r>
    <r>
      <rPr>
        <sz val="10"/>
        <color rgb="FF243447"/>
        <rFont val="微软雅黑"/>
        <family val="2"/>
      </rPr>
      <t xml:space="preserve">、联系人和支持流程</t>
    </r>
  </si>
  <si>
    <t xml:space="preserve">权益生效，联系人和升级路径有效</t>
  </si>
  <si>
    <r>
      <rPr>
        <sz val="10"/>
        <color rgb="FF243447"/>
        <rFont val="微软雅黑"/>
        <family val="2"/>
      </rPr>
      <t xml:space="preserve">运维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采购负责人</t>
    </r>
  </si>
  <si>
    <t xml:space="preserve">HOV-009</t>
  </si>
  <si>
    <t xml:space="preserve">未结事项</t>
  </si>
  <si>
    <t xml:space="preserve">已知缺陷、风险、技术债和后续优化</t>
  </si>
  <si>
    <t xml:space="preserve">影响、应对、责任人和日期明确并获批准</t>
  </si>
  <si>
    <t xml:space="preserve">HOV-010</t>
  </si>
  <si>
    <t xml:space="preserve">验收</t>
  </si>
  <si>
    <t xml:space="preserve">交付物、验收证据、发票付款和合同义务</t>
  </si>
  <si>
    <t xml:space="preserve">交付物与合同清单匹配，未结义务明确</t>
  </si>
  <si>
    <r>
      <rPr>
        <sz val="10"/>
        <color rgb="FF243447"/>
        <rFont val="微软雅黑"/>
        <family val="2"/>
      </rPr>
      <t xml:space="preserve">合同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采购负责人</t>
    </r>
  </si>
  <si>
    <t xml:space="preserve">HOV-011</t>
  </si>
  <si>
    <t xml:space="preserve">数据字典、迁移映射、对账规则和数据质量问题</t>
  </si>
  <si>
    <t xml:space="preserve">口径和数据责任明确</t>
  </si>
  <si>
    <r>
      <rPr>
        <sz val="10"/>
        <color rgb="FF243447"/>
        <rFont val="微软雅黑"/>
        <family val="2"/>
      </rPr>
      <t xml:space="preserve">数据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运营负责人</t>
    </r>
  </si>
  <si>
    <t xml:space="preserve">HOV-012</t>
  </si>
  <si>
    <t xml:space="preserve">应急</t>
  </si>
  <si>
    <t xml:space="preserve">应急预案、回退方案、演练报告和通讯录</t>
  </si>
  <si>
    <t xml:space="preserve">运维可按预案独立组织响应</t>
  </si>
  <si>
    <r>
      <rPr>
        <i val="true"/>
        <sz val="10"/>
        <color rgb="FF667788"/>
        <rFont val="微软雅黑"/>
        <family val="2"/>
      </rPr>
      <t xml:space="preserve">按日</t>
    </r>
    <r>
      <rPr>
        <i val="true"/>
        <sz val="10"/>
        <color rgb="FF667788"/>
        <rFont val="Arial"/>
        <family val="0"/>
        <charset val="134"/>
      </rPr>
      <t xml:space="preserve">/</t>
    </r>
    <r>
      <rPr>
        <i val="true"/>
        <sz val="10"/>
        <color rgb="FF667788"/>
        <rFont val="微软雅黑"/>
        <family val="2"/>
      </rPr>
      <t xml:space="preserve">周记录系统、业务、数据、接口、性能、支持和用户反馈。</t>
    </r>
  </si>
  <si>
    <r>
      <rPr>
        <b val="true"/>
        <sz val="10"/>
        <color rgb="FF1F4E78"/>
        <rFont val="微软雅黑"/>
        <family val="2"/>
      </rPr>
      <t xml:space="preserve">周期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</si>
  <si>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开始日期</t>
  </si>
  <si>
    <t xml:space="preserve">结束日期</t>
  </si>
  <si>
    <t xml:space="preserve">生产交易量</t>
  </si>
  <si>
    <t xml:space="preserve">核心链路成功率</t>
  </si>
  <si>
    <r>
      <rPr>
        <b val="true"/>
        <sz val="10"/>
        <color rgb="FF1F4E78"/>
        <rFont val="Arial"/>
        <family val="0"/>
        <charset val="134"/>
      </rPr>
      <t xml:space="preserve">P1/P2</t>
    </r>
    <r>
      <rPr>
        <b val="true"/>
        <sz val="10"/>
        <color rgb="FF1F4E78"/>
        <rFont val="微软雅黑"/>
        <family val="2"/>
      </rPr>
      <t xml:space="preserve">事件数</t>
    </r>
  </si>
  <si>
    <t xml:space="preserve">未关闭严重缺陷</t>
  </si>
  <si>
    <r>
      <rPr>
        <b val="true"/>
        <sz val="10"/>
        <color rgb="FF1F4E78"/>
        <rFont val="Arial"/>
        <family val="0"/>
        <charset val="134"/>
      </rPr>
      <t xml:space="preserve">SLA</t>
    </r>
    <r>
      <rPr>
        <b val="true"/>
        <sz val="10"/>
        <color rgb="FF1F4E78"/>
        <rFont val="微软雅黑"/>
        <family val="2"/>
      </rPr>
      <t xml:space="preserve">达成率</t>
    </r>
  </si>
  <si>
    <t xml:space="preserve">用户反馈</t>
  </si>
  <si>
    <t xml:space="preserve">主要问题</t>
  </si>
  <si>
    <t xml:space="preserve">本期行动</t>
  </si>
  <si>
    <r>
      <rPr>
        <b val="true"/>
        <sz val="10"/>
        <color rgb="FF1F4E78"/>
        <rFont val="微软雅黑"/>
        <family val="2"/>
      </rPr>
      <t xml:space="preserve">证据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报告</t>
    </r>
  </si>
  <si>
    <t xml:space="preserve">OPS-001</t>
  </si>
  <si>
    <t xml:space="preserve">OPS-002</t>
  </si>
  <si>
    <t xml:space="preserve">OPS-003</t>
  </si>
  <si>
    <t xml:space="preserve">OPS-004</t>
  </si>
  <si>
    <t xml:space="preserve">OPS-005</t>
  </si>
  <si>
    <r>
      <rPr>
        <b val="true"/>
        <sz val="15"/>
        <color rgb="FF1F4E78"/>
        <rFont val="微软雅黑"/>
        <family val="2"/>
      </rPr>
      <t xml:space="preserve">运维</t>
    </r>
    <r>
      <rPr>
        <b val="true"/>
        <sz val="15"/>
        <color rgb="FF1F4E78"/>
        <rFont val="Arial"/>
        <family val="0"/>
        <charset val="134"/>
      </rPr>
      <t xml:space="preserve">SLA</t>
    </r>
    <r>
      <rPr>
        <b val="true"/>
        <sz val="15"/>
        <color rgb="FF1F4E78"/>
        <rFont val="微软雅黑"/>
        <family val="2"/>
      </rPr>
      <t xml:space="preserve">与支持模型</t>
    </r>
  </si>
  <si>
    <r>
      <rPr>
        <i val="true"/>
        <sz val="10"/>
        <color rgb="FF667788"/>
        <rFont val="Arial"/>
        <family val="0"/>
        <charset val="134"/>
      </rPr>
      <t xml:space="preserve">SLA</t>
    </r>
    <r>
      <rPr>
        <i val="true"/>
        <sz val="10"/>
        <color rgb="FF667788"/>
        <rFont val="微软雅黑"/>
        <family val="2"/>
      </rPr>
      <t xml:space="preserve">阈值为项目建议初值，正式生效前应由业务、运维和供应商确认。</t>
    </r>
  </si>
  <si>
    <t xml:space="preserve">服务项</t>
  </si>
  <si>
    <r>
      <rPr>
        <b val="true"/>
        <sz val="10"/>
        <color rgb="FF1F4E78"/>
        <rFont val="微软雅黑"/>
        <family val="2"/>
      </rPr>
      <t xml:space="preserve">级别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场景</t>
    </r>
  </si>
  <si>
    <t xml:space="preserve">服务时间</t>
  </si>
  <si>
    <t xml:space="preserve">响应时限</t>
  </si>
  <si>
    <r>
      <rPr>
        <b val="true"/>
        <sz val="10"/>
        <color rgb="FF1F4E78"/>
        <rFont val="微软雅黑"/>
        <family val="2"/>
      </rPr>
      <t xml:space="preserve">恢复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解决目标</t>
    </r>
  </si>
  <si>
    <t xml:space="preserve">升级时限</t>
  </si>
  <si>
    <t xml:space="preserve">一线负责</t>
  </si>
  <si>
    <t xml:space="preserve">二线负责</t>
  </si>
  <si>
    <r>
      <rPr>
        <b val="true"/>
        <sz val="10"/>
        <color rgb="FF1F4E78"/>
        <rFont val="微软雅黑"/>
        <family val="2"/>
      </rPr>
      <t xml:space="preserve">三线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供应商</t>
    </r>
  </si>
  <si>
    <r>
      <rPr>
        <b val="true"/>
        <sz val="10"/>
        <color rgb="FF1F4E78"/>
        <rFont val="微软雅黑"/>
        <family val="2"/>
      </rPr>
      <t xml:space="preserve">监控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证据</t>
    </r>
  </si>
  <si>
    <t xml:space="preserve">报告频率</t>
  </si>
  <si>
    <t xml:space="preserve">事件处理</t>
  </si>
  <si>
    <r>
      <rPr>
        <sz val="10"/>
        <color rgb="FF243447"/>
        <rFont val="Arial"/>
        <family val="0"/>
        <charset val="134"/>
      </rPr>
      <t xml:space="preserve">P1-</t>
    </r>
    <r>
      <rPr>
        <sz val="10"/>
        <color rgb="FF243447"/>
        <rFont val="微软雅黑"/>
        <family val="2"/>
      </rPr>
      <t xml:space="preserve">系统不可用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严重数据或安全影响</t>
    </r>
  </si>
  <si>
    <t xml:space="preserve">7×24</t>
  </si>
  <si>
    <r>
      <rPr>
        <sz val="10"/>
        <color rgb="FF243447"/>
        <rFont val="Arial"/>
        <family val="0"/>
        <charset val="134"/>
      </rPr>
      <t xml:space="preserve">2</t>
    </r>
    <r>
      <rPr>
        <sz val="10"/>
        <color rgb="FF243447"/>
        <rFont val="微软雅黑"/>
        <family val="2"/>
      </rPr>
      <t xml:space="preserve">小时恢复，根因按批准时限</t>
    </r>
  </si>
  <si>
    <t xml:space="preserve">服务台</t>
  </si>
  <si>
    <r>
      <rPr>
        <sz val="10"/>
        <color rgb="FF243447"/>
        <rFont val="微软雅黑"/>
        <family val="2"/>
      </rPr>
      <t xml:space="preserve">运维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技术经理</t>
    </r>
  </si>
  <si>
    <r>
      <rPr>
        <sz val="10"/>
        <color rgb="FF243447"/>
        <rFont val="微软雅黑"/>
        <family val="2"/>
      </rPr>
      <t xml:space="preserve">项目集经理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供应商</t>
    </r>
  </si>
  <si>
    <t xml:space="preserve">工单、监控、时间线和复盘</t>
  </si>
  <si>
    <r>
      <rPr>
        <sz val="10"/>
        <color rgb="FF243447"/>
        <rFont val="微软雅黑"/>
        <family val="2"/>
      </rPr>
      <t xml:space="preserve">每</t>
    </r>
    <r>
      <rPr>
        <sz val="10"/>
        <color rgb="FF243447"/>
        <rFont val="Arial"/>
        <family val="0"/>
        <charset val="134"/>
      </rPr>
      <t xml:space="preserve">30</t>
    </r>
    <r>
      <rPr>
        <sz val="10"/>
        <color rgb="FF243447"/>
        <rFont val="微软雅黑"/>
        <family val="2"/>
      </rPr>
      <t xml:space="preserve">分钟通报</t>
    </r>
  </si>
  <si>
    <t xml:space="preserve">待确认</t>
  </si>
  <si>
    <r>
      <rPr>
        <sz val="10"/>
        <color rgb="FF243447"/>
        <rFont val="Arial"/>
        <family val="0"/>
        <charset val="134"/>
      </rPr>
      <t xml:space="preserve">P2-</t>
    </r>
    <r>
      <rPr>
        <sz val="10"/>
        <color rgb="FF243447"/>
        <rFont val="微软雅黑"/>
        <family val="2"/>
      </rPr>
      <t xml:space="preserve">核心功能严重受影响</t>
    </r>
  </si>
  <si>
    <r>
      <rPr>
        <sz val="10"/>
        <color rgb="FF243447"/>
        <rFont val="Arial"/>
        <family val="0"/>
        <charset val="134"/>
      </rPr>
      <t xml:space="preserve">30</t>
    </r>
    <r>
      <rPr>
        <sz val="10"/>
        <color rgb="FF243447"/>
        <rFont val="微软雅黑"/>
        <family val="2"/>
      </rPr>
      <t xml:space="preserve">分钟</t>
    </r>
  </si>
  <si>
    <r>
      <rPr>
        <sz val="10"/>
        <color rgb="FF243447"/>
        <rFont val="Arial"/>
        <family val="0"/>
        <charset val="134"/>
      </rPr>
      <t xml:space="preserve">4</t>
    </r>
    <r>
      <rPr>
        <sz val="10"/>
        <color rgb="FF243447"/>
        <rFont val="微软雅黑"/>
        <family val="2"/>
      </rPr>
      <t xml:space="preserve">小时恢复</t>
    </r>
  </si>
  <si>
    <r>
      <rPr>
        <sz val="10"/>
        <color rgb="FF243447"/>
        <rFont val="微软雅黑"/>
        <family val="2"/>
      </rPr>
      <t xml:space="preserve">运维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开发</t>
    </r>
  </si>
  <si>
    <r>
      <rPr>
        <sz val="10"/>
        <color rgb="FF243447"/>
        <rFont val="微软雅黑"/>
        <family val="2"/>
      </rPr>
      <t xml:space="preserve">技术经理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供应商</t>
    </r>
  </si>
  <si>
    <t xml:space="preserve">工单、日志和处理证据</t>
  </si>
  <si>
    <r>
      <rPr>
        <sz val="10"/>
        <color rgb="FF243447"/>
        <rFont val="微软雅黑"/>
        <family val="2"/>
      </rPr>
      <t xml:space="preserve">每</t>
    </r>
    <r>
      <rPr>
        <sz val="10"/>
        <color rgb="FF243447"/>
        <rFont val="Arial"/>
        <family val="0"/>
        <charset val="134"/>
      </rPr>
      <t xml:space="preserve">2</t>
    </r>
    <r>
      <rPr>
        <sz val="10"/>
        <color rgb="FF243447"/>
        <rFont val="微软雅黑"/>
        <family val="2"/>
      </rPr>
      <t xml:space="preserve">小时通报</t>
    </r>
  </si>
  <si>
    <r>
      <rPr>
        <sz val="10"/>
        <color rgb="FF243447"/>
        <rFont val="Arial"/>
        <family val="0"/>
        <charset val="134"/>
      </rPr>
      <t xml:space="preserve">P3-</t>
    </r>
    <r>
      <rPr>
        <sz val="10"/>
        <color rgb="FF243447"/>
        <rFont val="微软雅黑"/>
        <family val="2"/>
      </rPr>
      <t xml:space="preserve">一般功能受影响</t>
    </r>
  </si>
  <si>
    <t xml:space="preserve">5×8</t>
  </si>
  <si>
    <r>
      <rPr>
        <sz val="10"/>
        <color rgb="FF243447"/>
        <rFont val="Arial"/>
        <family val="0"/>
        <charset val="134"/>
      </rPr>
      <t xml:space="preserve">2</t>
    </r>
    <r>
      <rPr>
        <sz val="10"/>
        <color rgb="FF243447"/>
        <rFont val="微软雅黑"/>
        <family val="2"/>
      </rPr>
      <t xml:space="preserve">个工作日</t>
    </r>
  </si>
  <si>
    <r>
      <rPr>
        <sz val="10"/>
        <color rgb="FF243447"/>
        <rFont val="Arial"/>
        <family val="0"/>
        <charset val="134"/>
      </rPr>
      <t xml:space="preserve">1</t>
    </r>
    <r>
      <rPr>
        <sz val="10"/>
        <color rgb="FF243447"/>
        <rFont val="微软雅黑"/>
        <family val="2"/>
      </rPr>
      <t xml:space="preserve">个工作日</t>
    </r>
  </si>
  <si>
    <t xml:space="preserve">工单和解决记录</t>
  </si>
  <si>
    <t xml:space="preserve">日报</t>
  </si>
  <si>
    <r>
      <rPr>
        <sz val="10"/>
        <color rgb="FF243447"/>
        <rFont val="Arial"/>
        <family val="0"/>
        <charset val="134"/>
      </rPr>
      <t xml:space="preserve">P4-</t>
    </r>
    <r>
      <rPr>
        <sz val="10"/>
        <color rgb="FF243447"/>
        <rFont val="微软雅黑"/>
        <family val="2"/>
      </rPr>
      <t xml:space="preserve">咨询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轻微影响</t>
    </r>
  </si>
  <si>
    <r>
      <rPr>
        <sz val="10"/>
        <color rgb="FF243447"/>
        <rFont val="Arial"/>
        <family val="0"/>
        <charset val="134"/>
      </rPr>
      <t xml:space="preserve">5</t>
    </r>
    <r>
      <rPr>
        <sz val="10"/>
        <color rgb="FF243447"/>
        <rFont val="微软雅黑"/>
        <family val="2"/>
      </rPr>
      <t xml:space="preserve">个工作日</t>
    </r>
  </si>
  <si>
    <r>
      <rPr>
        <sz val="10"/>
        <color rgb="FF243447"/>
        <rFont val="Arial"/>
        <family val="0"/>
        <charset val="134"/>
      </rPr>
      <t xml:space="preserve">3</t>
    </r>
    <r>
      <rPr>
        <sz val="10"/>
        <color rgb="FF243447"/>
        <rFont val="微软雅黑"/>
        <family val="2"/>
      </rPr>
      <t xml:space="preserve">个工作日</t>
    </r>
  </si>
  <si>
    <r>
      <rPr>
        <sz val="10"/>
        <color rgb="FF243447"/>
        <rFont val="微软雅黑"/>
        <family val="2"/>
      </rPr>
      <t xml:space="preserve">运维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产品</t>
    </r>
  </si>
  <si>
    <t xml:space="preserve">工单和知识库</t>
  </si>
  <si>
    <t xml:space="preserve">周报</t>
  </si>
  <si>
    <t xml:space="preserve">系统可用性</t>
  </si>
  <si>
    <t xml:space="preserve">核心服务</t>
  </si>
  <si>
    <t xml:space="preserve">监控实时</t>
  </si>
  <si>
    <r>
      <rPr>
        <sz val="10"/>
        <color rgb="FF243447"/>
        <rFont val="微软雅黑"/>
        <family val="2"/>
      </rPr>
      <t xml:space="preserve">月度可用性≥</t>
    </r>
    <r>
      <rPr>
        <sz val="10"/>
        <color rgb="FF243447"/>
        <rFont val="Arial"/>
        <family val="0"/>
        <charset val="134"/>
      </rPr>
      <t xml:space="preserve">99.9%</t>
    </r>
  </si>
  <si>
    <t xml:space="preserve">超阈值立即</t>
  </si>
  <si>
    <t xml:space="preserve">可用性、停机时间和排除项</t>
  </si>
  <si>
    <t xml:space="preserve">月报</t>
  </si>
  <si>
    <t xml:space="preserve">接口可用性</t>
  </si>
  <si>
    <r>
      <rPr>
        <sz val="10"/>
        <color rgb="FF243447"/>
        <rFont val="微软雅黑"/>
        <family val="2"/>
      </rPr>
      <t xml:space="preserve">核心</t>
    </r>
    <r>
      <rPr>
        <sz val="10"/>
        <color rgb="FF243447"/>
        <rFont val="Arial"/>
        <family val="0"/>
        <charset val="134"/>
      </rPr>
      <t xml:space="preserve">ERP/</t>
    </r>
    <r>
      <rPr>
        <sz val="10"/>
        <color rgb="FF243447"/>
        <rFont val="微软雅黑"/>
        <family val="2"/>
      </rPr>
      <t xml:space="preserve">财务</t>
    </r>
    <r>
      <rPr>
        <sz val="10"/>
        <color rgb="FF243447"/>
        <rFont val="Arial"/>
        <family val="0"/>
        <charset val="134"/>
      </rPr>
      <t xml:space="preserve">/CA/</t>
    </r>
    <r>
      <rPr>
        <sz val="10"/>
        <color rgb="FF243447"/>
        <rFont val="微软雅黑"/>
        <family val="2"/>
      </rPr>
      <t xml:space="preserve">文档接口</t>
    </r>
  </si>
  <si>
    <r>
      <rPr>
        <sz val="10"/>
        <color rgb="FF243447"/>
        <rFont val="微软雅黑"/>
        <family val="2"/>
      </rPr>
      <t xml:space="preserve">成功率≥</t>
    </r>
    <r>
      <rPr>
        <sz val="10"/>
        <color rgb="FF243447"/>
        <rFont val="Arial"/>
        <family val="0"/>
        <charset val="134"/>
      </rPr>
      <t xml:space="preserve">99.9%</t>
    </r>
    <r>
      <rPr>
        <sz val="10"/>
        <color rgb="FF243447"/>
        <rFont val="微软雅黑"/>
        <family val="2"/>
      </rPr>
      <t xml:space="preserve">，失败可重试补偿</t>
    </r>
  </si>
  <si>
    <t xml:space="preserve">连续失败超阈值</t>
  </si>
  <si>
    <r>
      <rPr>
        <sz val="10"/>
        <color rgb="FF243447"/>
        <rFont val="微软雅黑"/>
        <family val="2"/>
      </rPr>
      <t xml:space="preserve">外部系统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供应商</t>
    </r>
  </si>
  <si>
    <t xml:space="preserve">成功率、延迟、重试、补偿和对账</t>
  </si>
  <si>
    <r>
      <rPr>
        <sz val="10"/>
        <color rgb="FF243447"/>
        <rFont val="微软雅黑"/>
        <family val="2"/>
      </rPr>
      <t xml:space="preserve">日报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月报</t>
    </r>
  </si>
  <si>
    <t xml:space="preserve">备份与恢复</t>
  </si>
  <si>
    <t xml:space="preserve">数据库、文件和配置</t>
  </si>
  <si>
    <t xml:space="preserve">备份失败立即</t>
  </si>
  <si>
    <r>
      <rPr>
        <sz val="10"/>
        <color rgb="FF243447"/>
        <rFont val="Arial"/>
        <family val="0"/>
        <charset val="134"/>
      </rPr>
      <t xml:space="preserve">RPO≤15</t>
    </r>
    <r>
      <rPr>
        <sz val="10"/>
        <color rgb="FF243447"/>
        <rFont val="微软雅黑"/>
        <family val="2"/>
      </rPr>
      <t xml:space="preserve">分钟，</t>
    </r>
    <r>
      <rPr>
        <sz val="10"/>
        <color rgb="FF243447"/>
        <rFont val="Arial"/>
        <family val="0"/>
        <charset val="134"/>
      </rPr>
      <t xml:space="preserve">RTO≤4</t>
    </r>
    <r>
      <rPr>
        <sz val="10"/>
        <color rgb="FF243447"/>
        <rFont val="微软雅黑"/>
        <family val="2"/>
      </rPr>
      <t xml:space="preserve">小时</t>
    </r>
  </si>
  <si>
    <r>
      <rPr>
        <sz val="10"/>
        <color rgb="FF243447"/>
        <rFont val="微软雅黑"/>
        <family val="2"/>
      </rPr>
      <t xml:space="preserve">备份失败后</t>
    </r>
    <r>
      <rPr>
        <sz val="10"/>
        <color rgb="FF243447"/>
        <rFont val="Arial"/>
        <family val="0"/>
        <charset val="134"/>
      </rPr>
      <t xml:space="preserve">30</t>
    </r>
    <r>
      <rPr>
        <sz val="10"/>
        <color rgb="FF243447"/>
        <rFont val="微软雅黑"/>
        <family val="2"/>
      </rPr>
      <t xml:space="preserve">分钟</t>
    </r>
  </si>
  <si>
    <t xml:space="preserve">基础设施供应商</t>
  </si>
  <si>
    <t xml:space="preserve">备份作业、恢复演练和校验记录</t>
  </si>
  <si>
    <r>
      <rPr>
        <sz val="10"/>
        <color rgb="FF243447"/>
        <rFont val="微软雅黑"/>
        <family val="2"/>
      </rPr>
      <t xml:space="preserve">日报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季度演练</t>
    </r>
  </si>
  <si>
    <t xml:space="preserve">支持与报告</t>
  </si>
  <si>
    <t xml:space="preserve">试运行联合支持</t>
  </si>
  <si>
    <t xml:space="preserve">按事件级别</t>
  </si>
  <si>
    <t xml:space="preserve">问题当日分类并持续跟踪</t>
  </si>
  <si>
    <t xml:space="preserve">阻塞或逾期立即</t>
  </si>
  <si>
    <t xml:space="preserve">项目组</t>
  </si>
  <si>
    <t xml:space="preserve">工单、日报、趋势和复盘</t>
  </si>
  <si>
    <r>
      <rPr>
        <sz val="10"/>
        <color rgb="FF243447"/>
        <rFont val="微软雅黑"/>
        <family val="2"/>
      </rPr>
      <t xml:space="preserve">每日</t>
    </r>
    <r>
      <rPr>
        <sz val="10"/>
        <color rgb="FF243447"/>
        <rFont val="Arial"/>
        <family val="0"/>
        <charset val="134"/>
      </rPr>
      <t xml:space="preserve">/</t>
    </r>
    <r>
      <rPr>
        <sz val="10"/>
        <color rgb="FF243447"/>
        <rFont val="微软雅黑"/>
        <family val="2"/>
      </rPr>
      <t xml:space="preserve">每周</t>
    </r>
  </si>
  <si>
    <r>
      <rPr>
        <i val="true"/>
        <sz val="10"/>
        <color rgb="FF667788"/>
        <rFont val="微软雅黑"/>
        <family val="2"/>
      </rPr>
      <t xml:space="preserve">记录上线窗口和试运行事件。</t>
    </r>
    <r>
      <rPr>
        <i val="true"/>
        <sz val="10"/>
        <color rgb="FF667788"/>
        <rFont val="Arial"/>
        <family val="0"/>
        <charset val="134"/>
      </rPr>
      <t xml:space="preserve">P1/P2</t>
    </r>
    <r>
      <rPr>
        <i val="true"/>
        <sz val="10"/>
        <color rgb="FF667788"/>
        <rFont val="微软雅黑"/>
        <family val="2"/>
      </rPr>
      <t xml:space="preserve">事件需复盘和根因分析。</t>
    </r>
  </si>
  <si>
    <r>
      <rPr>
        <b val="true"/>
        <sz val="10"/>
        <color rgb="FF1F4E78"/>
        <rFont val="微软雅黑"/>
        <family val="2"/>
      </rPr>
      <t xml:space="preserve">事件</t>
    </r>
    <r>
      <rPr>
        <b val="true"/>
        <sz val="10"/>
        <color rgb="FF1F4E78"/>
        <rFont val="Arial"/>
        <family val="0"/>
        <charset val="134"/>
      </rPr>
      <t xml:space="preserve">ID</t>
    </r>
  </si>
  <si>
    <t xml:space="preserve">发生时间</t>
  </si>
  <si>
    <t xml:space="preserve">级别</t>
  </si>
  <si>
    <r>
      <rPr>
        <b val="true"/>
        <sz val="10"/>
        <color rgb="FF1F4E78"/>
        <rFont val="微软雅黑"/>
        <family val="2"/>
      </rPr>
      <t xml:space="preserve">现象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影响</t>
    </r>
  </si>
  <si>
    <t xml:space="preserve">发现方式</t>
  </si>
  <si>
    <t xml:space="preserve">首次响应</t>
  </si>
  <si>
    <t xml:space="preserve">恢复时间</t>
  </si>
  <si>
    <t xml:space="preserve">解决时间</t>
  </si>
  <si>
    <t xml:space="preserve">根因</t>
  </si>
  <si>
    <t xml:space="preserve">处置措施</t>
  </si>
  <si>
    <r>
      <rPr>
        <b val="true"/>
        <sz val="10"/>
        <color rgb="FF1F4E78"/>
        <rFont val="微软雅黑"/>
        <family val="2"/>
      </rPr>
      <t xml:space="preserve">问题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缺陷</t>
    </r>
    <r>
      <rPr>
        <b val="true"/>
        <sz val="10"/>
        <color rgb="FF1F4E78"/>
        <rFont val="Arial"/>
        <family val="0"/>
        <charset val="134"/>
      </rPr>
      <t xml:space="preserve">ID</t>
    </r>
  </si>
  <si>
    <r>
      <rPr>
        <b val="true"/>
        <sz val="10"/>
        <color rgb="FF1F4E78"/>
        <rFont val="微软雅黑"/>
        <family val="2"/>
      </rPr>
      <t xml:space="preserve">证据</t>
    </r>
    <r>
      <rPr>
        <b val="true"/>
        <sz val="10"/>
        <color rgb="FF1F4E78"/>
        <rFont val="Arial"/>
        <family val="0"/>
        <charset val="134"/>
      </rPr>
      <t xml:space="preserve">/</t>
    </r>
    <r>
      <rPr>
        <b val="true"/>
        <sz val="10"/>
        <color rgb="FF1F4E78"/>
        <rFont val="微软雅黑"/>
        <family val="2"/>
      </rPr>
      <t xml:space="preserve">复盘</t>
    </r>
  </si>
  <si>
    <t xml:space="preserve">字段</t>
  </si>
  <si>
    <t xml:space="preserve">值</t>
  </si>
  <si>
    <t xml:space="preserve">Project_ID</t>
  </si>
  <si>
    <t xml:space="preserve">ECM-2026</t>
  </si>
  <si>
    <t xml:space="preserve">项目名称</t>
  </si>
  <si>
    <t xml:space="preserve">模块编码</t>
  </si>
  <si>
    <t xml:space="preserve">09</t>
  </si>
  <si>
    <t xml:space="preserve">数据日期</t>
  </si>
  <si>
    <t xml:space="preserve">计划上线日期</t>
  </si>
  <si>
    <t xml:space="preserve">试运行开始</t>
  </si>
  <si>
    <t xml:space="preserve">上线门禁数</t>
  </si>
  <si>
    <t xml:space="preserve">上线准备项数</t>
  </si>
  <si>
    <t xml:space="preserve">迁移对象数</t>
  </si>
  <si>
    <t xml:space="preserve">切换任务数</t>
  </si>
  <si>
    <t xml:space="preserve">移交项数</t>
  </si>
  <si>
    <r>
      <rPr>
        <sz val="10"/>
        <color rgb="FF243447"/>
        <rFont val="微软雅黑"/>
        <family val="2"/>
      </rPr>
      <t xml:space="preserve">使用说明</t>
    </r>
    <r>
      <rPr>
        <sz val="10"/>
        <color rgb="FF243447"/>
        <rFont val="Arial"/>
        <family val="0"/>
        <charset val="134"/>
      </rPr>
      <t xml:space="preserve">Sheet</t>
    </r>
  </si>
  <si>
    <t xml:space="preserve">已包含</t>
  </si>
  <si>
    <t xml:space="preserve">使用说明版本</t>
  </si>
  <si>
    <t xml:space="preserve">20260917-V1</t>
  </si>
  <si>
    <t xml:space="preserve">上游模块</t>
  </si>
  <si>
    <r>
      <rPr>
        <sz val="10"/>
        <color rgb="FF243447"/>
        <rFont val="Arial"/>
        <family val="0"/>
        <charset val="134"/>
      </rPr>
      <t xml:space="preserve">02_</t>
    </r>
    <r>
      <rPr>
        <sz val="10"/>
        <color rgb="FF243447"/>
        <rFont val="微软雅黑"/>
        <family val="2"/>
      </rPr>
      <t xml:space="preserve">计划与进度</t>
    </r>
    <r>
      <rPr>
        <sz val="10"/>
        <color rgb="FF243447"/>
        <rFont val="Arial"/>
        <family val="0"/>
        <charset val="134"/>
      </rPr>
      <t xml:space="preserve">/06_</t>
    </r>
    <r>
      <rPr>
        <sz val="10"/>
        <color rgb="FF243447"/>
        <rFont val="微软雅黑"/>
        <family val="2"/>
      </rPr>
      <t xml:space="preserve">风险问题与变更</t>
    </r>
    <r>
      <rPr>
        <sz val="10"/>
        <color rgb="FF243447"/>
        <rFont val="Arial"/>
        <family val="0"/>
        <charset val="134"/>
      </rPr>
      <t xml:space="preserve">/07_</t>
    </r>
    <r>
      <rPr>
        <sz val="10"/>
        <color rgb="FF243447"/>
        <rFont val="微软雅黑"/>
        <family val="2"/>
      </rPr>
      <t xml:space="preserve">质量测试与验收</t>
    </r>
    <r>
      <rPr>
        <sz val="10"/>
        <color rgb="FF243447"/>
        <rFont val="Arial"/>
        <family val="0"/>
        <charset val="134"/>
      </rPr>
      <t xml:space="preserve">/08_</t>
    </r>
    <r>
      <rPr>
        <sz val="10"/>
        <color rgb="FF243447"/>
        <rFont val="微软雅黑"/>
        <family val="2"/>
      </rPr>
      <t xml:space="preserve">沟通会议与报告</t>
    </r>
  </si>
  <si>
    <t xml:space="preserve">下游模块</t>
  </si>
  <si>
    <r>
      <rPr>
        <sz val="10"/>
        <color rgb="FF243447"/>
        <rFont val="Arial"/>
        <family val="0"/>
        <charset val="134"/>
      </rPr>
      <t xml:space="preserve">10_</t>
    </r>
    <r>
      <rPr>
        <sz val="10"/>
        <color rgb="FF243447"/>
        <rFont val="微软雅黑"/>
        <family val="2"/>
      </rPr>
      <t xml:space="preserve">复盘与经验沉淀</t>
    </r>
    <r>
      <rPr>
        <sz val="10"/>
        <color rgb="FF243447"/>
        <rFont val="Arial"/>
        <family val="0"/>
        <charset val="134"/>
      </rPr>
      <t xml:space="preserve">/11_AI_PMO</t>
    </r>
    <r>
      <rPr>
        <sz val="10"/>
        <color rgb="FF243447"/>
        <rFont val="微软雅黑"/>
        <family val="2"/>
      </rPr>
      <t xml:space="preserve">中心</t>
    </r>
  </si>
  <si>
    <t xml:space="preserve">中央数据库</t>
  </si>
  <si>
    <r>
      <rPr>
        <sz val="10"/>
        <color rgb="FF243447"/>
        <rFont val="Arial"/>
        <family val="0"/>
        <charset val="134"/>
      </rPr>
      <t xml:space="preserve">../90_</t>
    </r>
    <r>
      <rPr>
        <sz val="10"/>
        <color rgb="FF243447"/>
        <rFont val="微软雅黑"/>
        <family val="2"/>
      </rPr>
      <t xml:space="preserve">项目数据中心</t>
    </r>
    <r>
      <rPr>
        <sz val="10"/>
        <color rgb="FF243447"/>
        <rFont val="Arial"/>
        <family val="0"/>
        <charset val="134"/>
      </rPr>
      <t xml:space="preserve">/ai_pmo.db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</si>
</sst>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%"/>
    <numFmt numFmtId="168" formatCode="yyyy\-mm\-dd\ hh:mm"/>
  </numFmts>
  <fonts count="29">
    <font>
      <sz val="11"/>
      <color theme="1"/>
      <name val="微软雅黑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34"/>
    </font>
    <font>
      <sz val="11"/>
      <name val="微软雅黑"/>
      <family val="2"/>
    </font>
    <font>
      <b val="true"/>
      <sz val="16"/>
      <color rgb="FF1F4E78"/>
      <name val="微软雅黑"/>
      <family val="2"/>
    </font>
    <font>
      <b val="true"/>
      <sz val="16"/>
      <color rgb="FF1F4E78"/>
      <name val="Arial"/>
      <family val="0"/>
      <charset val="134"/>
    </font>
    <font>
      <i val="true"/>
      <sz val="10"/>
      <color rgb="FF666666"/>
      <name val="微软雅黑"/>
      <family val="2"/>
    </font>
    <font>
      <i val="true"/>
      <sz val="10"/>
      <color rgb="FF666666"/>
      <name val="Arial"/>
      <family val="0"/>
      <charset val="134"/>
    </font>
    <font>
      <sz val="10"/>
      <color rgb="FF404040"/>
      <name val="微软雅黑"/>
      <family val="2"/>
    </font>
    <font>
      <sz val="10"/>
      <color rgb="FF404040"/>
      <name val="Arial"/>
      <family val="0"/>
      <charset val="134"/>
    </font>
    <font>
      <b val="true"/>
      <sz val="11"/>
      <color rgb="FF1F4E78"/>
      <name val="微软雅黑"/>
      <family val="2"/>
    </font>
    <font>
      <b val="true"/>
      <sz val="10"/>
      <color rgb="FF1F4E78"/>
      <name val="微软雅黑"/>
      <family val="2"/>
    </font>
    <font>
      <sz val="11"/>
      <color rgb="FF243447"/>
      <name val="Cambria"/>
      <family val="0"/>
      <charset val="1"/>
    </font>
    <font>
      <sz val="11"/>
      <color rgb="FF243447"/>
      <name val="微软雅黑"/>
      <family val="2"/>
    </font>
    <font>
      <b val="true"/>
      <sz val="15"/>
      <color rgb="FF1F4E78"/>
      <name val="微软雅黑"/>
      <family val="2"/>
    </font>
    <font>
      <i val="true"/>
      <sz val="10"/>
      <color rgb="FF667788"/>
      <name val="微软雅黑"/>
      <family val="2"/>
    </font>
    <font>
      <i val="true"/>
      <sz val="10"/>
      <color rgb="FF667788"/>
      <name val="Arial"/>
      <family val="0"/>
      <charset val="134"/>
    </font>
    <font>
      <b val="true"/>
      <sz val="10"/>
      <color rgb="FF243447"/>
      <name val="微软雅黑"/>
      <family val="2"/>
    </font>
    <font>
      <b val="true"/>
      <sz val="10"/>
      <color rgb="FF243447"/>
      <name val="Arial"/>
      <family val="0"/>
      <charset val="134"/>
    </font>
    <font>
      <sz val="10"/>
      <color rgb="FF243447"/>
      <name val="Arial"/>
      <family val="0"/>
      <charset val="134"/>
    </font>
    <font>
      <sz val="10"/>
      <color rgb="FF243447"/>
      <name val="微软雅黑"/>
      <family val="2"/>
    </font>
    <font>
      <b val="true"/>
      <sz val="10"/>
      <color rgb="FF1F4E78"/>
      <name val="Arial"/>
      <family val="0"/>
      <charset val="134"/>
    </font>
    <font>
      <b val="true"/>
      <sz val="14"/>
      <color rgb="FF1F4E78"/>
      <name val="微软雅黑"/>
      <family val="2"/>
    </font>
    <font>
      <sz val="11"/>
      <color rgb="FF667788"/>
      <name val="微软雅黑"/>
      <family val="2"/>
    </font>
    <font>
      <sz val="11"/>
      <color rgb="FF667788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5"/>
      <color rgb="FF1F4E78"/>
      <name val="Arial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BDD7EE"/>
        <bgColor rgb="FFB4C6E7"/>
      </patternFill>
    </fill>
    <fill>
      <patternFill patternType="solid">
        <fgColor rgb="FFD9EAF7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D9EA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 diagonalUp="false" diagonalDown="false"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5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2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2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1" fillId="6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BDD7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243447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0B8C4"/>
      <rgbColor rgb="FF7F8C8D"/>
      <rgbColor rgb="FF8EA9C1"/>
      <rgbColor rgb="FF993366"/>
      <rgbColor rgb="FFFFF2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4C6E7"/>
      <rgbColor rgb="FFFF99CC"/>
      <rgbColor rgb="FFB4C6D7"/>
      <rgbColor rgb="FFFCE4D6"/>
      <rgbColor rgb="FF3366FF"/>
      <rgbColor rgb="FF33CCCC"/>
      <rgbColor rgb="FF99CC00"/>
      <rgbColor rgb="FFFFCC00"/>
      <rgbColor rgb="FFFF9900"/>
      <rgbColor rgb="FFFF6600"/>
      <rgbColor rgb="FF667788"/>
      <rgbColor rgb="FFA6A6A6"/>
      <rgbColor rgb="FF003366"/>
      <rgbColor rgb="FF339966"/>
      <rgbColor rgb="FF003300"/>
      <rgbColor rgb="FF404040"/>
      <rgbColor rgb="FF993300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8.61"/>
    <col collapsed="false" customWidth="true" hidden="false" outlineLevel="0" max="2" min="2" style="1" width="24.09"/>
    <col collapsed="false" customWidth="true" hidden="false" outlineLevel="0" max="3" min="3" style="1" width="53.35"/>
    <col collapsed="false" customWidth="true" hidden="false" outlineLevel="0" max="8" min="4" style="1" width="12.0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21.75" hidden="false" customHeight="true" outlineLevel="0" collapsed="false">
      <c r="A4" s="5" t="s">
        <v>2</v>
      </c>
      <c r="B4" s="6" t="s">
        <v>3</v>
      </c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4</v>
      </c>
      <c r="B5" s="6" t="s">
        <v>5</v>
      </c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5" t="s">
        <v>6</v>
      </c>
      <c r="B6" s="6" t="s">
        <v>7</v>
      </c>
      <c r="C6" s="4"/>
      <c r="D6" s="4"/>
      <c r="E6" s="4"/>
      <c r="F6" s="4"/>
      <c r="G6" s="4"/>
      <c r="H6" s="4"/>
    </row>
    <row r="7" customFormat="false" ht="21.75" hidden="false" customHeight="true" outlineLevel="0" collapsed="false">
      <c r="A7" s="5" t="s">
        <v>8</v>
      </c>
      <c r="B7" s="7" t="s">
        <v>9</v>
      </c>
      <c r="C7" s="4"/>
      <c r="D7" s="4"/>
      <c r="E7" s="4"/>
      <c r="F7" s="4"/>
      <c r="G7" s="4"/>
      <c r="H7" s="4"/>
    </row>
    <row r="8" customFormat="false" ht="21.75" hidden="false" customHeight="true" outlineLevel="0" collapsed="false">
      <c r="A8" s="5" t="s">
        <v>10</v>
      </c>
      <c r="B8" s="6" t="s">
        <v>11</v>
      </c>
      <c r="C8" s="4"/>
      <c r="D8" s="4"/>
      <c r="E8" s="4"/>
      <c r="F8" s="4"/>
      <c r="G8" s="4"/>
      <c r="H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1.75" hidden="false" customHeight="true" outlineLevel="0" collapsed="false">
      <c r="A10" s="8" t="s">
        <v>12</v>
      </c>
      <c r="B10" s="8"/>
      <c r="C10" s="8"/>
      <c r="D10" s="8"/>
      <c r="E10" s="8"/>
      <c r="F10" s="8"/>
      <c r="G10" s="8"/>
      <c r="H10" s="8"/>
    </row>
    <row r="11" customFormat="false" ht="21.75" hidden="false" customHeight="true" outlineLevel="0" collapsed="false">
      <c r="A11" s="4" t="n">
        <v>1</v>
      </c>
      <c r="B11" s="9" t="s">
        <v>13</v>
      </c>
      <c r="C11" s="9"/>
      <c r="D11" s="9"/>
      <c r="E11" s="9"/>
      <c r="F11" s="9"/>
      <c r="G11" s="9"/>
      <c r="H11" s="9"/>
    </row>
    <row r="12" customFormat="false" ht="21.75" hidden="false" customHeight="true" outlineLevel="0" collapsed="false">
      <c r="A12" s="4" t="n">
        <v>2</v>
      </c>
      <c r="B12" s="9" t="s">
        <v>14</v>
      </c>
      <c r="C12" s="9"/>
      <c r="D12" s="9"/>
      <c r="E12" s="9"/>
      <c r="F12" s="9"/>
      <c r="G12" s="9"/>
      <c r="H12" s="9"/>
    </row>
    <row r="13" customFormat="false" ht="21.75" hidden="false" customHeight="true" outlineLevel="0" collapsed="false">
      <c r="A13" s="4" t="n">
        <v>3</v>
      </c>
      <c r="B13" s="9" t="s">
        <v>15</v>
      </c>
      <c r="C13" s="9"/>
      <c r="D13" s="9"/>
      <c r="E13" s="9"/>
      <c r="F13" s="9"/>
      <c r="G13" s="9"/>
      <c r="H13" s="9"/>
    </row>
    <row r="14" customFormat="false" ht="21.75" hidden="false" customHeight="true" outlineLevel="0" collapsed="false">
      <c r="A14" s="4" t="n">
        <v>4</v>
      </c>
      <c r="B14" s="9" t="s">
        <v>16</v>
      </c>
      <c r="C14" s="9"/>
      <c r="D14" s="9"/>
      <c r="E14" s="9"/>
      <c r="F14" s="9"/>
      <c r="G14" s="9"/>
      <c r="H14" s="9"/>
    </row>
    <row r="15" customFormat="false" ht="21.75" hidden="false" customHeight="true" outlineLevel="0" collapsed="false">
      <c r="A15" s="4" t="n">
        <v>5</v>
      </c>
      <c r="B15" s="9" t="s">
        <v>17</v>
      </c>
      <c r="C15" s="9"/>
      <c r="D15" s="9"/>
      <c r="E15" s="9"/>
      <c r="F15" s="9"/>
      <c r="G15" s="9"/>
      <c r="H15" s="9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8" t="s">
        <v>18</v>
      </c>
      <c r="B18" s="8"/>
      <c r="C18" s="8"/>
      <c r="D18" s="8"/>
      <c r="E18" s="8"/>
      <c r="F18" s="8"/>
      <c r="G18" s="8"/>
      <c r="H18" s="8"/>
    </row>
    <row r="19" customFormat="false" ht="21.75" hidden="false" customHeight="true" outlineLevel="0" collapsed="false">
      <c r="A19" s="10" t="s">
        <v>19</v>
      </c>
      <c r="B19" s="10" t="s">
        <v>20</v>
      </c>
      <c r="C19" s="10" t="s">
        <v>21</v>
      </c>
      <c r="D19" s="4"/>
      <c r="E19" s="4"/>
      <c r="F19" s="4"/>
      <c r="G19" s="4"/>
      <c r="H19" s="4"/>
    </row>
    <row r="20" customFormat="false" ht="21.75" hidden="false" customHeight="true" outlineLevel="0" collapsed="false">
      <c r="A20" s="5" t="n">
        <v>1</v>
      </c>
      <c r="B20" s="5" t="s">
        <v>22</v>
      </c>
      <c r="C20" s="5" t="s">
        <v>23</v>
      </c>
      <c r="D20" s="4"/>
      <c r="E20" s="4"/>
      <c r="F20" s="4"/>
      <c r="G20" s="4"/>
      <c r="H20" s="4"/>
    </row>
    <row r="21" customFormat="false" ht="21.75" hidden="false" customHeight="true" outlineLevel="0" collapsed="false">
      <c r="A21" s="5" t="n">
        <v>2</v>
      </c>
      <c r="B21" s="5" t="s">
        <v>24</v>
      </c>
      <c r="C21" s="5" t="s">
        <v>25</v>
      </c>
      <c r="D21" s="4"/>
      <c r="E21" s="4"/>
      <c r="F21" s="4"/>
      <c r="G21" s="4"/>
      <c r="H21" s="4"/>
    </row>
    <row r="22" customFormat="false" ht="21.75" hidden="false" customHeight="true" outlineLevel="0" collapsed="false">
      <c r="A22" s="5" t="n">
        <v>3</v>
      </c>
      <c r="B22" s="5" t="s">
        <v>26</v>
      </c>
      <c r="C22" s="5" t="s">
        <v>27</v>
      </c>
      <c r="D22" s="4"/>
      <c r="E22" s="4"/>
      <c r="F22" s="4"/>
      <c r="G22" s="4"/>
      <c r="H22" s="4"/>
    </row>
    <row r="23" customFormat="false" ht="21.75" hidden="false" customHeight="true" outlineLevel="0" collapsed="false">
      <c r="A23" s="5" t="n">
        <v>4</v>
      </c>
      <c r="B23" s="5" t="s">
        <v>28</v>
      </c>
      <c r="C23" s="5" t="s">
        <v>29</v>
      </c>
      <c r="D23" s="4"/>
      <c r="E23" s="4"/>
      <c r="F23" s="4"/>
      <c r="G23" s="4"/>
      <c r="H23" s="4"/>
    </row>
    <row r="24" customFormat="false" ht="21.75" hidden="false" customHeight="true" outlineLevel="0" collapsed="false">
      <c r="A24" s="5" t="n">
        <v>5</v>
      </c>
      <c r="B24" s="5" t="s">
        <v>30</v>
      </c>
      <c r="C24" s="5" t="s">
        <v>31</v>
      </c>
      <c r="D24" s="4"/>
      <c r="E24" s="4"/>
      <c r="F24" s="4"/>
      <c r="G24" s="4"/>
      <c r="H24" s="4"/>
    </row>
    <row r="25" customFormat="false" ht="21.75" hidden="false" customHeight="true" outlineLevel="0" collapsed="false">
      <c r="A25" s="11" t="s">
        <v>32</v>
      </c>
      <c r="B25" s="12" t="s">
        <v>33</v>
      </c>
      <c r="C25" s="12" t="s">
        <v>34</v>
      </c>
      <c r="D25" s="4"/>
      <c r="E25" s="4"/>
      <c r="F25" s="4"/>
      <c r="G25" s="4"/>
      <c r="H25" s="4"/>
    </row>
    <row r="26" customFormat="false" ht="21.75" hidden="false" customHeight="true" outlineLevel="0" collapsed="false">
      <c r="A26" s="11" t="s">
        <v>35</v>
      </c>
      <c r="B26" s="12" t="s">
        <v>36</v>
      </c>
      <c r="C26" s="12" t="s">
        <v>37</v>
      </c>
      <c r="D26" s="4"/>
      <c r="E26" s="4"/>
      <c r="F26" s="4"/>
      <c r="G26" s="4"/>
      <c r="H26" s="4"/>
    </row>
    <row r="27" customFormat="false" ht="21.75" hidden="false" customHeight="true" outlineLevel="0" collapsed="false">
      <c r="A27" s="11" t="s">
        <v>38</v>
      </c>
      <c r="B27" s="12" t="s">
        <v>39</v>
      </c>
      <c r="C27" s="12" t="s">
        <v>40</v>
      </c>
      <c r="D27" s="4"/>
      <c r="E27" s="4"/>
      <c r="F27" s="4"/>
      <c r="G27" s="4"/>
      <c r="H27" s="4"/>
    </row>
    <row r="28" customFormat="false" ht="21.75" hidden="false" customHeight="true" outlineLevel="0" collapsed="false">
      <c r="A28" s="11" t="s">
        <v>41</v>
      </c>
      <c r="B28" s="12" t="s">
        <v>42</v>
      </c>
      <c r="C28" s="12" t="s">
        <v>43</v>
      </c>
      <c r="D28" s="4"/>
      <c r="E28" s="4"/>
      <c r="F28" s="4"/>
      <c r="G28" s="4"/>
      <c r="H28" s="4"/>
    </row>
    <row r="29" customFormat="false" ht="21.75" hidden="false" customHeight="true" outlineLevel="0" collapsed="false">
      <c r="A29" s="11" t="s">
        <v>44</v>
      </c>
      <c r="B29" s="12" t="s">
        <v>45</v>
      </c>
      <c r="C29" s="12" t="s">
        <v>46</v>
      </c>
      <c r="D29" s="4"/>
      <c r="E29" s="4"/>
      <c r="F29" s="4"/>
      <c r="G29" s="4"/>
      <c r="H29" s="4"/>
    </row>
    <row r="30" customFormat="false" ht="21.75" hidden="false" customHeight="true" outlineLevel="0" collapsed="false">
      <c r="A30" s="11" t="s">
        <v>47</v>
      </c>
      <c r="B30" s="12" t="s">
        <v>48</v>
      </c>
      <c r="C30" s="12" t="s">
        <v>49</v>
      </c>
      <c r="D30" s="4"/>
      <c r="E30" s="4"/>
      <c r="F30" s="4"/>
      <c r="G30" s="4"/>
      <c r="H30" s="4"/>
    </row>
    <row r="31" customFormat="false" ht="21.75" hidden="false" customHeight="true" outlineLevel="0" collapsed="false">
      <c r="A31" s="13" t="s">
        <v>50</v>
      </c>
      <c r="B31" s="13" t="s">
        <v>51</v>
      </c>
      <c r="C31" s="14" t="s">
        <v>52</v>
      </c>
      <c r="D31" s="4"/>
      <c r="E31" s="4"/>
      <c r="F31" s="4"/>
      <c r="G31" s="4"/>
      <c r="H31" s="4"/>
    </row>
    <row r="32" customFormat="false" ht="21.75" hidden="false" customHeight="true" outlineLevel="0" collapsed="false">
      <c r="A32" s="8" t="s">
        <v>53</v>
      </c>
      <c r="B32" s="8"/>
      <c r="C32" s="8"/>
      <c r="D32" s="8"/>
      <c r="E32" s="8"/>
      <c r="F32" s="8"/>
      <c r="G32" s="8"/>
      <c r="H32" s="8"/>
    </row>
    <row r="33" customFormat="false" ht="21.75" hidden="false" customHeight="true" outlineLevel="0" collapsed="false">
      <c r="A33" s="4" t="n">
        <v>1</v>
      </c>
      <c r="B33" s="9" t="s">
        <v>54</v>
      </c>
      <c r="C33" s="9"/>
      <c r="D33" s="9"/>
      <c r="E33" s="9"/>
      <c r="F33" s="9"/>
      <c r="G33" s="9"/>
      <c r="H33" s="9"/>
    </row>
    <row r="34" customFormat="false" ht="21.75" hidden="false" customHeight="true" outlineLevel="0" collapsed="false">
      <c r="A34" s="4" t="n">
        <v>2</v>
      </c>
      <c r="B34" s="9" t="s">
        <v>55</v>
      </c>
      <c r="C34" s="9"/>
      <c r="D34" s="9"/>
      <c r="E34" s="9"/>
      <c r="F34" s="9"/>
      <c r="G34" s="9"/>
      <c r="H34" s="9"/>
    </row>
    <row r="35" customFormat="false" ht="21.75" hidden="false" customHeight="true" outlineLevel="0" collapsed="false">
      <c r="A35" s="4" t="n">
        <v>3</v>
      </c>
      <c r="B35" s="9" t="s">
        <v>56</v>
      </c>
      <c r="C35" s="9"/>
      <c r="D35" s="9"/>
      <c r="E35" s="9"/>
      <c r="F35" s="9"/>
      <c r="G35" s="9"/>
      <c r="H35" s="9"/>
    </row>
    <row r="36" customFormat="false" ht="21.75" hidden="false" customHeight="true" outlineLevel="0" collapsed="false">
      <c r="A36" s="4" t="n">
        <v>4</v>
      </c>
      <c r="B36" s="9" t="s">
        <v>57</v>
      </c>
      <c r="C36" s="9"/>
      <c r="D36" s="9"/>
      <c r="E36" s="9"/>
      <c r="F36" s="9"/>
      <c r="G36" s="9"/>
      <c r="H36" s="9"/>
    </row>
    <row r="37" customFormat="false" ht="21.75" hidden="false" customHeight="true" outlineLevel="0" collapsed="false">
      <c r="A37" s="4" t="n">
        <v>5</v>
      </c>
      <c r="B37" s="9" t="s">
        <v>58</v>
      </c>
      <c r="C37" s="9"/>
      <c r="D37" s="9"/>
      <c r="E37" s="9"/>
      <c r="F37" s="9"/>
      <c r="G37" s="9"/>
      <c r="H37" s="9"/>
    </row>
    <row r="38" customFormat="false" ht="21.75" hidden="false" customHeight="true" outlineLevel="0" collapsed="false">
      <c r="A38" s="4" t="n">
        <v>6</v>
      </c>
      <c r="B38" s="9" t="s">
        <v>59</v>
      </c>
      <c r="C38" s="9"/>
      <c r="D38" s="9"/>
      <c r="E38" s="9"/>
      <c r="F38" s="9"/>
      <c r="G38" s="9"/>
      <c r="H38" s="9"/>
    </row>
    <row r="39" customFormat="false" ht="16.5" hidden="false" customHeight="false" outlineLevel="0" collapsed="false">
      <c r="A39" s="15" t="s">
        <v>35</v>
      </c>
      <c r="B39" s="16" t="s">
        <v>60</v>
      </c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32:H32"/>
    <mergeCell ref="B33:H33"/>
    <mergeCell ref="B34:H34"/>
    <mergeCell ref="B35:H35"/>
    <mergeCell ref="B36:H36"/>
    <mergeCell ref="B37:H37"/>
    <mergeCell ref="B38:H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21.51"/>
    <col collapsed="false" customWidth="true" hidden="false" outlineLevel="0" max="3" min="2" style="1" width="14.63"/>
    <col collapsed="false" customWidth="true" hidden="false" outlineLevel="0" max="4" min="4" style="1" width="37.86"/>
    <col collapsed="false" customWidth="true" hidden="false" outlineLevel="0" max="6" min="5" style="1" width="16.35"/>
    <col collapsed="false" customWidth="true" hidden="false" outlineLevel="0" max="7" min="7" style="1" width="27.53"/>
    <col collapsed="false" customWidth="true" hidden="false" outlineLevel="0" max="12" min="8" style="1" width="13.77"/>
  </cols>
  <sheetData>
    <row r="1" customFormat="false" ht="24.75" hidden="false" customHeight="true" outlineLevel="0" collapsed="false">
      <c r="A1" s="17" t="s">
        <v>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6.5" hidden="false" customHeight="false" outlineLevel="0" collapsed="false">
      <c r="A2" s="18" t="s">
        <v>62</v>
      </c>
    </row>
    <row r="4" customFormat="false" ht="16.5" hidden="false" customHeight="false" outlineLevel="0" collapsed="false">
      <c r="A4" s="19" t="s">
        <v>63</v>
      </c>
      <c r="B4" s="19"/>
      <c r="C4" s="19" t="s">
        <v>64</v>
      </c>
      <c r="D4" s="19"/>
      <c r="E4" s="19" t="s">
        <v>65</v>
      </c>
      <c r="F4" s="19"/>
      <c r="G4" s="19" t="s">
        <v>66</v>
      </c>
      <c r="H4" s="19"/>
      <c r="I4" s="19" t="s">
        <v>67</v>
      </c>
      <c r="J4" s="19"/>
      <c r="K4" s="19" t="s">
        <v>68</v>
      </c>
      <c r="L4" s="19"/>
    </row>
    <row r="5" customFormat="false" ht="16.5" hidden="false" customHeight="false" outlineLevel="0" collapsed="false">
      <c r="A5" s="20" t="n">
        <f aca="false">COUNTA(上线准备清单!A5:A34)</f>
        <v>20</v>
      </c>
      <c r="B5" s="20"/>
      <c r="C5" s="20" t="n">
        <f aca="false">COUNTIF(上线准备清单!K5:K34,"已就绪")</f>
        <v>0</v>
      </c>
      <c r="D5" s="20"/>
      <c r="E5" s="20" t="n">
        <f aca="false">COUNTIF(上线准备清单!K5:K34,"阻塞")</f>
        <v>0</v>
      </c>
      <c r="F5" s="20"/>
      <c r="G5" s="20" t="n">
        <f aca="false">COUNTIF(移交清单!J5:J34,"&lt;&gt;已完成")-COUNTBLANK(移交清单!A5:A34)</f>
        <v>12</v>
      </c>
      <c r="H5" s="20"/>
      <c r="I5" s="20" t="n">
        <f aca="false">COUNTIF(上线事件日志!I5:I104,"&lt;&gt;已关闭")-COUNTBLANK(上线事件日志!A5:A104)</f>
        <v>0</v>
      </c>
      <c r="J5" s="20"/>
      <c r="K5" s="20" t="str">
        <f aca="false">IF(E5&gt;0,"红",IF(C5&lt;A5,"黄","绿"))</f>
        <v>黄</v>
      </c>
      <c r="L5" s="20"/>
    </row>
    <row r="8" customFormat="false" ht="16.5" hidden="false" customHeight="false" outlineLevel="0" collapsed="false">
      <c r="A8" s="19" t="s">
        <v>69</v>
      </c>
      <c r="B8" s="19"/>
      <c r="C8" s="19"/>
      <c r="D8" s="19"/>
      <c r="E8" s="19"/>
      <c r="F8" s="19"/>
      <c r="G8" s="19"/>
    </row>
    <row r="9" customFormat="false" ht="31.5" hidden="false" customHeight="true" outlineLevel="0" collapsed="false">
      <c r="A9" s="21" t="s">
        <v>70</v>
      </c>
      <c r="B9" s="21" t="s">
        <v>71</v>
      </c>
      <c r="C9" s="21" t="s">
        <v>72</v>
      </c>
      <c r="D9" s="21" t="s">
        <v>73</v>
      </c>
      <c r="E9" s="21" t="s">
        <v>74</v>
      </c>
      <c r="F9" s="21" t="s">
        <v>75</v>
      </c>
      <c r="G9" s="21" t="s">
        <v>76</v>
      </c>
    </row>
    <row r="10" customFormat="false" ht="16.5" hidden="false" customHeight="false" outlineLevel="0" collapsed="false">
      <c r="A10" s="22" t="s">
        <v>77</v>
      </c>
      <c r="B10" s="23" t="n">
        <v>46517</v>
      </c>
      <c r="C10" s="24" t="s">
        <v>78</v>
      </c>
      <c r="D10" s="25" t="s">
        <v>79</v>
      </c>
      <c r="E10" s="26" t="s">
        <v>80</v>
      </c>
      <c r="F10" s="24" t="s">
        <v>81</v>
      </c>
      <c r="G10" s="22" t="s">
        <v>82</v>
      </c>
    </row>
    <row r="11" customFormat="false" ht="16.5" hidden="false" customHeight="false" outlineLevel="0" collapsed="false">
      <c r="A11" s="24" t="s">
        <v>83</v>
      </c>
      <c r="B11" s="23" t="n">
        <v>46527</v>
      </c>
      <c r="C11" s="24" t="s">
        <v>78</v>
      </c>
      <c r="D11" s="27" t="s">
        <v>84</v>
      </c>
      <c r="E11" s="26" t="s">
        <v>80</v>
      </c>
      <c r="F11" s="24" t="s">
        <v>81</v>
      </c>
      <c r="G11" s="24" t="s">
        <v>85</v>
      </c>
    </row>
    <row r="12" customFormat="false" ht="16.5" hidden="false" customHeight="false" outlineLevel="0" collapsed="false">
      <c r="A12" s="24" t="s">
        <v>86</v>
      </c>
      <c r="B12" s="23" t="n">
        <v>46531</v>
      </c>
      <c r="C12" s="24" t="s">
        <v>87</v>
      </c>
      <c r="D12" s="27" t="s">
        <v>88</v>
      </c>
      <c r="E12" s="26" t="s">
        <v>80</v>
      </c>
      <c r="F12" s="24" t="s">
        <v>89</v>
      </c>
      <c r="G12" s="24" t="s">
        <v>90</v>
      </c>
    </row>
    <row r="13" customFormat="false" ht="16.5" hidden="false" customHeight="false" outlineLevel="0" collapsed="false">
      <c r="A13" s="24" t="s">
        <v>91</v>
      </c>
      <c r="B13" s="23" t="n">
        <v>46531</v>
      </c>
      <c r="C13" s="24" t="s">
        <v>78</v>
      </c>
      <c r="D13" s="27" t="s">
        <v>92</v>
      </c>
      <c r="E13" s="26" t="s">
        <v>80</v>
      </c>
      <c r="F13" s="24" t="s">
        <v>81</v>
      </c>
      <c r="G13" s="24" t="s">
        <v>93</v>
      </c>
    </row>
    <row r="14" customFormat="false" ht="16.5" hidden="false" customHeight="false" outlineLevel="0" collapsed="false">
      <c r="A14" s="22" t="s">
        <v>94</v>
      </c>
      <c r="B14" s="23" t="n">
        <v>46535</v>
      </c>
      <c r="C14" s="24" t="s">
        <v>95</v>
      </c>
      <c r="D14" s="27" t="s">
        <v>96</v>
      </c>
      <c r="E14" s="26" t="s">
        <v>80</v>
      </c>
      <c r="F14" s="24" t="s">
        <v>97</v>
      </c>
      <c r="G14" s="22" t="s">
        <v>98</v>
      </c>
    </row>
    <row r="15" customFormat="false" ht="16.5" hidden="false" customHeight="false" outlineLevel="0" collapsed="false">
      <c r="A15" s="24" t="s">
        <v>99</v>
      </c>
      <c r="B15" s="23" t="n">
        <v>46538</v>
      </c>
      <c r="C15" s="24" t="s">
        <v>89</v>
      </c>
      <c r="D15" s="27" t="s">
        <v>100</v>
      </c>
      <c r="E15" s="26" t="s">
        <v>80</v>
      </c>
      <c r="F15" s="24" t="s">
        <v>95</v>
      </c>
      <c r="G15" s="24" t="s">
        <v>101</v>
      </c>
    </row>
    <row r="16" customFormat="false" ht="16.5" hidden="false" customHeight="false" outlineLevel="0" collapsed="false">
      <c r="A16" s="24" t="s">
        <v>102</v>
      </c>
      <c r="B16" s="23" t="n">
        <v>46568</v>
      </c>
      <c r="C16" s="24" t="s">
        <v>89</v>
      </c>
      <c r="D16" s="27" t="s">
        <v>103</v>
      </c>
      <c r="E16" s="26" t="s">
        <v>80</v>
      </c>
      <c r="F16" s="24" t="s">
        <v>104</v>
      </c>
      <c r="G16" s="24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18.93"/>
    <col collapsed="false" customWidth="true" hidden="false" outlineLevel="0" max="2" min="2" style="1" width="39.58"/>
    <col collapsed="false" customWidth="true" hidden="false" outlineLevel="0" max="4" min="3" style="1" width="16.35"/>
    <col collapsed="false" customWidth="true" hidden="false" outlineLevel="0" max="5" min="5" style="1" width="13.77"/>
    <col collapsed="false" customWidth="true" hidden="false" outlineLevel="0" max="7" min="6" style="1" width="30.98"/>
    <col collapsed="false" customWidth="true" hidden="false" outlineLevel="0" max="8" min="8" style="1" width="13.77"/>
  </cols>
  <sheetData>
    <row r="1" customFormat="false" ht="24.75" hidden="false" customHeight="true" outlineLevel="0" collapsed="false">
      <c r="A1" s="17" t="s">
        <v>24</v>
      </c>
      <c r="B1" s="17"/>
      <c r="C1" s="17"/>
      <c r="D1" s="17"/>
      <c r="E1" s="17"/>
      <c r="F1" s="17"/>
      <c r="G1" s="17"/>
      <c r="H1" s="17"/>
    </row>
    <row r="2" customFormat="false" ht="16.5" hidden="false" customHeight="false" outlineLevel="0" collapsed="false">
      <c r="A2" s="18" t="s">
        <v>106</v>
      </c>
    </row>
    <row r="4" customFormat="false" ht="31.5" hidden="false" customHeight="true" outlineLevel="0" collapsed="false">
      <c r="A4" s="21" t="s">
        <v>107</v>
      </c>
      <c r="B4" s="21" t="s">
        <v>108</v>
      </c>
      <c r="C4" s="21" t="s">
        <v>109</v>
      </c>
      <c r="D4" s="21" t="s">
        <v>75</v>
      </c>
      <c r="E4" s="21" t="s">
        <v>71</v>
      </c>
      <c r="F4" s="21" t="s">
        <v>110</v>
      </c>
      <c r="G4" s="21" t="s">
        <v>111</v>
      </c>
      <c r="H4" s="21" t="s">
        <v>112</v>
      </c>
    </row>
    <row r="5" customFormat="false" ht="16.5" hidden="false" customHeight="false" outlineLevel="0" collapsed="false">
      <c r="A5" s="24" t="s">
        <v>113</v>
      </c>
      <c r="B5" s="28" t="s">
        <v>114</v>
      </c>
      <c r="C5" s="29" t="s">
        <v>95</v>
      </c>
      <c r="D5" s="29" t="s">
        <v>104</v>
      </c>
      <c r="E5" s="30" t="n">
        <v>46535</v>
      </c>
      <c r="F5" s="31" t="s">
        <v>115</v>
      </c>
      <c r="G5" s="31" t="s">
        <v>94</v>
      </c>
      <c r="H5" s="29" t="s">
        <v>116</v>
      </c>
    </row>
    <row r="6" customFormat="false" ht="16.5" hidden="false" customHeight="false" outlineLevel="0" collapsed="false">
      <c r="A6" s="24" t="s">
        <v>117</v>
      </c>
      <c r="B6" s="31" t="s">
        <v>118</v>
      </c>
      <c r="C6" s="29" t="s">
        <v>89</v>
      </c>
      <c r="D6" s="29" t="s">
        <v>95</v>
      </c>
      <c r="E6" s="30" t="n">
        <v>46535</v>
      </c>
      <c r="F6" s="28" t="s">
        <v>119</v>
      </c>
      <c r="G6" s="28" t="s">
        <v>120</v>
      </c>
      <c r="H6" s="29" t="s">
        <v>116</v>
      </c>
    </row>
    <row r="7" customFormat="false" ht="16.5" hidden="false" customHeight="false" outlineLevel="0" collapsed="false">
      <c r="A7" s="24" t="s">
        <v>121</v>
      </c>
      <c r="B7" s="28" t="s">
        <v>122</v>
      </c>
      <c r="C7" s="29" t="s">
        <v>78</v>
      </c>
      <c r="D7" s="29" t="s">
        <v>81</v>
      </c>
      <c r="E7" s="30" t="n">
        <v>46527</v>
      </c>
      <c r="F7" s="28" t="s">
        <v>123</v>
      </c>
      <c r="G7" s="28" t="s">
        <v>124</v>
      </c>
      <c r="H7" s="29" t="s">
        <v>116</v>
      </c>
    </row>
    <row r="8" customFormat="false" ht="16.5" hidden="false" customHeight="false" outlineLevel="0" collapsed="false">
      <c r="A8" s="24" t="s">
        <v>125</v>
      </c>
      <c r="B8" s="28" t="s">
        <v>126</v>
      </c>
      <c r="C8" s="29" t="s">
        <v>87</v>
      </c>
      <c r="D8" s="29" t="s">
        <v>89</v>
      </c>
      <c r="E8" s="30" t="n">
        <v>46535</v>
      </c>
      <c r="F8" s="28" t="s">
        <v>127</v>
      </c>
      <c r="G8" s="28" t="s">
        <v>128</v>
      </c>
      <c r="H8" s="29" t="s">
        <v>116</v>
      </c>
    </row>
    <row r="9" customFormat="false" ht="16.5" hidden="false" customHeight="false" outlineLevel="0" collapsed="false">
      <c r="A9" s="24" t="s">
        <v>129</v>
      </c>
      <c r="B9" s="28" t="s">
        <v>130</v>
      </c>
      <c r="C9" s="29" t="s">
        <v>87</v>
      </c>
      <c r="D9" s="29" t="s">
        <v>95</v>
      </c>
      <c r="E9" s="30" t="n">
        <v>46531</v>
      </c>
      <c r="F9" s="28" t="s">
        <v>131</v>
      </c>
      <c r="G9" s="28" t="s">
        <v>132</v>
      </c>
      <c r="H9" s="29" t="s">
        <v>116</v>
      </c>
    </row>
    <row r="10" customFormat="false" ht="16.5" hidden="false" customHeight="false" outlineLevel="0" collapsed="false">
      <c r="A10" s="24" t="s">
        <v>133</v>
      </c>
      <c r="B10" s="28" t="s">
        <v>134</v>
      </c>
      <c r="C10" s="29" t="s">
        <v>89</v>
      </c>
      <c r="D10" s="29" t="s">
        <v>95</v>
      </c>
      <c r="E10" s="30" t="n">
        <v>46531</v>
      </c>
      <c r="F10" s="28" t="s">
        <v>135</v>
      </c>
      <c r="G10" s="28" t="s">
        <v>136</v>
      </c>
      <c r="H10" s="29" t="s">
        <v>116</v>
      </c>
    </row>
    <row r="11" customFormat="false" ht="16.5" hidden="false" customHeight="false" outlineLevel="0" collapsed="false">
      <c r="A11" s="24" t="s">
        <v>137</v>
      </c>
      <c r="B11" s="31" t="s">
        <v>138</v>
      </c>
      <c r="C11" s="29" t="s">
        <v>89</v>
      </c>
      <c r="D11" s="29" t="s">
        <v>104</v>
      </c>
      <c r="E11" s="30" t="n">
        <v>46538</v>
      </c>
      <c r="F11" s="28" t="s">
        <v>139</v>
      </c>
      <c r="G11" s="28" t="s">
        <v>140</v>
      </c>
      <c r="H11" s="29" t="s">
        <v>116</v>
      </c>
    </row>
    <row r="12" customFormat="false" ht="16.5" hidden="false" customHeight="false" outlineLevel="0" collapsed="false">
      <c r="A12" s="24" t="s">
        <v>141</v>
      </c>
      <c r="B12" s="28" t="s">
        <v>142</v>
      </c>
      <c r="C12" s="29" t="s">
        <v>95</v>
      </c>
      <c r="D12" s="29" t="s">
        <v>104</v>
      </c>
      <c r="E12" s="30" t="n">
        <v>46568</v>
      </c>
      <c r="F12" s="28" t="s">
        <v>143</v>
      </c>
      <c r="G12" s="28" t="s">
        <v>105</v>
      </c>
      <c r="H12" s="29" t="s">
        <v>144</v>
      </c>
    </row>
    <row r="13" customFormat="false" ht="16.5" hidden="false" customHeight="false" outlineLevel="0" collapsed="false">
      <c r="A13" s="24" t="s">
        <v>145</v>
      </c>
      <c r="B13" s="28" t="s">
        <v>146</v>
      </c>
      <c r="C13" s="29" t="s">
        <v>89</v>
      </c>
      <c r="D13" s="29" t="s">
        <v>95</v>
      </c>
      <c r="E13" s="30" t="n">
        <v>46518</v>
      </c>
      <c r="F13" s="28" t="s">
        <v>147</v>
      </c>
      <c r="G13" s="28" t="s">
        <v>148</v>
      </c>
      <c r="H13" s="29" t="s">
        <v>144</v>
      </c>
    </row>
    <row r="14" customFormat="false" ht="16.5" hidden="false" customHeight="false" outlineLevel="0" collapsed="false">
      <c r="A14" s="24" t="s">
        <v>149</v>
      </c>
      <c r="B14" s="28" t="s">
        <v>150</v>
      </c>
      <c r="C14" s="29" t="s">
        <v>78</v>
      </c>
      <c r="D14" s="29" t="s">
        <v>81</v>
      </c>
      <c r="E14" s="30" t="n">
        <v>46531</v>
      </c>
      <c r="F14" s="28" t="s">
        <v>151</v>
      </c>
      <c r="G14" s="28" t="s">
        <v>152</v>
      </c>
      <c r="H14" s="2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12.05"/>
    <col collapsed="false" customWidth="true" hidden="false" outlineLevel="0" max="2" min="2" style="1" width="12.91"/>
    <col collapsed="false" customWidth="true" hidden="false" outlineLevel="0" max="3" min="3" style="1" width="30.98"/>
    <col collapsed="false" customWidth="true" hidden="false" outlineLevel="0" max="4" min="4" style="1" width="15.49"/>
    <col collapsed="false" customWidth="true" hidden="false" outlineLevel="0" max="5" min="5" style="1" width="36.14"/>
    <col collapsed="false" customWidth="true" hidden="false" outlineLevel="0" max="8" min="6" style="1" width="16.35"/>
    <col collapsed="false" customWidth="true" hidden="false" outlineLevel="0" max="12" min="9" style="1" width="14.63"/>
  </cols>
  <sheetData>
    <row r="1" customFormat="false" ht="24.75" hidden="false" customHeight="true" outlineLevel="0" collapsed="false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6.5" hidden="false" customHeight="false" outlineLevel="0" collapsed="false">
      <c r="A2" s="18" t="s">
        <v>153</v>
      </c>
    </row>
    <row r="4" customFormat="false" ht="31.5" hidden="false" customHeight="true" outlineLevel="0" collapsed="false">
      <c r="A4" s="21" t="s">
        <v>154</v>
      </c>
      <c r="B4" s="21" t="s">
        <v>155</v>
      </c>
      <c r="C4" s="21" t="s">
        <v>156</v>
      </c>
      <c r="D4" s="21" t="s">
        <v>109</v>
      </c>
      <c r="E4" s="21" t="s">
        <v>73</v>
      </c>
      <c r="F4" s="21" t="s">
        <v>157</v>
      </c>
      <c r="G4" s="21" t="s">
        <v>158</v>
      </c>
      <c r="H4" s="21" t="s">
        <v>159</v>
      </c>
      <c r="I4" s="21" t="s">
        <v>160</v>
      </c>
      <c r="J4" s="21" t="s">
        <v>76</v>
      </c>
      <c r="K4" s="21" t="s">
        <v>112</v>
      </c>
      <c r="L4" s="21" t="s">
        <v>161</v>
      </c>
    </row>
    <row r="5" customFormat="false" ht="16.5" hidden="false" customHeight="false" outlineLevel="0" collapsed="false">
      <c r="A5" s="22" t="s">
        <v>162</v>
      </c>
      <c r="B5" s="24" t="s">
        <v>163</v>
      </c>
      <c r="C5" s="25" t="s">
        <v>164</v>
      </c>
      <c r="D5" s="27" t="s">
        <v>89</v>
      </c>
      <c r="E5" s="27" t="s">
        <v>165</v>
      </c>
      <c r="F5" s="23" t="n">
        <v>46535</v>
      </c>
      <c r="G5" s="32" t="s">
        <v>166</v>
      </c>
      <c r="H5" s="30"/>
      <c r="I5" s="29"/>
      <c r="J5" s="29"/>
      <c r="K5" s="29" t="s">
        <v>167</v>
      </c>
      <c r="L5" s="29"/>
    </row>
    <row r="6" customFormat="false" ht="16.5" hidden="false" customHeight="false" outlineLevel="0" collapsed="false">
      <c r="A6" s="22" t="s">
        <v>168</v>
      </c>
      <c r="B6" s="24" t="s">
        <v>169</v>
      </c>
      <c r="C6" s="25" t="s">
        <v>170</v>
      </c>
      <c r="D6" s="27" t="s">
        <v>78</v>
      </c>
      <c r="E6" s="25" t="s">
        <v>171</v>
      </c>
      <c r="F6" s="23" t="n">
        <v>46517</v>
      </c>
      <c r="G6" s="32" t="s">
        <v>166</v>
      </c>
      <c r="H6" s="30"/>
      <c r="I6" s="29"/>
      <c r="J6" s="29"/>
      <c r="K6" s="29" t="s">
        <v>167</v>
      </c>
      <c r="L6" s="29"/>
    </row>
    <row r="7" customFormat="false" ht="16.5" hidden="false" customHeight="false" outlineLevel="0" collapsed="false">
      <c r="A7" s="22" t="s">
        <v>172</v>
      </c>
      <c r="B7" s="24" t="s">
        <v>173</v>
      </c>
      <c r="C7" s="25" t="s">
        <v>174</v>
      </c>
      <c r="D7" s="27" t="s">
        <v>175</v>
      </c>
      <c r="E7" s="27" t="s">
        <v>176</v>
      </c>
      <c r="F7" s="23" t="n">
        <v>46531</v>
      </c>
      <c r="G7" s="32" t="s">
        <v>166</v>
      </c>
      <c r="H7" s="30"/>
      <c r="I7" s="29"/>
      <c r="J7" s="29"/>
      <c r="K7" s="29" t="s">
        <v>167</v>
      </c>
      <c r="L7" s="29"/>
    </row>
    <row r="8" customFormat="false" ht="16.5" hidden="false" customHeight="false" outlineLevel="0" collapsed="false">
      <c r="A8" s="22" t="s">
        <v>177</v>
      </c>
      <c r="B8" s="22" t="s">
        <v>178</v>
      </c>
      <c r="C8" s="27" t="s">
        <v>179</v>
      </c>
      <c r="D8" s="27" t="s">
        <v>78</v>
      </c>
      <c r="E8" s="25" t="s">
        <v>180</v>
      </c>
      <c r="F8" s="23" t="n">
        <v>46517</v>
      </c>
      <c r="G8" s="32" t="s">
        <v>166</v>
      </c>
      <c r="H8" s="30"/>
      <c r="I8" s="29"/>
      <c r="J8" s="29"/>
      <c r="K8" s="29" t="s">
        <v>167</v>
      </c>
      <c r="L8" s="29"/>
    </row>
    <row r="9" customFormat="false" ht="16.5" hidden="false" customHeight="false" outlineLevel="0" collapsed="false">
      <c r="A9" s="22" t="s">
        <v>181</v>
      </c>
      <c r="B9" s="24" t="s">
        <v>182</v>
      </c>
      <c r="C9" s="27" t="s">
        <v>183</v>
      </c>
      <c r="D9" s="27" t="s">
        <v>78</v>
      </c>
      <c r="E9" s="27" t="s">
        <v>184</v>
      </c>
      <c r="F9" s="23" t="n">
        <v>46527</v>
      </c>
      <c r="G9" s="32" t="s">
        <v>166</v>
      </c>
      <c r="H9" s="30"/>
      <c r="I9" s="29"/>
      <c r="J9" s="29"/>
      <c r="K9" s="29" t="s">
        <v>167</v>
      </c>
      <c r="L9" s="29"/>
    </row>
    <row r="10" customFormat="false" ht="30.75" hidden="false" customHeight="true" outlineLevel="0" collapsed="false">
      <c r="A10" s="22" t="s">
        <v>185</v>
      </c>
      <c r="B10" s="24" t="s">
        <v>186</v>
      </c>
      <c r="C10" s="25" t="s">
        <v>187</v>
      </c>
      <c r="D10" s="27" t="s">
        <v>87</v>
      </c>
      <c r="E10" s="25" t="s">
        <v>188</v>
      </c>
      <c r="F10" s="23" t="n">
        <v>46527</v>
      </c>
      <c r="G10" s="32" t="s">
        <v>166</v>
      </c>
      <c r="H10" s="30"/>
      <c r="I10" s="29"/>
      <c r="J10" s="29" t="s">
        <v>189</v>
      </c>
      <c r="K10" s="29" t="s">
        <v>167</v>
      </c>
      <c r="L10" s="29"/>
    </row>
    <row r="11" customFormat="false" ht="16.5" hidden="false" customHeight="false" outlineLevel="0" collapsed="false">
      <c r="A11" s="22" t="s">
        <v>190</v>
      </c>
      <c r="B11" s="24" t="s">
        <v>191</v>
      </c>
      <c r="C11" s="27" t="s">
        <v>192</v>
      </c>
      <c r="D11" s="27" t="s">
        <v>87</v>
      </c>
      <c r="E11" s="27" t="s">
        <v>193</v>
      </c>
      <c r="F11" s="23" t="n">
        <v>46527</v>
      </c>
      <c r="G11" s="32" t="s">
        <v>166</v>
      </c>
      <c r="H11" s="30"/>
      <c r="I11" s="29"/>
      <c r="J11" s="29"/>
      <c r="K11" s="29" t="s">
        <v>167</v>
      </c>
      <c r="L11" s="29"/>
    </row>
    <row r="12" customFormat="false" ht="16.5" hidden="false" customHeight="false" outlineLevel="0" collapsed="false">
      <c r="A12" s="22" t="s">
        <v>194</v>
      </c>
      <c r="B12" s="24" t="s">
        <v>195</v>
      </c>
      <c r="C12" s="27" t="s">
        <v>196</v>
      </c>
      <c r="D12" s="27" t="s">
        <v>87</v>
      </c>
      <c r="E12" s="27" t="s">
        <v>197</v>
      </c>
      <c r="F12" s="23" t="n">
        <v>46527</v>
      </c>
      <c r="G12" s="32" t="s">
        <v>166</v>
      </c>
      <c r="H12" s="30"/>
      <c r="I12" s="29"/>
      <c r="J12" s="29"/>
      <c r="K12" s="29" t="s">
        <v>167</v>
      </c>
      <c r="L12" s="29"/>
    </row>
    <row r="13" customFormat="false" ht="16.5" hidden="false" customHeight="false" outlineLevel="0" collapsed="false">
      <c r="A13" s="22" t="s">
        <v>198</v>
      </c>
      <c r="B13" s="24" t="s">
        <v>199</v>
      </c>
      <c r="C13" s="27" t="s">
        <v>200</v>
      </c>
      <c r="D13" s="27" t="s">
        <v>87</v>
      </c>
      <c r="E13" s="27" t="s">
        <v>201</v>
      </c>
      <c r="F13" s="23" t="n">
        <v>46527</v>
      </c>
      <c r="G13" s="32" t="s">
        <v>166</v>
      </c>
      <c r="H13" s="30"/>
      <c r="I13" s="29"/>
      <c r="J13" s="29"/>
      <c r="K13" s="29" t="s">
        <v>167</v>
      </c>
      <c r="L13" s="29"/>
    </row>
    <row r="14" customFormat="false" ht="26.85" hidden="false" customHeight="false" outlineLevel="0" collapsed="false">
      <c r="A14" s="22" t="s">
        <v>202</v>
      </c>
      <c r="B14" s="24" t="s">
        <v>203</v>
      </c>
      <c r="C14" s="27" t="s">
        <v>204</v>
      </c>
      <c r="D14" s="27" t="s">
        <v>205</v>
      </c>
      <c r="E14" s="27" t="s">
        <v>206</v>
      </c>
      <c r="F14" s="23" t="n">
        <v>46527</v>
      </c>
      <c r="G14" s="32" t="s">
        <v>166</v>
      </c>
      <c r="H14" s="30"/>
      <c r="I14" s="29"/>
      <c r="J14" s="29"/>
      <c r="K14" s="29" t="s">
        <v>167</v>
      </c>
      <c r="L14" s="29"/>
    </row>
    <row r="15" customFormat="false" ht="16.5" hidden="false" customHeight="false" outlineLevel="0" collapsed="false">
      <c r="A15" s="22" t="s">
        <v>207</v>
      </c>
      <c r="B15" s="24" t="s">
        <v>208</v>
      </c>
      <c r="C15" s="27" t="s">
        <v>209</v>
      </c>
      <c r="D15" s="27" t="s">
        <v>87</v>
      </c>
      <c r="E15" s="27" t="s">
        <v>210</v>
      </c>
      <c r="F15" s="23" t="n">
        <v>46531</v>
      </c>
      <c r="G15" s="32" t="s">
        <v>166</v>
      </c>
      <c r="H15" s="30"/>
      <c r="I15" s="29"/>
      <c r="J15" s="29"/>
      <c r="K15" s="29" t="s">
        <v>167</v>
      </c>
      <c r="L15" s="29"/>
    </row>
    <row r="16" customFormat="false" ht="26.85" hidden="false" customHeight="false" outlineLevel="0" collapsed="false">
      <c r="A16" s="22" t="s">
        <v>211</v>
      </c>
      <c r="B16" s="24" t="s">
        <v>212</v>
      </c>
      <c r="C16" s="27" t="s">
        <v>213</v>
      </c>
      <c r="D16" s="27" t="s">
        <v>87</v>
      </c>
      <c r="E16" s="27" t="s">
        <v>214</v>
      </c>
      <c r="F16" s="23" t="n">
        <v>46531</v>
      </c>
      <c r="G16" s="32" t="s">
        <v>166</v>
      </c>
      <c r="H16" s="30"/>
      <c r="I16" s="29"/>
      <c r="J16" s="29"/>
      <c r="K16" s="29" t="s">
        <v>167</v>
      </c>
      <c r="L16" s="29"/>
    </row>
    <row r="17" customFormat="false" ht="16.5" hidden="false" customHeight="false" outlineLevel="0" collapsed="false">
      <c r="A17" s="22" t="s">
        <v>215</v>
      </c>
      <c r="B17" s="24" t="s">
        <v>216</v>
      </c>
      <c r="C17" s="27" t="s">
        <v>217</v>
      </c>
      <c r="D17" s="27" t="s">
        <v>205</v>
      </c>
      <c r="E17" s="27" t="s">
        <v>218</v>
      </c>
      <c r="F17" s="23" t="n">
        <v>46531</v>
      </c>
      <c r="G17" s="32" t="s">
        <v>166</v>
      </c>
      <c r="H17" s="30"/>
      <c r="I17" s="29"/>
      <c r="J17" s="29"/>
      <c r="K17" s="29" t="s">
        <v>167</v>
      </c>
      <c r="L17" s="29"/>
    </row>
    <row r="18" customFormat="false" ht="16.5" hidden="false" customHeight="false" outlineLevel="0" collapsed="false">
      <c r="A18" s="22" t="s">
        <v>219</v>
      </c>
      <c r="B18" s="24" t="s">
        <v>220</v>
      </c>
      <c r="C18" s="27" t="s">
        <v>221</v>
      </c>
      <c r="D18" s="27" t="s">
        <v>87</v>
      </c>
      <c r="E18" s="25" t="s">
        <v>222</v>
      </c>
      <c r="F18" s="23" t="n">
        <v>46531</v>
      </c>
      <c r="G18" s="32" t="s">
        <v>166</v>
      </c>
      <c r="H18" s="30"/>
      <c r="I18" s="29"/>
      <c r="J18" s="29"/>
      <c r="K18" s="29" t="s">
        <v>167</v>
      </c>
      <c r="L18" s="29"/>
    </row>
    <row r="19" customFormat="false" ht="16.5" hidden="false" customHeight="false" outlineLevel="0" collapsed="false">
      <c r="A19" s="22" t="s">
        <v>223</v>
      </c>
      <c r="B19" s="24" t="s">
        <v>224</v>
      </c>
      <c r="C19" s="27" t="s">
        <v>225</v>
      </c>
      <c r="D19" s="27" t="s">
        <v>78</v>
      </c>
      <c r="E19" s="27" t="s">
        <v>226</v>
      </c>
      <c r="F19" s="23" t="n">
        <v>46531</v>
      </c>
      <c r="G19" s="32" t="s">
        <v>166</v>
      </c>
      <c r="H19" s="30"/>
      <c r="I19" s="29"/>
      <c r="J19" s="29"/>
      <c r="K19" s="29" t="s">
        <v>167</v>
      </c>
      <c r="L19" s="29"/>
    </row>
    <row r="20" customFormat="false" ht="16.5" hidden="false" customHeight="false" outlineLevel="0" collapsed="false">
      <c r="A20" s="22" t="s">
        <v>227</v>
      </c>
      <c r="B20" s="24" t="s">
        <v>228</v>
      </c>
      <c r="C20" s="27" t="s">
        <v>229</v>
      </c>
      <c r="D20" s="27" t="s">
        <v>78</v>
      </c>
      <c r="E20" s="27" t="s">
        <v>230</v>
      </c>
      <c r="F20" s="23" t="n">
        <v>46531</v>
      </c>
      <c r="G20" s="32" t="s">
        <v>166</v>
      </c>
      <c r="H20" s="30"/>
      <c r="I20" s="29"/>
      <c r="J20" s="29"/>
      <c r="K20" s="29" t="s">
        <v>167</v>
      </c>
      <c r="L20" s="29"/>
    </row>
    <row r="21" customFormat="false" ht="26.85" hidden="false" customHeight="false" outlineLevel="0" collapsed="false">
      <c r="A21" s="22" t="s">
        <v>231</v>
      </c>
      <c r="B21" s="24" t="s">
        <v>232</v>
      </c>
      <c r="C21" s="27" t="s">
        <v>233</v>
      </c>
      <c r="D21" s="27" t="s">
        <v>89</v>
      </c>
      <c r="E21" s="27" t="s">
        <v>234</v>
      </c>
      <c r="F21" s="23" t="n">
        <v>46531</v>
      </c>
      <c r="G21" s="32" t="s">
        <v>166</v>
      </c>
      <c r="H21" s="30"/>
      <c r="I21" s="29"/>
      <c r="J21" s="29"/>
      <c r="K21" s="29" t="s">
        <v>167</v>
      </c>
      <c r="L21" s="29"/>
    </row>
    <row r="22" customFormat="false" ht="16.5" hidden="false" customHeight="false" outlineLevel="0" collapsed="false">
      <c r="A22" s="22" t="s">
        <v>235</v>
      </c>
      <c r="B22" s="24" t="s">
        <v>236</v>
      </c>
      <c r="C22" s="27" t="s">
        <v>237</v>
      </c>
      <c r="D22" s="27" t="s">
        <v>89</v>
      </c>
      <c r="E22" s="27" t="s">
        <v>238</v>
      </c>
      <c r="F22" s="23" t="n">
        <v>46531</v>
      </c>
      <c r="G22" s="32" t="s">
        <v>166</v>
      </c>
      <c r="H22" s="30"/>
      <c r="I22" s="29"/>
      <c r="J22" s="29"/>
      <c r="K22" s="29" t="s">
        <v>167</v>
      </c>
      <c r="L22" s="29"/>
    </row>
    <row r="23" customFormat="false" ht="26.85" hidden="false" customHeight="false" outlineLevel="0" collapsed="false">
      <c r="A23" s="22" t="s">
        <v>239</v>
      </c>
      <c r="B23" s="24" t="s">
        <v>240</v>
      </c>
      <c r="C23" s="27" t="s">
        <v>241</v>
      </c>
      <c r="D23" s="27" t="s">
        <v>89</v>
      </c>
      <c r="E23" s="27" t="s">
        <v>242</v>
      </c>
      <c r="F23" s="23" t="n">
        <v>46535</v>
      </c>
      <c r="G23" s="32" t="s">
        <v>166</v>
      </c>
      <c r="H23" s="30"/>
      <c r="I23" s="29"/>
      <c r="J23" s="29"/>
      <c r="K23" s="29" t="s">
        <v>167</v>
      </c>
      <c r="L23" s="29"/>
    </row>
    <row r="24" customFormat="false" ht="16.5" hidden="false" customHeight="false" outlineLevel="0" collapsed="false">
      <c r="A24" s="22" t="s">
        <v>243</v>
      </c>
      <c r="B24" s="24" t="s">
        <v>244</v>
      </c>
      <c r="C24" s="27" t="s">
        <v>245</v>
      </c>
      <c r="D24" s="27" t="s">
        <v>89</v>
      </c>
      <c r="E24" s="25" t="s">
        <v>246</v>
      </c>
      <c r="F24" s="23" t="n">
        <v>46531</v>
      </c>
      <c r="G24" s="32" t="s">
        <v>166</v>
      </c>
      <c r="H24" s="30"/>
      <c r="I24" s="29"/>
      <c r="J24" s="29"/>
      <c r="K24" s="29" t="s">
        <v>167</v>
      </c>
      <c r="L24" s="29"/>
    </row>
    <row r="25" customFormat="false" ht="16.5" hidden="false" customHeight="false" outlineLevel="0" collapsed="false">
      <c r="A25" s="22"/>
      <c r="B25" s="22"/>
      <c r="C25" s="25"/>
      <c r="D25" s="25"/>
      <c r="E25" s="25"/>
      <c r="F25" s="23"/>
      <c r="G25" s="23"/>
      <c r="H25" s="30"/>
      <c r="I25" s="29"/>
      <c r="J25" s="29"/>
      <c r="K25" s="29"/>
      <c r="L25" s="29"/>
    </row>
    <row r="26" customFormat="false" ht="16.5" hidden="false" customHeight="false" outlineLevel="0" collapsed="false">
      <c r="A26" s="22"/>
      <c r="B26" s="22"/>
      <c r="C26" s="25"/>
      <c r="D26" s="25"/>
      <c r="E26" s="25"/>
      <c r="F26" s="23"/>
      <c r="G26" s="23"/>
      <c r="H26" s="30"/>
      <c r="I26" s="29"/>
      <c r="J26" s="29"/>
      <c r="K26" s="29"/>
      <c r="L26" s="29"/>
    </row>
    <row r="27" customFormat="false" ht="16.5" hidden="false" customHeight="false" outlineLevel="0" collapsed="false">
      <c r="A27" s="22"/>
      <c r="B27" s="22"/>
      <c r="C27" s="25"/>
      <c r="D27" s="25"/>
      <c r="E27" s="25"/>
      <c r="F27" s="23"/>
      <c r="G27" s="23"/>
      <c r="H27" s="30"/>
      <c r="I27" s="29"/>
      <c r="J27" s="29"/>
      <c r="K27" s="29"/>
      <c r="L27" s="29"/>
    </row>
    <row r="28" customFormat="false" ht="16.5" hidden="false" customHeight="false" outlineLevel="0" collapsed="false">
      <c r="A28" s="22"/>
      <c r="B28" s="22"/>
      <c r="C28" s="25"/>
      <c r="D28" s="25"/>
      <c r="E28" s="25"/>
      <c r="F28" s="23"/>
      <c r="G28" s="23"/>
      <c r="H28" s="30"/>
      <c r="I28" s="29"/>
      <c r="J28" s="29"/>
      <c r="K28" s="29"/>
      <c r="L28" s="29"/>
    </row>
    <row r="29" customFormat="false" ht="16.5" hidden="false" customHeight="false" outlineLevel="0" collapsed="false">
      <c r="A29" s="22"/>
      <c r="B29" s="22"/>
      <c r="C29" s="25"/>
      <c r="D29" s="25"/>
      <c r="E29" s="25"/>
      <c r="F29" s="23"/>
      <c r="G29" s="23"/>
      <c r="H29" s="30"/>
      <c r="I29" s="29"/>
      <c r="J29" s="29"/>
      <c r="K29" s="29"/>
      <c r="L29" s="29"/>
    </row>
    <row r="30" customFormat="false" ht="16.5" hidden="false" customHeight="false" outlineLevel="0" collapsed="false">
      <c r="A30" s="22"/>
      <c r="B30" s="22"/>
      <c r="C30" s="25"/>
      <c r="D30" s="25"/>
      <c r="E30" s="25"/>
      <c r="F30" s="23"/>
      <c r="G30" s="23"/>
      <c r="H30" s="30"/>
      <c r="I30" s="29"/>
      <c r="J30" s="29"/>
      <c r="K30" s="29"/>
      <c r="L30" s="29"/>
    </row>
    <row r="31" customFormat="false" ht="16.5" hidden="false" customHeight="false" outlineLevel="0" collapsed="false">
      <c r="A31" s="22"/>
      <c r="B31" s="22"/>
      <c r="C31" s="25"/>
      <c r="D31" s="25"/>
      <c r="E31" s="25"/>
      <c r="F31" s="23"/>
      <c r="G31" s="23"/>
      <c r="H31" s="30"/>
      <c r="I31" s="29"/>
      <c r="J31" s="29"/>
      <c r="K31" s="29"/>
      <c r="L31" s="29"/>
    </row>
    <row r="32" customFormat="false" ht="16.5" hidden="false" customHeight="false" outlineLevel="0" collapsed="false">
      <c r="A32" s="22"/>
      <c r="B32" s="22"/>
      <c r="C32" s="25"/>
      <c r="D32" s="25"/>
      <c r="E32" s="25"/>
      <c r="F32" s="23"/>
      <c r="G32" s="23"/>
      <c r="H32" s="30"/>
      <c r="I32" s="29"/>
      <c r="J32" s="29"/>
      <c r="K32" s="29"/>
      <c r="L32" s="29"/>
    </row>
    <row r="33" customFormat="false" ht="16.5" hidden="false" customHeight="false" outlineLevel="0" collapsed="false">
      <c r="A33" s="22"/>
      <c r="B33" s="22"/>
      <c r="C33" s="25"/>
      <c r="D33" s="25"/>
      <c r="E33" s="25"/>
      <c r="F33" s="23"/>
      <c r="G33" s="23"/>
      <c r="H33" s="30"/>
      <c r="I33" s="29"/>
      <c r="J33" s="29"/>
      <c r="K33" s="29"/>
      <c r="L33" s="29"/>
    </row>
    <row r="34" customFormat="false" ht="16.5" hidden="false" customHeight="false" outlineLevel="0" collapsed="false">
      <c r="A34" s="22"/>
      <c r="B34" s="22"/>
      <c r="C34" s="25"/>
      <c r="D34" s="25"/>
      <c r="E34" s="25"/>
      <c r="F34" s="23"/>
      <c r="G34" s="23"/>
      <c r="H34" s="30"/>
      <c r="I34" s="29"/>
      <c r="J34" s="29"/>
      <c r="K34" s="29"/>
      <c r="L34" s="29"/>
    </row>
  </sheetData>
  <dataValidations count="1">
    <dataValidation allowBlank="false" errorStyle="stop" operator="between" showDropDown="false" showErrorMessage="false" showInputMessage="false" sqref="K5:K34" type="list">
      <formula1>"未就绪,准备中,已就绪,阻塞,已豁免"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3" min="1" style="1" width="16.35"/>
    <col collapsed="false" customWidth="true" hidden="false" outlineLevel="0" max="4" min="4" style="1" width="27.53"/>
    <col collapsed="false" customWidth="true" hidden="false" outlineLevel="0" max="7" min="5" style="1" width="15.49"/>
    <col collapsed="false" customWidth="true" hidden="false" outlineLevel="0" max="11" min="8" style="1" width="12.91"/>
    <col collapsed="false" customWidth="true" hidden="false" outlineLevel="0" max="14" min="12" style="1" width="27.53"/>
    <col collapsed="false" customWidth="true" hidden="false" outlineLevel="0" max="16" min="15" style="1" width="17.21"/>
  </cols>
  <sheetData>
    <row r="1" customFormat="false" ht="24.75" hidden="false" customHeight="true" outlineLevel="0" collapsed="false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6.5" hidden="false" customHeight="false" outlineLevel="0" collapsed="false">
      <c r="A2" s="18" t="s">
        <v>247</v>
      </c>
    </row>
    <row r="4" customFormat="false" ht="31.5" hidden="false" customHeight="true" outlineLevel="0" collapsed="false">
      <c r="A4" s="21" t="s">
        <v>248</v>
      </c>
      <c r="B4" s="21" t="s">
        <v>249</v>
      </c>
      <c r="C4" s="21" t="s">
        <v>250</v>
      </c>
      <c r="D4" s="21" t="s">
        <v>251</v>
      </c>
      <c r="E4" s="21" t="s">
        <v>252</v>
      </c>
      <c r="F4" s="21" t="s">
        <v>72</v>
      </c>
      <c r="G4" s="21" t="s">
        <v>253</v>
      </c>
      <c r="H4" s="21" t="s">
        <v>254</v>
      </c>
      <c r="I4" s="21" t="s">
        <v>255</v>
      </c>
      <c r="J4" s="21" t="s">
        <v>256</v>
      </c>
      <c r="K4" s="21" t="s">
        <v>257</v>
      </c>
      <c r="L4" s="21" t="s">
        <v>258</v>
      </c>
      <c r="M4" s="21" t="s">
        <v>259</v>
      </c>
      <c r="N4" s="21" t="s">
        <v>260</v>
      </c>
      <c r="O4" s="21" t="s">
        <v>75</v>
      </c>
      <c r="P4" s="21" t="s">
        <v>76</v>
      </c>
    </row>
    <row r="5" customFormat="false" ht="26.85" hidden="false" customHeight="false" outlineLevel="0" collapsed="false">
      <c r="A5" s="22" t="s">
        <v>261</v>
      </c>
      <c r="B5" s="24" t="s">
        <v>262</v>
      </c>
      <c r="C5" s="24" t="s">
        <v>263</v>
      </c>
      <c r="D5" s="27" t="s">
        <v>264</v>
      </c>
      <c r="E5" s="27" t="s">
        <v>265</v>
      </c>
      <c r="F5" s="24" t="s">
        <v>78</v>
      </c>
      <c r="G5" s="23" t="n">
        <v>46524</v>
      </c>
      <c r="H5" s="33"/>
      <c r="I5" s="33"/>
      <c r="J5" s="33"/>
      <c r="K5" s="34" t="str">
        <f aca="false">IF(OR(H5="",I5=""),"",IF(H5=0,"n.a.",J5/H5))</f>
        <v/>
      </c>
      <c r="L5" s="28" t="s">
        <v>266</v>
      </c>
      <c r="M5" s="28" t="s">
        <v>267</v>
      </c>
      <c r="N5" s="31"/>
      <c r="O5" s="29" t="s">
        <v>81</v>
      </c>
      <c r="P5" s="29"/>
    </row>
    <row r="6" customFormat="false" ht="26.85" hidden="false" customHeight="false" outlineLevel="0" collapsed="false">
      <c r="A6" s="22" t="s">
        <v>268</v>
      </c>
      <c r="B6" s="24" t="s">
        <v>269</v>
      </c>
      <c r="C6" s="24" t="s">
        <v>270</v>
      </c>
      <c r="D6" s="27" t="s">
        <v>271</v>
      </c>
      <c r="E6" s="27" t="s">
        <v>265</v>
      </c>
      <c r="F6" s="24" t="s">
        <v>78</v>
      </c>
      <c r="G6" s="23" t="n">
        <v>46524</v>
      </c>
      <c r="H6" s="33"/>
      <c r="I6" s="33"/>
      <c r="J6" s="33"/>
      <c r="K6" s="34" t="str">
        <f aca="false">IF(OR(H6="",I6=""),"",IF(H6=0,"n.a.",J6/H6))</f>
        <v/>
      </c>
      <c r="L6" s="28" t="s">
        <v>272</v>
      </c>
      <c r="M6" s="28" t="s">
        <v>267</v>
      </c>
      <c r="N6" s="31"/>
      <c r="O6" s="29" t="s">
        <v>81</v>
      </c>
      <c r="P6" s="29"/>
    </row>
    <row r="7" customFormat="false" ht="16.5" hidden="false" customHeight="false" outlineLevel="0" collapsed="false">
      <c r="A7" s="22" t="s">
        <v>273</v>
      </c>
      <c r="B7" s="24" t="s">
        <v>274</v>
      </c>
      <c r="C7" s="24" t="s">
        <v>275</v>
      </c>
      <c r="D7" s="27" t="s">
        <v>276</v>
      </c>
      <c r="E7" s="27" t="s">
        <v>265</v>
      </c>
      <c r="F7" s="24" t="s">
        <v>78</v>
      </c>
      <c r="G7" s="23" t="n">
        <v>46525</v>
      </c>
      <c r="H7" s="33"/>
      <c r="I7" s="33"/>
      <c r="J7" s="33"/>
      <c r="K7" s="34" t="str">
        <f aca="false">IF(OR(H7="",I7=""),"",IF(H7=0,"n.a.",J7/H7))</f>
        <v/>
      </c>
      <c r="L7" s="28" t="s">
        <v>277</v>
      </c>
      <c r="M7" s="28" t="s">
        <v>267</v>
      </c>
      <c r="N7" s="31"/>
      <c r="O7" s="29" t="s">
        <v>278</v>
      </c>
      <c r="P7" s="29"/>
    </row>
    <row r="8" customFormat="false" ht="26.85" hidden="false" customHeight="false" outlineLevel="0" collapsed="false">
      <c r="A8" s="22" t="s">
        <v>279</v>
      </c>
      <c r="B8" s="24" t="s">
        <v>280</v>
      </c>
      <c r="C8" s="24" t="s">
        <v>281</v>
      </c>
      <c r="D8" s="27" t="s">
        <v>282</v>
      </c>
      <c r="E8" s="27" t="s">
        <v>265</v>
      </c>
      <c r="F8" s="24" t="s">
        <v>78</v>
      </c>
      <c r="G8" s="23" t="n">
        <v>46526</v>
      </c>
      <c r="H8" s="33"/>
      <c r="I8" s="33"/>
      <c r="J8" s="33"/>
      <c r="K8" s="34" t="str">
        <f aca="false">IF(OR(H8="",I8=""),"",IF(H8=0,"n.a.",J8/H8))</f>
        <v/>
      </c>
      <c r="L8" s="28" t="s">
        <v>283</v>
      </c>
      <c r="M8" s="28" t="s">
        <v>267</v>
      </c>
      <c r="N8" s="31"/>
      <c r="O8" s="29" t="s">
        <v>284</v>
      </c>
      <c r="P8" s="29"/>
    </row>
    <row r="9" customFormat="false" ht="30.75" hidden="false" customHeight="true" outlineLevel="0" collapsed="false">
      <c r="A9" s="22" t="s">
        <v>285</v>
      </c>
      <c r="B9" s="24" t="s">
        <v>286</v>
      </c>
      <c r="C9" s="24" t="s">
        <v>287</v>
      </c>
      <c r="D9" s="27" t="s">
        <v>288</v>
      </c>
      <c r="E9" s="27" t="s">
        <v>265</v>
      </c>
      <c r="F9" s="24" t="s">
        <v>87</v>
      </c>
      <c r="G9" s="23" t="n">
        <v>46526</v>
      </c>
      <c r="H9" s="33"/>
      <c r="I9" s="33"/>
      <c r="J9" s="33"/>
      <c r="K9" s="34" t="str">
        <f aca="false">IF(OR(H9="",I9=""),"",IF(H9=0,"n.a.",J9/H9))</f>
        <v/>
      </c>
      <c r="L9" s="28" t="s">
        <v>289</v>
      </c>
      <c r="M9" s="28" t="s">
        <v>267</v>
      </c>
      <c r="N9" s="31"/>
      <c r="O9" s="29" t="s">
        <v>290</v>
      </c>
      <c r="P9" s="29"/>
    </row>
    <row r="10" customFormat="false" ht="16.5" hidden="false" customHeight="false" outlineLevel="0" collapsed="false">
      <c r="A10" s="22" t="s">
        <v>291</v>
      </c>
      <c r="B10" s="24" t="s">
        <v>292</v>
      </c>
      <c r="C10" s="24" t="s">
        <v>293</v>
      </c>
      <c r="D10" s="27" t="s">
        <v>294</v>
      </c>
      <c r="E10" s="27" t="s">
        <v>295</v>
      </c>
      <c r="F10" s="24" t="s">
        <v>78</v>
      </c>
      <c r="G10" s="23" t="n">
        <v>46527</v>
      </c>
      <c r="H10" s="33"/>
      <c r="I10" s="33"/>
      <c r="J10" s="33"/>
      <c r="K10" s="34" t="str">
        <f aca="false">IF(OR(H10="",I10=""),"",IF(H10=0,"n.a.",J10/H10))</f>
        <v/>
      </c>
      <c r="L10" s="28" t="s">
        <v>296</v>
      </c>
      <c r="M10" s="28" t="s">
        <v>267</v>
      </c>
      <c r="N10" s="31"/>
      <c r="O10" s="29" t="s">
        <v>81</v>
      </c>
      <c r="P10" s="29"/>
    </row>
    <row r="11" customFormat="false" ht="16.5" hidden="false" customHeight="false" outlineLevel="0" collapsed="false">
      <c r="A11" s="22"/>
      <c r="B11" s="22"/>
      <c r="C11" s="22"/>
      <c r="D11" s="25"/>
      <c r="E11" s="25"/>
      <c r="F11" s="22"/>
      <c r="G11" s="23"/>
      <c r="H11" s="33"/>
      <c r="I11" s="33"/>
      <c r="J11" s="33"/>
      <c r="K11" s="34"/>
      <c r="L11" s="31"/>
      <c r="M11" s="31"/>
      <c r="N11" s="31"/>
      <c r="O11" s="29"/>
      <c r="P11" s="29"/>
    </row>
    <row r="12" customFormat="false" ht="16.5" hidden="false" customHeight="false" outlineLevel="0" collapsed="false">
      <c r="A12" s="22"/>
      <c r="B12" s="22"/>
      <c r="C12" s="22"/>
      <c r="D12" s="25"/>
      <c r="E12" s="25"/>
      <c r="F12" s="22"/>
      <c r="G12" s="23"/>
      <c r="H12" s="33"/>
      <c r="I12" s="33"/>
      <c r="J12" s="33"/>
      <c r="K12" s="34"/>
      <c r="L12" s="31"/>
      <c r="M12" s="31"/>
      <c r="N12" s="31"/>
      <c r="O12" s="29"/>
      <c r="P12" s="29"/>
    </row>
    <row r="13" customFormat="false" ht="16.5" hidden="false" customHeight="false" outlineLevel="0" collapsed="false">
      <c r="A13" s="22"/>
      <c r="B13" s="22"/>
      <c r="C13" s="22"/>
      <c r="D13" s="25"/>
      <c r="E13" s="25"/>
      <c r="F13" s="22"/>
      <c r="G13" s="23"/>
      <c r="H13" s="33"/>
      <c r="I13" s="33"/>
      <c r="J13" s="33"/>
      <c r="K13" s="34"/>
      <c r="L13" s="31"/>
      <c r="M13" s="31"/>
      <c r="N13" s="31"/>
      <c r="O13" s="29"/>
      <c r="P13" s="29"/>
    </row>
    <row r="14" customFormat="false" ht="16.5" hidden="false" customHeight="false" outlineLevel="0" collapsed="false">
      <c r="A14" s="22"/>
      <c r="B14" s="22"/>
      <c r="C14" s="22"/>
      <c r="D14" s="25"/>
      <c r="E14" s="25"/>
      <c r="F14" s="22"/>
      <c r="G14" s="23"/>
      <c r="H14" s="33"/>
      <c r="I14" s="33"/>
      <c r="J14" s="33"/>
      <c r="K14" s="34"/>
      <c r="L14" s="31"/>
      <c r="M14" s="31"/>
      <c r="N14" s="31"/>
      <c r="O14" s="29"/>
      <c r="P14" s="29"/>
    </row>
    <row r="15" customFormat="false" ht="16.5" hidden="false" customHeight="false" outlineLevel="0" collapsed="false">
      <c r="A15" s="22"/>
      <c r="B15" s="22"/>
      <c r="C15" s="22"/>
      <c r="D15" s="25"/>
      <c r="E15" s="25"/>
      <c r="F15" s="22"/>
      <c r="G15" s="23"/>
      <c r="H15" s="33"/>
      <c r="I15" s="33"/>
      <c r="J15" s="33"/>
      <c r="K15" s="34"/>
      <c r="L15" s="31"/>
      <c r="M15" s="31"/>
      <c r="N15" s="31"/>
      <c r="O15" s="29"/>
      <c r="P15" s="29"/>
    </row>
    <row r="16" customFormat="false" ht="16.5" hidden="false" customHeight="false" outlineLevel="0" collapsed="false">
      <c r="A16" s="22"/>
      <c r="B16" s="22"/>
      <c r="C16" s="22"/>
      <c r="D16" s="25"/>
      <c r="E16" s="25"/>
      <c r="F16" s="22"/>
      <c r="G16" s="23"/>
      <c r="H16" s="33"/>
      <c r="I16" s="33"/>
      <c r="J16" s="33"/>
      <c r="K16" s="34"/>
      <c r="L16" s="31"/>
      <c r="M16" s="31"/>
      <c r="N16" s="31"/>
      <c r="O16" s="29"/>
      <c r="P16" s="29"/>
    </row>
    <row r="17" customFormat="false" ht="16.5" hidden="false" customHeight="false" outlineLevel="0" collapsed="false">
      <c r="A17" s="22"/>
      <c r="B17" s="22"/>
      <c r="C17" s="22"/>
      <c r="D17" s="25"/>
      <c r="E17" s="25"/>
      <c r="F17" s="22"/>
      <c r="G17" s="23"/>
      <c r="H17" s="33"/>
      <c r="I17" s="33"/>
      <c r="J17" s="33"/>
      <c r="K17" s="34"/>
      <c r="L17" s="31"/>
      <c r="M17" s="31"/>
      <c r="N17" s="31"/>
      <c r="O17" s="29"/>
      <c r="P17" s="29"/>
    </row>
    <row r="18" customFormat="false" ht="16.5" hidden="false" customHeight="false" outlineLevel="0" collapsed="false">
      <c r="A18" s="22"/>
      <c r="B18" s="22"/>
      <c r="C18" s="22"/>
      <c r="D18" s="25"/>
      <c r="E18" s="25"/>
      <c r="F18" s="22"/>
      <c r="G18" s="23"/>
      <c r="H18" s="33"/>
      <c r="I18" s="33"/>
      <c r="J18" s="33"/>
      <c r="K18" s="34"/>
      <c r="L18" s="31"/>
      <c r="M18" s="31"/>
      <c r="N18" s="31"/>
      <c r="O18" s="29"/>
      <c r="P18" s="29"/>
    </row>
    <row r="19" customFormat="false" ht="16.5" hidden="false" customHeight="false" outlineLevel="0" collapsed="false">
      <c r="A19" s="22"/>
      <c r="B19" s="22"/>
      <c r="C19" s="22"/>
      <c r="D19" s="25"/>
      <c r="E19" s="25"/>
      <c r="F19" s="22"/>
      <c r="G19" s="23"/>
      <c r="H19" s="33"/>
      <c r="I19" s="33"/>
      <c r="J19" s="33"/>
      <c r="K19" s="34"/>
      <c r="L19" s="31"/>
      <c r="M19" s="31"/>
      <c r="N19" s="31"/>
      <c r="O19" s="29"/>
      <c r="P19" s="29"/>
    </row>
    <row r="20" customFormat="false" ht="16.5" hidden="false" customHeight="false" outlineLevel="0" collapsed="false">
      <c r="A20" s="22"/>
      <c r="B20" s="22"/>
      <c r="C20" s="22"/>
      <c r="D20" s="25"/>
      <c r="E20" s="25"/>
      <c r="F20" s="22"/>
      <c r="G20" s="23"/>
      <c r="H20" s="33"/>
      <c r="I20" s="33"/>
      <c r="J20" s="33"/>
      <c r="K20" s="34"/>
      <c r="L20" s="31"/>
      <c r="M20" s="31"/>
      <c r="N20" s="31"/>
      <c r="O20" s="29"/>
      <c r="P20" s="29"/>
    </row>
    <row r="21" customFormat="false" ht="16.5" hidden="false" customHeight="false" outlineLevel="0" collapsed="false">
      <c r="A21" s="22"/>
      <c r="B21" s="22"/>
      <c r="C21" s="22"/>
      <c r="D21" s="25"/>
      <c r="E21" s="25"/>
      <c r="F21" s="22"/>
      <c r="G21" s="23"/>
      <c r="H21" s="33"/>
      <c r="I21" s="33"/>
      <c r="J21" s="33"/>
      <c r="K21" s="34"/>
      <c r="L21" s="31"/>
      <c r="M21" s="31"/>
      <c r="N21" s="31"/>
      <c r="O21" s="29"/>
      <c r="P21" s="29"/>
    </row>
    <row r="22" customFormat="false" ht="16.5" hidden="false" customHeight="false" outlineLevel="0" collapsed="false">
      <c r="A22" s="22"/>
      <c r="B22" s="22"/>
      <c r="C22" s="22"/>
      <c r="D22" s="25"/>
      <c r="E22" s="25"/>
      <c r="F22" s="22"/>
      <c r="G22" s="23"/>
      <c r="H22" s="33"/>
      <c r="I22" s="33"/>
      <c r="J22" s="33"/>
      <c r="K22" s="34"/>
      <c r="L22" s="31"/>
      <c r="M22" s="31"/>
      <c r="N22" s="31"/>
      <c r="O22" s="29"/>
      <c r="P22" s="29"/>
    </row>
    <row r="23" customFormat="false" ht="16.5" hidden="false" customHeight="false" outlineLevel="0" collapsed="false">
      <c r="A23" s="22"/>
      <c r="B23" s="22"/>
      <c r="C23" s="22"/>
      <c r="D23" s="25"/>
      <c r="E23" s="25"/>
      <c r="F23" s="22"/>
      <c r="G23" s="23"/>
      <c r="H23" s="33"/>
      <c r="I23" s="33"/>
      <c r="J23" s="33"/>
      <c r="K23" s="34"/>
      <c r="L23" s="31"/>
      <c r="M23" s="31"/>
      <c r="N23" s="31"/>
      <c r="O23" s="29"/>
      <c r="P23" s="29"/>
    </row>
    <row r="24" customFormat="false" ht="16.5" hidden="false" customHeight="false" outlineLevel="0" collapsed="false">
      <c r="A24" s="22"/>
      <c r="B24" s="22"/>
      <c r="C24" s="22"/>
      <c r="D24" s="25"/>
      <c r="E24" s="25"/>
      <c r="F24" s="22"/>
      <c r="G24" s="23"/>
      <c r="H24" s="33"/>
      <c r="I24" s="33"/>
      <c r="J24" s="33"/>
      <c r="K24" s="34"/>
      <c r="L24" s="31"/>
      <c r="M24" s="31"/>
      <c r="N24" s="31"/>
      <c r="O24" s="29"/>
      <c r="P24" s="29"/>
    </row>
    <row r="25" customFormat="false" ht="16.5" hidden="false" customHeight="false" outlineLevel="0" collapsed="false">
      <c r="A25" s="22"/>
      <c r="B25" s="22"/>
      <c r="C25" s="22"/>
      <c r="D25" s="25"/>
      <c r="E25" s="25"/>
      <c r="F25" s="22"/>
      <c r="G25" s="23"/>
      <c r="H25" s="33"/>
      <c r="I25" s="33"/>
      <c r="J25" s="33"/>
      <c r="K25" s="34"/>
      <c r="L25" s="31"/>
      <c r="M25" s="31"/>
      <c r="N25" s="31"/>
      <c r="O25" s="29"/>
      <c r="P25" s="29"/>
    </row>
    <row r="26" customFormat="false" ht="16.5" hidden="false" customHeight="false" outlineLevel="0" collapsed="false">
      <c r="A26" s="22"/>
      <c r="B26" s="22"/>
      <c r="C26" s="22"/>
      <c r="D26" s="25"/>
      <c r="E26" s="25"/>
      <c r="F26" s="22"/>
      <c r="G26" s="23"/>
      <c r="H26" s="33"/>
      <c r="I26" s="33"/>
      <c r="J26" s="33"/>
      <c r="K26" s="34"/>
      <c r="L26" s="31"/>
      <c r="M26" s="31"/>
      <c r="N26" s="31"/>
      <c r="O26" s="29"/>
      <c r="P26" s="29"/>
    </row>
    <row r="27" customFormat="false" ht="16.5" hidden="false" customHeight="false" outlineLevel="0" collapsed="false">
      <c r="A27" s="22"/>
      <c r="B27" s="22"/>
      <c r="C27" s="22"/>
      <c r="D27" s="25"/>
      <c r="E27" s="25"/>
      <c r="F27" s="22"/>
      <c r="G27" s="23"/>
      <c r="H27" s="33"/>
      <c r="I27" s="33"/>
      <c r="J27" s="33"/>
      <c r="K27" s="34"/>
      <c r="L27" s="31"/>
      <c r="M27" s="31"/>
      <c r="N27" s="31"/>
      <c r="O27" s="29"/>
      <c r="P27" s="29"/>
    </row>
    <row r="28" customFormat="false" ht="16.5" hidden="false" customHeight="false" outlineLevel="0" collapsed="false">
      <c r="A28" s="22"/>
      <c r="B28" s="22"/>
      <c r="C28" s="22"/>
      <c r="D28" s="25"/>
      <c r="E28" s="25"/>
      <c r="F28" s="22"/>
      <c r="G28" s="23"/>
      <c r="H28" s="33"/>
      <c r="I28" s="33"/>
      <c r="J28" s="33"/>
      <c r="K28" s="34"/>
      <c r="L28" s="31"/>
      <c r="M28" s="31"/>
      <c r="N28" s="31"/>
      <c r="O28" s="29"/>
      <c r="P28" s="29"/>
    </row>
    <row r="29" customFormat="false" ht="16.5" hidden="false" customHeight="false" outlineLevel="0" collapsed="false">
      <c r="A29" s="22"/>
      <c r="B29" s="22"/>
      <c r="C29" s="22"/>
      <c r="D29" s="25"/>
      <c r="E29" s="25"/>
      <c r="F29" s="22"/>
      <c r="G29" s="23"/>
      <c r="H29" s="33"/>
      <c r="I29" s="33"/>
      <c r="J29" s="33"/>
      <c r="K29" s="34"/>
      <c r="L29" s="31"/>
      <c r="M29" s="31"/>
      <c r="N29" s="31"/>
      <c r="O29" s="29"/>
      <c r="P29" s="29"/>
    </row>
    <row r="30" customFormat="false" ht="16.5" hidden="false" customHeight="false" outlineLevel="0" collapsed="false">
      <c r="A30" s="22"/>
      <c r="B30" s="22"/>
      <c r="C30" s="22"/>
      <c r="D30" s="25"/>
      <c r="E30" s="25"/>
      <c r="F30" s="22"/>
      <c r="G30" s="23"/>
      <c r="H30" s="33"/>
      <c r="I30" s="33"/>
      <c r="J30" s="33"/>
      <c r="K30" s="34"/>
      <c r="L30" s="31"/>
      <c r="M30" s="31"/>
      <c r="N30" s="31"/>
      <c r="O30" s="29"/>
      <c r="P30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2" min="1" style="1" width="12.91"/>
    <col collapsed="false" customWidth="true" hidden="false" outlineLevel="0" max="3" min="3" style="1" width="30.98"/>
    <col collapsed="false" customWidth="true" hidden="false" outlineLevel="0" max="6" min="4" style="1" width="16.35"/>
    <col collapsed="false" customWidth="true" hidden="false" outlineLevel="0" max="10" min="7" style="1" width="13.77"/>
    <col collapsed="false" customWidth="true" hidden="false" outlineLevel="0" max="12" min="11" style="1" width="32.7"/>
    <col collapsed="false" customWidth="true" hidden="false" outlineLevel="0" max="16" min="13" style="1" width="15.49"/>
  </cols>
  <sheetData>
    <row r="1" customFormat="false" ht="24.75" hidden="false" customHeight="true" outlineLevel="0" collapsed="false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6.5" hidden="false" customHeight="false" outlineLevel="0" collapsed="false">
      <c r="A2" s="18" t="s">
        <v>297</v>
      </c>
    </row>
    <row r="4" customFormat="false" ht="31.5" hidden="false" customHeight="true" outlineLevel="0" collapsed="false">
      <c r="A4" s="21" t="s">
        <v>298</v>
      </c>
      <c r="B4" s="21" t="s">
        <v>299</v>
      </c>
      <c r="C4" s="21" t="s">
        <v>300</v>
      </c>
      <c r="D4" s="21" t="s">
        <v>301</v>
      </c>
      <c r="E4" s="21" t="s">
        <v>72</v>
      </c>
      <c r="F4" s="21" t="s">
        <v>302</v>
      </c>
      <c r="G4" s="21" t="s">
        <v>303</v>
      </c>
      <c r="H4" s="21" t="s">
        <v>304</v>
      </c>
      <c r="I4" s="21" t="s">
        <v>305</v>
      </c>
      <c r="J4" s="21" t="s">
        <v>306</v>
      </c>
      <c r="K4" s="21" t="s">
        <v>307</v>
      </c>
      <c r="L4" s="21" t="s">
        <v>308</v>
      </c>
      <c r="M4" s="21" t="s">
        <v>112</v>
      </c>
      <c r="N4" s="21" t="s">
        <v>309</v>
      </c>
      <c r="O4" s="21" t="s">
        <v>76</v>
      </c>
      <c r="P4" s="21" t="s">
        <v>310</v>
      </c>
    </row>
    <row r="5" customFormat="false" ht="16.5" hidden="false" customHeight="false" outlineLevel="0" collapsed="false">
      <c r="A5" s="22" t="s">
        <v>311</v>
      </c>
      <c r="B5" s="24" t="s">
        <v>312</v>
      </c>
      <c r="C5" s="27" t="s">
        <v>313</v>
      </c>
      <c r="D5" s="25"/>
      <c r="E5" s="24" t="s">
        <v>95</v>
      </c>
      <c r="F5" s="24" t="s">
        <v>104</v>
      </c>
      <c r="G5" s="23" t="n">
        <v>46535</v>
      </c>
      <c r="H5" s="23" t="n">
        <v>46535</v>
      </c>
      <c r="I5" s="30"/>
      <c r="J5" s="30"/>
      <c r="K5" s="28" t="s">
        <v>314</v>
      </c>
      <c r="L5" s="28" t="s">
        <v>315</v>
      </c>
      <c r="M5" s="29" t="s">
        <v>144</v>
      </c>
      <c r="N5" s="29"/>
      <c r="O5" s="29"/>
      <c r="P5" s="29"/>
    </row>
    <row r="6" customFormat="false" ht="16.5" hidden="false" customHeight="false" outlineLevel="0" collapsed="false">
      <c r="A6" s="22" t="s">
        <v>316</v>
      </c>
      <c r="B6" s="24" t="s">
        <v>312</v>
      </c>
      <c r="C6" s="27" t="s">
        <v>317</v>
      </c>
      <c r="D6" s="25" t="s">
        <v>311</v>
      </c>
      <c r="E6" s="24" t="s">
        <v>87</v>
      </c>
      <c r="F6" s="24" t="s">
        <v>89</v>
      </c>
      <c r="G6" s="23" t="n">
        <v>46535</v>
      </c>
      <c r="H6" s="23" t="n">
        <v>46535</v>
      </c>
      <c r="I6" s="30"/>
      <c r="J6" s="30"/>
      <c r="K6" s="28" t="s">
        <v>318</v>
      </c>
      <c r="L6" s="28" t="s">
        <v>319</v>
      </c>
      <c r="M6" s="29" t="s">
        <v>144</v>
      </c>
      <c r="N6" s="29"/>
      <c r="O6" s="29"/>
      <c r="P6" s="29"/>
    </row>
    <row r="7" customFormat="false" ht="16.5" hidden="false" customHeight="false" outlineLevel="0" collapsed="false">
      <c r="A7" s="22" t="s">
        <v>320</v>
      </c>
      <c r="B7" s="24" t="s">
        <v>216</v>
      </c>
      <c r="C7" s="27" t="s">
        <v>321</v>
      </c>
      <c r="D7" s="25" t="s">
        <v>316</v>
      </c>
      <c r="E7" s="24" t="s">
        <v>205</v>
      </c>
      <c r="F7" s="24" t="s">
        <v>87</v>
      </c>
      <c r="G7" s="23" t="n">
        <v>46536</v>
      </c>
      <c r="H7" s="23" t="n">
        <v>46536</v>
      </c>
      <c r="I7" s="30"/>
      <c r="J7" s="30"/>
      <c r="K7" s="28" t="s">
        <v>322</v>
      </c>
      <c r="L7" s="28" t="s">
        <v>323</v>
      </c>
      <c r="M7" s="29" t="s">
        <v>144</v>
      </c>
      <c r="N7" s="29"/>
      <c r="O7" s="29"/>
      <c r="P7" s="29"/>
    </row>
    <row r="8" customFormat="false" ht="16.5" hidden="false" customHeight="false" outlineLevel="0" collapsed="false">
      <c r="A8" s="22" t="s">
        <v>324</v>
      </c>
      <c r="B8" s="24" t="s">
        <v>325</v>
      </c>
      <c r="C8" s="27" t="s">
        <v>326</v>
      </c>
      <c r="D8" s="25" t="s">
        <v>320</v>
      </c>
      <c r="E8" s="24" t="s">
        <v>87</v>
      </c>
      <c r="F8" s="24" t="s">
        <v>205</v>
      </c>
      <c r="G8" s="23" t="n">
        <v>46536</v>
      </c>
      <c r="H8" s="23" t="n">
        <v>46536</v>
      </c>
      <c r="I8" s="30"/>
      <c r="J8" s="30"/>
      <c r="K8" s="28" t="s">
        <v>327</v>
      </c>
      <c r="L8" s="28" t="s">
        <v>328</v>
      </c>
      <c r="M8" s="29" t="s">
        <v>144</v>
      </c>
      <c r="N8" s="29"/>
      <c r="O8" s="29"/>
      <c r="P8" s="29"/>
    </row>
    <row r="9" customFormat="false" ht="16.5" hidden="false" customHeight="false" outlineLevel="0" collapsed="false">
      <c r="A9" s="22" t="s">
        <v>329</v>
      </c>
      <c r="B9" s="24" t="s">
        <v>182</v>
      </c>
      <c r="C9" s="27" t="s">
        <v>330</v>
      </c>
      <c r="D9" s="25" t="s">
        <v>320</v>
      </c>
      <c r="E9" s="24" t="s">
        <v>78</v>
      </c>
      <c r="F9" s="24" t="s">
        <v>87</v>
      </c>
      <c r="G9" s="23" t="n">
        <v>46536</v>
      </c>
      <c r="H9" s="23" t="n">
        <v>46537</v>
      </c>
      <c r="I9" s="30"/>
      <c r="J9" s="30"/>
      <c r="K9" s="28" t="s">
        <v>331</v>
      </c>
      <c r="L9" s="28" t="s">
        <v>332</v>
      </c>
      <c r="M9" s="29" t="s">
        <v>144</v>
      </c>
      <c r="N9" s="29"/>
      <c r="O9" s="29"/>
      <c r="P9" s="29"/>
    </row>
    <row r="10" customFormat="false" ht="30.75" hidden="false" customHeight="true" outlineLevel="0" collapsed="false">
      <c r="A10" s="22" t="s">
        <v>333</v>
      </c>
      <c r="B10" s="24" t="s">
        <v>334</v>
      </c>
      <c r="C10" s="27" t="s">
        <v>335</v>
      </c>
      <c r="D10" s="25" t="s">
        <v>336</v>
      </c>
      <c r="E10" s="24" t="s">
        <v>87</v>
      </c>
      <c r="F10" s="24" t="s">
        <v>337</v>
      </c>
      <c r="G10" s="23" t="n">
        <v>46537</v>
      </c>
      <c r="H10" s="23" t="n">
        <v>46537</v>
      </c>
      <c r="I10" s="30"/>
      <c r="J10" s="30"/>
      <c r="K10" s="28" t="s">
        <v>338</v>
      </c>
      <c r="L10" s="28" t="s">
        <v>339</v>
      </c>
      <c r="M10" s="29" t="s">
        <v>144</v>
      </c>
      <c r="N10" s="29"/>
      <c r="O10" s="29"/>
      <c r="P10" s="29"/>
    </row>
    <row r="11" customFormat="false" ht="16.5" hidden="false" customHeight="false" outlineLevel="0" collapsed="false">
      <c r="A11" s="22" t="s">
        <v>340</v>
      </c>
      <c r="B11" s="24" t="s">
        <v>191</v>
      </c>
      <c r="C11" s="27" t="s">
        <v>341</v>
      </c>
      <c r="D11" s="25" t="s">
        <v>336</v>
      </c>
      <c r="E11" s="24" t="s">
        <v>78</v>
      </c>
      <c r="F11" s="24" t="s">
        <v>342</v>
      </c>
      <c r="G11" s="23" t="n">
        <v>46537</v>
      </c>
      <c r="H11" s="23" t="n">
        <v>46537</v>
      </c>
      <c r="I11" s="30"/>
      <c r="J11" s="30"/>
      <c r="K11" s="28" t="s">
        <v>343</v>
      </c>
      <c r="L11" s="28" t="s">
        <v>344</v>
      </c>
      <c r="M11" s="29" t="s">
        <v>144</v>
      </c>
      <c r="N11" s="29"/>
      <c r="O11" s="29"/>
      <c r="P11" s="29"/>
    </row>
    <row r="12" customFormat="false" ht="30.75" hidden="false" customHeight="true" outlineLevel="0" collapsed="false">
      <c r="A12" s="22" t="s">
        <v>345</v>
      </c>
      <c r="B12" s="24" t="s">
        <v>346</v>
      </c>
      <c r="C12" s="27" t="s">
        <v>347</v>
      </c>
      <c r="D12" s="25" t="s">
        <v>348</v>
      </c>
      <c r="E12" s="24" t="s">
        <v>175</v>
      </c>
      <c r="F12" s="24" t="s">
        <v>78</v>
      </c>
      <c r="G12" s="23" t="n">
        <v>46537</v>
      </c>
      <c r="H12" s="23" t="n">
        <v>46538</v>
      </c>
      <c r="I12" s="30"/>
      <c r="J12" s="30"/>
      <c r="K12" s="28" t="s">
        <v>349</v>
      </c>
      <c r="L12" s="28" t="s">
        <v>350</v>
      </c>
      <c r="M12" s="29" t="s">
        <v>144</v>
      </c>
      <c r="N12" s="29"/>
      <c r="O12" s="29"/>
      <c r="P12" s="29"/>
    </row>
    <row r="13" customFormat="false" ht="16.5" hidden="false" customHeight="false" outlineLevel="0" collapsed="false">
      <c r="A13" s="22" t="s">
        <v>351</v>
      </c>
      <c r="B13" s="24" t="s">
        <v>212</v>
      </c>
      <c r="C13" s="27" t="s">
        <v>352</v>
      </c>
      <c r="D13" s="25" t="s">
        <v>324</v>
      </c>
      <c r="E13" s="24" t="s">
        <v>87</v>
      </c>
      <c r="F13" s="24" t="s">
        <v>353</v>
      </c>
      <c r="G13" s="23" t="n">
        <v>46537</v>
      </c>
      <c r="H13" s="23" t="n">
        <v>46537</v>
      </c>
      <c r="I13" s="30"/>
      <c r="J13" s="30"/>
      <c r="K13" s="28" t="s">
        <v>354</v>
      </c>
      <c r="L13" s="28" t="s">
        <v>355</v>
      </c>
      <c r="M13" s="29" t="s">
        <v>144</v>
      </c>
      <c r="N13" s="29"/>
      <c r="O13" s="29"/>
      <c r="P13" s="29"/>
    </row>
    <row r="14" customFormat="false" ht="16.5" hidden="false" customHeight="false" outlineLevel="0" collapsed="false">
      <c r="A14" s="22" t="s">
        <v>356</v>
      </c>
      <c r="B14" s="24" t="s">
        <v>357</v>
      </c>
      <c r="C14" s="27" t="s">
        <v>358</v>
      </c>
      <c r="D14" s="25" t="s">
        <v>359</v>
      </c>
      <c r="E14" s="24" t="s">
        <v>89</v>
      </c>
      <c r="F14" s="24" t="s">
        <v>81</v>
      </c>
      <c r="G14" s="23" t="n">
        <v>46538</v>
      </c>
      <c r="H14" s="23" t="n">
        <v>46538</v>
      </c>
      <c r="I14" s="30"/>
      <c r="J14" s="30"/>
      <c r="K14" s="28" t="s">
        <v>360</v>
      </c>
      <c r="L14" s="28" t="s">
        <v>361</v>
      </c>
      <c r="M14" s="29" t="s">
        <v>144</v>
      </c>
      <c r="N14" s="29"/>
      <c r="O14" s="29"/>
      <c r="P14" s="29"/>
    </row>
    <row r="15" customFormat="false" ht="16.5" hidden="false" customHeight="false" outlineLevel="0" collapsed="false">
      <c r="A15" s="22" t="s">
        <v>362</v>
      </c>
      <c r="B15" s="24" t="s">
        <v>137</v>
      </c>
      <c r="C15" s="27" t="s">
        <v>363</v>
      </c>
      <c r="D15" s="25" t="s">
        <v>356</v>
      </c>
      <c r="E15" s="24" t="s">
        <v>89</v>
      </c>
      <c r="F15" s="24" t="s">
        <v>95</v>
      </c>
      <c r="G15" s="23" t="n">
        <v>46539</v>
      </c>
      <c r="H15" s="23" t="n">
        <v>46539</v>
      </c>
      <c r="I15" s="30"/>
      <c r="J15" s="30"/>
      <c r="K15" s="28" t="s">
        <v>364</v>
      </c>
      <c r="L15" s="28" t="s">
        <v>365</v>
      </c>
      <c r="M15" s="29" t="s">
        <v>144</v>
      </c>
      <c r="N15" s="29"/>
      <c r="O15" s="29"/>
      <c r="P15" s="29"/>
    </row>
    <row r="16" customFormat="false" ht="16.5" hidden="false" customHeight="false" outlineLevel="0" collapsed="false">
      <c r="A16" s="22" t="s">
        <v>366</v>
      </c>
      <c r="B16" s="24" t="s">
        <v>367</v>
      </c>
      <c r="C16" s="27" t="s">
        <v>368</v>
      </c>
      <c r="D16" s="25" t="s">
        <v>356</v>
      </c>
      <c r="E16" s="24" t="s">
        <v>89</v>
      </c>
      <c r="F16" s="24" t="s">
        <v>95</v>
      </c>
      <c r="G16" s="23" t="n">
        <v>46539</v>
      </c>
      <c r="H16" s="23" t="n">
        <v>46540</v>
      </c>
      <c r="I16" s="30"/>
      <c r="J16" s="30"/>
      <c r="K16" s="28" t="s">
        <v>369</v>
      </c>
      <c r="L16" s="28" t="s">
        <v>370</v>
      </c>
      <c r="M16" s="29" t="s">
        <v>144</v>
      </c>
      <c r="N16" s="29"/>
      <c r="O16" s="29"/>
      <c r="P16" s="29"/>
    </row>
  </sheetData>
  <dataValidations count="1">
    <dataValidation allowBlank="false" errorStyle="stop" operator="between" showDropDown="false" showErrorMessage="false" showInputMessage="false" sqref="M5:M54" type="list">
      <formula1>"未开始,就绪,执行中,已完成,失败,已回退,取消"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46875" defaultRowHeight="15" customHeight="false" zeroHeight="false" outlineLevelRow="0" outlineLevelCol="0"/>
  <cols>
    <col collapsed="false" customWidth="true" hidden="false" outlineLevel="0" max="1" min="1" style="1" width="8.61"/>
    <col collapsed="false" customWidth="true" hidden="false" outlineLevel="0" max="2" min="2" style="1" width="24.09"/>
    <col collapsed="false" customWidth="true" hidden="false" outlineLevel="0" max="3" min="3" style="1" width="10.33"/>
    <col collapsed="false" customWidth="true" hidden="false" outlineLevel="0" max="4" min="4" style="1" width="8.61"/>
    <col collapsed="false" customWidth="true" hidden="false" outlineLevel="0" max="6" min="5" style="1" width="12.05"/>
    <col collapsed="false" customWidth="true" hidden="false" outlineLevel="0" max="7" min="7" style="1" width="8.61"/>
    <col collapsed="false" customWidth="true" hidden="false" outlineLevel="0" max="8" min="8" style="1" width="22.37"/>
  </cols>
  <sheetData>
    <row r="1" customFormat="false" ht="17.35" hidden="false" customHeight="false" outlineLevel="0" collapsed="false">
      <c r="A1" s="35" t="s">
        <v>33</v>
      </c>
    </row>
    <row r="2" customFormat="false" ht="16.4" hidden="false" customHeight="false" outlineLevel="0" collapsed="false">
      <c r="A2" s="36" t="s">
        <v>371</v>
      </c>
    </row>
    <row r="4" customFormat="false" ht="31.3" hidden="false" customHeight="false" outlineLevel="0" collapsed="false">
      <c r="A4" s="37" t="s">
        <v>372</v>
      </c>
      <c r="B4" s="37" t="s">
        <v>373</v>
      </c>
      <c r="C4" s="37" t="s">
        <v>374</v>
      </c>
      <c r="D4" s="37" t="s">
        <v>375</v>
      </c>
      <c r="E4" s="37" t="s">
        <v>376</v>
      </c>
      <c r="F4" s="37" t="s">
        <v>377</v>
      </c>
      <c r="G4" s="37" t="s">
        <v>112</v>
      </c>
      <c r="H4" s="37" t="s">
        <v>161</v>
      </c>
    </row>
    <row r="5" customFormat="false" ht="15" hidden="false" customHeight="false" outlineLevel="0" collapsed="false">
      <c r="A5" s="38" t="s">
        <v>378</v>
      </c>
      <c r="B5" s="39" t="s">
        <v>379</v>
      </c>
      <c r="C5" s="40" t="s">
        <v>87</v>
      </c>
      <c r="D5" s="40"/>
      <c r="E5" s="41" t="n">
        <v>46531</v>
      </c>
      <c r="F5" s="41"/>
      <c r="G5" s="38" t="str">
        <f aca="false">IF($A5="","",IF($D5="已完成","已完成",IF($D5="已回退","已回退",IF($D5="进行中","进行中",IF($E5="","未排期",IF($E5&lt;_数据接口!$B$6,"已延期","未开始"))))))</f>
        <v>未开始</v>
      </c>
      <c r="H5" s="40"/>
    </row>
    <row r="6" customFormat="false" ht="15" hidden="false" customHeight="false" outlineLevel="0" collapsed="false">
      <c r="A6" s="38" t="s">
        <v>380</v>
      </c>
      <c r="B6" s="39" t="s">
        <v>381</v>
      </c>
      <c r="C6" s="40" t="s">
        <v>78</v>
      </c>
      <c r="D6" s="40"/>
      <c r="E6" s="41" t="n">
        <v>46535</v>
      </c>
      <c r="F6" s="41"/>
      <c r="G6" s="38" t="str">
        <f aca="false">IF($A6="","",IF($D6="已完成","已完成",IF($D6="已回退","已回退",IF($D6="进行中","进行中",IF($E6="","未排期",IF($E6&lt;_数据接口!$B$6,"已延期","未开始"))))))</f>
        <v>未开始</v>
      </c>
      <c r="H6" s="40"/>
    </row>
    <row r="7" customFormat="false" ht="15" hidden="false" customHeight="false" outlineLevel="0" collapsed="false">
      <c r="A7" s="38" t="s">
        <v>382</v>
      </c>
      <c r="B7" s="39" t="s">
        <v>383</v>
      </c>
      <c r="C7" s="40" t="s">
        <v>95</v>
      </c>
      <c r="D7" s="40"/>
      <c r="E7" s="41" t="n">
        <v>46538</v>
      </c>
      <c r="F7" s="41"/>
      <c r="G7" s="38" t="str">
        <f aca="false">IF($A7="","",IF($D7="已完成","已完成",IF($D7="已回退","已回退",IF($D7="进行中","进行中",IF($E7="","未排期",IF($E7&lt;_数据接口!$B$6,"已延期","未开始"))))))</f>
        <v>未开始</v>
      </c>
      <c r="H7" s="40"/>
    </row>
    <row r="8" customFormat="false" ht="15" hidden="false" customHeight="false" outlineLevel="0" collapsed="false">
      <c r="A8" s="38" t="s">
        <v>384</v>
      </c>
      <c r="B8" s="39" t="s">
        <v>385</v>
      </c>
      <c r="C8" s="40" t="s">
        <v>89</v>
      </c>
      <c r="D8" s="40"/>
      <c r="E8" s="41" t="n">
        <v>46568</v>
      </c>
      <c r="F8" s="41"/>
      <c r="G8" s="38" t="str">
        <f aca="false">IF($A8="","",IF($D8="已完成","已完成",IF($D8="已回退","已回退",IF($D8="进行中","进行中",IF($E8="","未排期",IF($E8&lt;_数据接口!$B$6,"已延期","未开始"))))))</f>
        <v>未开始</v>
      </c>
      <c r="H8" s="40"/>
    </row>
    <row r="9" customFormat="false" ht="15" hidden="false" customHeight="false" outlineLevel="0" collapsed="false">
      <c r="A9" s="38"/>
      <c r="B9" s="38"/>
      <c r="C9" s="40"/>
      <c r="D9" s="40"/>
      <c r="E9" s="41"/>
      <c r="F9" s="41"/>
      <c r="G9" s="38" t="str">
        <f aca="false">IF($A9="","",IF($D9="已完成","已完成",IF($D9="已回退","已回退",IF($D9="进行中","进行中",IF($E9="","未排期",IF($E9&lt;_数据接口!$B$6,"已延期","未开始"))))))</f>
        <v/>
      </c>
      <c r="H9" s="40"/>
    </row>
    <row r="10" customFormat="false" ht="15" hidden="false" customHeight="false" outlineLevel="0" collapsed="false">
      <c r="A10" s="38"/>
      <c r="B10" s="38"/>
      <c r="C10" s="40"/>
      <c r="D10" s="40"/>
      <c r="E10" s="41"/>
      <c r="F10" s="41"/>
      <c r="G10" s="38" t="str">
        <f aca="false">IF($A10="","",IF($D10="已完成","已完成",IF($D10="已回退","已回退",IF($D10="进行中","进行中",IF($E10="","未排期",IF($E10&lt;_数据接口!$B$6,"已延期","未开始"))))))</f>
        <v/>
      </c>
      <c r="H10" s="40"/>
    </row>
    <row r="11" customFormat="false" ht="15" hidden="false" customHeight="false" outlineLevel="0" collapsed="false">
      <c r="A11" s="38"/>
      <c r="B11" s="38"/>
      <c r="C11" s="40"/>
      <c r="D11" s="40"/>
      <c r="E11" s="41"/>
      <c r="F11" s="41"/>
      <c r="G11" s="38" t="str">
        <f aca="false">IF($A11="","",IF($D11="已完成","已完成",IF($D11="已回退","已回退",IF($D11="进行中","进行中",IF($E11="","未排期",IF($E11&lt;_数据接口!$B$6,"已延期","未开始"))))))</f>
        <v/>
      </c>
      <c r="H11" s="40"/>
    </row>
    <row r="12" customFormat="false" ht="15" hidden="false" customHeight="false" outlineLevel="0" collapsed="false">
      <c r="A12" s="38"/>
      <c r="B12" s="38"/>
      <c r="C12" s="40"/>
      <c r="D12" s="40"/>
      <c r="E12" s="41"/>
      <c r="F12" s="41"/>
      <c r="G12" s="38" t="str">
        <f aca="false">IF($A12="","",IF($D12="已完成","已完成",IF($D12="已回退","已回退",IF($D12="进行中","进行中",IF($E12="","未排期",IF($E12&lt;_数据接口!$B$6,"已延期","未开始"))))))</f>
        <v/>
      </c>
      <c r="H12" s="40"/>
    </row>
    <row r="13" customFormat="false" ht="15" hidden="false" customHeight="false" outlineLevel="0" collapsed="false">
      <c r="A13" s="38"/>
      <c r="B13" s="38"/>
      <c r="C13" s="40"/>
      <c r="D13" s="40"/>
      <c r="E13" s="41"/>
      <c r="F13" s="41"/>
      <c r="G13" s="38" t="str">
        <f aca="false">IF($A13="","",IF($D13="已完成","已完成",IF($D13="已回退","已回退",IF($D13="进行中","进行中",IF($E13="","未排期",IF($E13&lt;_数据接口!$B$6,"已延期","未开始"))))))</f>
        <v/>
      </c>
      <c r="H13" s="40"/>
    </row>
    <row r="14" customFormat="false" ht="15" hidden="false" customHeight="false" outlineLevel="0" collapsed="false">
      <c r="A14" s="38"/>
      <c r="B14" s="38"/>
      <c r="C14" s="40"/>
      <c r="D14" s="40"/>
      <c r="E14" s="41"/>
      <c r="F14" s="41"/>
      <c r="G14" s="38" t="str">
        <f aca="false">IF($A14="","",IF($D14="已完成","已完成",IF($D14="已回退","已回退",IF($D14="进行中","进行中",IF($E14="","未排期",IF($E14&lt;_数据接口!$B$6,"已延期","未开始"))))))</f>
        <v/>
      </c>
      <c r="H14" s="40"/>
    </row>
    <row r="15" customFormat="false" ht="15" hidden="false" customHeight="false" outlineLevel="0" collapsed="false">
      <c r="A15" s="38"/>
      <c r="B15" s="38"/>
      <c r="C15" s="40"/>
      <c r="D15" s="40"/>
      <c r="E15" s="41"/>
      <c r="F15" s="41"/>
      <c r="G15" s="38" t="str">
        <f aca="false">IF($A15="","",IF($D15="已完成","已完成",IF($D15="已回退","已回退",IF($D15="进行中","进行中",IF($E15="","未排期",IF($E15&lt;_数据接口!$B$6,"已延期","未开始"))))))</f>
        <v/>
      </c>
      <c r="H15" s="40"/>
    </row>
    <row r="16" customFormat="false" ht="15" hidden="false" customHeight="false" outlineLevel="0" collapsed="false">
      <c r="A16" s="38"/>
      <c r="B16" s="38"/>
      <c r="C16" s="40"/>
      <c r="D16" s="40"/>
      <c r="E16" s="41"/>
      <c r="F16" s="41"/>
      <c r="G16" s="38" t="str">
        <f aca="false">IF($A16="","",IF($D16="已完成","已完成",IF($D16="已回退","已回退",IF($D16="进行中","进行中",IF($E16="","未排期",IF($E16&lt;_数据接口!$B$6,"已延期","未开始"))))))</f>
        <v/>
      </c>
      <c r="H16" s="40"/>
    </row>
    <row r="17" customFormat="false" ht="15" hidden="false" customHeight="false" outlineLevel="0" collapsed="false">
      <c r="A17" s="38"/>
      <c r="B17" s="38"/>
      <c r="C17" s="40"/>
      <c r="D17" s="40"/>
      <c r="E17" s="41"/>
      <c r="F17" s="41"/>
      <c r="G17" s="38" t="str">
        <f aca="false">IF($A17="","",IF($D17="已完成","已完成",IF($D17="已回退","已回退",IF($D17="进行中","进行中",IF($E17="","未排期",IF($E17&lt;_数据接口!$B$6,"已延期","未开始"))))))</f>
        <v/>
      </c>
      <c r="H17" s="40"/>
    </row>
    <row r="18" customFormat="false" ht="15" hidden="false" customHeight="false" outlineLevel="0" collapsed="false">
      <c r="A18" s="38"/>
      <c r="B18" s="38"/>
      <c r="C18" s="40"/>
      <c r="D18" s="40"/>
      <c r="E18" s="41"/>
      <c r="F18" s="41"/>
      <c r="G18" s="38" t="str">
        <f aca="false">IF($A18="","",IF($D18="已完成","已完成",IF($D18="已回退","已回退",IF($D18="进行中","进行中",IF($E18="","未排期",IF($E18&lt;_数据接口!$B$6,"已延期","未开始"))))))</f>
        <v/>
      </c>
      <c r="H18" s="40"/>
    </row>
    <row r="19" customFormat="false" ht="15" hidden="false" customHeight="false" outlineLevel="0" collapsed="false">
      <c r="A19" s="38"/>
      <c r="B19" s="38"/>
      <c r="C19" s="40"/>
      <c r="D19" s="40"/>
      <c r="E19" s="41"/>
      <c r="F19" s="41"/>
      <c r="G19" s="38" t="str">
        <f aca="false">IF($A19="","",IF($D19="已完成","已完成",IF($D19="已回退","已回退",IF($D19="进行中","进行中",IF($E19="","未排期",IF($E19&lt;_数据接口!$B$6,"已延期","未开始"))))))</f>
        <v/>
      </c>
      <c r="H19" s="40"/>
    </row>
    <row r="20" customFormat="false" ht="15" hidden="false" customHeight="false" outlineLevel="0" collapsed="false">
      <c r="A20" s="38"/>
      <c r="B20" s="38"/>
      <c r="C20" s="40"/>
      <c r="D20" s="40"/>
      <c r="E20" s="41"/>
      <c r="F20" s="41"/>
      <c r="G20" s="38" t="str">
        <f aca="false">IF($A20="","",IF($D20="已完成","已完成",IF($D20="已回退","已回退",IF($D20="进行中","进行中",IF($E20="","未排期",IF($E20&lt;_数据接口!$B$6,"已延期","未开始"))))))</f>
        <v/>
      </c>
      <c r="H20" s="40"/>
    </row>
    <row r="21" customFormat="false" ht="15" hidden="false" customHeight="false" outlineLevel="0" collapsed="false">
      <c r="A21" s="38"/>
      <c r="B21" s="38"/>
      <c r="C21" s="40"/>
      <c r="D21" s="40"/>
      <c r="E21" s="41"/>
      <c r="F21" s="41"/>
      <c r="G21" s="38" t="str">
        <f aca="false">IF($A21="","",IF($D21="已完成","已完成",IF($D21="已回退","已回退",IF($D21="进行中","进行中",IF($E21="","未排期",IF($E21&lt;_数据接口!$B$6,"已延期","未开始"))))))</f>
        <v/>
      </c>
      <c r="H21" s="40"/>
    </row>
    <row r="22" customFormat="false" ht="15" hidden="false" customHeight="false" outlineLevel="0" collapsed="false">
      <c r="A22" s="38"/>
      <c r="B22" s="38"/>
      <c r="C22" s="40"/>
      <c r="D22" s="40"/>
      <c r="E22" s="41"/>
      <c r="F22" s="41"/>
      <c r="G22" s="38" t="str">
        <f aca="false">IF($A22="","",IF($D22="已完成","已完成",IF($D22="已回退","已回退",IF($D22="进行中","进行中",IF($E22="","未排期",IF($E22&lt;_数据接口!$B$6,"已延期","未开始"))))))</f>
        <v/>
      </c>
      <c r="H22" s="40"/>
    </row>
    <row r="23" customFormat="false" ht="15" hidden="false" customHeight="false" outlineLevel="0" collapsed="false">
      <c r="A23" s="38"/>
      <c r="B23" s="38"/>
      <c r="C23" s="40"/>
      <c r="D23" s="40"/>
      <c r="E23" s="41"/>
      <c r="F23" s="41"/>
      <c r="G23" s="38" t="str">
        <f aca="false">IF($A23="","",IF($D23="已完成","已完成",IF($D23="已回退","已回退",IF($D23="进行中","进行中",IF($E23="","未排期",IF($E23&lt;_数据接口!$B$6,"已延期","未开始"))))))</f>
        <v/>
      </c>
      <c r="H23" s="40"/>
    </row>
    <row r="24" customFormat="false" ht="15" hidden="false" customHeight="false" outlineLevel="0" collapsed="false">
      <c r="A24" s="38"/>
      <c r="B24" s="38"/>
      <c r="C24" s="40"/>
      <c r="D24" s="40"/>
      <c r="E24" s="41"/>
      <c r="F24" s="41"/>
      <c r="G24" s="38" t="str">
        <f aca="false">IF($A24="","",IF($D24="已完成","已完成",IF($D24="已回退","已回退",IF($D24="进行中","进行中",IF($E24="","未排期",IF($E24&lt;_数据接口!$B$6,"已延期","未开始"))))))</f>
        <v/>
      </c>
      <c r="H24" s="40"/>
    </row>
  </sheetData>
  <autoFilter ref="A4:H24"/>
  <dataValidations count="1">
    <dataValidation allowBlank="true" error="上线状态须为：未开始/进行中/已完成/已回退" errorStyle="stop" errorTitle="无效状态" operator="between" showDropDown="false" showErrorMessage="false" showInputMessage="false" sqref="D5:D24" type="list">
      <formula1>"未开始,进行中,已完成,已回退"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12.05"/>
    <col collapsed="false" customWidth="true" hidden="false" outlineLevel="0" max="3" min="2" style="1" width="30.98"/>
    <col collapsed="false" customWidth="true" hidden="false" outlineLevel="0" max="5" min="4" style="1" width="18.93"/>
    <col collapsed="false" customWidth="true" hidden="false" outlineLevel="0" max="8" min="6" style="1" width="32.7"/>
    <col collapsed="false" customWidth="true" hidden="false" outlineLevel="0" max="14" min="9" style="1" width="16.35"/>
  </cols>
  <sheetData>
    <row r="1" customFormat="false" ht="24.75" hidden="false" customHeight="true" outlineLevel="0" collapsed="false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6.5" hidden="false" customHeight="false" outlineLevel="0" collapsed="false">
      <c r="A2" s="18" t="s">
        <v>386</v>
      </c>
    </row>
    <row r="4" customFormat="false" ht="31.5" hidden="false" customHeight="true" outlineLevel="0" collapsed="false">
      <c r="A4" s="21" t="s">
        <v>387</v>
      </c>
      <c r="B4" s="21" t="s">
        <v>388</v>
      </c>
      <c r="C4" s="21" t="s">
        <v>389</v>
      </c>
      <c r="D4" s="21" t="s">
        <v>390</v>
      </c>
      <c r="E4" s="21" t="s">
        <v>391</v>
      </c>
      <c r="F4" s="21" t="s">
        <v>392</v>
      </c>
      <c r="G4" s="21" t="s">
        <v>393</v>
      </c>
      <c r="H4" s="21" t="s">
        <v>308</v>
      </c>
      <c r="I4" s="42" t="s">
        <v>394</v>
      </c>
      <c r="J4" s="42" t="s">
        <v>395</v>
      </c>
      <c r="K4" s="21" t="s">
        <v>396</v>
      </c>
      <c r="L4" s="21" t="s">
        <v>397</v>
      </c>
      <c r="M4" s="21" t="s">
        <v>398</v>
      </c>
      <c r="N4" s="21" t="s">
        <v>76</v>
      </c>
    </row>
    <row r="5" customFormat="false" ht="16.5" hidden="false" customHeight="false" outlineLevel="0" collapsed="false">
      <c r="A5" s="22" t="s">
        <v>399</v>
      </c>
      <c r="B5" s="27" t="s">
        <v>400</v>
      </c>
      <c r="C5" s="27" t="s">
        <v>401</v>
      </c>
      <c r="D5" s="27" t="s">
        <v>95</v>
      </c>
      <c r="E5" s="27" t="s">
        <v>402</v>
      </c>
      <c r="F5" s="27" t="s">
        <v>403</v>
      </c>
      <c r="G5" s="27" t="s">
        <v>404</v>
      </c>
      <c r="H5" s="27" t="s">
        <v>405</v>
      </c>
      <c r="I5" s="22" t="s">
        <v>406</v>
      </c>
      <c r="J5" s="22" t="s">
        <v>407</v>
      </c>
      <c r="K5" s="24" t="s">
        <v>87</v>
      </c>
      <c r="L5" s="24" t="s">
        <v>408</v>
      </c>
      <c r="M5" s="29" t="s">
        <v>409</v>
      </c>
      <c r="N5" s="29"/>
    </row>
    <row r="6" customFormat="false" ht="26.85" hidden="false" customHeight="false" outlineLevel="0" collapsed="false">
      <c r="A6" s="22" t="s">
        <v>410</v>
      </c>
      <c r="B6" s="27" t="s">
        <v>411</v>
      </c>
      <c r="C6" s="27" t="s">
        <v>412</v>
      </c>
      <c r="D6" s="27" t="s">
        <v>95</v>
      </c>
      <c r="E6" s="27" t="s">
        <v>413</v>
      </c>
      <c r="F6" s="27" t="s">
        <v>414</v>
      </c>
      <c r="G6" s="27" t="s">
        <v>415</v>
      </c>
      <c r="H6" s="27" t="s">
        <v>416</v>
      </c>
      <c r="I6" s="22" t="s">
        <v>417</v>
      </c>
      <c r="J6" s="22" t="s">
        <v>418</v>
      </c>
      <c r="K6" s="24" t="s">
        <v>419</v>
      </c>
      <c r="L6" s="24" t="s">
        <v>420</v>
      </c>
      <c r="M6" s="29" t="s">
        <v>409</v>
      </c>
      <c r="N6" s="29"/>
    </row>
    <row r="7" customFormat="false" ht="30.75" hidden="false" customHeight="true" outlineLevel="0" collapsed="false">
      <c r="A7" s="22" t="s">
        <v>421</v>
      </c>
      <c r="B7" s="25" t="s">
        <v>422</v>
      </c>
      <c r="C7" s="27" t="s">
        <v>423</v>
      </c>
      <c r="D7" s="27" t="s">
        <v>95</v>
      </c>
      <c r="E7" s="27" t="s">
        <v>424</v>
      </c>
      <c r="F7" s="27" t="s">
        <v>425</v>
      </c>
      <c r="G7" s="27" t="s">
        <v>426</v>
      </c>
      <c r="H7" s="27" t="s">
        <v>427</v>
      </c>
      <c r="I7" s="22" t="s">
        <v>406</v>
      </c>
      <c r="J7" s="22" t="s">
        <v>407</v>
      </c>
      <c r="K7" s="24" t="s">
        <v>87</v>
      </c>
      <c r="L7" s="24" t="s">
        <v>428</v>
      </c>
      <c r="M7" s="29" t="s">
        <v>409</v>
      </c>
      <c r="N7" s="29"/>
    </row>
    <row r="8" customFormat="false" ht="26.85" hidden="false" customHeight="false" outlineLevel="0" collapsed="false">
      <c r="A8" s="22" t="s">
        <v>429</v>
      </c>
      <c r="B8" s="27" t="s">
        <v>430</v>
      </c>
      <c r="C8" s="27" t="s">
        <v>431</v>
      </c>
      <c r="D8" s="27" t="s">
        <v>432</v>
      </c>
      <c r="E8" s="27" t="s">
        <v>433</v>
      </c>
      <c r="F8" s="27" t="s">
        <v>434</v>
      </c>
      <c r="G8" s="27" t="s">
        <v>435</v>
      </c>
      <c r="H8" s="27" t="s">
        <v>436</v>
      </c>
      <c r="I8" s="22" t="s">
        <v>406</v>
      </c>
      <c r="J8" s="22" t="s">
        <v>418</v>
      </c>
      <c r="K8" s="24" t="s">
        <v>87</v>
      </c>
      <c r="L8" s="24" t="s">
        <v>437</v>
      </c>
      <c r="M8" s="29" t="s">
        <v>409</v>
      </c>
      <c r="N8" s="29"/>
    </row>
    <row r="9" customFormat="false" ht="16.5" hidden="false" customHeight="false" outlineLevel="0" collapsed="false">
      <c r="A9" s="22" t="s">
        <v>438</v>
      </c>
      <c r="B9" s="27" t="s">
        <v>439</v>
      </c>
      <c r="C9" s="27" t="s">
        <v>440</v>
      </c>
      <c r="D9" s="27" t="s">
        <v>95</v>
      </c>
      <c r="E9" s="27" t="s">
        <v>441</v>
      </c>
      <c r="F9" s="27" t="s">
        <v>442</v>
      </c>
      <c r="G9" s="27" t="s">
        <v>443</v>
      </c>
      <c r="H9" s="27" t="s">
        <v>444</v>
      </c>
      <c r="I9" s="22" t="s">
        <v>406</v>
      </c>
      <c r="J9" s="22" t="s">
        <v>407</v>
      </c>
      <c r="K9" s="24" t="s">
        <v>87</v>
      </c>
      <c r="L9" s="24" t="s">
        <v>445</v>
      </c>
      <c r="M9" s="29" t="s">
        <v>409</v>
      </c>
      <c r="N9" s="29"/>
    </row>
    <row r="10" customFormat="false" ht="26.85" hidden="false" customHeight="false" outlineLevel="0" collapsed="false">
      <c r="A10" s="22" t="s">
        <v>446</v>
      </c>
      <c r="B10" s="27" t="s">
        <v>447</v>
      </c>
      <c r="C10" s="27" t="s">
        <v>448</v>
      </c>
      <c r="D10" s="27" t="s">
        <v>95</v>
      </c>
      <c r="E10" s="27" t="s">
        <v>449</v>
      </c>
      <c r="F10" s="27" t="s">
        <v>450</v>
      </c>
      <c r="G10" s="27" t="s">
        <v>451</v>
      </c>
      <c r="H10" s="27" t="s">
        <v>452</v>
      </c>
      <c r="I10" s="22" t="s">
        <v>453</v>
      </c>
      <c r="J10" s="22" t="s">
        <v>407</v>
      </c>
      <c r="K10" s="24" t="s">
        <v>175</v>
      </c>
      <c r="L10" s="24" t="s">
        <v>454</v>
      </c>
      <c r="M10" s="29" t="s">
        <v>409</v>
      </c>
      <c r="N10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23" activeCellId="0" sqref="D23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2" min="1" style="1" width="12.91"/>
    <col collapsed="false" customWidth="true" hidden="false" outlineLevel="0" max="4" min="3" style="1" width="34.42"/>
    <col collapsed="false" customWidth="true" hidden="false" outlineLevel="0" max="8" min="5" style="1" width="16.35"/>
    <col collapsed="false" customWidth="true" hidden="false" outlineLevel="0" max="9" min="9" style="1" width="29.26"/>
    <col collapsed="false" customWidth="true" hidden="false" outlineLevel="0" max="12" min="10" style="1" width="15.49"/>
  </cols>
  <sheetData>
    <row r="1" customFormat="false" ht="24.75" hidden="false" customHeight="true" outlineLevel="0" collapsed="false">
      <c r="A1" s="17" t="s">
        <v>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6.5" hidden="false" customHeight="false" outlineLevel="0" collapsed="false">
      <c r="A2" s="18" t="s">
        <v>455</v>
      </c>
    </row>
    <row r="4" customFormat="false" ht="31.5" hidden="false" customHeight="true" outlineLevel="0" collapsed="false">
      <c r="A4" s="21" t="s">
        <v>456</v>
      </c>
      <c r="B4" s="21" t="s">
        <v>457</v>
      </c>
      <c r="C4" s="21" t="s">
        <v>458</v>
      </c>
      <c r="D4" s="21" t="s">
        <v>459</v>
      </c>
      <c r="E4" s="21" t="s">
        <v>460</v>
      </c>
      <c r="F4" s="21" t="s">
        <v>461</v>
      </c>
      <c r="G4" s="21" t="s">
        <v>71</v>
      </c>
      <c r="H4" s="21" t="s">
        <v>462</v>
      </c>
      <c r="I4" s="21" t="s">
        <v>463</v>
      </c>
      <c r="J4" s="21" t="s">
        <v>112</v>
      </c>
      <c r="K4" s="21" t="s">
        <v>464</v>
      </c>
      <c r="L4" s="21" t="s">
        <v>161</v>
      </c>
    </row>
    <row r="5" customFormat="false" ht="16.5" hidden="false" customHeight="false" outlineLevel="0" collapsed="false">
      <c r="A5" s="22" t="s">
        <v>465</v>
      </c>
      <c r="B5" s="24" t="s">
        <v>466</v>
      </c>
      <c r="C5" s="27" t="s">
        <v>467</v>
      </c>
      <c r="D5" s="27" t="s">
        <v>468</v>
      </c>
      <c r="E5" s="24" t="s">
        <v>89</v>
      </c>
      <c r="F5" s="24" t="s">
        <v>469</v>
      </c>
      <c r="G5" s="23" t="n">
        <v>46558</v>
      </c>
      <c r="H5" s="30"/>
      <c r="I5" s="29"/>
      <c r="J5" s="29" t="s">
        <v>144</v>
      </c>
      <c r="K5" s="29"/>
      <c r="L5" s="29"/>
    </row>
    <row r="6" customFormat="false" ht="16.5" hidden="false" customHeight="false" outlineLevel="0" collapsed="false">
      <c r="A6" s="22" t="s">
        <v>470</v>
      </c>
      <c r="B6" s="24" t="s">
        <v>357</v>
      </c>
      <c r="C6" s="27" t="s">
        <v>471</v>
      </c>
      <c r="D6" s="27" t="s">
        <v>472</v>
      </c>
      <c r="E6" s="24" t="s">
        <v>78</v>
      </c>
      <c r="F6" s="24" t="s">
        <v>473</v>
      </c>
      <c r="G6" s="23" t="n">
        <v>46558</v>
      </c>
      <c r="H6" s="30"/>
      <c r="I6" s="29"/>
      <c r="J6" s="29" t="s">
        <v>144</v>
      </c>
      <c r="K6" s="29"/>
      <c r="L6" s="29"/>
    </row>
    <row r="7" customFormat="false" ht="16.5" hidden="false" customHeight="false" outlineLevel="0" collapsed="false">
      <c r="A7" s="22" t="s">
        <v>474</v>
      </c>
      <c r="B7" s="24" t="s">
        <v>224</v>
      </c>
      <c r="C7" s="27" t="s">
        <v>475</v>
      </c>
      <c r="D7" s="27" t="s">
        <v>476</v>
      </c>
      <c r="E7" s="24" t="s">
        <v>78</v>
      </c>
      <c r="F7" s="24" t="s">
        <v>473</v>
      </c>
      <c r="G7" s="23" t="n">
        <v>46558</v>
      </c>
      <c r="H7" s="30"/>
      <c r="I7" s="29"/>
      <c r="J7" s="29" t="s">
        <v>144</v>
      </c>
      <c r="K7" s="29"/>
      <c r="L7" s="29"/>
    </row>
    <row r="8" customFormat="false" ht="16.5" hidden="false" customHeight="false" outlineLevel="0" collapsed="false">
      <c r="A8" s="22" t="s">
        <v>477</v>
      </c>
      <c r="B8" s="24" t="s">
        <v>478</v>
      </c>
      <c r="C8" s="27" t="s">
        <v>479</v>
      </c>
      <c r="D8" s="27" t="s">
        <v>480</v>
      </c>
      <c r="E8" s="24" t="s">
        <v>87</v>
      </c>
      <c r="F8" s="24" t="s">
        <v>353</v>
      </c>
      <c r="G8" s="23" t="n">
        <v>46558</v>
      </c>
      <c r="H8" s="30"/>
      <c r="I8" s="29"/>
      <c r="J8" s="29" t="s">
        <v>144</v>
      </c>
      <c r="K8" s="29"/>
      <c r="L8" s="29"/>
    </row>
    <row r="9" customFormat="false" ht="16.5" hidden="false" customHeight="false" outlineLevel="0" collapsed="false">
      <c r="A9" s="22" t="s">
        <v>481</v>
      </c>
      <c r="B9" s="24" t="s">
        <v>482</v>
      </c>
      <c r="C9" s="27" t="s">
        <v>483</v>
      </c>
      <c r="D9" s="27" t="s">
        <v>484</v>
      </c>
      <c r="E9" s="24" t="s">
        <v>87</v>
      </c>
      <c r="F9" s="24" t="s">
        <v>353</v>
      </c>
      <c r="G9" s="23" t="n">
        <v>46558</v>
      </c>
      <c r="H9" s="30"/>
      <c r="I9" s="29"/>
      <c r="J9" s="29" t="s">
        <v>144</v>
      </c>
      <c r="K9" s="29"/>
      <c r="L9" s="29"/>
    </row>
    <row r="10" customFormat="false" ht="16.5" hidden="false" customHeight="false" outlineLevel="0" collapsed="false">
      <c r="A10" s="22" t="s">
        <v>485</v>
      </c>
      <c r="B10" s="24" t="s">
        <v>486</v>
      </c>
      <c r="C10" s="27" t="s">
        <v>487</v>
      </c>
      <c r="D10" s="27" t="s">
        <v>488</v>
      </c>
      <c r="E10" s="24" t="s">
        <v>205</v>
      </c>
      <c r="F10" s="24" t="s">
        <v>489</v>
      </c>
      <c r="G10" s="23" t="n">
        <v>46558</v>
      </c>
      <c r="H10" s="30"/>
      <c r="I10" s="29"/>
      <c r="J10" s="29" t="s">
        <v>144</v>
      </c>
      <c r="K10" s="29"/>
      <c r="L10" s="29"/>
    </row>
    <row r="11" customFormat="false" ht="16.5" hidden="false" customHeight="false" outlineLevel="0" collapsed="false">
      <c r="A11" s="22" t="s">
        <v>490</v>
      </c>
      <c r="B11" s="24" t="s">
        <v>491</v>
      </c>
      <c r="C11" s="27" t="s">
        <v>492</v>
      </c>
      <c r="D11" s="27" t="s">
        <v>493</v>
      </c>
      <c r="E11" s="24" t="s">
        <v>205</v>
      </c>
      <c r="F11" s="24" t="s">
        <v>353</v>
      </c>
      <c r="G11" s="23" t="n">
        <v>46558</v>
      </c>
      <c r="H11" s="30"/>
      <c r="I11" s="29"/>
      <c r="J11" s="29" t="s">
        <v>144</v>
      </c>
      <c r="K11" s="29"/>
      <c r="L11" s="29"/>
    </row>
    <row r="12" customFormat="false" ht="26.85" hidden="false" customHeight="false" outlineLevel="0" collapsed="false">
      <c r="A12" s="22" t="s">
        <v>494</v>
      </c>
      <c r="B12" s="24" t="s">
        <v>495</v>
      </c>
      <c r="C12" s="25" t="s">
        <v>496</v>
      </c>
      <c r="D12" s="27" t="s">
        <v>497</v>
      </c>
      <c r="E12" s="24" t="s">
        <v>89</v>
      </c>
      <c r="F12" s="24" t="s">
        <v>498</v>
      </c>
      <c r="G12" s="23" t="n">
        <v>46558</v>
      </c>
      <c r="H12" s="30"/>
      <c r="I12" s="29"/>
      <c r="J12" s="29" t="s">
        <v>144</v>
      </c>
      <c r="K12" s="29"/>
      <c r="L12" s="29"/>
    </row>
    <row r="13" customFormat="false" ht="16.5" hidden="false" customHeight="false" outlineLevel="0" collapsed="false">
      <c r="A13" s="22" t="s">
        <v>499</v>
      </c>
      <c r="B13" s="24" t="s">
        <v>500</v>
      </c>
      <c r="C13" s="27" t="s">
        <v>501</v>
      </c>
      <c r="D13" s="27" t="s">
        <v>502</v>
      </c>
      <c r="E13" s="24" t="s">
        <v>89</v>
      </c>
      <c r="F13" s="24" t="s">
        <v>469</v>
      </c>
      <c r="G13" s="23" t="n">
        <v>46563</v>
      </c>
      <c r="H13" s="30"/>
      <c r="I13" s="29"/>
      <c r="J13" s="29" t="s">
        <v>144</v>
      </c>
      <c r="K13" s="29"/>
      <c r="L13" s="29"/>
    </row>
    <row r="14" customFormat="false" ht="16.5" hidden="false" customHeight="false" outlineLevel="0" collapsed="false">
      <c r="A14" s="22" t="s">
        <v>503</v>
      </c>
      <c r="B14" s="24" t="s">
        <v>504</v>
      </c>
      <c r="C14" s="27" t="s">
        <v>505</v>
      </c>
      <c r="D14" s="27" t="s">
        <v>506</v>
      </c>
      <c r="E14" s="24" t="s">
        <v>89</v>
      </c>
      <c r="F14" s="24" t="s">
        <v>507</v>
      </c>
      <c r="G14" s="23" t="n">
        <v>46563</v>
      </c>
      <c r="H14" s="30"/>
      <c r="I14" s="29"/>
      <c r="J14" s="29" t="s">
        <v>144</v>
      </c>
      <c r="K14" s="29"/>
      <c r="L14" s="29"/>
    </row>
    <row r="15" customFormat="false" ht="16.5" hidden="false" customHeight="false" outlineLevel="0" collapsed="false">
      <c r="A15" s="22" t="s">
        <v>508</v>
      </c>
      <c r="B15" s="24" t="s">
        <v>182</v>
      </c>
      <c r="C15" s="27" t="s">
        <v>509</v>
      </c>
      <c r="D15" s="27" t="s">
        <v>510</v>
      </c>
      <c r="E15" s="24" t="s">
        <v>78</v>
      </c>
      <c r="F15" s="24" t="s">
        <v>511</v>
      </c>
      <c r="G15" s="23" t="n">
        <v>46558</v>
      </c>
      <c r="H15" s="30"/>
      <c r="I15" s="29"/>
      <c r="J15" s="29" t="s">
        <v>144</v>
      </c>
      <c r="K15" s="29"/>
      <c r="L15" s="29"/>
    </row>
    <row r="16" customFormat="false" ht="16.5" hidden="false" customHeight="false" outlineLevel="0" collapsed="false">
      <c r="A16" s="22" t="s">
        <v>512</v>
      </c>
      <c r="B16" s="24" t="s">
        <v>513</v>
      </c>
      <c r="C16" s="27" t="s">
        <v>514</v>
      </c>
      <c r="D16" s="27" t="s">
        <v>515</v>
      </c>
      <c r="E16" s="24" t="s">
        <v>87</v>
      </c>
      <c r="F16" s="24" t="s">
        <v>353</v>
      </c>
      <c r="G16" s="23" t="n">
        <v>46558</v>
      </c>
      <c r="H16" s="30"/>
      <c r="I16" s="29"/>
      <c r="J16" s="29" t="s">
        <v>144</v>
      </c>
      <c r="K16" s="29"/>
      <c r="L16" s="29"/>
    </row>
    <row r="17" customFormat="false" ht="16.5" hidden="false" customHeight="false" outlineLevel="0" collapsed="false">
      <c r="A17" s="22"/>
      <c r="B17" s="22"/>
      <c r="C17" s="25"/>
      <c r="D17" s="25"/>
      <c r="E17" s="22"/>
      <c r="F17" s="22"/>
      <c r="G17" s="23"/>
      <c r="H17" s="30"/>
      <c r="I17" s="29"/>
      <c r="J17" s="29"/>
      <c r="K17" s="29"/>
      <c r="L17" s="29"/>
    </row>
    <row r="18" customFormat="false" ht="16.5" hidden="false" customHeight="false" outlineLevel="0" collapsed="false">
      <c r="A18" s="22"/>
      <c r="B18" s="22"/>
      <c r="C18" s="25"/>
      <c r="D18" s="25"/>
      <c r="E18" s="22"/>
      <c r="F18" s="22"/>
      <c r="G18" s="23"/>
      <c r="H18" s="30"/>
      <c r="I18" s="29"/>
      <c r="J18" s="29"/>
      <c r="K18" s="29"/>
      <c r="L18" s="29"/>
    </row>
    <row r="19" customFormat="false" ht="16.5" hidden="false" customHeight="false" outlineLevel="0" collapsed="false">
      <c r="A19" s="22"/>
      <c r="B19" s="22"/>
      <c r="C19" s="25"/>
      <c r="D19" s="25"/>
      <c r="E19" s="22"/>
      <c r="F19" s="22"/>
      <c r="G19" s="23"/>
      <c r="H19" s="30"/>
      <c r="I19" s="29"/>
      <c r="J19" s="29"/>
      <c r="K19" s="29"/>
      <c r="L19" s="29"/>
    </row>
    <row r="20" customFormat="false" ht="16.5" hidden="false" customHeight="false" outlineLevel="0" collapsed="false">
      <c r="A20" s="22"/>
      <c r="B20" s="22"/>
      <c r="C20" s="25"/>
      <c r="D20" s="25"/>
      <c r="E20" s="22"/>
      <c r="F20" s="22"/>
      <c r="G20" s="23"/>
      <c r="H20" s="30"/>
      <c r="I20" s="29"/>
      <c r="J20" s="29"/>
      <c r="K20" s="29"/>
      <c r="L20" s="29"/>
    </row>
    <row r="21" customFormat="false" ht="16.5" hidden="false" customHeight="false" outlineLevel="0" collapsed="false">
      <c r="A21" s="22"/>
      <c r="B21" s="22"/>
      <c r="C21" s="25"/>
      <c r="D21" s="25"/>
      <c r="E21" s="22"/>
      <c r="F21" s="22"/>
      <c r="G21" s="23"/>
      <c r="H21" s="30"/>
      <c r="I21" s="29"/>
      <c r="J21" s="29"/>
      <c r="K21" s="29"/>
      <c r="L21" s="29"/>
    </row>
    <row r="22" customFormat="false" ht="16.5" hidden="false" customHeight="false" outlineLevel="0" collapsed="false">
      <c r="A22" s="22"/>
      <c r="B22" s="22"/>
      <c r="C22" s="25"/>
      <c r="D22" s="25"/>
      <c r="E22" s="22"/>
      <c r="F22" s="22"/>
      <c r="G22" s="23"/>
      <c r="H22" s="30"/>
      <c r="I22" s="29"/>
      <c r="J22" s="29"/>
      <c r="K22" s="29"/>
      <c r="L22" s="29"/>
    </row>
    <row r="23" customFormat="false" ht="16.5" hidden="false" customHeight="false" outlineLevel="0" collapsed="false">
      <c r="A23" s="22"/>
      <c r="B23" s="22"/>
      <c r="C23" s="25"/>
      <c r="D23" s="25"/>
      <c r="E23" s="22"/>
      <c r="F23" s="22"/>
      <c r="G23" s="23"/>
      <c r="H23" s="30"/>
      <c r="I23" s="29"/>
      <c r="J23" s="29"/>
      <c r="K23" s="29"/>
      <c r="L23" s="29"/>
    </row>
    <row r="24" customFormat="false" ht="16.5" hidden="false" customHeight="false" outlineLevel="0" collapsed="false">
      <c r="A24" s="22"/>
      <c r="B24" s="22"/>
      <c r="C24" s="25"/>
      <c r="D24" s="25"/>
      <c r="E24" s="22"/>
      <c r="F24" s="22"/>
      <c r="G24" s="23"/>
      <c r="H24" s="30"/>
      <c r="I24" s="29"/>
      <c r="J24" s="29"/>
      <c r="K24" s="29"/>
      <c r="L24" s="29"/>
    </row>
    <row r="25" customFormat="false" ht="16.5" hidden="false" customHeight="false" outlineLevel="0" collapsed="false">
      <c r="A25" s="22"/>
      <c r="B25" s="22"/>
      <c r="C25" s="25"/>
      <c r="D25" s="25"/>
      <c r="E25" s="22"/>
      <c r="F25" s="22"/>
      <c r="G25" s="23"/>
      <c r="H25" s="30"/>
      <c r="I25" s="29"/>
      <c r="J25" s="29"/>
      <c r="K25" s="29"/>
      <c r="L25" s="29"/>
    </row>
    <row r="26" customFormat="false" ht="16.5" hidden="false" customHeight="false" outlineLevel="0" collapsed="false">
      <c r="A26" s="22"/>
      <c r="B26" s="22"/>
      <c r="C26" s="25"/>
      <c r="D26" s="25"/>
      <c r="E26" s="22"/>
      <c r="F26" s="22"/>
      <c r="G26" s="23"/>
      <c r="H26" s="30"/>
      <c r="I26" s="29"/>
      <c r="J26" s="29"/>
      <c r="K26" s="29"/>
      <c r="L26" s="29"/>
    </row>
    <row r="27" customFormat="false" ht="16.5" hidden="false" customHeight="false" outlineLevel="0" collapsed="false">
      <c r="A27" s="22"/>
      <c r="B27" s="22"/>
      <c r="C27" s="25"/>
      <c r="D27" s="25"/>
      <c r="E27" s="22"/>
      <c r="F27" s="22"/>
      <c r="G27" s="23"/>
      <c r="H27" s="30"/>
      <c r="I27" s="29"/>
      <c r="J27" s="29"/>
      <c r="K27" s="29"/>
      <c r="L27" s="29"/>
    </row>
    <row r="28" customFormat="false" ht="16.5" hidden="false" customHeight="false" outlineLevel="0" collapsed="false">
      <c r="A28" s="22"/>
      <c r="B28" s="22"/>
      <c r="C28" s="25"/>
      <c r="D28" s="25"/>
      <c r="E28" s="22"/>
      <c r="F28" s="22"/>
      <c r="G28" s="23"/>
      <c r="H28" s="30"/>
      <c r="I28" s="29"/>
      <c r="J28" s="29"/>
      <c r="K28" s="29"/>
      <c r="L28" s="29"/>
    </row>
    <row r="29" customFormat="false" ht="16.5" hidden="false" customHeight="false" outlineLevel="0" collapsed="false">
      <c r="A29" s="22"/>
      <c r="B29" s="22"/>
      <c r="C29" s="25"/>
      <c r="D29" s="25"/>
      <c r="E29" s="22"/>
      <c r="F29" s="22"/>
      <c r="G29" s="23"/>
      <c r="H29" s="30"/>
      <c r="I29" s="29"/>
      <c r="J29" s="29"/>
      <c r="K29" s="29"/>
      <c r="L29" s="29"/>
    </row>
    <row r="30" customFormat="false" ht="16.5" hidden="false" customHeight="false" outlineLevel="0" collapsed="false">
      <c r="A30" s="22"/>
      <c r="B30" s="22"/>
      <c r="C30" s="25"/>
      <c r="D30" s="25"/>
      <c r="E30" s="22"/>
      <c r="F30" s="22"/>
      <c r="G30" s="23"/>
      <c r="H30" s="30"/>
      <c r="I30" s="29"/>
      <c r="J30" s="29"/>
      <c r="K30" s="29"/>
      <c r="L30" s="29"/>
    </row>
    <row r="31" customFormat="false" ht="16.5" hidden="false" customHeight="false" outlineLevel="0" collapsed="false">
      <c r="A31" s="22"/>
      <c r="B31" s="22"/>
      <c r="C31" s="25"/>
      <c r="D31" s="25"/>
      <c r="E31" s="22"/>
      <c r="F31" s="22"/>
      <c r="G31" s="23"/>
      <c r="H31" s="30"/>
      <c r="I31" s="29"/>
      <c r="J31" s="29"/>
      <c r="K31" s="29"/>
      <c r="L31" s="29"/>
    </row>
    <row r="32" customFormat="false" ht="16.5" hidden="false" customHeight="false" outlineLevel="0" collapsed="false">
      <c r="A32" s="22"/>
      <c r="B32" s="22"/>
      <c r="C32" s="25"/>
      <c r="D32" s="25"/>
      <c r="E32" s="22"/>
      <c r="F32" s="22"/>
      <c r="G32" s="23"/>
      <c r="H32" s="30"/>
      <c r="I32" s="29"/>
      <c r="J32" s="29"/>
      <c r="K32" s="29"/>
      <c r="L32" s="29"/>
    </row>
    <row r="33" customFormat="false" ht="16.5" hidden="false" customHeight="false" outlineLevel="0" collapsed="false">
      <c r="A33" s="22"/>
      <c r="B33" s="22"/>
      <c r="C33" s="25"/>
      <c r="D33" s="25"/>
      <c r="E33" s="22"/>
      <c r="F33" s="22"/>
      <c r="G33" s="23"/>
      <c r="H33" s="30"/>
      <c r="I33" s="29"/>
      <c r="J33" s="29"/>
      <c r="K33" s="29"/>
      <c r="L33" s="29"/>
    </row>
    <row r="34" customFormat="false" ht="16.5" hidden="false" customHeight="false" outlineLevel="0" collapsed="false">
      <c r="A34" s="22"/>
      <c r="B34" s="22"/>
      <c r="C34" s="25"/>
      <c r="D34" s="25"/>
      <c r="E34" s="22"/>
      <c r="F34" s="22"/>
      <c r="G34" s="23"/>
      <c r="H34" s="30"/>
      <c r="I34" s="29"/>
      <c r="J34" s="29"/>
      <c r="K34" s="29"/>
      <c r="L34" s="29"/>
    </row>
  </sheetData>
  <dataValidations count="1">
    <dataValidation allowBlank="false" errorStyle="stop" operator="between" showDropDown="false" showErrorMessage="false" showInputMessage="false" sqref="J5:J34" type="list">
      <formula1>"未开始,准备中,待确认,已完成,需整改"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3" min="1" style="1" width="12.91"/>
    <col collapsed="false" customWidth="true" hidden="false" outlineLevel="0" max="8" min="4" style="1" width="16.35"/>
    <col collapsed="false" customWidth="true" hidden="false" outlineLevel="0" max="11" min="9" style="1" width="29.26"/>
    <col collapsed="false" customWidth="true" hidden="false" outlineLevel="0" max="14" min="12" style="1" width="16.35"/>
  </cols>
  <sheetData>
    <row r="1" customFormat="false" ht="24.75" hidden="false" customHeight="true" outlineLevel="0" collapsed="false">
      <c r="A1" s="17" t="s">
        <v>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6.5" hidden="false" customHeight="false" outlineLevel="0" collapsed="false">
      <c r="A2" s="18" t="s">
        <v>516</v>
      </c>
    </row>
    <row r="4" customFormat="false" ht="31.5" hidden="false" customHeight="true" outlineLevel="0" collapsed="false">
      <c r="A4" s="21" t="s">
        <v>517</v>
      </c>
      <c r="B4" s="21" t="s">
        <v>518</v>
      </c>
      <c r="C4" s="21" t="s">
        <v>519</v>
      </c>
      <c r="D4" s="21" t="s">
        <v>520</v>
      </c>
      <c r="E4" s="21" t="s">
        <v>521</v>
      </c>
      <c r="F4" s="42" t="s">
        <v>522</v>
      </c>
      <c r="G4" s="21" t="s">
        <v>523</v>
      </c>
      <c r="H4" s="42" t="s">
        <v>524</v>
      </c>
      <c r="I4" s="21" t="s">
        <v>525</v>
      </c>
      <c r="J4" s="21" t="s">
        <v>526</v>
      </c>
      <c r="K4" s="21" t="s">
        <v>527</v>
      </c>
      <c r="L4" s="21" t="s">
        <v>72</v>
      </c>
      <c r="M4" s="21" t="s">
        <v>112</v>
      </c>
      <c r="N4" s="21" t="s">
        <v>528</v>
      </c>
    </row>
    <row r="5" customFormat="false" ht="16.5" hidden="false" customHeight="false" outlineLevel="0" collapsed="false">
      <c r="A5" s="22" t="s">
        <v>529</v>
      </c>
      <c r="B5" s="23" t="n">
        <v>46539</v>
      </c>
      <c r="C5" s="23" t="n">
        <v>46544</v>
      </c>
      <c r="D5" s="33"/>
      <c r="E5" s="43"/>
      <c r="F5" s="29"/>
      <c r="G5" s="29"/>
      <c r="H5" s="43"/>
      <c r="I5" s="31"/>
      <c r="J5" s="31"/>
      <c r="K5" s="31"/>
      <c r="L5" s="29" t="s">
        <v>89</v>
      </c>
      <c r="M5" s="29" t="s">
        <v>144</v>
      </c>
      <c r="N5" s="29"/>
    </row>
    <row r="6" customFormat="false" ht="16.5" hidden="false" customHeight="false" outlineLevel="0" collapsed="false">
      <c r="A6" s="22" t="s">
        <v>530</v>
      </c>
      <c r="B6" s="23" t="n">
        <v>46545</v>
      </c>
      <c r="C6" s="23" t="n">
        <v>46551</v>
      </c>
      <c r="D6" s="33"/>
      <c r="E6" s="43"/>
      <c r="F6" s="29"/>
      <c r="G6" s="29"/>
      <c r="H6" s="43"/>
      <c r="I6" s="31"/>
      <c r="J6" s="31"/>
      <c r="K6" s="31"/>
      <c r="L6" s="29" t="s">
        <v>89</v>
      </c>
      <c r="M6" s="29" t="s">
        <v>144</v>
      </c>
      <c r="N6" s="29"/>
    </row>
    <row r="7" customFormat="false" ht="16.5" hidden="false" customHeight="false" outlineLevel="0" collapsed="false">
      <c r="A7" s="22" t="s">
        <v>531</v>
      </c>
      <c r="B7" s="23" t="n">
        <v>46552</v>
      </c>
      <c r="C7" s="23" t="n">
        <v>46558</v>
      </c>
      <c r="D7" s="33"/>
      <c r="E7" s="43"/>
      <c r="F7" s="29"/>
      <c r="G7" s="29"/>
      <c r="H7" s="43"/>
      <c r="I7" s="31"/>
      <c r="J7" s="31"/>
      <c r="K7" s="31"/>
      <c r="L7" s="29" t="s">
        <v>89</v>
      </c>
      <c r="M7" s="29" t="s">
        <v>144</v>
      </c>
      <c r="N7" s="29"/>
    </row>
    <row r="8" customFormat="false" ht="16.5" hidden="false" customHeight="false" outlineLevel="0" collapsed="false">
      <c r="A8" s="22" t="s">
        <v>532</v>
      </c>
      <c r="B8" s="23" t="n">
        <v>46559</v>
      </c>
      <c r="C8" s="23" t="n">
        <v>46565</v>
      </c>
      <c r="D8" s="33"/>
      <c r="E8" s="43"/>
      <c r="F8" s="29"/>
      <c r="G8" s="29"/>
      <c r="H8" s="43"/>
      <c r="I8" s="31"/>
      <c r="J8" s="31"/>
      <c r="K8" s="31"/>
      <c r="L8" s="29" t="s">
        <v>89</v>
      </c>
      <c r="M8" s="29" t="s">
        <v>144</v>
      </c>
      <c r="N8" s="29"/>
    </row>
    <row r="9" customFormat="false" ht="16.5" hidden="false" customHeight="false" outlineLevel="0" collapsed="false">
      <c r="A9" s="22" t="s">
        <v>533</v>
      </c>
      <c r="B9" s="23" t="n">
        <v>46566</v>
      </c>
      <c r="C9" s="23" t="n">
        <v>46568</v>
      </c>
      <c r="D9" s="33"/>
      <c r="E9" s="43"/>
      <c r="F9" s="29"/>
      <c r="G9" s="29"/>
      <c r="H9" s="43"/>
      <c r="I9" s="31"/>
      <c r="J9" s="31"/>
      <c r="K9" s="31"/>
      <c r="L9" s="29" t="s">
        <v>89</v>
      </c>
      <c r="M9" s="29" t="s">
        <v>144</v>
      </c>
      <c r="N9" s="29"/>
    </row>
    <row r="10" customFormat="false" ht="16.5" hidden="false" customHeight="false" outlineLevel="0" collapsed="false">
      <c r="A10" s="22"/>
      <c r="B10" s="23"/>
      <c r="C10" s="23"/>
      <c r="D10" s="33"/>
      <c r="E10" s="43"/>
      <c r="F10" s="29"/>
      <c r="G10" s="29"/>
      <c r="H10" s="43"/>
      <c r="I10" s="31"/>
      <c r="J10" s="31"/>
      <c r="K10" s="31"/>
      <c r="L10" s="29"/>
      <c r="M10" s="29"/>
      <c r="N10" s="29"/>
    </row>
    <row r="11" customFormat="false" ht="16.5" hidden="false" customHeight="false" outlineLevel="0" collapsed="false">
      <c r="A11" s="22"/>
      <c r="B11" s="23"/>
      <c r="C11" s="23"/>
      <c r="D11" s="33"/>
      <c r="E11" s="43"/>
      <c r="F11" s="29"/>
      <c r="G11" s="29"/>
      <c r="H11" s="43"/>
      <c r="I11" s="31"/>
      <c r="J11" s="31"/>
      <c r="K11" s="31"/>
      <c r="L11" s="29"/>
      <c r="M11" s="29"/>
      <c r="N11" s="29"/>
    </row>
    <row r="12" customFormat="false" ht="16.5" hidden="false" customHeight="false" outlineLevel="0" collapsed="false">
      <c r="A12" s="22"/>
      <c r="B12" s="23"/>
      <c r="C12" s="23"/>
      <c r="D12" s="33"/>
      <c r="E12" s="43"/>
      <c r="F12" s="29"/>
      <c r="G12" s="29"/>
      <c r="H12" s="43"/>
      <c r="I12" s="31"/>
      <c r="J12" s="31"/>
      <c r="K12" s="31"/>
      <c r="L12" s="29"/>
      <c r="M12" s="29"/>
      <c r="N12" s="29"/>
    </row>
    <row r="13" customFormat="false" ht="16.5" hidden="false" customHeight="false" outlineLevel="0" collapsed="false">
      <c r="A13" s="22"/>
      <c r="B13" s="23"/>
      <c r="C13" s="23"/>
      <c r="D13" s="33"/>
      <c r="E13" s="43"/>
      <c r="F13" s="29"/>
      <c r="G13" s="29"/>
      <c r="H13" s="43"/>
      <c r="I13" s="31"/>
      <c r="J13" s="31"/>
      <c r="K13" s="31"/>
      <c r="L13" s="29"/>
      <c r="M13" s="29"/>
      <c r="N13" s="29"/>
    </row>
    <row r="14" customFormat="false" ht="16.5" hidden="false" customHeight="false" outlineLevel="0" collapsed="false">
      <c r="A14" s="22"/>
      <c r="B14" s="23"/>
      <c r="C14" s="23"/>
      <c r="D14" s="33"/>
      <c r="E14" s="43"/>
      <c r="F14" s="29"/>
      <c r="G14" s="29"/>
      <c r="H14" s="43"/>
      <c r="I14" s="31"/>
      <c r="J14" s="31"/>
      <c r="K14" s="31"/>
      <c r="L14" s="29"/>
      <c r="M14" s="29"/>
      <c r="N14" s="29"/>
    </row>
    <row r="15" customFormat="false" ht="16.5" hidden="false" customHeight="false" outlineLevel="0" collapsed="false">
      <c r="A15" s="22"/>
      <c r="B15" s="23"/>
      <c r="C15" s="23"/>
      <c r="D15" s="33"/>
      <c r="E15" s="43"/>
      <c r="F15" s="29"/>
      <c r="G15" s="29"/>
      <c r="H15" s="43"/>
      <c r="I15" s="31"/>
      <c r="J15" s="31"/>
      <c r="K15" s="31"/>
      <c r="L15" s="29"/>
      <c r="M15" s="29"/>
      <c r="N15" s="29"/>
    </row>
    <row r="16" customFormat="false" ht="16.5" hidden="false" customHeight="false" outlineLevel="0" collapsed="false">
      <c r="A16" s="22"/>
      <c r="B16" s="23"/>
      <c r="C16" s="23"/>
      <c r="D16" s="33"/>
      <c r="E16" s="43"/>
      <c r="F16" s="29"/>
      <c r="G16" s="29"/>
      <c r="H16" s="43"/>
      <c r="I16" s="31"/>
      <c r="J16" s="31"/>
      <c r="K16" s="31"/>
      <c r="L16" s="29"/>
      <c r="M16" s="29"/>
      <c r="N16" s="29"/>
    </row>
    <row r="17" customFormat="false" ht="16.5" hidden="false" customHeight="false" outlineLevel="0" collapsed="false">
      <c r="A17" s="22"/>
      <c r="B17" s="23"/>
      <c r="C17" s="23"/>
      <c r="D17" s="33"/>
      <c r="E17" s="43"/>
      <c r="F17" s="29"/>
      <c r="G17" s="29"/>
      <c r="H17" s="43"/>
      <c r="I17" s="31"/>
      <c r="J17" s="31"/>
      <c r="K17" s="31"/>
      <c r="L17" s="29"/>
      <c r="M17" s="29"/>
      <c r="N17" s="29"/>
    </row>
    <row r="18" customFormat="false" ht="16.5" hidden="false" customHeight="false" outlineLevel="0" collapsed="false">
      <c r="A18" s="22"/>
      <c r="B18" s="23"/>
      <c r="C18" s="23"/>
      <c r="D18" s="33"/>
      <c r="E18" s="43"/>
      <c r="F18" s="29"/>
      <c r="G18" s="29"/>
      <c r="H18" s="43"/>
      <c r="I18" s="31"/>
      <c r="J18" s="31"/>
      <c r="K18" s="31"/>
      <c r="L18" s="29"/>
      <c r="M18" s="29"/>
      <c r="N18" s="29"/>
    </row>
    <row r="19" customFormat="false" ht="16.5" hidden="false" customHeight="false" outlineLevel="0" collapsed="false">
      <c r="A19" s="22"/>
      <c r="B19" s="23"/>
      <c r="C19" s="23"/>
      <c r="D19" s="33"/>
      <c r="E19" s="43"/>
      <c r="F19" s="29"/>
      <c r="G19" s="29"/>
      <c r="H19" s="43"/>
      <c r="I19" s="31"/>
      <c r="J19" s="31"/>
      <c r="K19" s="31"/>
      <c r="L19" s="29"/>
      <c r="M19" s="29"/>
      <c r="N19" s="29"/>
    </row>
    <row r="20" customFormat="false" ht="16.5" hidden="false" customHeight="false" outlineLevel="0" collapsed="false">
      <c r="A20" s="22"/>
      <c r="B20" s="23"/>
      <c r="C20" s="23"/>
      <c r="D20" s="33"/>
      <c r="E20" s="43"/>
      <c r="F20" s="29"/>
      <c r="G20" s="29"/>
      <c r="H20" s="43"/>
      <c r="I20" s="31"/>
      <c r="J20" s="31"/>
      <c r="K20" s="31"/>
      <c r="L20" s="29"/>
      <c r="M20" s="29"/>
      <c r="N20" s="29"/>
    </row>
    <row r="21" customFormat="false" ht="16.5" hidden="false" customHeight="false" outlineLevel="0" collapsed="false">
      <c r="A21" s="22"/>
      <c r="B21" s="23"/>
      <c r="C21" s="23"/>
      <c r="D21" s="33"/>
      <c r="E21" s="43"/>
      <c r="F21" s="29"/>
      <c r="G21" s="29"/>
      <c r="H21" s="43"/>
      <c r="I21" s="31"/>
      <c r="J21" s="31"/>
      <c r="K21" s="31"/>
      <c r="L21" s="29"/>
      <c r="M21" s="29"/>
      <c r="N21" s="29"/>
    </row>
    <row r="22" customFormat="false" ht="16.5" hidden="false" customHeight="false" outlineLevel="0" collapsed="false">
      <c r="A22" s="22"/>
      <c r="B22" s="23"/>
      <c r="C22" s="23"/>
      <c r="D22" s="33"/>
      <c r="E22" s="43"/>
      <c r="F22" s="29"/>
      <c r="G22" s="29"/>
      <c r="H22" s="43"/>
      <c r="I22" s="31"/>
      <c r="J22" s="31"/>
      <c r="K22" s="31"/>
      <c r="L22" s="29"/>
      <c r="M22" s="29"/>
      <c r="N22" s="29"/>
    </row>
    <row r="23" customFormat="false" ht="16.5" hidden="false" customHeight="false" outlineLevel="0" collapsed="false">
      <c r="A23" s="22"/>
      <c r="B23" s="23"/>
      <c r="C23" s="23"/>
      <c r="D23" s="33"/>
      <c r="E23" s="43"/>
      <c r="F23" s="29"/>
      <c r="G23" s="29"/>
      <c r="H23" s="43"/>
      <c r="I23" s="31"/>
      <c r="J23" s="31"/>
      <c r="K23" s="31"/>
      <c r="L23" s="29"/>
      <c r="M23" s="29"/>
      <c r="N23" s="29"/>
    </row>
    <row r="24" customFormat="false" ht="16.5" hidden="false" customHeight="false" outlineLevel="0" collapsed="false">
      <c r="A24" s="22"/>
      <c r="B24" s="23"/>
      <c r="C24" s="23"/>
      <c r="D24" s="33"/>
      <c r="E24" s="43"/>
      <c r="F24" s="29"/>
      <c r="G24" s="29"/>
      <c r="H24" s="43"/>
      <c r="I24" s="31"/>
      <c r="J24" s="31"/>
      <c r="K24" s="31"/>
      <c r="L24" s="29"/>
      <c r="M24" s="29"/>
      <c r="N24" s="29"/>
    </row>
    <row r="25" customFormat="false" ht="16.5" hidden="false" customHeight="false" outlineLevel="0" collapsed="false">
      <c r="A25" s="22"/>
      <c r="B25" s="23"/>
      <c r="C25" s="23"/>
      <c r="D25" s="33"/>
      <c r="E25" s="43"/>
      <c r="F25" s="29"/>
      <c r="G25" s="29"/>
      <c r="H25" s="43"/>
      <c r="I25" s="31"/>
      <c r="J25" s="31"/>
      <c r="K25" s="31"/>
      <c r="L25" s="29"/>
      <c r="M25" s="29"/>
      <c r="N25" s="29"/>
    </row>
    <row r="26" customFormat="false" ht="16.5" hidden="false" customHeight="false" outlineLevel="0" collapsed="false">
      <c r="A26" s="22"/>
      <c r="B26" s="23"/>
      <c r="C26" s="23"/>
      <c r="D26" s="33"/>
      <c r="E26" s="43"/>
      <c r="F26" s="29"/>
      <c r="G26" s="29"/>
      <c r="H26" s="43"/>
      <c r="I26" s="31"/>
      <c r="J26" s="31"/>
      <c r="K26" s="31"/>
      <c r="L26" s="29"/>
      <c r="M26" s="29"/>
      <c r="N26" s="29"/>
    </row>
    <row r="27" customFormat="false" ht="16.5" hidden="false" customHeight="false" outlineLevel="0" collapsed="false">
      <c r="A27" s="22"/>
      <c r="B27" s="23"/>
      <c r="C27" s="23"/>
      <c r="D27" s="33"/>
      <c r="E27" s="43"/>
      <c r="F27" s="29"/>
      <c r="G27" s="29"/>
      <c r="H27" s="43"/>
      <c r="I27" s="31"/>
      <c r="J27" s="31"/>
      <c r="K27" s="31"/>
      <c r="L27" s="29"/>
      <c r="M27" s="29"/>
      <c r="N27" s="29"/>
    </row>
    <row r="28" customFormat="false" ht="16.5" hidden="false" customHeight="false" outlineLevel="0" collapsed="false">
      <c r="A28" s="22"/>
      <c r="B28" s="23"/>
      <c r="C28" s="23"/>
      <c r="D28" s="33"/>
      <c r="E28" s="43"/>
      <c r="F28" s="29"/>
      <c r="G28" s="29"/>
      <c r="H28" s="43"/>
      <c r="I28" s="31"/>
      <c r="J28" s="31"/>
      <c r="K28" s="31"/>
      <c r="L28" s="29"/>
      <c r="M28" s="29"/>
      <c r="N28" s="29"/>
    </row>
    <row r="29" customFormat="false" ht="16.5" hidden="false" customHeight="false" outlineLevel="0" collapsed="false">
      <c r="A29" s="22"/>
      <c r="B29" s="23"/>
      <c r="C29" s="23"/>
      <c r="D29" s="33"/>
      <c r="E29" s="43"/>
      <c r="F29" s="29"/>
      <c r="G29" s="29"/>
      <c r="H29" s="43"/>
      <c r="I29" s="31"/>
      <c r="J29" s="31"/>
      <c r="K29" s="31"/>
      <c r="L29" s="29"/>
      <c r="M29" s="29"/>
      <c r="N29" s="29"/>
    </row>
    <row r="30" customFormat="false" ht="16.5" hidden="false" customHeight="false" outlineLevel="0" collapsed="false">
      <c r="A30" s="22"/>
      <c r="B30" s="23"/>
      <c r="C30" s="23"/>
      <c r="D30" s="33"/>
      <c r="E30" s="43"/>
      <c r="F30" s="29"/>
      <c r="G30" s="29"/>
      <c r="H30" s="43"/>
      <c r="I30" s="31"/>
      <c r="J30" s="31"/>
      <c r="K30" s="31"/>
      <c r="L30" s="29"/>
      <c r="M30" s="29"/>
      <c r="N30" s="29"/>
    </row>
  </sheetData>
  <dataValidations count="1">
    <dataValidation allowBlank="false" errorStyle="stop" operator="between" showDropDown="false" showErrorMessage="false" showInputMessage="false" sqref="M5:M30" type="list">
      <formula1>"未开始,正常,关注,异常,已完成"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17.21"/>
    <col collapsed="false" customWidth="true" hidden="false" outlineLevel="0" max="2" min="2" style="1" width="29.26"/>
    <col collapsed="false" customWidth="true" hidden="false" outlineLevel="0" max="4" min="3" style="1" width="17.21"/>
    <col collapsed="false" customWidth="true" hidden="false" outlineLevel="0" max="5" min="5" style="1" width="21.94"/>
    <col collapsed="false" customWidth="true" hidden="false" outlineLevel="0" max="6" min="6" style="1" width="17.21"/>
    <col collapsed="false" customWidth="true" hidden="false" outlineLevel="0" max="9" min="7" style="1" width="18.93"/>
    <col collapsed="false" customWidth="true" hidden="false" outlineLevel="0" max="11" min="10" style="1" width="29.26"/>
    <col collapsed="false" customWidth="true" hidden="false" outlineLevel="0" max="12" min="12" style="1" width="13.77"/>
  </cols>
  <sheetData>
    <row r="1" customFormat="false" ht="24.75" hidden="false" customHeight="true" outlineLevel="0" collapsed="false">
      <c r="A1" s="17" t="s">
        <v>534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6.5" hidden="false" customHeight="false" outlineLevel="0" collapsed="false">
      <c r="A2" s="44" t="s">
        <v>535</v>
      </c>
    </row>
    <row r="4" customFormat="false" ht="31.5" hidden="false" customHeight="true" outlineLevel="0" collapsed="false">
      <c r="A4" s="21" t="s">
        <v>536</v>
      </c>
      <c r="B4" s="21" t="s">
        <v>537</v>
      </c>
      <c r="C4" s="21" t="s">
        <v>538</v>
      </c>
      <c r="D4" s="21" t="s">
        <v>539</v>
      </c>
      <c r="E4" s="21" t="s">
        <v>540</v>
      </c>
      <c r="F4" s="21" t="s">
        <v>541</v>
      </c>
      <c r="G4" s="21" t="s">
        <v>542</v>
      </c>
      <c r="H4" s="21" t="s">
        <v>543</v>
      </c>
      <c r="I4" s="21" t="s">
        <v>544</v>
      </c>
      <c r="J4" s="21" t="s">
        <v>545</v>
      </c>
      <c r="K4" s="21" t="s">
        <v>546</v>
      </c>
      <c r="L4" s="21" t="s">
        <v>112</v>
      </c>
    </row>
    <row r="5" customFormat="false" ht="16.5" hidden="false" customHeight="false" outlineLevel="0" collapsed="false">
      <c r="A5" s="24" t="s">
        <v>547</v>
      </c>
      <c r="B5" s="25" t="s">
        <v>548</v>
      </c>
      <c r="C5" s="25" t="s">
        <v>549</v>
      </c>
      <c r="D5" s="31" t="s">
        <v>407</v>
      </c>
      <c r="E5" s="31" t="s">
        <v>550</v>
      </c>
      <c r="F5" s="31" t="s">
        <v>407</v>
      </c>
      <c r="G5" s="28" t="s">
        <v>551</v>
      </c>
      <c r="H5" s="28" t="s">
        <v>552</v>
      </c>
      <c r="I5" s="28" t="s">
        <v>553</v>
      </c>
      <c r="J5" s="28" t="s">
        <v>554</v>
      </c>
      <c r="K5" s="28" t="s">
        <v>555</v>
      </c>
      <c r="L5" s="29" t="s">
        <v>556</v>
      </c>
    </row>
    <row r="6" customFormat="false" ht="16.5" hidden="false" customHeight="false" outlineLevel="0" collapsed="false">
      <c r="A6" s="24" t="s">
        <v>547</v>
      </c>
      <c r="B6" s="25" t="s">
        <v>557</v>
      </c>
      <c r="C6" s="25" t="s">
        <v>549</v>
      </c>
      <c r="D6" s="31" t="s">
        <v>558</v>
      </c>
      <c r="E6" s="31" t="s">
        <v>559</v>
      </c>
      <c r="F6" s="31" t="s">
        <v>453</v>
      </c>
      <c r="G6" s="28" t="s">
        <v>551</v>
      </c>
      <c r="H6" s="28" t="s">
        <v>560</v>
      </c>
      <c r="I6" s="28" t="s">
        <v>561</v>
      </c>
      <c r="J6" s="28" t="s">
        <v>562</v>
      </c>
      <c r="K6" s="28" t="s">
        <v>563</v>
      </c>
      <c r="L6" s="29" t="s">
        <v>556</v>
      </c>
    </row>
    <row r="7" customFormat="false" ht="16.5" hidden="false" customHeight="false" outlineLevel="0" collapsed="false">
      <c r="A7" s="24" t="s">
        <v>547</v>
      </c>
      <c r="B7" s="25" t="s">
        <v>564</v>
      </c>
      <c r="C7" s="25" t="s">
        <v>565</v>
      </c>
      <c r="D7" s="31" t="s">
        <v>417</v>
      </c>
      <c r="E7" s="31" t="s">
        <v>566</v>
      </c>
      <c r="F7" s="31" t="s">
        <v>567</v>
      </c>
      <c r="G7" s="28" t="s">
        <v>551</v>
      </c>
      <c r="H7" s="28" t="s">
        <v>560</v>
      </c>
      <c r="I7" s="28" t="s">
        <v>495</v>
      </c>
      <c r="J7" s="28" t="s">
        <v>568</v>
      </c>
      <c r="K7" s="28" t="s">
        <v>569</v>
      </c>
      <c r="L7" s="29" t="s">
        <v>556</v>
      </c>
    </row>
    <row r="8" customFormat="false" ht="16.5" hidden="false" customHeight="false" outlineLevel="0" collapsed="false">
      <c r="A8" s="24" t="s">
        <v>547</v>
      </c>
      <c r="B8" s="25" t="s">
        <v>570</v>
      </c>
      <c r="C8" s="25" t="s">
        <v>565</v>
      </c>
      <c r="D8" s="31" t="s">
        <v>567</v>
      </c>
      <c r="E8" s="31" t="s">
        <v>571</v>
      </c>
      <c r="F8" s="31" t="s">
        <v>572</v>
      </c>
      <c r="G8" s="28" t="s">
        <v>551</v>
      </c>
      <c r="H8" s="28" t="s">
        <v>573</v>
      </c>
      <c r="I8" s="28" t="s">
        <v>495</v>
      </c>
      <c r="J8" s="28" t="s">
        <v>574</v>
      </c>
      <c r="K8" s="28" t="s">
        <v>575</v>
      </c>
      <c r="L8" s="29" t="s">
        <v>556</v>
      </c>
    </row>
    <row r="9" customFormat="false" ht="16.5" hidden="false" customHeight="false" outlineLevel="0" collapsed="false">
      <c r="A9" s="24" t="s">
        <v>576</v>
      </c>
      <c r="B9" s="27" t="s">
        <v>577</v>
      </c>
      <c r="C9" s="25" t="s">
        <v>549</v>
      </c>
      <c r="D9" s="28" t="s">
        <v>578</v>
      </c>
      <c r="E9" s="28" t="s">
        <v>579</v>
      </c>
      <c r="F9" s="28" t="s">
        <v>580</v>
      </c>
      <c r="G9" s="28" t="s">
        <v>482</v>
      </c>
      <c r="H9" s="28" t="s">
        <v>87</v>
      </c>
      <c r="I9" s="28" t="s">
        <v>495</v>
      </c>
      <c r="J9" s="28" t="s">
        <v>581</v>
      </c>
      <c r="K9" s="28" t="s">
        <v>582</v>
      </c>
      <c r="L9" s="29" t="s">
        <v>556</v>
      </c>
    </row>
    <row r="10" customFormat="false" ht="26.85" hidden="false" customHeight="false" outlineLevel="0" collapsed="false">
      <c r="A10" s="24" t="s">
        <v>583</v>
      </c>
      <c r="B10" s="27" t="s">
        <v>584</v>
      </c>
      <c r="C10" s="25" t="s">
        <v>549</v>
      </c>
      <c r="D10" s="28" t="s">
        <v>578</v>
      </c>
      <c r="E10" s="28" t="s">
        <v>585</v>
      </c>
      <c r="F10" s="28" t="s">
        <v>586</v>
      </c>
      <c r="G10" s="28" t="s">
        <v>482</v>
      </c>
      <c r="H10" s="28" t="s">
        <v>87</v>
      </c>
      <c r="I10" s="28" t="s">
        <v>587</v>
      </c>
      <c r="J10" s="28" t="s">
        <v>588</v>
      </c>
      <c r="K10" s="28" t="s">
        <v>589</v>
      </c>
      <c r="L10" s="29" t="s">
        <v>556</v>
      </c>
    </row>
    <row r="11" customFormat="false" ht="16.5" hidden="false" customHeight="false" outlineLevel="0" collapsed="false">
      <c r="A11" s="24" t="s">
        <v>590</v>
      </c>
      <c r="B11" s="27" t="s">
        <v>591</v>
      </c>
      <c r="C11" s="25" t="s">
        <v>549</v>
      </c>
      <c r="D11" s="28" t="s">
        <v>592</v>
      </c>
      <c r="E11" s="31" t="s">
        <v>593</v>
      </c>
      <c r="F11" s="28" t="s">
        <v>594</v>
      </c>
      <c r="G11" s="28" t="s">
        <v>482</v>
      </c>
      <c r="H11" s="28" t="s">
        <v>87</v>
      </c>
      <c r="I11" s="28" t="s">
        <v>595</v>
      </c>
      <c r="J11" s="28" t="s">
        <v>596</v>
      </c>
      <c r="K11" s="28" t="s">
        <v>597</v>
      </c>
      <c r="L11" s="29" t="s">
        <v>556</v>
      </c>
    </row>
    <row r="12" customFormat="false" ht="16.5" hidden="false" customHeight="false" outlineLevel="0" collapsed="false">
      <c r="A12" s="24" t="s">
        <v>598</v>
      </c>
      <c r="B12" s="27" t="s">
        <v>599</v>
      </c>
      <c r="C12" s="25" t="s">
        <v>549</v>
      </c>
      <c r="D12" s="28" t="s">
        <v>600</v>
      </c>
      <c r="E12" s="28" t="s">
        <v>601</v>
      </c>
      <c r="F12" s="28" t="s">
        <v>602</v>
      </c>
      <c r="G12" s="28" t="s">
        <v>551</v>
      </c>
      <c r="H12" s="28" t="s">
        <v>603</v>
      </c>
      <c r="I12" s="28" t="s">
        <v>495</v>
      </c>
      <c r="J12" s="28" t="s">
        <v>604</v>
      </c>
      <c r="K12" s="28" t="s">
        <v>605</v>
      </c>
      <c r="L12" s="29" t="s">
        <v>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H23" activeCellId="0" sqref="H23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4" min="1" style="1" width="12.91"/>
    <col collapsed="false" customWidth="true" hidden="false" outlineLevel="0" max="5" min="5" style="1" width="32.7"/>
    <col collapsed="false" customWidth="true" hidden="false" outlineLevel="0" max="9" min="6" style="1" width="15.49"/>
    <col collapsed="false" customWidth="true" hidden="false" outlineLevel="0" max="11" min="10" style="1" width="16.35"/>
    <col collapsed="false" customWidth="true" hidden="false" outlineLevel="0" max="13" min="12" style="1" width="29.26"/>
    <col collapsed="false" customWidth="true" hidden="false" outlineLevel="0" max="15" min="14" style="1" width="19.79"/>
  </cols>
  <sheetData>
    <row r="1" customFormat="false" ht="24.75" hidden="false" customHeight="true" outlineLevel="0" collapsed="false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customFormat="false" ht="16.5" hidden="false" customHeight="false" outlineLevel="0" collapsed="false">
      <c r="A2" s="18" t="s">
        <v>606</v>
      </c>
    </row>
    <row r="4" customFormat="false" ht="31.5" hidden="false" customHeight="true" outlineLevel="0" collapsed="false">
      <c r="A4" s="21" t="s">
        <v>607</v>
      </c>
      <c r="B4" s="21" t="s">
        <v>608</v>
      </c>
      <c r="C4" s="21" t="s">
        <v>609</v>
      </c>
      <c r="D4" s="21" t="s">
        <v>457</v>
      </c>
      <c r="E4" s="21" t="s">
        <v>610</v>
      </c>
      <c r="F4" s="21" t="s">
        <v>611</v>
      </c>
      <c r="G4" s="21" t="s">
        <v>72</v>
      </c>
      <c r="H4" s="21" t="s">
        <v>612</v>
      </c>
      <c r="I4" s="21" t="s">
        <v>112</v>
      </c>
      <c r="J4" s="21" t="s">
        <v>613</v>
      </c>
      <c r="K4" s="21" t="s">
        <v>614</v>
      </c>
      <c r="L4" s="21" t="s">
        <v>615</v>
      </c>
      <c r="M4" s="21" t="s">
        <v>616</v>
      </c>
      <c r="N4" s="21" t="s">
        <v>617</v>
      </c>
      <c r="O4" s="21" t="s">
        <v>618</v>
      </c>
    </row>
    <row r="5" customFormat="false" ht="16.5" hidden="false" customHeight="false" outlineLevel="0" collapsed="false">
      <c r="A5" s="29"/>
      <c r="B5" s="45"/>
      <c r="C5" s="29"/>
      <c r="D5" s="29"/>
      <c r="E5" s="31"/>
      <c r="F5" s="29"/>
      <c r="G5" s="29"/>
      <c r="H5" s="45"/>
      <c r="I5" s="29"/>
      <c r="J5" s="45"/>
      <c r="K5" s="45"/>
      <c r="L5" s="31"/>
      <c r="M5" s="31"/>
      <c r="N5" s="29"/>
      <c r="O5" s="29"/>
    </row>
    <row r="6" customFormat="false" ht="16.5" hidden="false" customHeight="false" outlineLevel="0" collapsed="false">
      <c r="A6" s="29"/>
      <c r="B6" s="45"/>
      <c r="C6" s="29"/>
      <c r="D6" s="29"/>
      <c r="E6" s="31"/>
      <c r="F6" s="29"/>
      <c r="G6" s="29"/>
      <c r="H6" s="45"/>
      <c r="I6" s="29"/>
      <c r="J6" s="45"/>
      <c r="K6" s="45"/>
      <c r="L6" s="31"/>
      <c r="M6" s="31"/>
      <c r="N6" s="29"/>
      <c r="O6" s="29"/>
    </row>
    <row r="7" customFormat="false" ht="16.5" hidden="false" customHeight="false" outlineLevel="0" collapsed="false">
      <c r="A7" s="29"/>
      <c r="B7" s="45"/>
      <c r="C7" s="29"/>
      <c r="D7" s="29"/>
      <c r="E7" s="31"/>
      <c r="F7" s="29"/>
      <c r="G7" s="29"/>
      <c r="H7" s="45"/>
      <c r="I7" s="29"/>
      <c r="J7" s="45"/>
      <c r="K7" s="45"/>
      <c r="L7" s="31"/>
      <c r="M7" s="31"/>
      <c r="N7" s="29"/>
      <c r="O7" s="29"/>
    </row>
    <row r="8" customFormat="false" ht="16.5" hidden="false" customHeight="false" outlineLevel="0" collapsed="false">
      <c r="A8" s="29"/>
      <c r="B8" s="45"/>
      <c r="C8" s="29"/>
      <c r="D8" s="29"/>
      <c r="E8" s="31"/>
      <c r="F8" s="29"/>
      <c r="G8" s="29"/>
      <c r="H8" s="45"/>
      <c r="I8" s="29"/>
      <c r="J8" s="45"/>
      <c r="K8" s="45"/>
      <c r="L8" s="31"/>
      <c r="M8" s="31"/>
      <c r="N8" s="29"/>
      <c r="O8" s="29"/>
    </row>
    <row r="9" customFormat="false" ht="16.5" hidden="false" customHeight="false" outlineLevel="0" collapsed="false">
      <c r="A9" s="29"/>
      <c r="B9" s="45"/>
      <c r="C9" s="29"/>
      <c r="D9" s="29"/>
      <c r="E9" s="31"/>
      <c r="F9" s="29"/>
      <c r="G9" s="29"/>
      <c r="H9" s="45"/>
      <c r="I9" s="29"/>
      <c r="J9" s="45"/>
      <c r="K9" s="45"/>
      <c r="L9" s="31"/>
      <c r="M9" s="31"/>
      <c r="N9" s="29"/>
      <c r="O9" s="29"/>
    </row>
    <row r="10" customFormat="false" ht="16.5" hidden="false" customHeight="false" outlineLevel="0" collapsed="false">
      <c r="A10" s="29"/>
      <c r="B10" s="45"/>
      <c r="C10" s="29"/>
      <c r="D10" s="29"/>
      <c r="E10" s="31"/>
      <c r="F10" s="29"/>
      <c r="G10" s="29"/>
      <c r="H10" s="45"/>
      <c r="I10" s="29"/>
      <c r="J10" s="45"/>
      <c r="K10" s="45"/>
      <c r="L10" s="31"/>
      <c r="M10" s="31"/>
      <c r="N10" s="29"/>
      <c r="O10" s="29"/>
    </row>
    <row r="11" customFormat="false" ht="16.5" hidden="false" customHeight="false" outlineLevel="0" collapsed="false">
      <c r="A11" s="29"/>
      <c r="B11" s="45"/>
      <c r="C11" s="29"/>
      <c r="D11" s="29"/>
      <c r="E11" s="31"/>
      <c r="F11" s="29"/>
      <c r="G11" s="29"/>
      <c r="H11" s="45"/>
      <c r="I11" s="29"/>
      <c r="J11" s="45"/>
      <c r="K11" s="45"/>
      <c r="L11" s="31"/>
      <c r="M11" s="31"/>
      <c r="N11" s="29"/>
      <c r="O11" s="29"/>
    </row>
    <row r="12" customFormat="false" ht="16.5" hidden="false" customHeight="false" outlineLevel="0" collapsed="false">
      <c r="A12" s="29"/>
      <c r="B12" s="45"/>
      <c r="C12" s="29"/>
      <c r="D12" s="29"/>
      <c r="E12" s="31"/>
      <c r="F12" s="29"/>
      <c r="G12" s="29"/>
      <c r="H12" s="45"/>
      <c r="I12" s="29"/>
      <c r="J12" s="45"/>
      <c r="K12" s="45"/>
      <c r="L12" s="31"/>
      <c r="M12" s="31"/>
      <c r="N12" s="29"/>
      <c r="O12" s="29"/>
    </row>
    <row r="13" customFormat="false" ht="16.5" hidden="false" customHeight="false" outlineLevel="0" collapsed="false">
      <c r="A13" s="29"/>
      <c r="B13" s="45"/>
      <c r="C13" s="29"/>
      <c r="D13" s="29"/>
      <c r="E13" s="31"/>
      <c r="F13" s="29"/>
      <c r="G13" s="29"/>
      <c r="H13" s="45"/>
      <c r="I13" s="29"/>
      <c r="J13" s="45"/>
      <c r="K13" s="45"/>
      <c r="L13" s="31"/>
      <c r="M13" s="31"/>
      <c r="N13" s="29"/>
      <c r="O13" s="29"/>
    </row>
    <row r="14" customFormat="false" ht="16.5" hidden="false" customHeight="false" outlineLevel="0" collapsed="false">
      <c r="A14" s="29"/>
      <c r="B14" s="45"/>
      <c r="C14" s="29"/>
      <c r="D14" s="29"/>
      <c r="E14" s="31"/>
      <c r="F14" s="29"/>
      <c r="G14" s="29"/>
      <c r="H14" s="45"/>
      <c r="I14" s="29"/>
      <c r="J14" s="45"/>
      <c r="K14" s="45"/>
      <c r="L14" s="31"/>
      <c r="M14" s="31"/>
      <c r="N14" s="29"/>
      <c r="O14" s="29"/>
    </row>
    <row r="15" customFormat="false" ht="16.5" hidden="false" customHeight="false" outlineLevel="0" collapsed="false">
      <c r="A15" s="29"/>
      <c r="B15" s="45"/>
      <c r="C15" s="29"/>
      <c r="D15" s="29"/>
      <c r="E15" s="31"/>
      <c r="F15" s="29"/>
      <c r="G15" s="29"/>
      <c r="H15" s="45"/>
      <c r="I15" s="29"/>
      <c r="J15" s="45"/>
      <c r="K15" s="45"/>
      <c r="L15" s="31"/>
      <c r="M15" s="31"/>
      <c r="N15" s="29"/>
      <c r="O15" s="29"/>
    </row>
    <row r="16" customFormat="false" ht="16.5" hidden="false" customHeight="false" outlineLevel="0" collapsed="false">
      <c r="A16" s="29"/>
      <c r="B16" s="45"/>
      <c r="C16" s="29"/>
      <c r="D16" s="29"/>
      <c r="E16" s="31"/>
      <c r="F16" s="29"/>
      <c r="G16" s="29"/>
      <c r="H16" s="45"/>
      <c r="I16" s="29"/>
      <c r="J16" s="45"/>
      <c r="K16" s="45"/>
      <c r="L16" s="31"/>
      <c r="M16" s="31"/>
      <c r="N16" s="29"/>
      <c r="O16" s="29"/>
    </row>
    <row r="17" customFormat="false" ht="16.5" hidden="false" customHeight="false" outlineLevel="0" collapsed="false">
      <c r="A17" s="29"/>
      <c r="B17" s="45"/>
      <c r="C17" s="29"/>
      <c r="D17" s="29"/>
      <c r="E17" s="31"/>
      <c r="F17" s="29"/>
      <c r="G17" s="29"/>
      <c r="H17" s="45"/>
      <c r="I17" s="29"/>
      <c r="J17" s="45"/>
      <c r="K17" s="45"/>
      <c r="L17" s="31"/>
      <c r="M17" s="31"/>
      <c r="N17" s="29"/>
      <c r="O17" s="29"/>
    </row>
    <row r="18" customFormat="false" ht="16.5" hidden="false" customHeight="false" outlineLevel="0" collapsed="false">
      <c r="A18" s="29"/>
      <c r="B18" s="45"/>
      <c r="C18" s="29"/>
      <c r="D18" s="29"/>
      <c r="E18" s="31"/>
      <c r="F18" s="29"/>
      <c r="G18" s="29"/>
      <c r="H18" s="45"/>
      <c r="I18" s="29"/>
      <c r="J18" s="45"/>
      <c r="K18" s="45"/>
      <c r="L18" s="31"/>
      <c r="M18" s="31"/>
      <c r="N18" s="29"/>
      <c r="O18" s="29"/>
    </row>
    <row r="19" customFormat="false" ht="16.5" hidden="false" customHeight="false" outlineLevel="0" collapsed="false">
      <c r="A19" s="29"/>
      <c r="B19" s="45"/>
      <c r="C19" s="29"/>
      <c r="D19" s="29"/>
      <c r="E19" s="31"/>
      <c r="F19" s="29"/>
      <c r="G19" s="29"/>
      <c r="H19" s="45"/>
      <c r="I19" s="29"/>
      <c r="J19" s="45"/>
      <c r="K19" s="45"/>
      <c r="L19" s="31"/>
      <c r="M19" s="31"/>
      <c r="N19" s="29"/>
      <c r="O19" s="29"/>
    </row>
    <row r="20" customFormat="false" ht="16.5" hidden="false" customHeight="false" outlineLevel="0" collapsed="false">
      <c r="A20" s="29"/>
      <c r="B20" s="45"/>
      <c r="C20" s="29"/>
      <c r="D20" s="29"/>
      <c r="E20" s="31"/>
      <c r="F20" s="29"/>
      <c r="G20" s="29"/>
      <c r="H20" s="45"/>
      <c r="I20" s="29"/>
      <c r="J20" s="45"/>
      <c r="K20" s="45"/>
      <c r="L20" s="31"/>
      <c r="M20" s="31"/>
      <c r="N20" s="29"/>
      <c r="O20" s="29"/>
    </row>
    <row r="21" customFormat="false" ht="16.5" hidden="false" customHeight="false" outlineLevel="0" collapsed="false">
      <c r="A21" s="29"/>
      <c r="B21" s="45"/>
      <c r="C21" s="29"/>
      <c r="D21" s="29"/>
      <c r="E21" s="31"/>
      <c r="F21" s="29"/>
      <c r="G21" s="29"/>
      <c r="H21" s="45"/>
      <c r="I21" s="29"/>
      <c r="J21" s="45"/>
      <c r="K21" s="45"/>
      <c r="L21" s="31"/>
      <c r="M21" s="31"/>
      <c r="N21" s="29"/>
      <c r="O21" s="29"/>
    </row>
    <row r="22" customFormat="false" ht="16.5" hidden="false" customHeight="false" outlineLevel="0" collapsed="false">
      <c r="A22" s="29"/>
      <c r="B22" s="45"/>
      <c r="C22" s="29"/>
      <c r="D22" s="29"/>
      <c r="E22" s="31"/>
      <c r="F22" s="29"/>
      <c r="G22" s="29"/>
      <c r="H22" s="45"/>
      <c r="I22" s="29"/>
      <c r="J22" s="45"/>
      <c r="K22" s="45"/>
      <c r="L22" s="31"/>
      <c r="M22" s="31"/>
      <c r="N22" s="29"/>
      <c r="O22" s="29"/>
    </row>
    <row r="23" customFormat="false" ht="16.5" hidden="false" customHeight="false" outlineLevel="0" collapsed="false">
      <c r="A23" s="29"/>
      <c r="B23" s="45"/>
      <c r="C23" s="29"/>
      <c r="D23" s="29"/>
      <c r="E23" s="31"/>
      <c r="F23" s="29"/>
      <c r="G23" s="29"/>
      <c r="H23" s="45"/>
      <c r="I23" s="29"/>
      <c r="J23" s="45"/>
      <c r="K23" s="45"/>
      <c r="L23" s="31"/>
      <c r="M23" s="31"/>
      <c r="N23" s="29"/>
      <c r="O23" s="29"/>
    </row>
    <row r="24" customFormat="false" ht="16.5" hidden="false" customHeight="false" outlineLevel="0" collapsed="false">
      <c r="A24" s="29"/>
      <c r="B24" s="45"/>
      <c r="C24" s="29"/>
      <c r="D24" s="29"/>
      <c r="E24" s="31"/>
      <c r="F24" s="29"/>
      <c r="G24" s="29"/>
      <c r="H24" s="45"/>
      <c r="I24" s="29"/>
      <c r="J24" s="45"/>
      <c r="K24" s="45"/>
      <c r="L24" s="31"/>
      <c r="M24" s="31"/>
      <c r="N24" s="29"/>
      <c r="O24" s="29"/>
    </row>
    <row r="25" customFormat="false" ht="16.5" hidden="false" customHeight="false" outlineLevel="0" collapsed="false">
      <c r="A25" s="29"/>
      <c r="B25" s="45"/>
      <c r="C25" s="29"/>
      <c r="D25" s="29"/>
      <c r="E25" s="31"/>
      <c r="F25" s="29"/>
      <c r="G25" s="29"/>
      <c r="H25" s="45"/>
      <c r="I25" s="29"/>
      <c r="J25" s="45"/>
      <c r="K25" s="45"/>
      <c r="L25" s="31"/>
      <c r="M25" s="31"/>
      <c r="N25" s="29"/>
      <c r="O25" s="29"/>
    </row>
    <row r="26" customFormat="false" ht="16.5" hidden="false" customHeight="false" outlineLevel="0" collapsed="false">
      <c r="A26" s="29"/>
      <c r="B26" s="45"/>
      <c r="C26" s="29"/>
      <c r="D26" s="29"/>
      <c r="E26" s="31"/>
      <c r="F26" s="29"/>
      <c r="G26" s="29"/>
      <c r="H26" s="45"/>
      <c r="I26" s="29"/>
      <c r="J26" s="45"/>
      <c r="K26" s="45"/>
      <c r="L26" s="31"/>
      <c r="M26" s="31"/>
      <c r="N26" s="29"/>
      <c r="O26" s="29"/>
    </row>
    <row r="27" customFormat="false" ht="16.5" hidden="false" customHeight="false" outlineLevel="0" collapsed="false">
      <c r="A27" s="29"/>
      <c r="B27" s="45"/>
      <c r="C27" s="29"/>
      <c r="D27" s="29"/>
      <c r="E27" s="31"/>
      <c r="F27" s="29"/>
      <c r="G27" s="29"/>
      <c r="H27" s="45"/>
      <c r="I27" s="29"/>
      <c r="J27" s="45"/>
      <c r="K27" s="45"/>
      <c r="L27" s="31"/>
      <c r="M27" s="31"/>
      <c r="N27" s="29"/>
      <c r="O27" s="29"/>
    </row>
    <row r="28" customFormat="false" ht="16.5" hidden="false" customHeight="false" outlineLevel="0" collapsed="false">
      <c r="A28" s="29"/>
      <c r="B28" s="45"/>
      <c r="C28" s="29"/>
      <c r="D28" s="29"/>
      <c r="E28" s="31"/>
      <c r="F28" s="29"/>
      <c r="G28" s="29"/>
      <c r="H28" s="45"/>
      <c r="I28" s="29"/>
      <c r="J28" s="45"/>
      <c r="K28" s="45"/>
      <c r="L28" s="31"/>
      <c r="M28" s="31"/>
      <c r="N28" s="29"/>
      <c r="O28" s="29"/>
    </row>
    <row r="29" customFormat="false" ht="16.5" hidden="false" customHeight="false" outlineLevel="0" collapsed="false">
      <c r="A29" s="29"/>
      <c r="B29" s="45"/>
      <c r="C29" s="29"/>
      <c r="D29" s="29"/>
      <c r="E29" s="31"/>
      <c r="F29" s="29"/>
      <c r="G29" s="29"/>
      <c r="H29" s="45"/>
      <c r="I29" s="29"/>
      <c r="J29" s="45"/>
      <c r="K29" s="45"/>
      <c r="L29" s="31"/>
      <c r="M29" s="31"/>
      <c r="N29" s="29"/>
      <c r="O29" s="29"/>
    </row>
    <row r="30" customFormat="false" ht="16.5" hidden="false" customHeight="false" outlineLevel="0" collapsed="false">
      <c r="A30" s="29"/>
      <c r="B30" s="45"/>
      <c r="C30" s="29"/>
      <c r="D30" s="29"/>
      <c r="E30" s="31"/>
      <c r="F30" s="29"/>
      <c r="G30" s="29"/>
      <c r="H30" s="45"/>
      <c r="I30" s="29"/>
      <c r="J30" s="45"/>
      <c r="K30" s="45"/>
      <c r="L30" s="31"/>
      <c r="M30" s="31"/>
      <c r="N30" s="29"/>
      <c r="O30" s="29"/>
    </row>
    <row r="31" customFormat="false" ht="16.5" hidden="false" customHeight="false" outlineLevel="0" collapsed="false">
      <c r="A31" s="29"/>
      <c r="B31" s="45"/>
      <c r="C31" s="29"/>
      <c r="D31" s="29"/>
      <c r="E31" s="31"/>
      <c r="F31" s="29"/>
      <c r="G31" s="29"/>
      <c r="H31" s="45"/>
      <c r="I31" s="29"/>
      <c r="J31" s="45"/>
      <c r="K31" s="45"/>
      <c r="L31" s="31"/>
      <c r="M31" s="31"/>
      <c r="N31" s="29"/>
      <c r="O31" s="29"/>
    </row>
    <row r="32" customFormat="false" ht="16.5" hidden="false" customHeight="false" outlineLevel="0" collapsed="false">
      <c r="A32" s="29"/>
      <c r="B32" s="45"/>
      <c r="C32" s="29"/>
      <c r="D32" s="29"/>
      <c r="E32" s="31"/>
      <c r="F32" s="29"/>
      <c r="G32" s="29"/>
      <c r="H32" s="45"/>
      <c r="I32" s="29"/>
      <c r="J32" s="45"/>
      <c r="K32" s="45"/>
      <c r="L32" s="31"/>
      <c r="M32" s="31"/>
      <c r="N32" s="29"/>
      <c r="O32" s="29"/>
    </row>
    <row r="33" customFormat="false" ht="16.5" hidden="false" customHeight="false" outlineLevel="0" collapsed="false">
      <c r="A33" s="29"/>
      <c r="B33" s="45"/>
      <c r="C33" s="29"/>
      <c r="D33" s="29"/>
      <c r="E33" s="31"/>
      <c r="F33" s="29"/>
      <c r="G33" s="29"/>
      <c r="H33" s="45"/>
      <c r="I33" s="29"/>
      <c r="J33" s="45"/>
      <c r="K33" s="45"/>
      <c r="L33" s="31"/>
      <c r="M33" s="31"/>
      <c r="N33" s="29"/>
      <c r="O33" s="29"/>
    </row>
    <row r="34" customFormat="false" ht="16.5" hidden="false" customHeight="false" outlineLevel="0" collapsed="false">
      <c r="A34" s="29"/>
      <c r="B34" s="45"/>
      <c r="C34" s="29"/>
      <c r="D34" s="29"/>
      <c r="E34" s="31"/>
      <c r="F34" s="29"/>
      <c r="G34" s="29"/>
      <c r="H34" s="45"/>
      <c r="I34" s="29"/>
      <c r="J34" s="45"/>
      <c r="K34" s="45"/>
      <c r="L34" s="31"/>
      <c r="M34" s="31"/>
      <c r="N34" s="29"/>
      <c r="O34" s="29"/>
    </row>
    <row r="35" customFormat="false" ht="16.5" hidden="false" customHeight="false" outlineLevel="0" collapsed="false">
      <c r="A35" s="29"/>
      <c r="B35" s="45"/>
      <c r="C35" s="29"/>
      <c r="D35" s="29"/>
      <c r="E35" s="31"/>
      <c r="F35" s="29"/>
      <c r="G35" s="29"/>
      <c r="H35" s="45"/>
      <c r="I35" s="29"/>
      <c r="J35" s="45"/>
      <c r="K35" s="45"/>
      <c r="L35" s="31"/>
      <c r="M35" s="31"/>
      <c r="N35" s="29"/>
      <c r="O35" s="29"/>
    </row>
    <row r="36" customFormat="false" ht="16.5" hidden="false" customHeight="false" outlineLevel="0" collapsed="false">
      <c r="A36" s="29"/>
      <c r="B36" s="45"/>
      <c r="C36" s="29"/>
      <c r="D36" s="29"/>
      <c r="E36" s="31"/>
      <c r="F36" s="29"/>
      <c r="G36" s="29"/>
      <c r="H36" s="45"/>
      <c r="I36" s="29"/>
      <c r="J36" s="45"/>
      <c r="K36" s="45"/>
      <c r="L36" s="31"/>
      <c r="M36" s="31"/>
      <c r="N36" s="29"/>
      <c r="O36" s="29"/>
    </row>
    <row r="37" customFormat="false" ht="16.5" hidden="false" customHeight="false" outlineLevel="0" collapsed="false">
      <c r="A37" s="29"/>
      <c r="B37" s="45"/>
      <c r="C37" s="29"/>
      <c r="D37" s="29"/>
      <c r="E37" s="31"/>
      <c r="F37" s="29"/>
      <c r="G37" s="29"/>
      <c r="H37" s="45"/>
      <c r="I37" s="29"/>
      <c r="J37" s="45"/>
      <c r="K37" s="45"/>
      <c r="L37" s="31"/>
      <c r="M37" s="31"/>
      <c r="N37" s="29"/>
      <c r="O37" s="29"/>
    </row>
    <row r="38" customFormat="false" ht="16.5" hidden="false" customHeight="false" outlineLevel="0" collapsed="false">
      <c r="A38" s="29"/>
      <c r="B38" s="45"/>
      <c r="C38" s="29"/>
      <c r="D38" s="29"/>
      <c r="E38" s="31"/>
      <c r="F38" s="29"/>
      <c r="G38" s="29"/>
      <c r="H38" s="45"/>
      <c r="I38" s="29"/>
      <c r="J38" s="45"/>
      <c r="K38" s="45"/>
      <c r="L38" s="31"/>
      <c r="M38" s="31"/>
      <c r="N38" s="29"/>
      <c r="O38" s="29"/>
    </row>
    <row r="39" customFormat="false" ht="16.5" hidden="false" customHeight="false" outlineLevel="0" collapsed="false">
      <c r="A39" s="29"/>
      <c r="B39" s="45"/>
      <c r="C39" s="29"/>
      <c r="D39" s="29"/>
      <c r="E39" s="31"/>
      <c r="F39" s="29"/>
      <c r="G39" s="29"/>
      <c r="H39" s="45"/>
      <c r="I39" s="29"/>
      <c r="J39" s="45"/>
      <c r="K39" s="45"/>
      <c r="L39" s="31"/>
      <c r="M39" s="31"/>
      <c r="N39" s="29"/>
      <c r="O39" s="29"/>
    </row>
    <row r="40" customFormat="false" ht="16.5" hidden="false" customHeight="false" outlineLevel="0" collapsed="false">
      <c r="A40" s="29"/>
      <c r="B40" s="45"/>
      <c r="C40" s="29"/>
      <c r="D40" s="29"/>
      <c r="E40" s="31"/>
      <c r="F40" s="29"/>
      <c r="G40" s="29"/>
      <c r="H40" s="45"/>
      <c r="I40" s="29"/>
      <c r="J40" s="45"/>
      <c r="K40" s="45"/>
      <c r="L40" s="31"/>
      <c r="M40" s="31"/>
      <c r="N40" s="29"/>
      <c r="O40" s="29"/>
    </row>
    <row r="41" customFormat="false" ht="16.5" hidden="false" customHeight="false" outlineLevel="0" collapsed="false">
      <c r="A41" s="29"/>
      <c r="B41" s="45"/>
      <c r="C41" s="29"/>
      <c r="D41" s="29"/>
      <c r="E41" s="31"/>
      <c r="F41" s="29"/>
      <c r="G41" s="29"/>
      <c r="H41" s="45"/>
      <c r="I41" s="29"/>
      <c r="J41" s="45"/>
      <c r="K41" s="45"/>
      <c r="L41" s="31"/>
      <c r="M41" s="31"/>
      <c r="N41" s="29"/>
      <c r="O41" s="29"/>
    </row>
    <row r="42" customFormat="false" ht="16.5" hidden="false" customHeight="false" outlineLevel="0" collapsed="false">
      <c r="A42" s="29"/>
      <c r="B42" s="45"/>
      <c r="C42" s="29"/>
      <c r="D42" s="29"/>
      <c r="E42" s="31"/>
      <c r="F42" s="29"/>
      <c r="G42" s="29"/>
      <c r="H42" s="45"/>
      <c r="I42" s="29"/>
      <c r="J42" s="45"/>
      <c r="K42" s="45"/>
      <c r="L42" s="31"/>
      <c r="M42" s="31"/>
      <c r="N42" s="29"/>
      <c r="O42" s="29"/>
    </row>
    <row r="43" customFormat="false" ht="16.5" hidden="false" customHeight="false" outlineLevel="0" collapsed="false">
      <c r="A43" s="29"/>
      <c r="B43" s="45"/>
      <c r="C43" s="29"/>
      <c r="D43" s="29"/>
      <c r="E43" s="31"/>
      <c r="F43" s="29"/>
      <c r="G43" s="29"/>
      <c r="H43" s="45"/>
      <c r="I43" s="29"/>
      <c r="J43" s="45"/>
      <c r="K43" s="45"/>
      <c r="L43" s="31"/>
      <c r="M43" s="31"/>
      <c r="N43" s="29"/>
      <c r="O43" s="29"/>
    </row>
    <row r="44" customFormat="false" ht="16.5" hidden="false" customHeight="false" outlineLevel="0" collapsed="false">
      <c r="A44" s="29"/>
      <c r="B44" s="45"/>
      <c r="C44" s="29"/>
      <c r="D44" s="29"/>
      <c r="E44" s="31"/>
      <c r="F44" s="29"/>
      <c r="G44" s="29"/>
      <c r="H44" s="45"/>
      <c r="I44" s="29"/>
      <c r="J44" s="45"/>
      <c r="K44" s="45"/>
      <c r="L44" s="31"/>
      <c r="M44" s="31"/>
      <c r="N44" s="29"/>
      <c r="O44" s="29"/>
    </row>
    <row r="45" customFormat="false" ht="16.5" hidden="false" customHeight="false" outlineLevel="0" collapsed="false">
      <c r="A45" s="29"/>
      <c r="B45" s="45"/>
      <c r="C45" s="29"/>
      <c r="D45" s="29"/>
      <c r="E45" s="31"/>
      <c r="F45" s="29"/>
      <c r="G45" s="29"/>
      <c r="H45" s="45"/>
      <c r="I45" s="29"/>
      <c r="J45" s="45"/>
      <c r="K45" s="45"/>
      <c r="L45" s="31"/>
      <c r="M45" s="31"/>
      <c r="N45" s="29"/>
      <c r="O45" s="29"/>
    </row>
    <row r="46" customFormat="false" ht="16.5" hidden="false" customHeight="false" outlineLevel="0" collapsed="false">
      <c r="A46" s="29"/>
      <c r="B46" s="45"/>
      <c r="C46" s="29"/>
      <c r="D46" s="29"/>
      <c r="E46" s="31"/>
      <c r="F46" s="29"/>
      <c r="G46" s="29"/>
      <c r="H46" s="45"/>
      <c r="I46" s="29"/>
      <c r="J46" s="45"/>
      <c r="K46" s="45"/>
      <c r="L46" s="31"/>
      <c r="M46" s="31"/>
      <c r="N46" s="29"/>
      <c r="O46" s="29"/>
    </row>
    <row r="47" customFormat="false" ht="16.5" hidden="false" customHeight="false" outlineLevel="0" collapsed="false">
      <c r="A47" s="29"/>
      <c r="B47" s="45"/>
      <c r="C47" s="29"/>
      <c r="D47" s="29"/>
      <c r="E47" s="31"/>
      <c r="F47" s="29"/>
      <c r="G47" s="29"/>
      <c r="H47" s="45"/>
      <c r="I47" s="29"/>
      <c r="J47" s="45"/>
      <c r="K47" s="45"/>
      <c r="L47" s="31"/>
      <c r="M47" s="31"/>
      <c r="N47" s="29"/>
      <c r="O47" s="29"/>
    </row>
    <row r="48" customFormat="false" ht="16.5" hidden="false" customHeight="false" outlineLevel="0" collapsed="false">
      <c r="A48" s="29"/>
      <c r="B48" s="45"/>
      <c r="C48" s="29"/>
      <c r="D48" s="29"/>
      <c r="E48" s="31"/>
      <c r="F48" s="29"/>
      <c r="G48" s="29"/>
      <c r="H48" s="45"/>
      <c r="I48" s="29"/>
      <c r="J48" s="45"/>
      <c r="K48" s="45"/>
      <c r="L48" s="31"/>
      <c r="M48" s="31"/>
      <c r="N48" s="29"/>
      <c r="O48" s="29"/>
    </row>
    <row r="49" customFormat="false" ht="16.5" hidden="false" customHeight="false" outlineLevel="0" collapsed="false">
      <c r="A49" s="29"/>
      <c r="B49" s="45"/>
      <c r="C49" s="29"/>
      <c r="D49" s="29"/>
      <c r="E49" s="31"/>
      <c r="F49" s="29"/>
      <c r="G49" s="29"/>
      <c r="H49" s="45"/>
      <c r="I49" s="29"/>
      <c r="J49" s="45"/>
      <c r="K49" s="45"/>
      <c r="L49" s="31"/>
      <c r="M49" s="31"/>
      <c r="N49" s="29"/>
      <c r="O49" s="29"/>
    </row>
    <row r="50" customFormat="false" ht="16.5" hidden="false" customHeight="false" outlineLevel="0" collapsed="false">
      <c r="A50" s="29"/>
      <c r="B50" s="45"/>
      <c r="C50" s="29"/>
      <c r="D50" s="29"/>
      <c r="E50" s="31"/>
      <c r="F50" s="29"/>
      <c r="G50" s="29"/>
      <c r="H50" s="45"/>
      <c r="I50" s="29"/>
      <c r="J50" s="45"/>
      <c r="K50" s="45"/>
      <c r="L50" s="31"/>
      <c r="M50" s="31"/>
      <c r="N50" s="29"/>
      <c r="O50" s="29"/>
    </row>
    <row r="51" customFormat="false" ht="16.5" hidden="false" customHeight="false" outlineLevel="0" collapsed="false">
      <c r="A51" s="29"/>
      <c r="B51" s="45"/>
      <c r="C51" s="29"/>
      <c r="D51" s="29"/>
      <c r="E51" s="31"/>
      <c r="F51" s="29"/>
      <c r="G51" s="29"/>
      <c r="H51" s="45"/>
      <c r="I51" s="29"/>
      <c r="J51" s="45"/>
      <c r="K51" s="45"/>
      <c r="L51" s="31"/>
      <c r="M51" s="31"/>
      <c r="N51" s="29"/>
      <c r="O51" s="29"/>
    </row>
    <row r="52" customFormat="false" ht="16.5" hidden="false" customHeight="false" outlineLevel="0" collapsed="false">
      <c r="A52" s="29"/>
      <c r="B52" s="45"/>
      <c r="C52" s="29"/>
      <c r="D52" s="29"/>
      <c r="E52" s="31"/>
      <c r="F52" s="29"/>
      <c r="G52" s="29"/>
      <c r="H52" s="45"/>
      <c r="I52" s="29"/>
      <c r="J52" s="45"/>
      <c r="K52" s="45"/>
      <c r="L52" s="31"/>
      <c r="M52" s="31"/>
      <c r="N52" s="29"/>
      <c r="O52" s="29"/>
    </row>
    <row r="53" customFormat="false" ht="16.5" hidden="false" customHeight="false" outlineLevel="0" collapsed="false">
      <c r="A53" s="29"/>
      <c r="B53" s="45"/>
      <c r="C53" s="29"/>
      <c r="D53" s="29"/>
      <c r="E53" s="31"/>
      <c r="F53" s="29"/>
      <c r="G53" s="29"/>
      <c r="H53" s="45"/>
      <c r="I53" s="29"/>
      <c r="J53" s="45"/>
      <c r="K53" s="45"/>
      <c r="L53" s="31"/>
      <c r="M53" s="31"/>
      <c r="N53" s="29"/>
      <c r="O53" s="29"/>
    </row>
    <row r="54" customFormat="false" ht="16.5" hidden="false" customHeight="false" outlineLevel="0" collapsed="false">
      <c r="A54" s="29"/>
      <c r="B54" s="45"/>
      <c r="C54" s="29"/>
      <c r="D54" s="29"/>
      <c r="E54" s="31"/>
      <c r="F54" s="29"/>
      <c r="G54" s="29"/>
      <c r="H54" s="45"/>
      <c r="I54" s="29"/>
      <c r="J54" s="45"/>
      <c r="K54" s="45"/>
      <c r="L54" s="31"/>
      <c r="M54" s="31"/>
      <c r="N54" s="29"/>
      <c r="O54" s="29"/>
    </row>
    <row r="55" customFormat="false" ht="16.5" hidden="false" customHeight="false" outlineLevel="0" collapsed="false">
      <c r="A55" s="29"/>
      <c r="B55" s="45"/>
      <c r="C55" s="29"/>
      <c r="D55" s="29"/>
      <c r="E55" s="31"/>
      <c r="F55" s="29"/>
      <c r="G55" s="29"/>
      <c r="H55" s="45"/>
      <c r="I55" s="29"/>
      <c r="J55" s="45"/>
      <c r="K55" s="45"/>
      <c r="L55" s="31"/>
      <c r="M55" s="31"/>
      <c r="N55" s="29"/>
      <c r="O55" s="29"/>
    </row>
    <row r="56" customFormat="false" ht="16.5" hidden="false" customHeight="false" outlineLevel="0" collapsed="false">
      <c r="A56" s="29"/>
      <c r="B56" s="45"/>
      <c r="C56" s="29"/>
      <c r="D56" s="29"/>
      <c r="E56" s="31"/>
      <c r="F56" s="29"/>
      <c r="G56" s="29"/>
      <c r="H56" s="45"/>
      <c r="I56" s="29"/>
      <c r="J56" s="45"/>
      <c r="K56" s="45"/>
      <c r="L56" s="31"/>
      <c r="M56" s="31"/>
      <c r="N56" s="29"/>
      <c r="O56" s="29"/>
    </row>
    <row r="57" customFormat="false" ht="16.5" hidden="false" customHeight="false" outlineLevel="0" collapsed="false">
      <c r="A57" s="29"/>
      <c r="B57" s="45"/>
      <c r="C57" s="29"/>
      <c r="D57" s="29"/>
      <c r="E57" s="31"/>
      <c r="F57" s="29"/>
      <c r="G57" s="29"/>
      <c r="H57" s="45"/>
      <c r="I57" s="29"/>
      <c r="J57" s="45"/>
      <c r="K57" s="45"/>
      <c r="L57" s="31"/>
      <c r="M57" s="31"/>
      <c r="N57" s="29"/>
      <c r="O57" s="29"/>
    </row>
    <row r="58" customFormat="false" ht="16.5" hidden="false" customHeight="false" outlineLevel="0" collapsed="false">
      <c r="A58" s="29"/>
      <c r="B58" s="45"/>
      <c r="C58" s="29"/>
      <c r="D58" s="29"/>
      <c r="E58" s="31"/>
      <c r="F58" s="29"/>
      <c r="G58" s="29"/>
      <c r="H58" s="45"/>
      <c r="I58" s="29"/>
      <c r="J58" s="45"/>
      <c r="K58" s="45"/>
      <c r="L58" s="31"/>
      <c r="M58" s="31"/>
      <c r="N58" s="29"/>
      <c r="O58" s="29"/>
    </row>
    <row r="59" customFormat="false" ht="16.5" hidden="false" customHeight="false" outlineLevel="0" collapsed="false">
      <c r="A59" s="29"/>
      <c r="B59" s="45"/>
      <c r="C59" s="29"/>
      <c r="D59" s="29"/>
      <c r="E59" s="31"/>
      <c r="F59" s="29"/>
      <c r="G59" s="29"/>
      <c r="H59" s="45"/>
      <c r="I59" s="29"/>
      <c r="J59" s="45"/>
      <c r="K59" s="45"/>
      <c r="L59" s="31"/>
      <c r="M59" s="31"/>
      <c r="N59" s="29"/>
      <c r="O59" s="29"/>
    </row>
    <row r="60" customFormat="false" ht="16.5" hidden="false" customHeight="false" outlineLevel="0" collapsed="false">
      <c r="A60" s="29"/>
      <c r="B60" s="45"/>
      <c r="C60" s="29"/>
      <c r="D60" s="29"/>
      <c r="E60" s="31"/>
      <c r="F60" s="29"/>
      <c r="G60" s="29"/>
      <c r="H60" s="45"/>
      <c r="I60" s="29"/>
      <c r="J60" s="45"/>
      <c r="K60" s="45"/>
      <c r="L60" s="31"/>
      <c r="M60" s="31"/>
      <c r="N60" s="29"/>
      <c r="O60" s="29"/>
    </row>
    <row r="61" customFormat="false" ht="16.5" hidden="false" customHeight="false" outlineLevel="0" collapsed="false">
      <c r="A61" s="29"/>
      <c r="B61" s="45"/>
      <c r="C61" s="29"/>
      <c r="D61" s="29"/>
      <c r="E61" s="31"/>
      <c r="F61" s="29"/>
      <c r="G61" s="29"/>
      <c r="H61" s="45"/>
      <c r="I61" s="29"/>
      <c r="J61" s="45"/>
      <c r="K61" s="45"/>
      <c r="L61" s="31"/>
      <c r="M61" s="31"/>
      <c r="N61" s="29"/>
      <c r="O61" s="29"/>
    </row>
    <row r="62" customFormat="false" ht="16.5" hidden="false" customHeight="false" outlineLevel="0" collapsed="false">
      <c r="A62" s="29"/>
      <c r="B62" s="45"/>
      <c r="C62" s="29"/>
      <c r="D62" s="29"/>
      <c r="E62" s="31"/>
      <c r="F62" s="29"/>
      <c r="G62" s="29"/>
      <c r="H62" s="45"/>
      <c r="I62" s="29"/>
      <c r="J62" s="45"/>
      <c r="K62" s="45"/>
      <c r="L62" s="31"/>
      <c r="M62" s="31"/>
      <c r="N62" s="29"/>
      <c r="O62" s="29"/>
    </row>
    <row r="63" customFormat="false" ht="16.5" hidden="false" customHeight="false" outlineLevel="0" collapsed="false">
      <c r="A63" s="29"/>
      <c r="B63" s="45"/>
      <c r="C63" s="29"/>
      <c r="D63" s="29"/>
      <c r="E63" s="31"/>
      <c r="F63" s="29"/>
      <c r="G63" s="29"/>
      <c r="H63" s="45"/>
      <c r="I63" s="29"/>
      <c r="J63" s="45"/>
      <c r="K63" s="45"/>
      <c r="L63" s="31"/>
      <c r="M63" s="31"/>
      <c r="N63" s="29"/>
      <c r="O63" s="29"/>
    </row>
    <row r="64" customFormat="false" ht="16.5" hidden="false" customHeight="false" outlineLevel="0" collapsed="false">
      <c r="A64" s="29"/>
      <c r="B64" s="45"/>
      <c r="C64" s="29"/>
      <c r="D64" s="29"/>
      <c r="E64" s="31"/>
      <c r="F64" s="29"/>
      <c r="G64" s="29"/>
      <c r="H64" s="45"/>
      <c r="I64" s="29"/>
      <c r="J64" s="45"/>
      <c r="K64" s="45"/>
      <c r="L64" s="31"/>
      <c r="M64" s="31"/>
      <c r="N64" s="29"/>
      <c r="O64" s="29"/>
    </row>
    <row r="65" customFormat="false" ht="16.5" hidden="false" customHeight="false" outlineLevel="0" collapsed="false">
      <c r="A65" s="29"/>
      <c r="B65" s="45"/>
      <c r="C65" s="29"/>
      <c r="D65" s="29"/>
      <c r="E65" s="31"/>
      <c r="F65" s="29"/>
      <c r="G65" s="29"/>
      <c r="H65" s="45"/>
      <c r="I65" s="29"/>
      <c r="J65" s="45"/>
      <c r="K65" s="45"/>
      <c r="L65" s="31"/>
      <c r="M65" s="31"/>
      <c r="N65" s="29"/>
      <c r="O65" s="29"/>
    </row>
    <row r="66" customFormat="false" ht="16.5" hidden="false" customHeight="false" outlineLevel="0" collapsed="false">
      <c r="A66" s="29"/>
      <c r="B66" s="45"/>
      <c r="C66" s="29"/>
      <c r="D66" s="29"/>
      <c r="E66" s="31"/>
      <c r="F66" s="29"/>
      <c r="G66" s="29"/>
      <c r="H66" s="45"/>
      <c r="I66" s="29"/>
      <c r="J66" s="45"/>
      <c r="K66" s="45"/>
      <c r="L66" s="31"/>
      <c r="M66" s="31"/>
      <c r="N66" s="29"/>
      <c r="O66" s="29"/>
    </row>
    <row r="67" customFormat="false" ht="16.5" hidden="false" customHeight="false" outlineLevel="0" collapsed="false">
      <c r="A67" s="29"/>
      <c r="B67" s="45"/>
      <c r="C67" s="29"/>
      <c r="D67" s="29"/>
      <c r="E67" s="31"/>
      <c r="F67" s="29"/>
      <c r="G67" s="29"/>
      <c r="H67" s="45"/>
      <c r="I67" s="29"/>
      <c r="J67" s="45"/>
      <c r="K67" s="45"/>
      <c r="L67" s="31"/>
      <c r="M67" s="31"/>
      <c r="N67" s="29"/>
      <c r="O67" s="29"/>
    </row>
    <row r="68" customFormat="false" ht="16.5" hidden="false" customHeight="false" outlineLevel="0" collapsed="false">
      <c r="A68" s="29"/>
      <c r="B68" s="45"/>
      <c r="C68" s="29"/>
      <c r="D68" s="29"/>
      <c r="E68" s="31"/>
      <c r="F68" s="29"/>
      <c r="G68" s="29"/>
      <c r="H68" s="45"/>
      <c r="I68" s="29"/>
      <c r="J68" s="45"/>
      <c r="K68" s="45"/>
      <c r="L68" s="31"/>
      <c r="M68" s="31"/>
      <c r="N68" s="29"/>
      <c r="O68" s="29"/>
    </row>
    <row r="69" customFormat="false" ht="16.5" hidden="false" customHeight="false" outlineLevel="0" collapsed="false">
      <c r="A69" s="29"/>
      <c r="B69" s="45"/>
      <c r="C69" s="29"/>
      <c r="D69" s="29"/>
      <c r="E69" s="31"/>
      <c r="F69" s="29"/>
      <c r="G69" s="29"/>
      <c r="H69" s="45"/>
      <c r="I69" s="29"/>
      <c r="J69" s="45"/>
      <c r="K69" s="45"/>
      <c r="L69" s="31"/>
      <c r="M69" s="31"/>
      <c r="N69" s="29"/>
      <c r="O69" s="29"/>
    </row>
    <row r="70" customFormat="false" ht="16.5" hidden="false" customHeight="false" outlineLevel="0" collapsed="false">
      <c r="A70" s="29"/>
      <c r="B70" s="45"/>
      <c r="C70" s="29"/>
      <c r="D70" s="29"/>
      <c r="E70" s="31"/>
      <c r="F70" s="29"/>
      <c r="G70" s="29"/>
      <c r="H70" s="45"/>
      <c r="I70" s="29"/>
      <c r="J70" s="45"/>
      <c r="K70" s="45"/>
      <c r="L70" s="31"/>
      <c r="M70" s="31"/>
      <c r="N70" s="29"/>
      <c r="O70" s="29"/>
    </row>
    <row r="71" customFormat="false" ht="16.5" hidden="false" customHeight="false" outlineLevel="0" collapsed="false">
      <c r="A71" s="29"/>
      <c r="B71" s="45"/>
      <c r="C71" s="29"/>
      <c r="D71" s="29"/>
      <c r="E71" s="31"/>
      <c r="F71" s="29"/>
      <c r="G71" s="29"/>
      <c r="H71" s="45"/>
      <c r="I71" s="29"/>
      <c r="J71" s="45"/>
      <c r="K71" s="45"/>
      <c r="L71" s="31"/>
      <c r="M71" s="31"/>
      <c r="N71" s="29"/>
      <c r="O71" s="29"/>
    </row>
    <row r="72" customFormat="false" ht="16.5" hidden="false" customHeight="false" outlineLevel="0" collapsed="false">
      <c r="A72" s="29"/>
      <c r="B72" s="45"/>
      <c r="C72" s="29"/>
      <c r="D72" s="29"/>
      <c r="E72" s="31"/>
      <c r="F72" s="29"/>
      <c r="G72" s="29"/>
      <c r="H72" s="45"/>
      <c r="I72" s="29"/>
      <c r="J72" s="45"/>
      <c r="K72" s="45"/>
      <c r="L72" s="31"/>
      <c r="M72" s="31"/>
      <c r="N72" s="29"/>
      <c r="O72" s="29"/>
    </row>
    <row r="73" customFormat="false" ht="16.5" hidden="false" customHeight="false" outlineLevel="0" collapsed="false">
      <c r="A73" s="29"/>
      <c r="B73" s="45"/>
      <c r="C73" s="29"/>
      <c r="D73" s="29"/>
      <c r="E73" s="31"/>
      <c r="F73" s="29"/>
      <c r="G73" s="29"/>
      <c r="H73" s="45"/>
      <c r="I73" s="29"/>
      <c r="J73" s="45"/>
      <c r="K73" s="45"/>
      <c r="L73" s="31"/>
      <c r="M73" s="31"/>
      <c r="N73" s="29"/>
      <c r="O73" s="29"/>
    </row>
    <row r="74" customFormat="false" ht="16.5" hidden="false" customHeight="false" outlineLevel="0" collapsed="false">
      <c r="A74" s="29"/>
      <c r="B74" s="45"/>
      <c r="C74" s="29"/>
      <c r="D74" s="29"/>
      <c r="E74" s="31"/>
      <c r="F74" s="29"/>
      <c r="G74" s="29"/>
      <c r="H74" s="45"/>
      <c r="I74" s="29"/>
      <c r="J74" s="45"/>
      <c r="K74" s="45"/>
      <c r="L74" s="31"/>
      <c r="M74" s="31"/>
      <c r="N74" s="29"/>
      <c r="O74" s="29"/>
    </row>
    <row r="75" customFormat="false" ht="16.5" hidden="false" customHeight="false" outlineLevel="0" collapsed="false">
      <c r="A75" s="29"/>
      <c r="B75" s="45"/>
      <c r="C75" s="29"/>
      <c r="D75" s="29"/>
      <c r="E75" s="31"/>
      <c r="F75" s="29"/>
      <c r="G75" s="29"/>
      <c r="H75" s="45"/>
      <c r="I75" s="29"/>
      <c r="J75" s="45"/>
      <c r="K75" s="45"/>
      <c r="L75" s="31"/>
      <c r="M75" s="31"/>
      <c r="N75" s="29"/>
      <c r="O75" s="29"/>
    </row>
    <row r="76" customFormat="false" ht="16.5" hidden="false" customHeight="false" outlineLevel="0" collapsed="false">
      <c r="A76" s="29"/>
      <c r="B76" s="45"/>
      <c r="C76" s="29"/>
      <c r="D76" s="29"/>
      <c r="E76" s="31"/>
      <c r="F76" s="29"/>
      <c r="G76" s="29"/>
      <c r="H76" s="45"/>
      <c r="I76" s="29"/>
      <c r="J76" s="45"/>
      <c r="K76" s="45"/>
      <c r="L76" s="31"/>
      <c r="M76" s="31"/>
      <c r="N76" s="29"/>
      <c r="O76" s="29"/>
    </row>
    <row r="77" customFormat="false" ht="16.5" hidden="false" customHeight="false" outlineLevel="0" collapsed="false">
      <c r="A77" s="29"/>
      <c r="B77" s="45"/>
      <c r="C77" s="29"/>
      <c r="D77" s="29"/>
      <c r="E77" s="31"/>
      <c r="F77" s="29"/>
      <c r="G77" s="29"/>
      <c r="H77" s="45"/>
      <c r="I77" s="29"/>
      <c r="J77" s="45"/>
      <c r="K77" s="45"/>
      <c r="L77" s="31"/>
      <c r="M77" s="31"/>
      <c r="N77" s="29"/>
      <c r="O77" s="29"/>
    </row>
    <row r="78" customFormat="false" ht="16.5" hidden="false" customHeight="false" outlineLevel="0" collapsed="false">
      <c r="A78" s="29"/>
      <c r="B78" s="45"/>
      <c r="C78" s="29"/>
      <c r="D78" s="29"/>
      <c r="E78" s="31"/>
      <c r="F78" s="29"/>
      <c r="G78" s="29"/>
      <c r="H78" s="45"/>
      <c r="I78" s="29"/>
      <c r="J78" s="45"/>
      <c r="K78" s="45"/>
      <c r="L78" s="31"/>
      <c r="M78" s="31"/>
      <c r="N78" s="29"/>
      <c r="O78" s="29"/>
    </row>
    <row r="79" customFormat="false" ht="16.5" hidden="false" customHeight="false" outlineLevel="0" collapsed="false">
      <c r="A79" s="29"/>
      <c r="B79" s="45"/>
      <c r="C79" s="29"/>
      <c r="D79" s="29"/>
      <c r="E79" s="31"/>
      <c r="F79" s="29"/>
      <c r="G79" s="29"/>
      <c r="H79" s="45"/>
      <c r="I79" s="29"/>
      <c r="J79" s="45"/>
      <c r="K79" s="45"/>
      <c r="L79" s="31"/>
      <c r="M79" s="31"/>
      <c r="N79" s="29"/>
      <c r="O79" s="29"/>
    </row>
    <row r="80" customFormat="false" ht="16.5" hidden="false" customHeight="false" outlineLevel="0" collapsed="false">
      <c r="A80" s="29"/>
      <c r="B80" s="45"/>
      <c r="C80" s="29"/>
      <c r="D80" s="29"/>
      <c r="E80" s="31"/>
      <c r="F80" s="29"/>
      <c r="G80" s="29"/>
      <c r="H80" s="45"/>
      <c r="I80" s="29"/>
      <c r="J80" s="45"/>
      <c r="K80" s="45"/>
      <c r="L80" s="31"/>
      <c r="M80" s="31"/>
      <c r="N80" s="29"/>
      <c r="O80" s="29"/>
    </row>
    <row r="81" customFormat="false" ht="16.5" hidden="false" customHeight="false" outlineLevel="0" collapsed="false">
      <c r="A81" s="29"/>
      <c r="B81" s="45"/>
      <c r="C81" s="29"/>
      <c r="D81" s="29"/>
      <c r="E81" s="31"/>
      <c r="F81" s="29"/>
      <c r="G81" s="29"/>
      <c r="H81" s="45"/>
      <c r="I81" s="29"/>
      <c r="J81" s="45"/>
      <c r="K81" s="45"/>
      <c r="L81" s="31"/>
      <c r="M81" s="31"/>
      <c r="N81" s="29"/>
      <c r="O81" s="29"/>
    </row>
    <row r="82" customFormat="false" ht="16.5" hidden="false" customHeight="false" outlineLevel="0" collapsed="false">
      <c r="A82" s="29"/>
      <c r="B82" s="45"/>
      <c r="C82" s="29"/>
      <c r="D82" s="29"/>
      <c r="E82" s="31"/>
      <c r="F82" s="29"/>
      <c r="G82" s="29"/>
      <c r="H82" s="45"/>
      <c r="I82" s="29"/>
      <c r="J82" s="45"/>
      <c r="K82" s="45"/>
      <c r="L82" s="31"/>
      <c r="M82" s="31"/>
      <c r="N82" s="29"/>
      <c r="O82" s="29"/>
    </row>
    <row r="83" customFormat="false" ht="16.5" hidden="false" customHeight="false" outlineLevel="0" collapsed="false">
      <c r="A83" s="29"/>
      <c r="B83" s="45"/>
      <c r="C83" s="29"/>
      <c r="D83" s="29"/>
      <c r="E83" s="31"/>
      <c r="F83" s="29"/>
      <c r="G83" s="29"/>
      <c r="H83" s="45"/>
      <c r="I83" s="29"/>
      <c r="J83" s="45"/>
      <c r="K83" s="45"/>
      <c r="L83" s="31"/>
      <c r="M83" s="31"/>
      <c r="N83" s="29"/>
      <c r="O83" s="29"/>
    </row>
    <row r="84" customFormat="false" ht="16.5" hidden="false" customHeight="false" outlineLevel="0" collapsed="false">
      <c r="A84" s="29"/>
      <c r="B84" s="45"/>
      <c r="C84" s="29"/>
      <c r="D84" s="29"/>
      <c r="E84" s="31"/>
      <c r="F84" s="29"/>
      <c r="G84" s="29"/>
      <c r="H84" s="45"/>
      <c r="I84" s="29"/>
      <c r="J84" s="45"/>
      <c r="K84" s="45"/>
      <c r="L84" s="31"/>
      <c r="M84" s="31"/>
      <c r="N84" s="29"/>
      <c r="O84" s="29"/>
    </row>
    <row r="85" customFormat="false" ht="16.5" hidden="false" customHeight="false" outlineLevel="0" collapsed="false">
      <c r="A85" s="29"/>
      <c r="B85" s="45"/>
      <c r="C85" s="29"/>
      <c r="D85" s="29"/>
      <c r="E85" s="31"/>
      <c r="F85" s="29"/>
      <c r="G85" s="29"/>
      <c r="H85" s="45"/>
      <c r="I85" s="29"/>
      <c r="J85" s="45"/>
      <c r="K85" s="45"/>
      <c r="L85" s="31"/>
      <c r="M85" s="31"/>
      <c r="N85" s="29"/>
      <c r="O85" s="29"/>
    </row>
    <row r="86" customFormat="false" ht="16.5" hidden="false" customHeight="false" outlineLevel="0" collapsed="false">
      <c r="A86" s="29"/>
      <c r="B86" s="45"/>
      <c r="C86" s="29"/>
      <c r="D86" s="29"/>
      <c r="E86" s="31"/>
      <c r="F86" s="29"/>
      <c r="G86" s="29"/>
      <c r="H86" s="45"/>
      <c r="I86" s="29"/>
      <c r="J86" s="45"/>
      <c r="K86" s="45"/>
      <c r="L86" s="31"/>
      <c r="M86" s="31"/>
      <c r="N86" s="29"/>
      <c r="O86" s="29"/>
    </row>
    <row r="87" customFormat="false" ht="16.5" hidden="false" customHeight="false" outlineLevel="0" collapsed="false">
      <c r="A87" s="29"/>
      <c r="B87" s="45"/>
      <c r="C87" s="29"/>
      <c r="D87" s="29"/>
      <c r="E87" s="31"/>
      <c r="F87" s="29"/>
      <c r="G87" s="29"/>
      <c r="H87" s="45"/>
      <c r="I87" s="29"/>
      <c r="J87" s="45"/>
      <c r="K87" s="45"/>
      <c r="L87" s="31"/>
      <c r="M87" s="31"/>
      <c r="N87" s="29"/>
      <c r="O87" s="29"/>
    </row>
    <row r="88" customFormat="false" ht="16.5" hidden="false" customHeight="false" outlineLevel="0" collapsed="false">
      <c r="A88" s="29"/>
      <c r="B88" s="45"/>
      <c r="C88" s="29"/>
      <c r="D88" s="29"/>
      <c r="E88" s="31"/>
      <c r="F88" s="29"/>
      <c r="G88" s="29"/>
      <c r="H88" s="45"/>
      <c r="I88" s="29"/>
      <c r="J88" s="45"/>
      <c r="K88" s="45"/>
      <c r="L88" s="31"/>
      <c r="M88" s="31"/>
      <c r="N88" s="29"/>
      <c r="O88" s="29"/>
    </row>
    <row r="89" customFormat="false" ht="16.5" hidden="false" customHeight="false" outlineLevel="0" collapsed="false">
      <c r="A89" s="29"/>
      <c r="B89" s="45"/>
      <c r="C89" s="29"/>
      <c r="D89" s="29"/>
      <c r="E89" s="31"/>
      <c r="F89" s="29"/>
      <c r="G89" s="29"/>
      <c r="H89" s="45"/>
      <c r="I89" s="29"/>
      <c r="J89" s="45"/>
      <c r="K89" s="45"/>
      <c r="L89" s="31"/>
      <c r="M89" s="31"/>
      <c r="N89" s="29"/>
      <c r="O89" s="29"/>
    </row>
    <row r="90" customFormat="false" ht="16.5" hidden="false" customHeight="false" outlineLevel="0" collapsed="false">
      <c r="A90" s="29"/>
      <c r="B90" s="45"/>
      <c r="C90" s="29"/>
      <c r="D90" s="29"/>
      <c r="E90" s="31"/>
      <c r="F90" s="29"/>
      <c r="G90" s="29"/>
      <c r="H90" s="45"/>
      <c r="I90" s="29"/>
      <c r="J90" s="45"/>
      <c r="K90" s="45"/>
      <c r="L90" s="31"/>
      <c r="M90" s="31"/>
      <c r="N90" s="29"/>
      <c r="O90" s="29"/>
    </row>
    <row r="91" customFormat="false" ht="16.5" hidden="false" customHeight="false" outlineLevel="0" collapsed="false">
      <c r="A91" s="29"/>
      <c r="B91" s="45"/>
      <c r="C91" s="29"/>
      <c r="D91" s="29"/>
      <c r="E91" s="31"/>
      <c r="F91" s="29"/>
      <c r="G91" s="29"/>
      <c r="H91" s="45"/>
      <c r="I91" s="29"/>
      <c r="J91" s="45"/>
      <c r="K91" s="45"/>
      <c r="L91" s="31"/>
      <c r="M91" s="31"/>
      <c r="N91" s="29"/>
      <c r="O91" s="29"/>
    </row>
    <row r="92" customFormat="false" ht="16.5" hidden="false" customHeight="false" outlineLevel="0" collapsed="false">
      <c r="A92" s="29"/>
      <c r="B92" s="45"/>
      <c r="C92" s="29"/>
      <c r="D92" s="29"/>
      <c r="E92" s="31"/>
      <c r="F92" s="29"/>
      <c r="G92" s="29"/>
      <c r="H92" s="45"/>
      <c r="I92" s="29"/>
      <c r="J92" s="45"/>
      <c r="K92" s="45"/>
      <c r="L92" s="31"/>
      <c r="M92" s="31"/>
      <c r="N92" s="29"/>
      <c r="O92" s="29"/>
    </row>
    <row r="93" customFormat="false" ht="16.5" hidden="false" customHeight="false" outlineLevel="0" collapsed="false">
      <c r="A93" s="29"/>
      <c r="B93" s="45"/>
      <c r="C93" s="29"/>
      <c r="D93" s="29"/>
      <c r="E93" s="31"/>
      <c r="F93" s="29"/>
      <c r="G93" s="29"/>
      <c r="H93" s="45"/>
      <c r="I93" s="29"/>
      <c r="J93" s="45"/>
      <c r="K93" s="45"/>
      <c r="L93" s="31"/>
      <c r="M93" s="31"/>
      <c r="N93" s="29"/>
      <c r="O93" s="29"/>
    </row>
    <row r="94" customFormat="false" ht="16.5" hidden="false" customHeight="false" outlineLevel="0" collapsed="false">
      <c r="A94" s="29"/>
      <c r="B94" s="45"/>
      <c r="C94" s="29"/>
      <c r="D94" s="29"/>
      <c r="E94" s="31"/>
      <c r="F94" s="29"/>
      <c r="G94" s="29"/>
      <c r="H94" s="45"/>
      <c r="I94" s="29"/>
      <c r="J94" s="45"/>
      <c r="K94" s="45"/>
      <c r="L94" s="31"/>
      <c r="M94" s="31"/>
      <c r="N94" s="29"/>
      <c r="O94" s="29"/>
    </row>
    <row r="95" customFormat="false" ht="16.5" hidden="false" customHeight="false" outlineLevel="0" collapsed="false">
      <c r="A95" s="29"/>
      <c r="B95" s="45"/>
      <c r="C95" s="29"/>
      <c r="D95" s="29"/>
      <c r="E95" s="31"/>
      <c r="F95" s="29"/>
      <c r="G95" s="29"/>
      <c r="H95" s="45"/>
      <c r="I95" s="29"/>
      <c r="J95" s="45"/>
      <c r="K95" s="45"/>
      <c r="L95" s="31"/>
      <c r="M95" s="31"/>
      <c r="N95" s="29"/>
      <c r="O95" s="29"/>
    </row>
    <row r="96" customFormat="false" ht="16.5" hidden="false" customHeight="false" outlineLevel="0" collapsed="false">
      <c r="A96" s="29"/>
      <c r="B96" s="45"/>
      <c r="C96" s="29"/>
      <c r="D96" s="29"/>
      <c r="E96" s="31"/>
      <c r="F96" s="29"/>
      <c r="G96" s="29"/>
      <c r="H96" s="45"/>
      <c r="I96" s="29"/>
      <c r="J96" s="45"/>
      <c r="K96" s="45"/>
      <c r="L96" s="31"/>
      <c r="M96" s="31"/>
      <c r="N96" s="29"/>
      <c r="O96" s="29"/>
    </row>
    <row r="97" customFormat="false" ht="16.5" hidden="false" customHeight="false" outlineLevel="0" collapsed="false">
      <c r="A97" s="29"/>
      <c r="B97" s="45"/>
      <c r="C97" s="29"/>
      <c r="D97" s="29"/>
      <c r="E97" s="31"/>
      <c r="F97" s="29"/>
      <c r="G97" s="29"/>
      <c r="H97" s="45"/>
      <c r="I97" s="29"/>
      <c r="J97" s="45"/>
      <c r="K97" s="45"/>
      <c r="L97" s="31"/>
      <c r="M97" s="31"/>
      <c r="N97" s="29"/>
      <c r="O97" s="29"/>
    </row>
    <row r="98" customFormat="false" ht="16.5" hidden="false" customHeight="false" outlineLevel="0" collapsed="false">
      <c r="A98" s="29"/>
      <c r="B98" s="45"/>
      <c r="C98" s="29"/>
      <c r="D98" s="29"/>
      <c r="E98" s="31"/>
      <c r="F98" s="29"/>
      <c r="G98" s="29"/>
      <c r="H98" s="45"/>
      <c r="I98" s="29"/>
      <c r="J98" s="45"/>
      <c r="K98" s="45"/>
      <c r="L98" s="31"/>
      <c r="M98" s="31"/>
      <c r="N98" s="29"/>
      <c r="O98" s="29"/>
    </row>
    <row r="99" customFormat="false" ht="16.5" hidden="false" customHeight="false" outlineLevel="0" collapsed="false">
      <c r="A99" s="29"/>
      <c r="B99" s="45"/>
      <c r="C99" s="29"/>
      <c r="D99" s="29"/>
      <c r="E99" s="31"/>
      <c r="F99" s="29"/>
      <c r="G99" s="29"/>
      <c r="H99" s="45"/>
      <c r="I99" s="29"/>
      <c r="J99" s="45"/>
      <c r="K99" s="45"/>
      <c r="L99" s="31"/>
      <c r="M99" s="31"/>
      <c r="N99" s="29"/>
      <c r="O99" s="29"/>
    </row>
    <row r="100" customFormat="false" ht="16.5" hidden="false" customHeight="false" outlineLevel="0" collapsed="false">
      <c r="A100" s="29"/>
      <c r="B100" s="45"/>
      <c r="C100" s="29"/>
      <c r="D100" s="29"/>
      <c r="E100" s="31"/>
      <c r="F100" s="29"/>
      <c r="G100" s="29"/>
      <c r="H100" s="45"/>
      <c r="I100" s="29"/>
      <c r="J100" s="45"/>
      <c r="K100" s="45"/>
      <c r="L100" s="31"/>
      <c r="M100" s="31"/>
      <c r="N100" s="29"/>
      <c r="O100" s="29"/>
    </row>
    <row r="101" customFormat="false" ht="16.5" hidden="false" customHeight="false" outlineLevel="0" collapsed="false">
      <c r="A101" s="29"/>
      <c r="B101" s="45"/>
      <c r="C101" s="29"/>
      <c r="D101" s="29"/>
      <c r="E101" s="31"/>
      <c r="F101" s="29"/>
      <c r="G101" s="29"/>
      <c r="H101" s="45"/>
      <c r="I101" s="29"/>
      <c r="J101" s="45"/>
      <c r="K101" s="45"/>
      <c r="L101" s="31"/>
      <c r="M101" s="31"/>
      <c r="N101" s="29"/>
      <c r="O101" s="29"/>
    </row>
    <row r="102" customFormat="false" ht="16.5" hidden="false" customHeight="false" outlineLevel="0" collapsed="false">
      <c r="A102" s="29"/>
      <c r="B102" s="45"/>
      <c r="C102" s="29"/>
      <c r="D102" s="29"/>
      <c r="E102" s="31"/>
      <c r="F102" s="29"/>
      <c r="G102" s="29"/>
      <c r="H102" s="45"/>
      <c r="I102" s="29"/>
      <c r="J102" s="45"/>
      <c r="K102" s="45"/>
      <c r="L102" s="31"/>
      <c r="M102" s="31"/>
      <c r="N102" s="29"/>
      <c r="O102" s="29"/>
    </row>
    <row r="103" customFormat="false" ht="16.5" hidden="false" customHeight="false" outlineLevel="0" collapsed="false">
      <c r="A103" s="29"/>
      <c r="B103" s="45"/>
      <c r="C103" s="29"/>
      <c r="D103" s="29"/>
      <c r="E103" s="31"/>
      <c r="F103" s="29"/>
      <c r="G103" s="29"/>
      <c r="H103" s="45"/>
      <c r="I103" s="29"/>
      <c r="J103" s="45"/>
      <c r="K103" s="45"/>
      <c r="L103" s="31"/>
      <c r="M103" s="31"/>
      <c r="N103" s="29"/>
      <c r="O103" s="29"/>
    </row>
    <row r="104" customFormat="false" ht="16.5" hidden="false" customHeight="false" outlineLevel="0" collapsed="false">
      <c r="A104" s="29"/>
      <c r="B104" s="45"/>
      <c r="C104" s="29"/>
      <c r="D104" s="29"/>
      <c r="E104" s="31"/>
      <c r="F104" s="29"/>
      <c r="G104" s="29"/>
      <c r="H104" s="45"/>
      <c r="I104" s="29"/>
      <c r="J104" s="45"/>
      <c r="K104" s="45"/>
      <c r="L104" s="31"/>
      <c r="M104" s="31"/>
      <c r="N104" s="29"/>
      <c r="O104" s="29"/>
    </row>
  </sheetData>
  <dataValidations count="2">
    <dataValidation allowBlank="false" errorStyle="stop" operator="between" showDropDown="false" showErrorMessage="false" showInputMessage="false" sqref="C5:C104" type="list">
      <formula1>"P1,P2,P3,P4"</formula1>
      <formula2>0</formula2>
    </dataValidation>
    <dataValidation allowBlank="false" errorStyle="stop" operator="between" showDropDown="false" showErrorMessage="false" showInputMessage="false" sqref="I5:I104" type="list">
      <formula1>"新建,已响应,处理中,已恢复,已解决,已关闭"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25.82"/>
    <col collapsed="false" customWidth="true" hidden="false" outlineLevel="0" max="2" min="2" style="1" width="74"/>
  </cols>
  <sheetData>
    <row r="1" customFormat="false" ht="31.5" hidden="false" customHeight="true" outlineLevel="0" collapsed="false">
      <c r="A1" s="21" t="s">
        <v>619</v>
      </c>
      <c r="B1" s="21" t="s">
        <v>620</v>
      </c>
    </row>
    <row r="2" customFormat="false" ht="16.5" hidden="false" customHeight="false" outlineLevel="0" collapsed="false">
      <c r="A2" s="22" t="s">
        <v>621</v>
      </c>
      <c r="B2" s="22" t="s">
        <v>622</v>
      </c>
    </row>
    <row r="3" customFormat="false" ht="16.5" hidden="false" customHeight="false" outlineLevel="0" collapsed="false">
      <c r="A3" s="24" t="s">
        <v>623</v>
      </c>
      <c r="B3" s="24" t="s">
        <v>3</v>
      </c>
    </row>
    <row r="4" customFormat="false" ht="16.5" hidden="false" customHeight="false" outlineLevel="0" collapsed="false">
      <c r="A4" s="24" t="s">
        <v>624</v>
      </c>
      <c r="B4" s="22" t="s">
        <v>625</v>
      </c>
    </row>
    <row r="5" customFormat="false" ht="16.5" hidden="false" customHeight="false" outlineLevel="0" collapsed="false">
      <c r="A5" s="24" t="s">
        <v>8</v>
      </c>
      <c r="B5" s="23" t="n">
        <v>46282</v>
      </c>
    </row>
    <row r="6" customFormat="false" ht="16.5" hidden="false" customHeight="false" outlineLevel="0" collapsed="false">
      <c r="A6" s="24" t="s">
        <v>626</v>
      </c>
      <c r="B6" s="23" t="n">
        <v>46282</v>
      </c>
    </row>
    <row r="7" customFormat="false" ht="16.5" hidden="false" customHeight="false" outlineLevel="0" collapsed="false">
      <c r="A7" s="24" t="s">
        <v>627</v>
      </c>
      <c r="B7" s="23" t="n">
        <v>46538</v>
      </c>
    </row>
    <row r="8" customFormat="false" ht="16.5" hidden="false" customHeight="false" outlineLevel="0" collapsed="false">
      <c r="A8" s="24" t="s">
        <v>628</v>
      </c>
      <c r="B8" s="23" t="n">
        <v>46539</v>
      </c>
    </row>
    <row r="9" customFormat="false" ht="16.5" hidden="false" customHeight="false" outlineLevel="0" collapsed="false">
      <c r="A9" s="24" t="s">
        <v>141</v>
      </c>
      <c r="B9" s="23" t="n">
        <v>46568</v>
      </c>
    </row>
    <row r="10" customFormat="false" ht="16.5" hidden="false" customHeight="false" outlineLevel="0" collapsed="false">
      <c r="A10" s="24" t="s">
        <v>629</v>
      </c>
      <c r="B10" s="22" t="n">
        <v>7</v>
      </c>
    </row>
    <row r="11" customFormat="false" ht="16.5" hidden="false" customHeight="false" outlineLevel="0" collapsed="false">
      <c r="A11" s="24" t="s">
        <v>630</v>
      </c>
      <c r="B11" s="22" t="n">
        <v>20</v>
      </c>
    </row>
    <row r="12" customFormat="false" ht="16.5" hidden="false" customHeight="false" outlineLevel="0" collapsed="false">
      <c r="A12" s="24" t="s">
        <v>631</v>
      </c>
      <c r="B12" s="22" t="n">
        <v>6</v>
      </c>
    </row>
    <row r="13" customFormat="false" ht="16.5" hidden="false" customHeight="false" outlineLevel="0" collapsed="false">
      <c r="A13" s="24" t="s">
        <v>632</v>
      </c>
      <c r="B13" s="22" t="n">
        <v>12</v>
      </c>
    </row>
    <row r="14" customFormat="false" ht="16.5" hidden="false" customHeight="false" outlineLevel="0" collapsed="false">
      <c r="A14" s="24" t="s">
        <v>633</v>
      </c>
      <c r="B14" s="22" t="n">
        <v>12</v>
      </c>
    </row>
    <row r="15" customFormat="false" ht="16.5" hidden="false" customHeight="false" outlineLevel="0" collapsed="false">
      <c r="A15" s="24" t="s">
        <v>634</v>
      </c>
      <c r="B15" s="24" t="s">
        <v>635</v>
      </c>
    </row>
    <row r="16" customFormat="false" ht="16.5" hidden="false" customHeight="false" outlineLevel="0" collapsed="false">
      <c r="A16" s="24" t="s">
        <v>636</v>
      </c>
      <c r="B16" s="22" t="s">
        <v>637</v>
      </c>
    </row>
    <row r="17" customFormat="false" ht="16.5" hidden="false" customHeight="false" outlineLevel="0" collapsed="false">
      <c r="A17" s="24" t="s">
        <v>638</v>
      </c>
      <c r="B17" s="22" t="s">
        <v>639</v>
      </c>
    </row>
    <row r="18" customFormat="false" ht="16.5" hidden="false" customHeight="false" outlineLevel="0" collapsed="false">
      <c r="A18" s="24" t="s">
        <v>640</v>
      </c>
      <c r="B18" s="22" t="s">
        <v>641</v>
      </c>
    </row>
    <row r="19" customFormat="false" ht="16.5" hidden="false" customHeight="false" outlineLevel="0" collapsed="false">
      <c r="A19" s="24" t="s">
        <v>642</v>
      </c>
      <c r="B19" s="22" t="s">
        <v>643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2026-09-22T10:55:38Z</dcterms:created>
  <dc:creator>openpyxl</dc:creator>
  <dc:description/>
  <dc:language>zh-CN</dc:language>
  <cp:lastModifiedBy>zlyyh</cp:lastModifiedBy>
  <dcterms:modified xsi:type="dcterms:W3CDTF">2026-10-19T08:49:23Z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DC4ED9331317F7ACC3EEB16AA0DF25FD_42</vt:lpwstr>
  </property>
  <property fmtid="{D5CDD505-2E9C-101B-9397-08002B2CF9AE}" pid="4" name="KSOProductBuildVer">
    <vt:lpwstr>2052-12.1.25869.25869</vt:lpwstr>
  </property>
  <property fmtid="{D5CDD505-2E9C-101B-9397-08002B2CF9AE}" pid="5" name="OfficeCLI.LastModified">
    <vt:lpwstr>2026-09-20T07:31:39Z</vt:lpwstr>
  </property>
  <property fmtid="{D5CDD505-2E9C-101B-9397-08002B2CF9AE}" pid="6" name="OfficeCLI.Version">
    <vt:lpwstr>1.0.103</vt:lpwstr>
  </property>
</Properties>
</file>
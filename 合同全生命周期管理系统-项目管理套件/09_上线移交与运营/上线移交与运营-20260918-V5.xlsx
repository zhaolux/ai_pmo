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700" firstSheet="4" activeTab="0"/>
  </bookViews>
  <sheets>
    <sheet name="使用说明" sheetId="2" r:id="rId2"/>
    <sheet name="上线总览" sheetId="1" r:id="rId1"/>
    <sheet name="上线策略" sheetId="3" r:id="rId3"/>
    <sheet name="上线准备清单" sheetId="4" r:id="rId4"/>
    <sheet name="数据迁移与核验" sheetId="5" r:id="rId5"/>
    <sheet name="切换执行计划" sheetId="6" r:id="rId6"/>
    <sheet name="回退方案" sheetId="7" r:id="rId7"/>
    <sheet name="移交清单" sheetId="8" r:id="rId8"/>
    <sheet name="试运行台账" sheetId="9" r:id="rId9"/>
    <sheet name="运维SLA" sheetId="10" r:id="rId10"/>
    <sheet name="上线事件日志" sheetId="11" r:id="rId11"/>
    <sheet name="_数据接口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<sst xmlns="http://schemas.openxmlformats.org/spreadsheetml/2006/main" count="925" uniqueCount="620">
  <si>
    <t>上线移交与运营总览</t>
  </si>
  <si>
    <t>数据日期：2026-09-17。计划2027-05-31完成系统上线，2027-06-30完成试运行退出。</t>
  </si>
  <si>
    <t>上线检查项</t>
  </si>
  <si>
    <t/>
  </si>
  <si>
    <t>已就绪</t>
  </si>
  <si>
    <t>阻塞项</t>
  </si>
  <si>
    <t>待完成移交</t>
  </si>
  <si>
    <t>未关闭事件</t>
  </si>
  <si>
    <t>综合状态</t>
  </si>
  <si>
    <t>关键门禁</t>
  </si>
  <si>
    <t>门禁</t>
  </si>
  <si>
    <t>计划日期</t>
  </si>
  <si>
    <t>负责人</t>
  </si>
  <si>
    <t>通过标准</t>
  </si>
  <si>
    <t>当前状态</t>
  </si>
  <si>
    <t>批准人</t>
  </si>
  <si>
    <t>证据</t>
  </si>
  <si>
    <t>UAT验收门禁</t>
  </si>
  <si>
    <t>产品经理</t>
  </si>
  <si>
    <t>P0场景100%通过，遗留风险获得批准</t>
  </si>
  <si>
    <t>未通过</t>
  </si>
  <si>
    <t>业务负责人</t>
  </si>
  <si>
    <t>UAT报告/业务确认</t>
  </si>
  <si>
    <t>数据迁移门禁</t>
  </si>
  <si>
    <t>完整性、准确性、金额和状态对账通过</t>
  </si>
  <si>
    <t>迁移和对账报告</t>
  </si>
  <si>
    <t>技术上线门禁</t>
  </si>
  <si>
    <t>技术经理</t>
  </si>
  <si>
    <t>环境、接口、安全、性能、监控和回退可用</t>
  </si>
  <si>
    <t>项目经理</t>
  </si>
  <si>
    <t>技术验证和演练证据</t>
  </si>
  <si>
    <t>业务上线门禁</t>
  </si>
  <si>
    <t>流程、权限、用户、培训、手册和支持就绪</t>
  </si>
  <si>
    <t>培训和业务确认</t>
  </si>
  <si>
    <t>Go/No-Go决策</t>
  </si>
  <si>
    <t>项目集经理</t>
  </si>
  <si>
    <t>所有必须项通过，遗留风险有批准和责任人</t>
  </si>
  <si>
    <t>项目赞助人/治理委员会</t>
  </si>
  <si>
    <t>Go/No-Go决策记录</t>
  </si>
  <si>
    <t>生产上线验证</t>
  </si>
  <si>
    <t>核心链路、数据、接口、权限和监控验证通过</t>
  </si>
  <si>
    <t>生产验证报告</t>
  </si>
  <si>
    <t>试运行退出门禁</t>
  </si>
  <si>
    <t>事件、缺陷、性能、用户反馈和SLA达到批准标准</t>
  </si>
  <si>
    <t>项目赞助人</t>
  </si>
  <si>
    <t>试运行报告/移交确认</t>
  </si>
  <si>
    <t>上线移交与运营-20260918-V5 使用说明</t>
  </si>
  <si>
    <t>管理上线策略、准备、迁移、切换、回退、移交、试运行和SLA。</t>
  </si>
  <si>
    <t>项目</t>
  </si>
  <si>
    <t>能源行业合同全生命周期管理系统</t>
  </si>
  <si>
    <t>适用对象</t>
  </si>
  <si>
    <t>项目经理、技术经理、运维负责人、业务负责人</t>
  </si>
  <si>
    <t>更新频率</t>
  </si>
  <si>
    <t>上线准备期每周更新；上线窗口和试运行期每日更新。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</si>
  <si>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</si>
  <si>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</si>
  <si>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</si>
  <si>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</si>
  <si>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</si>
  <si>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确认上线策略和门禁</t>
  </si>
  <si>
    <t>完成准备项及数据迁移核验</t>
  </si>
  <si>
    <t>按切换计划执行并保留证据</t>
  </si>
  <si>
    <t>必要时按回退方案决策</t>
  </si>
  <si>
    <t>完成运维移交并跟踪试运行和SLA</t>
  </si>
  <si>
    <t>工作表导航</t>
  </si>
  <si>
    <t>顺序</t>
  </si>
  <si>
    <t>工作表</t>
  </si>
  <si>
    <t>用途</t>
  </si>
  <si>
    <t>上线总览</t>
  </si>
  <si>
    <t>查看上线准备、迁移、移交和事件状态。</t>
  </si>
  <si>
    <t>上线策略</t>
  </si>
  <si>
    <t>定义上线方式、窗口、门禁和组织。</t>
  </si>
  <si>
    <t>上线准备清单</t>
  </si>
  <si>
    <t>核对上线前置条件。</t>
  </si>
  <si>
    <t>数据迁移与核验</t>
  </si>
  <si>
    <t>记录迁移批次和核验结果。</t>
  </si>
  <si>
    <t>切换执行计划</t>
  </si>
  <si>
    <t>编排上线窗口任务。</t>
  </si>
  <si>
    <t>回退方案</t>
  </si>
  <si>
    <t>定义触发条件和回退步骤。</t>
  </si>
  <si>
    <t>移交清单</t>
  </si>
  <si>
    <t>跟踪向运维和业务移交。</t>
  </si>
  <si>
    <t>试运行台账</t>
  </si>
  <si>
    <t>记录试运行问题和观察结果。</t>
  </si>
  <si>
    <t>运维SLA</t>
  </si>
  <si>
    <t>定义服务级别和责任。</t>
  </si>
  <si>
    <t>上线事件日志</t>
  </si>
  <si>
    <t>记录上线事件及处置。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</si>
  <si>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</si>
  <si>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</si>
  <si>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</si>
  <si>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</si>
  <si>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</si>
  <si>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</si>
  <si>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</si>
  <si>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</si>
  <si>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</si>
  <si>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本项目默认采用分阶段准备、统一窗口切换和一个月试运行。</t>
  </si>
  <si>
    <t>策略项</t>
  </si>
  <si>
    <t>当前方案</t>
  </si>
  <si>
    <t>责任人</t>
  </si>
  <si>
    <t>准入条件</t>
  </si>
  <si>
    <t>输出/证据</t>
  </si>
  <si>
    <t>状态</t>
  </si>
  <si>
    <t>上线方式</t>
  </si>
  <si>
    <t>集中生产切换，关键流程分批开通</t>
  </si>
  <si>
    <t>UAT、数据、接口和回退门禁通过</t>
  </si>
  <si>
    <t>待批准</t>
  </si>
  <si>
    <t>上线窗口</t>
  </si>
  <si>
    <t>2027-05-28冻结，2027-05-29至05-31切换和验证</t>
  </si>
  <si>
    <t>生产环境、人员、授权和沟通到位</t>
  </si>
  <si>
    <t>切换计划</t>
  </si>
  <si>
    <t>数据策略</t>
  </si>
  <si>
    <t>全量初始化+增量补数+业务对账</t>
  </si>
  <si>
    <t>数据规则、源数据、脱敏和验证脚本就绪</t>
  </si>
  <si>
    <t>迁移与对账报告</t>
  </si>
  <si>
    <t>变更冻结</t>
  </si>
  <si>
    <t>上线前3天冻结代码、配置、接口和数据规则</t>
  </si>
  <si>
    <t>生产版本、基线和紧急变更流程明确</t>
  </si>
  <si>
    <t>冻结清单/发布版本</t>
  </si>
  <si>
    <t>回退策略</t>
  </si>
  <si>
    <t>在规定判定窗口内回退至上一稳定版本</t>
  </si>
  <si>
    <t>备份、回退脚本、数据处置和演练通过</t>
  </si>
  <si>
    <t>回退方案/演练报告</t>
  </si>
  <si>
    <t>支持策略</t>
  </si>
  <si>
    <t>试运行期间业务、产品、开发、测试和运维联合值守</t>
  </si>
  <si>
    <t>联系人、排班、SLA、升级和工单渠道明确</t>
  </si>
  <si>
    <t>支持手册/值班表</t>
  </si>
  <si>
    <t>试运行</t>
  </si>
  <si>
    <t>2027-06-01至2027-06-30，按日监控、按周评审</t>
  </si>
  <si>
    <t>生产验证通过，支持和监控就绪</t>
  </si>
  <si>
    <t>试运行计划</t>
  </si>
  <si>
    <t>试运行退出</t>
  </si>
  <si>
    <t>达到SLA、缺陷、事件、性能和用户反馈标准后移交运营</t>
  </si>
  <si>
    <t>试运行退出门禁通过</t>
  </si>
  <si>
    <t>未开始</t>
  </si>
  <si>
    <t>沟通策略</t>
  </si>
  <si>
    <t>上线前每日准备会，窗口期间按节点通报，事件触发升级</t>
  </si>
  <si>
    <t>通讯录、模板、群组和升级路径就绪</t>
  </si>
  <si>
    <t>沟通计划/上线通知</t>
  </si>
  <si>
    <t>业务连续性</t>
  </si>
  <si>
    <t>明确切换期业务暂停、手工处理、补录和对账机制</t>
  </si>
  <si>
    <t>临时业务方案和恢复后补录规则明确</t>
  </si>
  <si>
    <t>业务连续性方案</t>
  </si>
  <si>
    <t>必须项未就绪或阻塞时，Go/No-Go必须明确处置决定。</t>
  </si>
  <si>
    <t>检查项ID</t>
  </si>
  <si>
    <t>领域</t>
  </si>
  <si>
    <t>检查项</t>
  </si>
  <si>
    <t>计划完成</t>
  </si>
  <si>
    <t>是否必须</t>
  </si>
  <si>
    <t>实际完成</t>
  </si>
  <si>
    <t>验证人</t>
  </si>
  <si>
    <t>备注</t>
  </si>
  <si>
    <t>RDY-001</t>
  </si>
  <si>
    <t>范围</t>
  </si>
  <si>
    <t>P0范围和上线版本冻结</t>
  </si>
  <si>
    <t>上线版本与批准范围一致</t>
  </si>
  <si>
    <t>必须</t>
  </si>
  <si>
    <t>未就绪</t>
  </si>
  <si>
    <t>RDY-002</t>
  </si>
  <si>
    <t>需求</t>
  </si>
  <si>
    <t>P0需求和验收标准完成</t>
  </si>
  <si>
    <t>P0覆盖率100%</t>
  </si>
  <si>
    <t>RDY-003</t>
  </si>
  <si>
    <t>缺陷</t>
  </si>
  <si>
    <t>Blocker/Critical缺陷清零</t>
  </si>
  <si>
    <t>测试负责人</t>
  </si>
  <si>
    <t>未关闭数为0或获得书面批准</t>
  </si>
  <si>
    <t>RDY-004</t>
  </si>
  <si>
    <t>UAT</t>
  </si>
  <si>
    <t>关键用户完成UAT确认</t>
  </si>
  <si>
    <t>P0场景100%通过</t>
  </si>
  <si>
    <t>RDY-005</t>
  </si>
  <si>
    <t>数据</t>
  </si>
  <si>
    <t>迁移、增量补数和业务对账通过</t>
  </si>
  <si>
    <t>关键对账差异为0或获批准</t>
  </si>
  <si>
    <t>RDY-006</t>
  </si>
  <si>
    <t>接口</t>
  </si>
  <si>
    <t>P0接口完成联调、异常补偿、对账和生产参数核验</t>
  </si>
  <si>
    <t>37个系统完成范围决策；P0接口联调通过率100%，未关闭对账差异为0或获批准</t>
  </si>
  <si>
    <t>接口范围基线、联调报告、对账报告、生产参数清单</t>
  </si>
  <si>
    <t>RDY-007</t>
  </si>
  <si>
    <t>权限</t>
  </si>
  <si>
    <t>角色、组织、数据权限和审计校验</t>
  </si>
  <si>
    <t>越权被阻止，审计日志完整</t>
  </si>
  <si>
    <t>RDY-008</t>
  </si>
  <si>
    <t>性能</t>
  </si>
  <si>
    <t>核心页面和接口性能达标</t>
  </si>
  <si>
    <t>达到批准的并发、响应和容量指标</t>
  </si>
  <si>
    <t>RDY-009</t>
  </si>
  <si>
    <t>安全</t>
  </si>
  <si>
    <t>安全测试和高风险整改完成</t>
  </si>
  <si>
    <t>高风险问题为0</t>
  </si>
  <si>
    <t>RDY-010</t>
  </si>
  <si>
    <t>环境</t>
  </si>
  <si>
    <t>生产环境、网络、证书、域名和时间同步就绪</t>
  </si>
  <si>
    <t>配置人员</t>
  </si>
  <si>
    <t>环境验证清单通过</t>
  </si>
  <si>
    <t>RDY-011</t>
  </si>
  <si>
    <t>发布</t>
  </si>
  <si>
    <t>发布包、脚本、配置和版本可追溯</t>
  </si>
  <si>
    <t>版本、校验值和审批完整</t>
  </si>
  <si>
    <t>RDY-012</t>
  </si>
  <si>
    <t>监控</t>
  </si>
  <si>
    <t>应用、接口、数据库、中间件和业务监控就绪</t>
  </si>
  <si>
    <t>监控、告警、通知和值班验证通过</t>
  </si>
  <si>
    <t>RDY-013</t>
  </si>
  <si>
    <t>备份</t>
  </si>
  <si>
    <t>数据库、文件、配置和密钥备份完成</t>
  </si>
  <si>
    <t>备份可恢复并完成抽样验证</t>
  </si>
  <si>
    <t>RDY-014</t>
  </si>
  <si>
    <t>回退</t>
  </si>
  <si>
    <t>回退方案、脚本和演练通过</t>
  </si>
  <si>
    <t>RTO/RPO和业务验证达标</t>
  </si>
  <si>
    <t>RDY-015</t>
  </si>
  <si>
    <t>用户</t>
  </si>
  <si>
    <t>生产用户、角色和初始化数据准备完成</t>
  </si>
  <si>
    <t>用户清单和授权审批完整</t>
  </si>
  <si>
    <t>RDY-016</t>
  </si>
  <si>
    <t>培训</t>
  </si>
  <si>
    <t>管理员、关键用户和支持人员培训完成</t>
  </si>
  <si>
    <t>出席、课件、考核和问题记录完整</t>
  </si>
  <si>
    <t>RDY-017</t>
  </si>
  <si>
    <t>文档</t>
  </si>
  <si>
    <t>用户手册、运维手册、应急手册和配置清单完成</t>
  </si>
  <si>
    <t>文档通过评审并存入指定位置</t>
  </si>
  <si>
    <t>RDY-018</t>
  </si>
  <si>
    <t>支持</t>
  </si>
  <si>
    <t>试运行值守、工单、SLA和升级路径就绪</t>
  </si>
  <si>
    <t>轮值和升级演练通过</t>
  </si>
  <si>
    <t>RDY-019</t>
  </si>
  <si>
    <t>通知</t>
  </si>
  <si>
    <t>上线、业务暂停、使用指南和支持渠道已通知</t>
  </si>
  <si>
    <t>发送范围和确认记录完整</t>
  </si>
  <si>
    <t>RDY-020</t>
  </si>
  <si>
    <t>商务</t>
  </si>
  <si>
    <t>外部产品授权、证书、SLA和支持权益生效</t>
  </si>
  <si>
    <t>CA/电子文档/BI合同权益可用</t>
  </si>
  <si>
    <t>迁移必须同时验证完整性、准确性、一致性、附件可用性和业务可操作性。</t>
  </si>
  <si>
    <t>迁移ID</t>
  </si>
  <si>
    <t>数据对象</t>
  </si>
  <si>
    <t>来源系统</t>
  </si>
  <si>
    <t>迁移范围</t>
  </si>
  <si>
    <t>迁移方式</t>
  </si>
  <si>
    <t>计划执行</t>
  </si>
  <si>
    <t>源数量</t>
  </si>
  <si>
    <t>目标数量</t>
  </si>
  <si>
    <t>差异数量</t>
  </si>
  <si>
    <t>差异率</t>
  </si>
  <si>
    <t>核验规则</t>
  </si>
  <si>
    <t>核验结果</t>
  </si>
  <si>
    <t>差异处置</t>
  </si>
  <si>
    <t>MIG-001</t>
  </si>
  <si>
    <t>合同主数据</t>
  </si>
  <si>
    <t>现有合同系统/档案</t>
  </si>
  <si>
    <t>有效及需追溯合同</t>
  </si>
  <si>
    <t>全量+增量</t>
  </si>
  <si>
    <t>记录数、金额、状态、关键字段和抽样业务校验</t>
  </si>
  <si>
    <t>未执行</t>
  </si>
  <si>
    <t>MIG-002</t>
  </si>
  <si>
    <t>合同相对方</t>
  </si>
  <si>
    <t>主数据平台</t>
  </si>
  <si>
    <t>有效客户、供应商和资质</t>
  </si>
  <si>
    <t>编码、名称、统一社会信用代码、状态和资质</t>
  </si>
  <si>
    <t>MIG-003</t>
  </si>
  <si>
    <t>履约与收付款</t>
  </si>
  <si>
    <t>现有业务/财务系统</t>
  </si>
  <si>
    <t>未完成履约、应收应付和关键历史</t>
  </si>
  <si>
    <t>节点、金额、余额、状态和业财对账</t>
  </si>
  <si>
    <t>业务/财务负责人</t>
  </si>
  <si>
    <t>MIG-004</t>
  </si>
  <si>
    <t>合同附件与归档文件</t>
  </si>
  <si>
    <t>档案/文件系统</t>
  </si>
  <si>
    <t>正文、附件、审批和签署证据</t>
  </si>
  <si>
    <t>文件数、大小、哈希、关联、打开和权限</t>
  </si>
  <si>
    <t>档案负责人</t>
  </si>
  <si>
    <t>MIG-005</t>
  </si>
  <si>
    <t>组织、用户与权限</t>
  </si>
  <si>
    <t>组织/身份平台</t>
  </si>
  <si>
    <t>组织、人员、岗位、角色和数据范围</t>
  </si>
  <si>
    <t>账号状态、角色、最小权限、离职失效和越权验证</t>
  </si>
  <si>
    <t>安全/业务负责人</t>
  </si>
  <si>
    <t>MIG-006</t>
  </si>
  <si>
    <t>经营指标初始数据</t>
  </si>
  <si>
    <t>合同系统/BI</t>
  </si>
  <si>
    <t>合同金额、履约、收付款和风险指标</t>
  </si>
  <si>
    <t>全量汇总</t>
  </si>
  <si>
    <t>明细与报表汇总、指标口径和数据权限</t>
  </si>
  <si>
    <t>以实际时间、执行人、验证结果和证据记录整个上线窗口。</t>
  </si>
  <si>
    <t>任务ID</t>
  </si>
  <si>
    <t>阶段</t>
  </si>
  <si>
    <t>切换任务</t>
  </si>
  <si>
    <t>前置任务</t>
  </si>
  <si>
    <t>复核人</t>
  </si>
  <si>
    <t>计划开始</t>
  </si>
  <si>
    <t>计划结束</t>
  </si>
  <si>
    <t>实际开始</t>
  </si>
  <si>
    <t>实际结束</t>
  </si>
  <si>
    <t>执行命令/步骤</t>
  </si>
  <si>
    <t>验证方法</t>
  </si>
  <si>
    <t>执行结果</t>
  </si>
  <si>
    <t>异常/事件ID</t>
  </si>
  <si>
    <t>CUT-001</t>
  </si>
  <si>
    <t>准备</t>
  </si>
  <si>
    <t>确认Go/No-Go批准</t>
  </si>
  <si>
    <t>核对门禁、风险批准和责任人</t>
  </si>
  <si>
    <t>决策记录完整</t>
  </si>
  <si>
    <t>CUT-002</t>
  </si>
  <si>
    <t>冻结代码、配置、数据规则和接口</t>
  </si>
  <si>
    <t>标记生产基线，关闭普通变更入口</t>
  </si>
  <si>
    <t>基线编号、校验值可追溯</t>
  </si>
  <si>
    <t>CUT-003</t>
  </si>
  <si>
    <t>执行生产前数据、文件、配置和密钥备份</t>
  </si>
  <si>
    <t>按备份清单执行并记录校验值</t>
  </si>
  <si>
    <t>恢复抽样成功</t>
  </si>
  <si>
    <t>CUT-004</t>
  </si>
  <si>
    <t>部署</t>
  </si>
  <si>
    <t>部署应用、配置、中间件和数据库变更</t>
  </si>
  <si>
    <t>按发布手册和自动化脚本执行</t>
  </si>
  <si>
    <t>版本、配置、进程和日志正常</t>
  </si>
  <si>
    <t>CUT-005</t>
  </si>
  <si>
    <t>执行全量/增量数据迁移</t>
  </si>
  <si>
    <t>执行迁移脚本、增量补数和对账</t>
  </si>
  <si>
    <t>迁移对象逐项核验</t>
  </si>
  <si>
    <t>CUT-006</t>
  </si>
  <si>
    <t>集成</t>
  </si>
  <si>
    <t>启用大集中ERP、昆仑ERP、云梦泽、财务共享、档案、IAM、EPM、MDG及外部产品生产接口</t>
  </si>
  <si>
    <t>CUT-004,CUT-005</t>
  </si>
  <si>
    <t>接口负责人</t>
  </si>
  <si>
    <t>按批准的P0接口清单配置生产端点、证书、账号、白名单和调度</t>
  </si>
  <si>
    <t>逐系统健康检查、核心交易验证、重试补偿和对账</t>
  </si>
  <si>
    <t>CUT-007</t>
  </si>
  <si>
    <t>初始化生产用户、角色和数据权限</t>
  </si>
  <si>
    <t>安全负责人</t>
  </si>
  <si>
    <t>导入批准用户和权限清单</t>
  </si>
  <si>
    <t>允许、拒绝、数据范围和审计验证</t>
  </si>
  <si>
    <t>CUT-008</t>
  </si>
  <si>
    <t>验证</t>
  </si>
  <si>
    <t>执行核心合同生命周期烟测</t>
  </si>
  <si>
    <t>CUT-004,CUT-005,CUT-006,CUT-007</t>
  </si>
  <si>
    <t>创建、审查、审批、签署、履约、变更、归档</t>
  </si>
  <si>
    <t>业务结果、数据、接口和审计日志正确</t>
  </si>
  <si>
    <t>CUT-009</t>
  </si>
  <si>
    <t>启用监控、告警、日志聚合和值班通知</t>
  </si>
  <si>
    <t>运维负责人</t>
  </si>
  <si>
    <t>开启监控项、告警规则和通知链路</t>
  </si>
  <si>
    <t>模拟告警可送达并处理</t>
  </si>
  <si>
    <t>CUT-010</t>
  </si>
  <si>
    <t>业务</t>
  </si>
  <si>
    <t>发布上线通知并开放生产访问</t>
  </si>
  <si>
    <t>CUT-008,CUT-009</t>
  </si>
  <si>
    <t>按通知模板发送用户范围、入口和支持方式</t>
  </si>
  <si>
    <t>关键用户确认可访问</t>
  </si>
  <si>
    <t>CUT-011</t>
  </si>
  <si>
    <t>启动试运行值守和每日跟踪</t>
  </si>
  <si>
    <t>启动值班表、工单渠道、SLA和日报</t>
  </si>
  <si>
    <t>首日状态和联络链路正常</t>
  </si>
  <si>
    <t>CUT-012</t>
  </si>
  <si>
    <t>收尾</t>
  </si>
  <si>
    <t>完成生产验证报告和窗口复盘</t>
  </si>
  <si>
    <t>汇总任务、异常、用时、结果和遗留项</t>
  </si>
  <si>
    <t>报告和行动项获得确认</t>
  </si>
  <si>
    <t>回退的核心是明确触发条件、决策时限、数据边界、恢复验证和沟通责任。</t>
  </si>
  <si>
    <t>回退ID</t>
  </si>
  <si>
    <t>场景</t>
  </si>
  <si>
    <t>触发条件</t>
  </si>
  <si>
    <t>决策人</t>
  </si>
  <si>
    <t>决策截止</t>
  </si>
  <si>
    <t>回退步骤</t>
  </si>
  <si>
    <t>数据处理</t>
  </si>
  <si>
    <t>RTO目标</t>
  </si>
  <si>
    <t>RPO目标</t>
  </si>
  <si>
    <t>执行负责人</t>
  </si>
  <si>
    <t>沟通对象</t>
  </si>
  <si>
    <t>演练结果</t>
  </si>
  <si>
    <t>RBK-001</t>
  </si>
  <si>
    <t>应用版本无法启动/核心链路不可用</t>
  </si>
  <si>
    <t>两次修复失败或超过切换窗口</t>
  </si>
  <si>
    <t>问题确认后30分钟</t>
  </si>
  <si>
    <t>停止流量、卸载/停用新版本、恢复旧版、验证</t>
  </si>
  <si>
    <t>新版交易统计并按方案补偿</t>
  </si>
  <si>
    <t>登录、核心流程、接口、日志</t>
  </si>
  <si>
    <t>2小时</t>
  </si>
  <si>
    <t>15分钟</t>
  </si>
  <si>
    <t>业务、管理层、项目组</t>
  </si>
  <si>
    <t>未演练</t>
  </si>
  <si>
    <t>RBK-002</t>
  </si>
  <si>
    <t>数据迁移差异不可接受</t>
  </si>
  <si>
    <t>关键数据不完整、金额或状态差异无法在窗口内解决</t>
  </si>
  <si>
    <t>对账结果出具后30分钟</t>
  </si>
  <si>
    <t>停止开放、保留旧系统、恢复备份、重新对账</t>
  </si>
  <si>
    <t>禁止双写，保留迁移批次和差异明细</t>
  </si>
  <si>
    <t>数量、金额、状态、附件和抽样</t>
  </si>
  <si>
    <t>4小时</t>
  </si>
  <si>
    <t>0</t>
  </si>
  <si>
    <t>产品经理/技术经理</t>
  </si>
  <si>
    <t>业务、财务、管理层</t>
  </si>
  <si>
    <t>RBK-003</t>
  </si>
  <si>
    <t>P0外部接口核心交易不可用</t>
  </si>
  <si>
    <t>任一大集中ERP、昆仑ERP、云梦泽、财务共享、档案、MDG等P0链路无法在批准时限内恢复</t>
  </si>
  <si>
    <t>问题确认后60分钟</t>
  </si>
  <si>
    <t>停止新交易、切换旧链路/手工方案、重新对账</t>
  </si>
  <si>
    <t>记录待补偿交易和幂等键</t>
  </si>
  <si>
    <t>按接口清单执行健康检查、核心交易、重试、补偿和对账</t>
  </si>
  <si>
    <t>业务、外部系统、项目组</t>
  </si>
  <si>
    <t>RBK-004</t>
  </si>
  <si>
    <t>权限或安全问题</t>
  </si>
  <si>
    <t>发生严重越权、数据泄露或高风险漏洞</t>
  </si>
  <si>
    <t>项目赞助人/安全负责人</t>
  </si>
  <si>
    <t>立即</t>
  </si>
  <si>
    <t>关闭入口、停止服务、保全日志、回退、启动应急响应</t>
  </si>
  <si>
    <t>保留现场，禁止未授权修改</t>
  </si>
  <si>
    <t>安全扫描、权限验证、日志审计</t>
  </si>
  <si>
    <t>安全、管理层、业务、法务</t>
  </si>
  <si>
    <t>RBK-005</t>
  </si>
  <si>
    <t>性能或容量严重不足</t>
  </si>
  <si>
    <t>核心业务超时/错误率超阈值且扩容无效</t>
  </si>
  <si>
    <t>超阈值后60分钟</t>
  </si>
  <si>
    <t>限流、降级、扩容，仍无效时回退</t>
  </si>
  <si>
    <t>确保交易不丢失不重复</t>
  </si>
  <si>
    <t>压力、交易量、错误率、资源和业务体验</t>
  </si>
  <si>
    <t>业务、运维、管理层</t>
  </si>
  <si>
    <t>RBK-006</t>
  </si>
  <si>
    <t>回退后验证</t>
  </si>
  <si>
    <t>任一回退场景触发</t>
  </si>
  <si>
    <t>回退后30分钟内启动验证</t>
  </si>
  <si>
    <t>检查系统、数据、接口、权限、监控，发布恢复通知</t>
  </si>
  <si>
    <t>对账回退前后交易并形成补偿清单</t>
  </si>
  <si>
    <t>核心合同生命周期业务烟测</t>
  </si>
  <si>
    <t>1小时</t>
  </si>
  <si>
    <t>全体相关方</t>
  </si>
  <si>
    <t>移交以接收人可独立运营和可检索证据为完成标准。</t>
  </si>
  <si>
    <t>移交ID</t>
  </si>
  <si>
    <t>类别</t>
  </si>
  <si>
    <t>移交项</t>
  </si>
  <si>
    <t>交付标准</t>
  </si>
  <si>
    <t>移交人</t>
  </si>
  <si>
    <t>接收人</t>
  </si>
  <si>
    <t>实际日期</t>
  </si>
  <si>
    <t>存放位置/链接</t>
  </si>
  <si>
    <t>确认人</t>
  </si>
  <si>
    <t>HOV-001</t>
  </si>
  <si>
    <t>管理</t>
  </si>
  <si>
    <t>项目章程、基线、决策、风险、变更和会议记录</t>
  </si>
  <si>
    <t>索引完整、版本可追溯</t>
  </si>
  <si>
    <t>运营负责人</t>
  </si>
  <si>
    <t>HOV-002</t>
  </si>
  <si>
    <t>业务流程、规则、配置、权限和指标口径</t>
  </si>
  <si>
    <t>与生产配置一致并通过业务确认</t>
  </si>
  <si>
    <t>业务运营负责人</t>
  </si>
  <si>
    <t>HOV-003</t>
  </si>
  <si>
    <t>用户手册、常见问题和培训材料</t>
  </si>
  <si>
    <t>文档可用，关键用户完成培训</t>
  </si>
  <si>
    <t>HOV-004</t>
  </si>
  <si>
    <t>技术</t>
  </si>
  <si>
    <t>架构、部署、接口、数据、安全和性能文档</t>
  </si>
  <si>
    <t>与生产一致，关键决策和已知限制明确</t>
  </si>
  <si>
    <t>HOV-005</t>
  </si>
  <si>
    <t>运维</t>
  </si>
  <si>
    <t>运维手册、监控、告警、备份、恢复和日常巡检</t>
  </si>
  <si>
    <t>运维人员可独立执行标准操作</t>
  </si>
  <si>
    <t>HOV-006</t>
  </si>
  <si>
    <t>账号</t>
  </si>
  <si>
    <t>系统账号、服务账号、证书、密钥和到期日</t>
  </si>
  <si>
    <t>权属、保管、轮换和审批流程明确</t>
  </si>
  <si>
    <t>运维/安全负责人</t>
  </si>
  <si>
    <t>HOV-007</t>
  </si>
  <si>
    <t>配置</t>
  </si>
  <si>
    <t>应用、数据库、中间件、调度和接口配置清单</t>
  </si>
  <si>
    <t>生产基线可追溯，敏感项脱敏</t>
  </si>
  <si>
    <t>HOV-008</t>
  </si>
  <si>
    <t>供应商</t>
  </si>
  <si>
    <t>CA/电子文档/BI产品授权、SLA、联系人和支持流程</t>
  </si>
  <si>
    <t>权益生效，联系人和升级路径有效</t>
  </si>
  <si>
    <t>运维/采购负责人</t>
  </si>
  <si>
    <t>HOV-009</t>
  </si>
  <si>
    <t>未结事项</t>
  </si>
  <si>
    <t>已知缺陷、风险、技术债和后续优化</t>
  </si>
  <si>
    <t>影响、应对、责任人和日期明确并获批准</t>
  </si>
  <si>
    <t>HOV-010</t>
  </si>
  <si>
    <t>验收</t>
  </si>
  <si>
    <t>交付物、验收证据、发票付款和合同义务</t>
  </si>
  <si>
    <t>交付物与合同清单匹配，未结义务明确</t>
  </si>
  <si>
    <t>合同/采购负责人</t>
  </si>
  <si>
    <t>HOV-011</t>
  </si>
  <si>
    <t>数据字典、迁移映射、对账规则和数据质量问题</t>
  </si>
  <si>
    <t>口径和数据责任明确</t>
  </si>
  <si>
    <t>数据/运营负责人</t>
  </si>
  <si>
    <t>HOV-012</t>
  </si>
  <si>
    <t>应急</t>
  </si>
  <si>
    <t>应急预案、回退方案、演练报告和通讯录</t>
  </si>
  <si>
    <t>运维可按预案独立组织响应</t>
  </si>
  <si>
    <t>按日/周记录系统、业务、数据、接口、性能、支持和用户反馈。</t>
  </si>
  <si>
    <t>周期ID</t>
  </si>
  <si>
    <t>开始日期</t>
  </si>
  <si>
    <t>结束日期</t>
  </si>
  <si>
    <t>生产交易量</t>
  </si>
  <si>
    <t>核心链路成功率</t>
  </si>
  <si>
    <t>P1/P2事件数</t>
  </si>
  <si>
    <t>未关闭严重缺陷</t>
  </si>
  <si>
    <t>SLA达成率</t>
  </si>
  <si>
    <t>用户反馈</t>
  </si>
  <si>
    <t>主要问题</t>
  </si>
  <si>
    <t>本期行动</t>
  </si>
  <si>
    <t>证据/报告</t>
  </si>
  <si>
    <t>OPS-001</t>
  </si>
  <si>
    <t>OPS-002</t>
  </si>
  <si>
    <t>OPS-003</t>
  </si>
  <si>
    <t>OPS-004</t>
  </si>
  <si>
    <t>OPS-005</t>
  </si>
  <si>
    <t>运维SLA与支持模型</t>
  </si>
  <si>
    <t>SLA阈值为项目建议初值，正式生效前应由业务、运维和供应商确认。</t>
  </si>
  <si>
    <t>服务项</t>
  </si>
  <si>
    <t>级别/场景</t>
  </si>
  <si>
    <t>服务时间</t>
  </si>
  <si>
    <t>响应时限</t>
  </si>
  <si>
    <t>恢复/解决目标</t>
  </si>
  <si>
    <t>升级时限</t>
  </si>
  <si>
    <t>一线负责</t>
  </si>
  <si>
    <t>二线负责</t>
  </si>
  <si>
    <t>三线/供应商</t>
  </si>
  <si>
    <t>监控/证据</t>
  </si>
  <si>
    <t>报告频率</t>
  </si>
  <si>
    <t>事件处理</t>
  </si>
  <si>
    <t>P1-系统不可用/严重数据或安全影响</t>
  </si>
  <si>
    <t>7×24</t>
  </si>
  <si>
    <t>2小时恢复，根因按批准时限</t>
  </si>
  <si>
    <t>服务台</t>
  </si>
  <si>
    <t>运维/技术经理</t>
  </si>
  <si>
    <t>项目集经理/供应商</t>
  </si>
  <si>
    <t>工单、监控、时间线和复盘</t>
  </si>
  <si>
    <t>每30分钟通报</t>
  </si>
  <si>
    <t>待确认</t>
  </si>
  <si>
    <t>P2-核心功能严重受影响</t>
  </si>
  <si>
    <t>30分钟</t>
  </si>
  <si>
    <t>4小时恢复</t>
  </si>
  <si>
    <t>运维/开发</t>
  </si>
  <si>
    <t>技术经理/供应商</t>
  </si>
  <si>
    <t>工单、日志和处理证据</t>
  </si>
  <si>
    <t>每2小时通报</t>
  </si>
  <si>
    <t>P3-一般功能受影响</t>
  </si>
  <si>
    <t>5×8</t>
  </si>
  <si>
    <t>2个工作日</t>
  </si>
  <si>
    <t>1个工作日</t>
  </si>
  <si>
    <t>工单和解决记录</t>
  </si>
  <si>
    <t>日报</t>
  </si>
  <si>
    <t>P4-咨询/轻微影响</t>
  </si>
  <si>
    <t>5个工作日</t>
  </si>
  <si>
    <t>3个工作日</t>
  </si>
  <si>
    <t>运维/产品</t>
  </si>
  <si>
    <t>工单和知识库</t>
  </si>
  <si>
    <t>周报</t>
  </si>
  <si>
    <t>系统可用性</t>
  </si>
  <si>
    <t>核心服务</t>
  </si>
  <si>
    <t>监控实时</t>
  </si>
  <si>
    <t>月度可用性≥99.9%</t>
  </si>
  <si>
    <t>超阈值立即</t>
  </si>
  <si>
    <t>可用性、停机时间和排除项</t>
  </si>
  <si>
    <t>月报</t>
  </si>
  <si>
    <t>接口可用性</t>
  </si>
  <si>
    <t>核心ERP/财务/CA/文档接口</t>
  </si>
  <si>
    <t>成功率≥99.9%，失败可重试补偿</t>
  </si>
  <si>
    <t>连续失败超阈值</t>
  </si>
  <si>
    <t>外部系统/供应商</t>
  </si>
  <si>
    <t>成功率、延迟、重试、补偿和对账</t>
  </si>
  <si>
    <t>日报/月报</t>
  </si>
  <si>
    <t>备份与恢复</t>
  </si>
  <si>
    <t>数据库、文件和配置</t>
  </si>
  <si>
    <t>备份失败立即</t>
  </si>
  <si>
    <t>RPO≤15分钟，RTO≤4小时</t>
  </si>
  <si>
    <t>备份失败后30分钟</t>
  </si>
  <si>
    <t>基础设施供应商</t>
  </si>
  <si>
    <t>备份作业、恢复演练和校验记录</t>
  </si>
  <si>
    <t>日报/季度演练</t>
  </si>
  <si>
    <t>支持与报告</t>
  </si>
  <si>
    <t>试运行联合支持</t>
  </si>
  <si>
    <t>按事件级别</t>
  </si>
  <si>
    <t>问题当日分类并持续跟踪</t>
  </si>
  <si>
    <t>阻塞或逾期立即</t>
  </si>
  <si>
    <t>项目组</t>
  </si>
  <si>
    <t>工单、日报、趋势和复盘</t>
  </si>
  <si>
    <t>每日/每周</t>
  </si>
  <si>
    <t>记录上线窗口和试运行事件。P1/P2事件需复盘和根因分析。</t>
  </si>
  <si>
    <t>事件ID</t>
  </si>
  <si>
    <t>发生时间</t>
  </si>
  <si>
    <t>级别</t>
  </si>
  <si>
    <t>现象/影响</t>
  </si>
  <si>
    <t>发现方式</t>
  </si>
  <si>
    <t>首次响应</t>
  </si>
  <si>
    <t>恢复时间</t>
  </si>
  <si>
    <t>解决时间</t>
  </si>
  <si>
    <t>根因</t>
  </si>
  <si>
    <t>处置措施</t>
  </si>
  <si>
    <t>问题/缺陷ID</t>
  </si>
  <si>
    <t>证据/复盘</t>
  </si>
  <si>
    <t>字段</t>
  </si>
  <si>
    <t>值</t>
  </si>
  <si>
    <t>Project_ID</t>
  </si>
  <si>
    <t>ECM-2026</t>
  </si>
  <si>
    <t>项目名称</t>
  </si>
  <si>
    <t>模块编码</t>
  </si>
  <si>
    <t>09</t>
  </si>
  <si>
    <t>数据日期</t>
  </si>
  <si>
    <t>计划上线日期</t>
  </si>
  <si>
    <t>试运行开始</t>
  </si>
  <si>
    <t>上线门禁数</t>
  </si>
  <si>
    <t>上线准备项数</t>
  </si>
  <si>
    <t>迁移对象数</t>
  </si>
  <si>
    <t>切换任务数</t>
  </si>
  <si>
    <t>移交项数</t>
  </si>
  <si>
    <t>使用说明Sheet</t>
  </si>
  <si>
    <t>已包含</t>
  </si>
  <si>
    <t>使用说明版本</t>
  </si>
  <si>
    <t>20260917-V1</t>
  </si>
  <si>
    <t>上游模块</t>
  </si>
  <si>
    <t>02_计划与进度/06_风险问题与变更/07_质量测试与验收/08_沟通会议与报告</t>
  </si>
  <si>
    <t>下游模块</t>
  </si>
  <si>
    <t>10_复盘与经验沉淀/11_AI_PMO中心</t>
  </si>
  <si>
    <t>中央数据库</t>
  </si>
  <si>
    <t>../90_项目数据中心/ai_pmo.db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</si>
</sst>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yyyy\-mm\-dd\ hh:mm"/>
    <numFmt numFmtId="178" formatCode="0.0%"/>
  </numFmts>
  <fonts count="30">
    <font>
      <sz val="11"/>
      <name val="Carlito"/>
      <charset val="134"/>
    </font>
    <font>
      <b/>
      <sz val="10"/>
      <color rgb="FF1F4E78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243447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7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0" applyNumberFormat="0" applyAlignment="0" applyProtection="0">
      <alignment vertical="center"/>
    </xf>
    <xf numFmtId="0" fontId="20" fillId="9" borderId="11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10" borderId="12" applyNumberFormat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2" fillId="0" borderId="2" xfId="49" applyNumberFormat="1" applyFont="1" applyFill="1" applyBorder="1" applyAlignment="1">
      <alignment vertical="center"/>
    </xf>
    <xf numFmtId="176" fontId="2" fillId="0" borderId="2" xfId="49" applyNumberFormat="1" applyFont="1" applyFill="1" applyBorder="1" applyAlignment="1">
      <alignment vertical="center"/>
    </xf>
    <xf numFmtId="0" fontId="3" fillId="0" borderId="0" xfId="49" applyNumberFormat="1" applyFont="1" applyFill="1" applyBorder="1"/>
    <xf numFmtId="0" fontId="4" fillId="0" borderId="0" xfId="49" applyNumberFormat="1" applyFont="1" applyFill="1" applyBorder="1"/>
    <xf numFmtId="0" fontId="2" fillId="3" borderId="2" xfId="49" applyNumberFormat="1" applyFont="1" applyFill="1" applyBorder="1" applyAlignment="1">
      <alignment vertical="center"/>
    </xf>
    <xf numFmtId="177" fontId="2" fillId="3" borderId="2" xfId="49" applyNumberFormat="1" applyFont="1" applyFill="1" applyBorder="1" applyAlignment="1">
      <alignment vertical="center"/>
    </xf>
    <xf numFmtId="0" fontId="2" fillId="3" borderId="2" xfId="49" applyNumberFormat="1" applyFont="1" applyFill="1" applyBorder="1" applyAlignment="1">
      <alignment vertical="center" wrapText="1"/>
    </xf>
    <xf numFmtId="0" fontId="2" fillId="0" borderId="2" xfId="49" applyNumberFormat="1" applyFont="1" applyFill="1" applyBorder="1" applyAlignment="1">
      <alignment vertical="center" wrapText="1"/>
    </xf>
    <xf numFmtId="3" fontId="2" fillId="3" borderId="2" xfId="49" applyNumberFormat="1" applyFont="1" applyFill="1" applyBorder="1" applyAlignment="1">
      <alignment vertical="center"/>
    </xf>
    <xf numFmtId="178" fontId="2" fillId="3" borderId="2" xfId="49" applyNumberFormat="1" applyFont="1" applyFill="1" applyBorder="1" applyAlignment="1">
      <alignment vertical="center"/>
    </xf>
    <xf numFmtId="176" fontId="2" fillId="3" borderId="2" xfId="49" applyNumberFormat="1" applyFont="1" applyFill="1" applyBorder="1" applyAlignment="1">
      <alignment vertical="center"/>
    </xf>
    <xf numFmtId="178" fontId="2" fillId="4" borderId="2" xfId="49" applyNumberFormat="1" applyFont="1" applyFill="1" applyBorder="1" applyAlignment="1">
      <alignment vertical="center"/>
    </xf>
    <xf numFmtId="0" fontId="5" fillId="0" borderId="0" xfId="49" applyNumberFormat="1" applyFont="1" applyFill="1" applyBorder="1" applyAlignment="1">
      <alignment vertical="center" wrapText="1"/>
    </xf>
    <xf numFmtId="0" fontId="6" fillId="0" borderId="0" xfId="49" applyNumberFormat="1" applyFont="1" applyFill="1" applyBorder="1" applyAlignment="1">
      <alignment vertical="center" wrapText="1"/>
    </xf>
    <xf numFmtId="0" fontId="7" fillId="0" borderId="0" xfId="49" applyNumberFormat="1" applyFont="1" applyFill="1" applyBorder="1" applyAlignment="1">
      <alignment vertical="center" wrapText="1"/>
    </xf>
    <xf numFmtId="0" fontId="7" fillId="0" borderId="3" xfId="49" applyNumberFormat="1" applyFont="1" applyFill="1" applyBorder="1" applyAlignment="1">
      <alignment vertical="center" wrapText="1"/>
    </xf>
    <xf numFmtId="0" fontId="7" fillId="3" borderId="3" xfId="49" applyNumberFormat="1" applyFont="1" applyFill="1" applyBorder="1" applyAlignment="1">
      <alignment vertical="center" wrapText="1"/>
    </xf>
    <xf numFmtId="0" fontId="8" fillId="2" borderId="4" xfId="49" applyNumberFormat="1" applyFont="1" applyFill="1" applyBorder="1" applyAlignment="1">
      <alignment vertical="center" wrapText="1"/>
    </xf>
    <xf numFmtId="0" fontId="8" fillId="2" borderId="5" xfId="49" applyNumberFormat="1" applyFont="1" applyFill="1" applyBorder="1" applyAlignment="1">
      <alignment vertical="center" wrapText="1"/>
    </xf>
    <xf numFmtId="0" fontId="8" fillId="2" borderId="6" xfId="49" applyNumberFormat="1" applyFont="1" applyFill="1" applyBorder="1" applyAlignment="1">
      <alignment vertical="center" wrapText="1"/>
    </xf>
    <xf numFmtId="0" fontId="1" fillId="2" borderId="3" xfId="49" applyNumberFormat="1" applyFont="1" applyFill="1" applyBorder="1" applyAlignment="1">
      <alignment vertical="center" wrapText="1"/>
    </xf>
    <xf numFmtId="0" fontId="9" fillId="5" borderId="2" xfId="49" applyNumberFormat="1" applyFont="1" applyFill="1" applyBorder="1" applyAlignment="1">
      <alignment vertical="center"/>
    </xf>
    <xf numFmtId="0" fontId="9" fillId="0" borderId="2" xfId="49" applyNumberFormat="1" applyFont="1" applyFill="1" applyBorder="1" applyAlignment="1">
      <alignment vertical="center"/>
    </xf>
    <xf numFmtId="0" fontId="2" fillId="6" borderId="2" xfId="49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L16"/>
  <sheetViews>
    <sheetView showGridLines="0" workbookViewId="0">
      <selection activeCell="A1" sqref="A1"/>
    </sheetView>
  </sheetViews>
  <sheetFormatPr defaultColWidth="9" defaultRowHeight="16.8"/>
  <cols>
    <col min="1" max="1" width="25" customWidth="1"/>
    <col min="2" max="3" width="17" customWidth="1"/>
    <col min="4" max="4" width="44" customWidth="1"/>
    <col min="5" max="6" width="19" customWidth="1"/>
    <col min="7" max="7" width="32" customWidth="1"/>
    <col min="8" max="12" width="16" customWidth="1"/>
  </cols>
  <sheetData>
    <row r="1" ht="25" customHeight="1" spans="1:12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1</v>
      </c>
    </row>
    <row r="4" spans="1:12">
      <c r="A4" s="23" t="s">
        <v>2</v>
      </c>
      <c r="B4" s="23" t="s">
        <v>3</v>
      </c>
      <c r="C4" s="23" t="s">
        <v>4</v>
      </c>
      <c r="D4" s="23" t="s">
        <v>3</v>
      </c>
      <c r="E4" s="23" t="s">
        <v>5</v>
      </c>
      <c r="F4" s="23" t="s">
        <v>3</v>
      </c>
      <c r="G4" s="23" t="s">
        <v>6</v>
      </c>
      <c r="H4" s="23" t="s">
        <v>3</v>
      </c>
      <c r="I4" s="23" t="s">
        <v>7</v>
      </c>
      <c r="J4" s="23" t="s">
        <v>3</v>
      </c>
      <c r="K4" s="23" t="s">
        <v>8</v>
      </c>
      <c r="L4" s="23" t="s">
        <v>3</v>
      </c>
    </row>
    <row r="5" spans="1:12">
      <c r="A5" s="24">
        <f>COUNTA(上线准备清单!A5:A34)</f>
        <v>20</v>
      </c>
      <c r="B5" s="24"/>
      <c r="C5" s="24">
        <f>COUNTIF(上线准备清单!K5:K34,"已就绪")</f>
        <v>0</v>
      </c>
      <c r="D5" s="24"/>
      <c r="E5" s="24">
        <f>COUNTIF(上线准备清单!K5:K34,"阻塞")</f>
        <v>0</v>
      </c>
      <c r="F5" s="24"/>
      <c r="G5" s="24">
        <f>COUNTIF(移交清单!J5:J34,"&lt;&gt;已完成")-COUNTBLANK(移交清单!A5:A34)</f>
        <v>12</v>
      </c>
      <c r="H5" s="24"/>
      <c r="I5" s="24">
        <f>COUNTIF(上线事件日志!I5:I104,"&lt;&gt;已关闭")-COUNTBLANK(上线事件日志!A5:A104)</f>
        <v>0</v>
      </c>
      <c r="J5" s="24"/>
      <c r="K5" s="24" t="str">
        <f>IF(E5&gt;0,"红",IF(C5&lt;A5,"黄","绿"))</f>
        <v>黄</v>
      </c>
      <c r="L5" s="24"/>
    </row>
    <row r="8" spans="1:12">
      <c r="A8" s="23" t="s">
        <v>9</v>
      </c>
      <c r="B8" s="23"/>
      <c r="C8" s="23"/>
      <c r="D8" s="23"/>
      <c r="E8" s="23"/>
      <c r="F8" s="23"/>
      <c r="G8" s="23"/>
    </row>
    <row r="9" ht="32" customHeight="1" spans="1:12">
      <c r="A9" s="1" t="s">
        <v>10</v>
      </c>
      <c r="B9" s="1" t="s">
        <v>11</v>
      </c>
      <c r="C9" s="1" t="s">
        <v>12</v>
      </c>
      <c r="D9" s="1" t="s">
        <v>13</v>
      </c>
      <c r="E9" s="1" t="s">
        <v>14</v>
      </c>
      <c r="F9" s="1" t="s">
        <v>15</v>
      </c>
      <c r="G9" s="1" t="s">
        <v>16</v>
      </c>
    </row>
    <row r="10" spans="1:12">
      <c r="A10" s="2" t="s">
        <v>17</v>
      </c>
      <c r="B10" s="3">
        <v>46517</v>
      </c>
      <c r="C10" s="2" t="s">
        <v>18</v>
      </c>
      <c r="D10" s="9" t="s">
        <v>19</v>
      </c>
      <c r="E10" s="25" t="s">
        <v>20</v>
      </c>
      <c r="F10" s="2" t="s">
        <v>21</v>
      </c>
      <c r="G10" s="2" t="s">
        <v>22</v>
      </c>
    </row>
    <row r="11" spans="1:12">
      <c r="A11" s="2" t="s">
        <v>23</v>
      </c>
      <c r="B11" s="3">
        <v>46527</v>
      </c>
      <c r="C11" s="2" t="s">
        <v>18</v>
      </c>
      <c r="D11" s="9" t="s">
        <v>24</v>
      </c>
      <c r="E11" s="25" t="s">
        <v>20</v>
      </c>
      <c r="F11" s="2" t="s">
        <v>21</v>
      </c>
      <c r="G11" s="2" t="s">
        <v>25</v>
      </c>
    </row>
    <row r="12" spans="1:12">
      <c r="A12" s="2" t="s">
        <v>26</v>
      </c>
      <c r="B12" s="3">
        <v>46531</v>
      </c>
      <c r="C12" s="2" t="s">
        <v>27</v>
      </c>
      <c r="D12" s="9" t="s">
        <v>28</v>
      </c>
      <c r="E12" s="25" t="s">
        <v>20</v>
      </c>
      <c r="F12" s="2" t="s">
        <v>29</v>
      </c>
      <c r="G12" s="2" t="s">
        <v>30</v>
      </c>
    </row>
    <row r="13" spans="1:12">
      <c r="A13" s="2" t="s">
        <v>31</v>
      </c>
      <c r="B13" s="3">
        <v>46531</v>
      </c>
      <c r="C13" s="2" t="s">
        <v>18</v>
      </c>
      <c r="D13" s="9" t="s">
        <v>32</v>
      </c>
      <c r="E13" s="25" t="s">
        <v>20</v>
      </c>
      <c r="F13" s="2" t="s">
        <v>21</v>
      </c>
      <c r="G13" s="2" t="s">
        <v>33</v>
      </c>
    </row>
    <row r="14" spans="1:12">
      <c r="A14" s="2" t="s">
        <v>34</v>
      </c>
      <c r="B14" s="3">
        <v>46535</v>
      </c>
      <c r="C14" s="2" t="s">
        <v>35</v>
      </c>
      <c r="D14" s="9" t="s">
        <v>36</v>
      </c>
      <c r="E14" s="25" t="s">
        <v>20</v>
      </c>
      <c r="F14" s="2" t="s">
        <v>37</v>
      </c>
      <c r="G14" s="2" t="s">
        <v>38</v>
      </c>
    </row>
    <row r="15" spans="1:12">
      <c r="A15" s="2" t="s">
        <v>39</v>
      </c>
      <c r="B15" s="3">
        <v>46538</v>
      </c>
      <c r="C15" s="2" t="s">
        <v>29</v>
      </c>
      <c r="D15" s="9" t="s">
        <v>40</v>
      </c>
      <c r="E15" s="25" t="s">
        <v>20</v>
      </c>
      <c r="F15" s="2" t="s">
        <v>35</v>
      </c>
      <c r="G15" s="2" t="s">
        <v>41</v>
      </c>
    </row>
    <row r="16" spans="1:12">
      <c r="A16" s="2" t="s">
        <v>42</v>
      </c>
      <c r="B16" s="3">
        <v>46568</v>
      </c>
      <c r="C16" s="2" t="s">
        <v>29</v>
      </c>
      <c r="D16" s="9" t="s">
        <v>43</v>
      </c>
      <c r="E16" s="25" t="s">
        <v>20</v>
      </c>
      <c r="F16" s="2" t="s">
        <v>44</v>
      </c>
      <c r="G16" s="2" t="s">
        <v>45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8"/>
  <sheetViews>
    <sheetView showGridLines="0" workbookViewId="0">
      <pane xSplit="1" ySplit="2" topLeftCell="B6" activePane="bottomRight" state="frozen"/>
      <selection/>
      <selection pane="topRight"/>
      <selection pane="bottomLeft"/>
      <selection pane="bottomRight" activeCell="B6" sqref="B6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4" t="s">
        <v>46</v>
      </c>
      <c r="B1" s="14"/>
      <c r="C1" s="14"/>
      <c r="D1" s="14"/>
      <c r="E1" s="14"/>
      <c r="F1" s="14"/>
      <c r="G1" s="14"/>
      <c r="H1" s="14"/>
    </row>
    <row r="2" ht="28" customHeight="1" spans="1:8">
      <c r="A2" s="15" t="s">
        <v>47</v>
      </c>
      <c r="B2" s="15"/>
      <c r="C2" s="15"/>
      <c r="D2" s="15"/>
      <c r="E2" s="15"/>
      <c r="F2" s="15"/>
      <c r="G2" s="15"/>
      <c r="H2" s="15"/>
    </row>
    <row r="3" ht="22" customHeight="1" spans="1:8">
      <c r="A3" s="16"/>
      <c r="B3" s="16"/>
      <c r="C3" s="16"/>
      <c r="D3" s="16"/>
      <c r="E3" s="16"/>
      <c r="F3" s="16"/>
      <c r="G3" s="16"/>
      <c r="H3" s="16"/>
    </row>
    <row r="4" ht="22" customHeight="1" spans="1:8">
      <c r="A4" s="17" t="s">
        <v>48</v>
      </c>
      <c r="B4" s="18" t="s">
        <v>49</v>
      </c>
      <c r="C4" s="16"/>
      <c r="D4" s="16"/>
      <c r="E4" s="16"/>
      <c r="F4" s="16"/>
      <c r="G4" s="16"/>
      <c r="H4" s="16"/>
    </row>
    <row r="5" ht="22" customHeight="1" spans="1:8">
      <c r="A5" s="17" t="s">
        <v>50</v>
      </c>
      <c r="B5" s="18" t="s">
        <v>51</v>
      </c>
      <c r="C5" s="16"/>
      <c r="D5" s="16"/>
      <c r="E5" s="16"/>
      <c r="F5" s="16"/>
      <c r="G5" s="16"/>
      <c r="H5" s="16"/>
    </row>
    <row r="6" ht="22" customHeight="1" spans="1:8">
      <c r="A6" s="17" t="s">
        <v>52</v>
      </c>
      <c r="B6" s="18" t="s">
        <v>53</v>
      </c>
      <c r="C6" s="16"/>
      <c r="D6" s="16"/>
      <c r="E6" s="16"/>
      <c r="F6" s="16"/>
      <c r="G6" s="16"/>
      <c r="H6" s="16"/>
    </row>
    <row r="7" ht="22" customHeight="1" spans="1:8">
      <c r="A7" s="17" t="s">
        <v>54</v>
      </c>
      <c r="B7" s="18" t="s">
        <v>55</v>
      </c>
      <c r="C7" s="16"/>
      <c r="D7" s="16"/>
      <c r="E7" s="16"/>
      <c r="F7" s="16"/>
      <c r="G7" s="16"/>
      <c r="H7" s="16"/>
    </row>
    <row r="8" ht="22" customHeight="1" spans="1:8">
      <c r="A8" s="17" t="s">
        <v>56</v>
      </c>
      <c r="B8" s="18" t="s">
        <v>57</v>
      </c>
      <c r="C8" s="16"/>
      <c r="D8" s="16"/>
      <c r="E8" s="16"/>
      <c r="F8" s="16"/>
      <c r="G8" s="16"/>
      <c r="H8" s="16"/>
    </row>
    <row r="9" ht="22" customHeight="1" spans="1:8">
      <c r="A9" s="16"/>
      <c r="B9" s="16"/>
      <c r="C9" s="16"/>
      <c r="D9" s="16"/>
      <c r="E9" s="16"/>
      <c r="F9" s="16"/>
      <c r="G9" s="16"/>
      <c r="H9" s="16"/>
    </row>
    <row r="10" ht="22" customHeight="1" spans="1:8">
      <c r="A10" s="19" t="s">
        <v>58</v>
      </c>
      <c r="B10" s="20"/>
      <c r="C10" s="20"/>
      <c r="D10" s="20"/>
      <c r="E10" s="20"/>
      <c r="F10" s="20"/>
      <c r="G10" s="20"/>
      <c r="H10" s="21"/>
    </row>
    <row r="11" ht="22" customHeight="1" spans="1:8">
      <c r="A11" s="16">
        <v>1</v>
      </c>
      <c r="B11" s="16" t="s">
        <v>59</v>
      </c>
      <c r="C11" s="16"/>
      <c r="D11" s="16"/>
      <c r="E11" s="16"/>
      <c r="F11" s="16"/>
      <c r="G11" s="16"/>
      <c r="H11" s="16"/>
    </row>
    <row r="12" ht="22" customHeight="1" spans="1:8">
      <c r="A12" s="16">
        <v>2</v>
      </c>
      <c r="B12" s="16" t="s">
        <v>60</v>
      </c>
      <c r="C12" s="16"/>
      <c r="D12" s="16"/>
      <c r="E12" s="16"/>
      <c r="F12" s="16"/>
      <c r="G12" s="16"/>
      <c r="H12" s="16"/>
    </row>
    <row r="13" ht="22" customHeight="1" spans="1:8">
      <c r="A13" s="16">
        <v>3</v>
      </c>
      <c r="B13" s="16" t="s">
        <v>61</v>
      </c>
      <c r="C13" s="16"/>
      <c r="D13" s="16"/>
      <c r="E13" s="16"/>
      <c r="F13" s="16"/>
      <c r="G13" s="16"/>
      <c r="H13" s="16"/>
    </row>
    <row r="14" ht="22" customHeight="1" spans="1:8">
      <c r="A14" s="16">
        <v>4</v>
      </c>
      <c r="B14" s="16" t="s">
        <v>62</v>
      </c>
      <c r="C14" s="16"/>
      <c r="D14" s="16"/>
      <c r="E14" s="16"/>
      <c r="F14" s="16"/>
      <c r="G14" s="16"/>
      <c r="H14" s="16"/>
    </row>
    <row r="15" ht="22" customHeight="1" spans="1:8">
      <c r="A15" s="16">
        <v>5</v>
      </c>
      <c r="B15" s="16" t="s">
        <v>63</v>
      </c>
      <c r="C15" s="16"/>
      <c r="D15" s="16"/>
      <c r="E15" s="16"/>
      <c r="F15" s="16"/>
      <c r="G15" s="16"/>
      <c r="H15" s="16"/>
    </row>
    <row r="16" ht="22" customHeight="1" spans="1:8">
      <c r="A16" s="16"/>
      <c r="B16" s="16"/>
      <c r="C16" s="16"/>
      <c r="D16" s="16"/>
      <c r="E16" s="16"/>
      <c r="F16" s="16"/>
      <c r="G16" s="16"/>
      <c r="H16" s="16"/>
    </row>
    <row r="17" ht="22" customHeight="1" spans="1:8">
      <c r="A17" s="16"/>
      <c r="B17" s="16"/>
      <c r="C17" s="16"/>
      <c r="D17" s="16"/>
      <c r="E17" s="16"/>
      <c r="F17" s="16"/>
      <c r="G17" s="16"/>
      <c r="H17" s="16"/>
    </row>
    <row r="18" ht="22" customHeight="1" spans="1:8">
      <c r="A18" s="19" t="s">
        <v>64</v>
      </c>
      <c r="B18" s="20"/>
      <c r="C18" s="20"/>
      <c r="D18" s="20"/>
      <c r="E18" s="20"/>
      <c r="F18" s="20"/>
      <c r="G18" s="20"/>
      <c r="H18" s="21"/>
    </row>
    <row r="19" ht="22" customHeight="1" spans="1:8">
      <c r="A19" s="22" t="s">
        <v>65</v>
      </c>
      <c r="B19" s="22" t="s">
        <v>66</v>
      </c>
      <c r="C19" s="22" t="s">
        <v>67</v>
      </c>
      <c r="D19" s="16"/>
      <c r="E19" s="16"/>
      <c r="F19" s="16"/>
      <c r="G19" s="16"/>
      <c r="H19" s="16"/>
    </row>
    <row r="20" ht="22" customHeight="1" spans="1:8">
      <c r="A20" s="17">
        <v>1</v>
      </c>
      <c r="B20" s="17" t="s">
        <v>68</v>
      </c>
      <c r="C20" s="17" t="s">
        <v>69</v>
      </c>
      <c r="D20" s="16"/>
      <c r="E20" s="16"/>
      <c r="F20" s="16"/>
      <c r="G20" s="16"/>
      <c r="H20" s="16"/>
    </row>
    <row r="21" ht="22" customHeight="1" spans="1:8">
      <c r="A21" s="17">
        <v>2</v>
      </c>
      <c r="B21" s="17" t="s">
        <v>70</v>
      </c>
      <c r="C21" s="17" t="s">
        <v>71</v>
      </c>
      <c r="D21" s="16"/>
      <c r="E21" s="16"/>
      <c r="F21" s="16"/>
      <c r="G21" s="16"/>
      <c r="H21" s="16"/>
    </row>
    <row r="22" ht="22" customHeight="1" spans="1:8">
      <c r="A22" s="17">
        <v>3</v>
      </c>
      <c r="B22" s="17" t="s">
        <v>72</v>
      </c>
      <c r="C22" s="17" t="s">
        <v>73</v>
      </c>
      <c r="D22" s="16"/>
      <c r="E22" s="16"/>
      <c r="F22" s="16"/>
      <c r="G22" s="16"/>
      <c r="H22" s="16"/>
    </row>
    <row r="23" ht="22" customHeight="1" spans="1:8">
      <c r="A23" s="17">
        <v>4</v>
      </c>
      <c r="B23" s="17" t="s">
        <v>74</v>
      </c>
      <c r="C23" s="17" t="s">
        <v>75</v>
      </c>
      <c r="D23" s="16"/>
      <c r="E23" s="16"/>
      <c r="F23" s="16"/>
      <c r="G23" s="16"/>
      <c r="H23" s="16"/>
    </row>
    <row r="24" ht="22" customHeight="1" spans="1:8">
      <c r="A24" s="17">
        <v>5</v>
      </c>
      <c r="B24" s="17" t="s">
        <v>76</v>
      </c>
      <c r="C24" s="17" t="s">
        <v>77</v>
      </c>
      <c r="D24" s="16"/>
      <c r="E24" s="16"/>
      <c r="F24" s="16"/>
      <c r="G24" s="16"/>
      <c r="H24" s="16"/>
    </row>
    <row r="25" ht="22" customHeight="1" spans="1:8">
      <c r="A25" s="17">
        <v>6</v>
      </c>
      <c r="B25" s="17" t="s">
        <v>78</v>
      </c>
      <c r="C25" s="17" t="s">
        <v>79</v>
      </c>
      <c r="D25" s="16"/>
      <c r="E25" s="16"/>
      <c r="F25" s="16"/>
      <c r="G25" s="16"/>
      <c r="H25" s="16"/>
    </row>
    <row r="26" ht="22" customHeight="1" spans="1:8">
      <c r="A26" s="17">
        <v>7</v>
      </c>
      <c r="B26" s="17" t="s">
        <v>80</v>
      </c>
      <c r="C26" s="17" t="s">
        <v>81</v>
      </c>
      <c r="D26" s="16"/>
      <c r="E26" s="16"/>
      <c r="F26" s="16"/>
      <c r="G26" s="16"/>
      <c r="H26" s="16"/>
    </row>
    <row r="27" ht="22" customHeight="1" spans="1:8">
      <c r="A27" s="17">
        <v>8</v>
      </c>
      <c r="B27" s="17" t="s">
        <v>82</v>
      </c>
      <c r="C27" s="17" t="s">
        <v>83</v>
      </c>
      <c r="D27" s="16"/>
      <c r="E27" s="16"/>
      <c r="F27" s="16"/>
      <c r="G27" s="16"/>
      <c r="H27" s="16"/>
    </row>
    <row r="28" ht="22" customHeight="1" spans="1:8">
      <c r="A28" s="17">
        <v>9</v>
      </c>
      <c r="B28" s="17" t="s">
        <v>84</v>
      </c>
      <c r="C28" s="17" t="s">
        <v>85</v>
      </c>
      <c r="D28" s="16"/>
      <c r="E28" s="16"/>
      <c r="F28" s="16"/>
      <c r="G28" s="16"/>
      <c r="H28" s="16"/>
    </row>
    <row r="29" ht="22" customHeight="1" spans="1:8">
      <c r="A29" s="17">
        <v>10</v>
      </c>
      <c r="B29" s="17" t="s">
        <v>86</v>
      </c>
      <c r="C29" s="17" t="s">
        <v>87</v>
      </c>
      <c r="D29" s="16"/>
      <c r="E29" s="16"/>
      <c r="F29" s="16"/>
      <c r="G29" s="16"/>
      <c r="H29" s="16"/>
    </row>
    <row r="30" ht="22" customHeight="1" spans="1:8">
      <c r="A30" s="17">
        <v>11</v>
      </c>
      <c r="B30" s="17" t="s">
        <v>88</v>
      </c>
      <c r="C30" s="17" t="s">
        <v>89</v>
      </c>
      <c r="D30" s="16"/>
      <c r="E30" s="16"/>
      <c r="F30" s="16"/>
      <c r="G30" s="16"/>
      <c r="H30" s="16"/>
    </row>
    <row r="31" ht="22" customHeight="1" spans="1:8">
      <c r="A31" s="16"/>
      <c r="B31" s="16"/>
      <c r="C31" s="16"/>
      <c r="D31" s="16"/>
      <c r="E31" s="16"/>
      <c r="F31" s="16"/>
      <c r="G31" s="16"/>
      <c r="H31" s="16"/>
    </row>
    <row r="32" ht="22" customHeight="1" spans="1:8">
      <c r="A32" s="19" t="s">
        <v>90</v>
      </c>
      <c r="B32" s="20"/>
      <c r="C32" s="20"/>
      <c r="D32" s="20"/>
      <c r="E32" s="20"/>
      <c r="F32" s="20"/>
      <c r="G32" s="20"/>
      <c r="H32" s="21"/>
    </row>
    <row r="33" ht="22" customHeight="1" spans="1:8">
      <c r="A33" s="16">
        <v>1</v>
      </c>
      <c r="B33" s="16" t="s">
        <v>91</v>
      </c>
      <c r="C33" s="16"/>
      <c r="D33" s="16"/>
      <c r="E33" s="16"/>
      <c r="F33" s="16"/>
      <c r="G33" s="16"/>
      <c r="H33" s="16"/>
    </row>
    <row r="34" ht="22" customHeight="1" spans="1:8">
      <c r="A34" s="16">
        <v>2</v>
      </c>
      <c r="B34" s="16" t="s">
        <v>92</v>
      </c>
      <c r="C34" s="16"/>
      <c r="D34" s="16"/>
      <c r="E34" s="16"/>
      <c r="F34" s="16"/>
      <c r="G34" s="16"/>
      <c r="H34" s="16"/>
    </row>
    <row r="35" ht="22" customHeight="1" spans="1:8">
      <c r="A35" s="16">
        <v>3</v>
      </c>
      <c r="B35" s="16" t="s">
        <v>93</v>
      </c>
      <c r="C35" s="16"/>
      <c r="D35" s="16"/>
      <c r="E35" s="16"/>
      <c r="F35" s="16"/>
      <c r="G35" s="16"/>
      <c r="H35" s="16"/>
    </row>
    <row r="36" ht="22" customHeight="1" spans="1:8">
      <c r="A36" s="16">
        <v>4</v>
      </c>
      <c r="B36" s="16" t="s">
        <v>94</v>
      </c>
      <c r="C36" s="16"/>
      <c r="D36" s="16"/>
      <c r="E36" s="16"/>
      <c r="F36" s="16"/>
      <c r="G36" s="16"/>
      <c r="H36" s="16"/>
    </row>
    <row r="37" ht="22" customHeight="1" spans="1:8">
      <c r="A37" s="16">
        <v>5</v>
      </c>
      <c r="B37" s="16" t="s">
        <v>95</v>
      </c>
      <c r="C37" s="16"/>
      <c r="D37" s="16"/>
      <c r="E37" s="16"/>
      <c r="F37" s="16"/>
      <c r="G37" s="16"/>
      <c r="H37" s="16"/>
    </row>
    <row r="38" ht="22" customHeight="1" spans="1:8">
      <c r="A38" s="16">
        <v>6</v>
      </c>
      <c r="B38" s="16" t="s">
        <v>96</v>
      </c>
      <c r="C38" s="16"/>
      <c r="D38" s="16"/>
      <c r="E38" s="16"/>
      <c r="F38" s="16"/>
      <c r="G38" s="16"/>
      <c r="H38" s="16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2:H32"/>
    <mergeCell ref="B33:H33"/>
    <mergeCell ref="B34:H34"/>
    <mergeCell ref="B35:H35"/>
    <mergeCell ref="B36:H36"/>
    <mergeCell ref="B37:H37"/>
    <mergeCell ref="B38:H38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7"/>
  <cols>
    <col min="1" max="1" width="22" customWidth="1"/>
    <col min="2" max="2" width="46" customWidth="1"/>
    <col min="3" max="4" width="19" customWidth="1"/>
    <col min="5" max="5" width="16" customWidth="1"/>
    <col min="6" max="7" width="36" customWidth="1"/>
    <col min="8" max="8" width="16" customWidth="1"/>
  </cols>
  <sheetData>
    <row r="1" ht="25" customHeight="1" spans="1:8">
      <c r="A1" s="4" t="s">
        <v>70</v>
      </c>
      <c r="B1" s="4"/>
      <c r="C1" s="4"/>
      <c r="D1" s="4"/>
      <c r="E1" s="4"/>
      <c r="F1" s="4"/>
      <c r="G1" s="4"/>
      <c r="H1" s="4"/>
    </row>
    <row r="2" spans="1:8">
      <c r="A2" s="5" t="s">
        <v>97</v>
      </c>
    </row>
    <row r="4" ht="32" customHeight="1" spans="1:8">
      <c r="A4" s="1" t="s">
        <v>98</v>
      </c>
      <c r="B4" s="1" t="s">
        <v>99</v>
      </c>
      <c r="C4" s="1" t="s">
        <v>100</v>
      </c>
      <c r="D4" s="1" t="s">
        <v>15</v>
      </c>
      <c r="E4" s="1" t="s">
        <v>11</v>
      </c>
      <c r="F4" s="1" t="s">
        <v>101</v>
      </c>
      <c r="G4" s="1" t="s">
        <v>102</v>
      </c>
      <c r="H4" s="1" t="s">
        <v>103</v>
      </c>
    </row>
    <row r="5" spans="1:8">
      <c r="A5" s="2" t="s">
        <v>104</v>
      </c>
      <c r="B5" s="8" t="s">
        <v>105</v>
      </c>
      <c r="C5" s="6" t="s">
        <v>35</v>
      </c>
      <c r="D5" s="6" t="s">
        <v>44</v>
      </c>
      <c r="E5" s="12">
        <v>46535</v>
      </c>
      <c r="F5" s="8" t="s">
        <v>106</v>
      </c>
      <c r="G5" s="8" t="s">
        <v>34</v>
      </c>
      <c r="H5" s="6" t="s">
        <v>107</v>
      </c>
    </row>
    <row r="6" spans="1:8">
      <c r="A6" s="2" t="s">
        <v>108</v>
      </c>
      <c r="B6" s="8" t="s">
        <v>109</v>
      </c>
      <c r="C6" s="6" t="s">
        <v>29</v>
      </c>
      <c r="D6" s="6" t="s">
        <v>35</v>
      </c>
      <c r="E6" s="12">
        <v>46535</v>
      </c>
      <c r="F6" s="8" t="s">
        <v>110</v>
      </c>
      <c r="G6" s="8" t="s">
        <v>111</v>
      </c>
      <c r="H6" s="6" t="s">
        <v>107</v>
      </c>
    </row>
    <row r="7" spans="1:8">
      <c r="A7" s="2" t="s">
        <v>112</v>
      </c>
      <c r="B7" s="8" t="s">
        <v>113</v>
      </c>
      <c r="C7" s="6" t="s">
        <v>18</v>
      </c>
      <c r="D7" s="6" t="s">
        <v>21</v>
      </c>
      <c r="E7" s="12">
        <v>46527</v>
      </c>
      <c r="F7" s="8" t="s">
        <v>114</v>
      </c>
      <c r="G7" s="8" t="s">
        <v>115</v>
      </c>
      <c r="H7" s="6" t="s">
        <v>107</v>
      </c>
    </row>
    <row r="8" spans="1:8">
      <c r="A8" s="2" t="s">
        <v>116</v>
      </c>
      <c r="B8" s="8" t="s">
        <v>117</v>
      </c>
      <c r="C8" s="6" t="s">
        <v>27</v>
      </c>
      <c r="D8" s="6" t="s">
        <v>29</v>
      </c>
      <c r="E8" s="12">
        <v>46535</v>
      </c>
      <c r="F8" s="8" t="s">
        <v>118</v>
      </c>
      <c r="G8" s="8" t="s">
        <v>119</v>
      </c>
      <c r="H8" s="6" t="s">
        <v>107</v>
      </c>
    </row>
    <row r="9" spans="1:8">
      <c r="A9" s="2" t="s">
        <v>120</v>
      </c>
      <c r="B9" s="8" t="s">
        <v>121</v>
      </c>
      <c r="C9" s="6" t="s">
        <v>27</v>
      </c>
      <c r="D9" s="6" t="s">
        <v>35</v>
      </c>
      <c r="E9" s="12">
        <v>46531</v>
      </c>
      <c r="F9" s="8" t="s">
        <v>122</v>
      </c>
      <c r="G9" s="8" t="s">
        <v>123</v>
      </c>
      <c r="H9" s="6" t="s">
        <v>107</v>
      </c>
    </row>
    <row r="10" spans="1:8">
      <c r="A10" s="2" t="s">
        <v>124</v>
      </c>
      <c r="B10" s="8" t="s">
        <v>125</v>
      </c>
      <c r="C10" s="6" t="s">
        <v>29</v>
      </c>
      <c r="D10" s="6" t="s">
        <v>35</v>
      </c>
      <c r="E10" s="12">
        <v>46531</v>
      </c>
      <c r="F10" s="8" t="s">
        <v>126</v>
      </c>
      <c r="G10" s="8" t="s">
        <v>127</v>
      </c>
      <c r="H10" s="6" t="s">
        <v>107</v>
      </c>
    </row>
    <row r="11" spans="1:8">
      <c r="A11" s="2" t="s">
        <v>128</v>
      </c>
      <c r="B11" s="8" t="s">
        <v>129</v>
      </c>
      <c r="C11" s="6" t="s">
        <v>29</v>
      </c>
      <c r="D11" s="6" t="s">
        <v>44</v>
      </c>
      <c r="E11" s="12">
        <v>46538</v>
      </c>
      <c r="F11" s="8" t="s">
        <v>130</v>
      </c>
      <c r="G11" s="8" t="s">
        <v>131</v>
      </c>
      <c r="H11" s="6" t="s">
        <v>107</v>
      </c>
    </row>
    <row r="12" spans="1:8">
      <c r="A12" s="2" t="s">
        <v>132</v>
      </c>
      <c r="B12" s="8" t="s">
        <v>133</v>
      </c>
      <c r="C12" s="6" t="s">
        <v>35</v>
      </c>
      <c r="D12" s="6" t="s">
        <v>44</v>
      </c>
      <c r="E12" s="12">
        <v>46568</v>
      </c>
      <c r="F12" s="8" t="s">
        <v>134</v>
      </c>
      <c r="G12" s="8" t="s">
        <v>45</v>
      </c>
      <c r="H12" s="6" t="s">
        <v>135</v>
      </c>
    </row>
    <row r="13" spans="1:8">
      <c r="A13" s="2" t="s">
        <v>136</v>
      </c>
      <c r="B13" s="8" t="s">
        <v>137</v>
      </c>
      <c r="C13" s="6" t="s">
        <v>29</v>
      </c>
      <c r="D13" s="6" t="s">
        <v>35</v>
      </c>
      <c r="E13" s="12">
        <v>46518</v>
      </c>
      <c r="F13" s="8" t="s">
        <v>138</v>
      </c>
      <c r="G13" s="8" t="s">
        <v>139</v>
      </c>
      <c r="H13" s="6" t="s">
        <v>135</v>
      </c>
    </row>
    <row r="14" spans="1:8">
      <c r="A14" s="2" t="s">
        <v>140</v>
      </c>
      <c r="B14" s="8" t="s">
        <v>141</v>
      </c>
      <c r="C14" s="6" t="s">
        <v>18</v>
      </c>
      <c r="D14" s="6" t="s">
        <v>21</v>
      </c>
      <c r="E14" s="12">
        <v>46531</v>
      </c>
      <c r="F14" s="8" t="s">
        <v>142</v>
      </c>
      <c r="G14" s="8" t="s">
        <v>143</v>
      </c>
      <c r="H14" s="6" t="s">
        <v>135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4" customWidth="1"/>
    <col min="2" max="2" width="15" customWidth="1"/>
    <col min="3" max="3" width="36" customWidth="1"/>
    <col min="4" max="4" width="18" customWidth="1"/>
    <col min="5" max="5" width="42" customWidth="1"/>
    <col min="6" max="8" width="19" customWidth="1"/>
    <col min="9" max="12" width="17" customWidth="1"/>
  </cols>
  <sheetData>
    <row r="1" ht="25" customHeight="1" spans="1:12">
      <c r="A1" s="4" t="s">
        <v>72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144</v>
      </c>
    </row>
    <row r="4" ht="32" customHeight="1" spans="1:12">
      <c r="A4" s="1" t="s">
        <v>145</v>
      </c>
      <c r="B4" s="1" t="s">
        <v>146</v>
      </c>
      <c r="C4" s="1" t="s">
        <v>147</v>
      </c>
      <c r="D4" s="1" t="s">
        <v>100</v>
      </c>
      <c r="E4" s="1" t="s">
        <v>13</v>
      </c>
      <c r="F4" s="1" t="s">
        <v>148</v>
      </c>
      <c r="G4" s="1" t="s">
        <v>149</v>
      </c>
      <c r="H4" s="1" t="s">
        <v>150</v>
      </c>
      <c r="I4" s="1" t="s">
        <v>151</v>
      </c>
      <c r="J4" s="1" t="s">
        <v>16</v>
      </c>
      <c r="K4" s="1" t="s">
        <v>103</v>
      </c>
      <c r="L4" s="1" t="s">
        <v>152</v>
      </c>
    </row>
    <row r="5" spans="1:12">
      <c r="A5" s="2" t="s">
        <v>153</v>
      </c>
      <c r="B5" s="2" t="s">
        <v>154</v>
      </c>
      <c r="C5" s="9" t="s">
        <v>155</v>
      </c>
      <c r="D5" s="9" t="s">
        <v>29</v>
      </c>
      <c r="E5" s="9" t="s">
        <v>156</v>
      </c>
      <c r="F5" s="3">
        <v>46535</v>
      </c>
      <c r="G5" s="3" t="s">
        <v>157</v>
      </c>
      <c r="H5" s="12"/>
      <c r="I5" s="6"/>
      <c r="J5" s="6"/>
      <c r="K5" s="6" t="s">
        <v>158</v>
      </c>
      <c r="L5" s="6"/>
    </row>
    <row r="6" spans="1:12">
      <c r="A6" s="2" t="s">
        <v>159</v>
      </c>
      <c r="B6" s="2" t="s">
        <v>160</v>
      </c>
      <c r="C6" s="9" t="s">
        <v>161</v>
      </c>
      <c r="D6" s="9" t="s">
        <v>18</v>
      </c>
      <c r="E6" s="9" t="s">
        <v>162</v>
      </c>
      <c r="F6" s="3">
        <v>46517</v>
      </c>
      <c r="G6" s="3" t="s">
        <v>157</v>
      </c>
      <c r="H6" s="12"/>
      <c r="I6" s="6"/>
      <c r="J6" s="6"/>
      <c r="K6" s="6" t="s">
        <v>158</v>
      </c>
      <c r="L6" s="6"/>
    </row>
    <row r="7" spans="1:12">
      <c r="A7" s="2" t="s">
        <v>163</v>
      </c>
      <c r="B7" s="2" t="s">
        <v>164</v>
      </c>
      <c r="C7" s="9" t="s">
        <v>165</v>
      </c>
      <c r="D7" s="9" t="s">
        <v>166</v>
      </c>
      <c r="E7" s="9" t="s">
        <v>167</v>
      </c>
      <c r="F7" s="3">
        <v>46531</v>
      </c>
      <c r="G7" s="3" t="s">
        <v>157</v>
      </c>
      <c r="H7" s="12"/>
      <c r="I7" s="6"/>
      <c r="J7" s="6"/>
      <c r="K7" s="6" t="s">
        <v>158</v>
      </c>
      <c r="L7" s="6"/>
    </row>
    <row r="8" spans="1:12">
      <c r="A8" s="2" t="s">
        <v>168</v>
      </c>
      <c r="B8" s="2" t="s">
        <v>169</v>
      </c>
      <c r="C8" s="9" t="s">
        <v>170</v>
      </c>
      <c r="D8" s="9" t="s">
        <v>18</v>
      </c>
      <c r="E8" s="9" t="s">
        <v>171</v>
      </c>
      <c r="F8" s="3">
        <v>46517</v>
      </c>
      <c r="G8" s="3" t="s">
        <v>157</v>
      </c>
      <c r="H8" s="12"/>
      <c r="I8" s="6"/>
      <c r="J8" s="6"/>
      <c r="K8" s="6" t="s">
        <v>158</v>
      </c>
      <c r="L8" s="6"/>
    </row>
    <row r="9" spans="1:12">
      <c r="A9" s="2" t="s">
        <v>172</v>
      </c>
      <c r="B9" s="2" t="s">
        <v>173</v>
      </c>
      <c r="C9" s="9" t="s">
        <v>174</v>
      </c>
      <c r="D9" s="9" t="s">
        <v>18</v>
      </c>
      <c r="E9" s="9" t="s">
        <v>175</v>
      </c>
      <c r="F9" s="3">
        <v>46527</v>
      </c>
      <c r="G9" s="3" t="s">
        <v>157</v>
      </c>
      <c r="H9" s="12"/>
      <c r="I9" s="6"/>
      <c r="J9" s="6"/>
      <c r="K9" s="6" t="s">
        <v>158</v>
      </c>
      <c r="L9" s="6"/>
    </row>
    <row r="10" ht="31" spans="1:12">
      <c r="A10" s="2" t="s">
        <v>176</v>
      </c>
      <c r="B10" s="2" t="s">
        <v>177</v>
      </c>
      <c r="C10" s="9" t="s">
        <v>178</v>
      </c>
      <c r="D10" s="9" t="s">
        <v>27</v>
      </c>
      <c r="E10" s="9" t="s">
        <v>179</v>
      </c>
      <c r="F10" s="3">
        <v>46527</v>
      </c>
      <c r="G10" s="3" t="s">
        <v>157</v>
      </c>
      <c r="H10" s="12"/>
      <c r="I10" s="6"/>
      <c r="J10" s="6" t="s">
        <v>180</v>
      </c>
      <c r="K10" s="6" t="s">
        <v>158</v>
      </c>
      <c r="L10" s="6"/>
    </row>
    <row r="11" spans="1:12">
      <c r="A11" s="2" t="s">
        <v>181</v>
      </c>
      <c r="B11" s="2" t="s">
        <v>182</v>
      </c>
      <c r="C11" s="9" t="s">
        <v>183</v>
      </c>
      <c r="D11" s="9" t="s">
        <v>27</v>
      </c>
      <c r="E11" s="9" t="s">
        <v>184</v>
      </c>
      <c r="F11" s="3">
        <v>46527</v>
      </c>
      <c r="G11" s="3" t="s">
        <v>157</v>
      </c>
      <c r="H11" s="12"/>
      <c r="I11" s="6"/>
      <c r="J11" s="6"/>
      <c r="K11" s="6" t="s">
        <v>158</v>
      </c>
      <c r="L11" s="6"/>
    </row>
    <row r="12" spans="1:12">
      <c r="A12" s="2" t="s">
        <v>185</v>
      </c>
      <c r="B12" s="2" t="s">
        <v>186</v>
      </c>
      <c r="C12" s="9" t="s">
        <v>187</v>
      </c>
      <c r="D12" s="9" t="s">
        <v>27</v>
      </c>
      <c r="E12" s="9" t="s">
        <v>188</v>
      </c>
      <c r="F12" s="3">
        <v>46527</v>
      </c>
      <c r="G12" s="3" t="s">
        <v>157</v>
      </c>
      <c r="H12" s="12"/>
      <c r="I12" s="6"/>
      <c r="J12" s="6"/>
      <c r="K12" s="6" t="s">
        <v>158</v>
      </c>
      <c r="L12" s="6"/>
    </row>
    <row r="13" spans="1:12">
      <c r="A13" s="2" t="s">
        <v>189</v>
      </c>
      <c r="B13" s="2" t="s">
        <v>190</v>
      </c>
      <c r="C13" s="9" t="s">
        <v>191</v>
      </c>
      <c r="D13" s="9" t="s">
        <v>27</v>
      </c>
      <c r="E13" s="9" t="s">
        <v>192</v>
      </c>
      <c r="F13" s="3">
        <v>46527</v>
      </c>
      <c r="G13" s="3" t="s">
        <v>157</v>
      </c>
      <c r="H13" s="12"/>
      <c r="I13" s="6"/>
      <c r="J13" s="6"/>
      <c r="K13" s="6" t="s">
        <v>158</v>
      </c>
      <c r="L13" s="6"/>
    </row>
    <row r="14" spans="1:12">
      <c r="A14" s="2" t="s">
        <v>193</v>
      </c>
      <c r="B14" s="2" t="s">
        <v>194</v>
      </c>
      <c r="C14" s="9" t="s">
        <v>195</v>
      </c>
      <c r="D14" s="9" t="s">
        <v>196</v>
      </c>
      <c r="E14" s="9" t="s">
        <v>197</v>
      </c>
      <c r="F14" s="3">
        <v>46527</v>
      </c>
      <c r="G14" s="3" t="s">
        <v>157</v>
      </c>
      <c r="H14" s="12"/>
      <c r="I14" s="6"/>
      <c r="J14" s="6"/>
      <c r="K14" s="6" t="s">
        <v>158</v>
      </c>
      <c r="L14" s="6"/>
    </row>
    <row r="15" spans="1:12">
      <c r="A15" s="2" t="s">
        <v>198</v>
      </c>
      <c r="B15" s="2" t="s">
        <v>199</v>
      </c>
      <c r="C15" s="9" t="s">
        <v>200</v>
      </c>
      <c r="D15" s="9" t="s">
        <v>27</v>
      </c>
      <c r="E15" s="9" t="s">
        <v>201</v>
      </c>
      <c r="F15" s="3">
        <v>46531</v>
      </c>
      <c r="G15" s="3" t="s">
        <v>157</v>
      </c>
      <c r="H15" s="12"/>
      <c r="I15" s="6"/>
      <c r="J15" s="6"/>
      <c r="K15" s="6" t="s">
        <v>158</v>
      </c>
      <c r="L15" s="6"/>
    </row>
    <row r="16" spans="1:12">
      <c r="A16" s="2" t="s">
        <v>202</v>
      </c>
      <c r="B16" s="2" t="s">
        <v>203</v>
      </c>
      <c r="C16" s="9" t="s">
        <v>204</v>
      </c>
      <c r="D16" s="9" t="s">
        <v>27</v>
      </c>
      <c r="E16" s="9" t="s">
        <v>205</v>
      </c>
      <c r="F16" s="3">
        <v>46531</v>
      </c>
      <c r="G16" s="3" t="s">
        <v>157</v>
      </c>
      <c r="H16" s="12"/>
      <c r="I16" s="6"/>
      <c r="J16" s="6"/>
      <c r="K16" s="6" t="s">
        <v>158</v>
      </c>
      <c r="L16" s="6"/>
    </row>
    <row r="17" spans="1:12">
      <c r="A17" s="2" t="s">
        <v>206</v>
      </c>
      <c r="B17" s="2" t="s">
        <v>207</v>
      </c>
      <c r="C17" s="9" t="s">
        <v>208</v>
      </c>
      <c r="D17" s="9" t="s">
        <v>196</v>
      </c>
      <c r="E17" s="9" t="s">
        <v>209</v>
      </c>
      <c r="F17" s="3">
        <v>46531</v>
      </c>
      <c r="G17" s="3" t="s">
        <v>157</v>
      </c>
      <c r="H17" s="12"/>
      <c r="I17" s="6"/>
      <c r="J17" s="6"/>
      <c r="K17" s="6" t="s">
        <v>158</v>
      </c>
      <c r="L17" s="6"/>
    </row>
    <row r="18" spans="1:12">
      <c r="A18" s="2" t="s">
        <v>210</v>
      </c>
      <c r="B18" s="2" t="s">
        <v>211</v>
      </c>
      <c r="C18" s="9" t="s">
        <v>212</v>
      </c>
      <c r="D18" s="9" t="s">
        <v>27</v>
      </c>
      <c r="E18" s="9" t="s">
        <v>213</v>
      </c>
      <c r="F18" s="3">
        <v>46531</v>
      </c>
      <c r="G18" s="3" t="s">
        <v>157</v>
      </c>
      <c r="H18" s="12"/>
      <c r="I18" s="6"/>
      <c r="J18" s="6"/>
      <c r="K18" s="6" t="s">
        <v>158</v>
      </c>
      <c r="L18" s="6"/>
    </row>
    <row r="19" spans="1:12">
      <c r="A19" s="2" t="s">
        <v>214</v>
      </c>
      <c r="B19" s="2" t="s">
        <v>215</v>
      </c>
      <c r="C19" s="9" t="s">
        <v>216</v>
      </c>
      <c r="D19" s="9" t="s">
        <v>18</v>
      </c>
      <c r="E19" s="9" t="s">
        <v>217</v>
      </c>
      <c r="F19" s="3">
        <v>46531</v>
      </c>
      <c r="G19" s="3" t="s">
        <v>157</v>
      </c>
      <c r="H19" s="12"/>
      <c r="I19" s="6"/>
      <c r="J19" s="6"/>
      <c r="K19" s="6" t="s">
        <v>158</v>
      </c>
      <c r="L19" s="6"/>
    </row>
    <row r="20" spans="1:12">
      <c r="A20" s="2" t="s">
        <v>218</v>
      </c>
      <c r="B20" s="2" t="s">
        <v>219</v>
      </c>
      <c r="C20" s="9" t="s">
        <v>220</v>
      </c>
      <c r="D20" s="9" t="s">
        <v>18</v>
      </c>
      <c r="E20" s="9" t="s">
        <v>221</v>
      </c>
      <c r="F20" s="3">
        <v>46531</v>
      </c>
      <c r="G20" s="3" t="s">
        <v>157</v>
      </c>
      <c r="H20" s="12"/>
      <c r="I20" s="6"/>
      <c r="J20" s="6"/>
      <c r="K20" s="6" t="s">
        <v>158</v>
      </c>
      <c r="L20" s="6"/>
    </row>
    <row r="21" spans="1:12">
      <c r="A21" s="2" t="s">
        <v>222</v>
      </c>
      <c r="B21" s="2" t="s">
        <v>223</v>
      </c>
      <c r="C21" s="9" t="s">
        <v>224</v>
      </c>
      <c r="D21" s="9" t="s">
        <v>29</v>
      </c>
      <c r="E21" s="9" t="s">
        <v>225</v>
      </c>
      <c r="F21" s="3">
        <v>46531</v>
      </c>
      <c r="G21" s="3" t="s">
        <v>157</v>
      </c>
      <c r="H21" s="12"/>
      <c r="I21" s="6"/>
      <c r="J21" s="6"/>
      <c r="K21" s="6" t="s">
        <v>158</v>
      </c>
      <c r="L21" s="6"/>
    </row>
    <row r="22" spans="1:12">
      <c r="A22" s="2" t="s">
        <v>226</v>
      </c>
      <c r="B22" s="2" t="s">
        <v>227</v>
      </c>
      <c r="C22" s="9" t="s">
        <v>228</v>
      </c>
      <c r="D22" s="9" t="s">
        <v>29</v>
      </c>
      <c r="E22" s="9" t="s">
        <v>229</v>
      </c>
      <c r="F22" s="3">
        <v>46531</v>
      </c>
      <c r="G22" s="3" t="s">
        <v>157</v>
      </c>
      <c r="H22" s="12"/>
      <c r="I22" s="6"/>
      <c r="J22" s="6"/>
      <c r="K22" s="6" t="s">
        <v>158</v>
      </c>
      <c r="L22" s="6"/>
    </row>
    <row r="23" spans="1:12">
      <c r="A23" s="2" t="s">
        <v>230</v>
      </c>
      <c r="B23" s="2" t="s">
        <v>231</v>
      </c>
      <c r="C23" s="9" t="s">
        <v>232</v>
      </c>
      <c r="D23" s="9" t="s">
        <v>29</v>
      </c>
      <c r="E23" s="9" t="s">
        <v>233</v>
      </c>
      <c r="F23" s="3">
        <v>46535</v>
      </c>
      <c r="G23" s="3" t="s">
        <v>157</v>
      </c>
      <c r="H23" s="12"/>
      <c r="I23" s="6"/>
      <c r="J23" s="6"/>
      <c r="K23" s="6" t="s">
        <v>158</v>
      </c>
      <c r="L23" s="6"/>
    </row>
    <row r="24" spans="1:12">
      <c r="A24" s="2" t="s">
        <v>234</v>
      </c>
      <c r="B24" s="2" t="s">
        <v>235</v>
      </c>
      <c r="C24" s="9" t="s">
        <v>236</v>
      </c>
      <c r="D24" s="9" t="s">
        <v>29</v>
      </c>
      <c r="E24" s="9" t="s">
        <v>237</v>
      </c>
      <c r="F24" s="3">
        <v>46531</v>
      </c>
      <c r="G24" s="3" t="s">
        <v>157</v>
      </c>
      <c r="H24" s="12"/>
      <c r="I24" s="6"/>
      <c r="J24" s="6"/>
      <c r="K24" s="6" t="s">
        <v>158</v>
      </c>
      <c r="L24" s="6"/>
    </row>
    <row r="25" spans="1:12">
      <c r="A25" s="2"/>
      <c r="B25" s="2"/>
      <c r="C25" s="9"/>
      <c r="D25" s="9"/>
      <c r="E25" s="9"/>
      <c r="F25" s="3"/>
      <c r="G25" s="3"/>
      <c r="H25" s="12"/>
      <c r="I25" s="6"/>
      <c r="J25" s="6"/>
      <c r="K25" s="6"/>
      <c r="L25" s="6"/>
    </row>
    <row r="26" spans="1:12">
      <c r="A26" s="2"/>
      <c r="B26" s="2"/>
      <c r="C26" s="9"/>
      <c r="D26" s="9"/>
      <c r="E26" s="9"/>
      <c r="F26" s="3"/>
      <c r="G26" s="3"/>
      <c r="H26" s="12"/>
      <c r="I26" s="6"/>
      <c r="J26" s="6"/>
      <c r="K26" s="6"/>
      <c r="L26" s="6"/>
    </row>
    <row r="27" spans="1:12">
      <c r="A27" s="2"/>
      <c r="B27" s="2"/>
      <c r="C27" s="9"/>
      <c r="D27" s="9"/>
      <c r="E27" s="9"/>
      <c r="F27" s="3"/>
      <c r="G27" s="3"/>
      <c r="H27" s="12"/>
      <c r="I27" s="6"/>
      <c r="J27" s="6"/>
      <c r="K27" s="6"/>
      <c r="L27" s="6"/>
    </row>
    <row r="28" spans="1:12">
      <c r="A28" s="2"/>
      <c r="B28" s="2"/>
      <c r="C28" s="9"/>
      <c r="D28" s="9"/>
      <c r="E28" s="9"/>
      <c r="F28" s="3"/>
      <c r="G28" s="3"/>
      <c r="H28" s="12"/>
      <c r="I28" s="6"/>
      <c r="J28" s="6"/>
      <c r="K28" s="6"/>
      <c r="L28" s="6"/>
    </row>
    <row r="29" spans="1:12">
      <c r="A29" s="2"/>
      <c r="B29" s="2"/>
      <c r="C29" s="9"/>
      <c r="D29" s="9"/>
      <c r="E29" s="9"/>
      <c r="F29" s="3"/>
      <c r="G29" s="3"/>
      <c r="H29" s="12"/>
      <c r="I29" s="6"/>
      <c r="J29" s="6"/>
      <c r="K29" s="6"/>
      <c r="L29" s="6"/>
    </row>
    <row r="30" spans="1:12">
      <c r="A30" s="2"/>
      <c r="B30" s="2"/>
      <c r="C30" s="9"/>
      <c r="D30" s="9"/>
      <c r="E30" s="9"/>
      <c r="F30" s="3"/>
      <c r="G30" s="3"/>
      <c r="H30" s="12"/>
      <c r="I30" s="6"/>
      <c r="J30" s="6"/>
      <c r="K30" s="6"/>
      <c r="L30" s="6"/>
    </row>
    <row r="31" spans="1:12">
      <c r="A31" s="2"/>
      <c r="B31" s="2"/>
      <c r="C31" s="9"/>
      <c r="D31" s="9"/>
      <c r="E31" s="9"/>
      <c r="F31" s="3"/>
      <c r="G31" s="3"/>
      <c r="H31" s="12"/>
      <c r="I31" s="6"/>
      <c r="J31" s="6"/>
      <c r="K31" s="6"/>
      <c r="L31" s="6"/>
    </row>
    <row r="32" spans="1:12">
      <c r="A32" s="2"/>
      <c r="B32" s="2"/>
      <c r="C32" s="9"/>
      <c r="D32" s="9"/>
      <c r="E32" s="9"/>
      <c r="F32" s="3"/>
      <c r="G32" s="3"/>
      <c r="H32" s="12"/>
      <c r="I32" s="6"/>
      <c r="J32" s="6"/>
      <c r="K32" s="6"/>
      <c r="L32" s="6"/>
    </row>
    <row r="33" spans="1:12">
      <c r="A33" s="2"/>
      <c r="B33" s="2"/>
      <c r="C33" s="9"/>
      <c r="D33" s="9"/>
      <c r="E33" s="9"/>
      <c r="F33" s="3"/>
      <c r="G33" s="3"/>
      <c r="H33" s="12"/>
      <c r="I33" s="6"/>
      <c r="J33" s="6"/>
      <c r="K33" s="6"/>
      <c r="L33" s="6"/>
    </row>
    <row r="34" spans="1:12">
      <c r="A34" s="2"/>
      <c r="B34" s="2"/>
      <c r="C34" s="9"/>
      <c r="D34" s="9"/>
      <c r="E34" s="9"/>
      <c r="F34" s="3"/>
      <c r="G34" s="3"/>
      <c r="H34" s="12"/>
      <c r="I34" s="6"/>
      <c r="J34" s="6"/>
      <c r="K34" s="6"/>
      <c r="L34" s="6"/>
    </row>
  </sheetData>
  <dataValidations count="1">
    <dataValidation type="list" sqref="K5:K34">
      <formula1>"未就绪,准备中,已就绪,阻塞,已豁免"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9" customWidth="1"/>
    <col min="4" max="4" width="32" customWidth="1"/>
    <col min="5" max="7" width="18" customWidth="1"/>
    <col min="8" max="11" width="15" customWidth="1"/>
    <col min="12" max="14" width="32" customWidth="1"/>
    <col min="15" max="16" width="20" customWidth="1"/>
  </cols>
  <sheetData>
    <row r="1" ht="25" customHeight="1" spans="1:16">
      <c r="A1" s="4" t="s">
        <v>74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>
      <c r="A2" s="5" t="s">
        <v>238</v>
      </c>
    </row>
    <row r="4" ht="32" customHeight="1" spans="1:16">
      <c r="A4" s="1" t="s">
        <v>239</v>
      </c>
      <c r="B4" s="1" t="s">
        <v>240</v>
      </c>
      <c r="C4" s="1" t="s">
        <v>241</v>
      </c>
      <c r="D4" s="1" t="s">
        <v>242</v>
      </c>
      <c r="E4" s="1" t="s">
        <v>243</v>
      </c>
      <c r="F4" s="1" t="s">
        <v>12</v>
      </c>
      <c r="G4" s="1" t="s">
        <v>244</v>
      </c>
      <c r="H4" s="1" t="s">
        <v>245</v>
      </c>
      <c r="I4" s="1" t="s">
        <v>246</v>
      </c>
      <c r="J4" s="1" t="s">
        <v>247</v>
      </c>
      <c r="K4" s="1" t="s">
        <v>248</v>
      </c>
      <c r="L4" s="1" t="s">
        <v>249</v>
      </c>
      <c r="M4" s="1" t="s">
        <v>250</v>
      </c>
      <c r="N4" s="1" t="s">
        <v>251</v>
      </c>
      <c r="O4" s="1" t="s">
        <v>15</v>
      </c>
      <c r="P4" s="1" t="s">
        <v>16</v>
      </c>
    </row>
    <row r="5" spans="1:16">
      <c r="A5" s="2" t="s">
        <v>252</v>
      </c>
      <c r="B5" s="2" t="s">
        <v>253</v>
      </c>
      <c r="C5" s="2" t="s">
        <v>254</v>
      </c>
      <c r="D5" s="9" t="s">
        <v>255</v>
      </c>
      <c r="E5" s="9" t="s">
        <v>256</v>
      </c>
      <c r="F5" s="2" t="s">
        <v>18</v>
      </c>
      <c r="G5" s="3">
        <v>46524</v>
      </c>
      <c r="H5" s="10"/>
      <c r="I5" s="10"/>
      <c r="J5" s="10"/>
      <c r="K5" s="13" t="str">
        <f t="shared" ref="K5:K10" si="0">IF(OR(H5="",I5=""),"",IF(H5=0,"n.a.",J5/H5))</f>
        <v/>
      </c>
      <c r="L5" s="8" t="s">
        <v>257</v>
      </c>
      <c r="M5" s="8" t="s">
        <v>258</v>
      </c>
      <c r="N5" s="8"/>
      <c r="O5" s="6" t="s">
        <v>21</v>
      </c>
      <c r="P5" s="6"/>
    </row>
    <row r="6" spans="1:16">
      <c r="A6" s="2" t="s">
        <v>259</v>
      </c>
      <c r="B6" s="2" t="s">
        <v>260</v>
      </c>
      <c r="C6" s="2" t="s">
        <v>261</v>
      </c>
      <c r="D6" s="9" t="s">
        <v>262</v>
      </c>
      <c r="E6" s="9" t="s">
        <v>256</v>
      </c>
      <c r="F6" s="2" t="s">
        <v>18</v>
      </c>
      <c r="G6" s="3">
        <v>46524</v>
      </c>
      <c r="H6" s="10"/>
      <c r="I6" s="10"/>
      <c r="J6" s="10"/>
      <c r="K6" s="13" t="str">
        <f t="shared" si="0"/>
        <v/>
      </c>
      <c r="L6" s="8" t="s">
        <v>263</v>
      </c>
      <c r="M6" s="8" t="s">
        <v>258</v>
      </c>
      <c r="N6" s="8"/>
      <c r="O6" s="6" t="s">
        <v>21</v>
      </c>
      <c r="P6" s="6"/>
    </row>
    <row r="7" spans="1:16">
      <c r="A7" s="2" t="s">
        <v>264</v>
      </c>
      <c r="B7" s="2" t="s">
        <v>265</v>
      </c>
      <c r="C7" s="2" t="s">
        <v>266</v>
      </c>
      <c r="D7" s="9" t="s">
        <v>267</v>
      </c>
      <c r="E7" s="9" t="s">
        <v>256</v>
      </c>
      <c r="F7" s="2" t="s">
        <v>18</v>
      </c>
      <c r="G7" s="3">
        <v>46525</v>
      </c>
      <c r="H7" s="10"/>
      <c r="I7" s="10"/>
      <c r="J7" s="10"/>
      <c r="K7" s="13" t="str">
        <f t="shared" si="0"/>
        <v/>
      </c>
      <c r="L7" s="8" t="s">
        <v>268</v>
      </c>
      <c r="M7" s="8" t="s">
        <v>258</v>
      </c>
      <c r="N7" s="8"/>
      <c r="O7" s="6" t="s">
        <v>269</v>
      </c>
      <c r="P7" s="6"/>
    </row>
    <row r="8" spans="1:16">
      <c r="A8" s="2" t="s">
        <v>270</v>
      </c>
      <c r="B8" s="2" t="s">
        <v>271</v>
      </c>
      <c r="C8" s="2" t="s">
        <v>272</v>
      </c>
      <c r="D8" s="9" t="s">
        <v>273</v>
      </c>
      <c r="E8" s="9" t="s">
        <v>256</v>
      </c>
      <c r="F8" s="2" t="s">
        <v>18</v>
      </c>
      <c r="G8" s="3">
        <v>46526</v>
      </c>
      <c r="H8" s="10"/>
      <c r="I8" s="10"/>
      <c r="J8" s="10"/>
      <c r="K8" s="13" t="str">
        <f t="shared" si="0"/>
        <v/>
      </c>
      <c r="L8" s="8" t="s">
        <v>274</v>
      </c>
      <c r="M8" s="8" t="s">
        <v>258</v>
      </c>
      <c r="N8" s="8"/>
      <c r="O8" s="6" t="s">
        <v>275</v>
      </c>
      <c r="P8" s="6"/>
    </row>
    <row r="9" ht="31" spans="1:16">
      <c r="A9" s="2" t="s">
        <v>276</v>
      </c>
      <c r="B9" s="2" t="s">
        <v>277</v>
      </c>
      <c r="C9" s="2" t="s">
        <v>278</v>
      </c>
      <c r="D9" s="9" t="s">
        <v>279</v>
      </c>
      <c r="E9" s="9" t="s">
        <v>256</v>
      </c>
      <c r="F9" s="2" t="s">
        <v>27</v>
      </c>
      <c r="G9" s="3">
        <v>46526</v>
      </c>
      <c r="H9" s="10"/>
      <c r="I9" s="10"/>
      <c r="J9" s="10"/>
      <c r="K9" s="13" t="str">
        <f t="shared" si="0"/>
        <v/>
      </c>
      <c r="L9" s="8" t="s">
        <v>280</v>
      </c>
      <c r="M9" s="8" t="s">
        <v>258</v>
      </c>
      <c r="N9" s="8"/>
      <c r="O9" s="6" t="s">
        <v>281</v>
      </c>
      <c r="P9" s="6"/>
    </row>
    <row r="10" spans="1:16">
      <c r="A10" s="2" t="s">
        <v>282</v>
      </c>
      <c r="B10" s="2" t="s">
        <v>283</v>
      </c>
      <c r="C10" s="2" t="s">
        <v>284</v>
      </c>
      <c r="D10" s="9" t="s">
        <v>285</v>
      </c>
      <c r="E10" s="9" t="s">
        <v>286</v>
      </c>
      <c r="F10" s="2" t="s">
        <v>18</v>
      </c>
      <c r="G10" s="3">
        <v>46527</v>
      </c>
      <c r="H10" s="10"/>
      <c r="I10" s="10"/>
      <c r="J10" s="10"/>
      <c r="K10" s="13" t="str">
        <f t="shared" si="0"/>
        <v/>
      </c>
      <c r="L10" s="8" t="s">
        <v>287</v>
      </c>
      <c r="M10" s="8" t="s">
        <v>258</v>
      </c>
      <c r="N10" s="8"/>
      <c r="O10" s="6" t="s">
        <v>21</v>
      </c>
      <c r="P10" s="6"/>
    </row>
    <row r="11" spans="1:16">
      <c r="A11" s="2"/>
      <c r="B11" s="2"/>
      <c r="C11" s="2"/>
      <c r="D11" s="9"/>
      <c r="E11" s="9"/>
      <c r="F11" s="2"/>
      <c r="G11" s="3"/>
      <c r="H11" s="10"/>
      <c r="I11" s="10"/>
      <c r="J11" s="10"/>
      <c r="K11" s="13"/>
      <c r="L11" s="8"/>
      <c r="M11" s="8"/>
      <c r="N11" s="8"/>
      <c r="O11" s="6"/>
      <c r="P11" s="6"/>
    </row>
    <row r="12" spans="1:16">
      <c r="A12" s="2"/>
      <c r="B12" s="2"/>
      <c r="C12" s="2"/>
      <c r="D12" s="9"/>
      <c r="E12" s="9"/>
      <c r="F12" s="2"/>
      <c r="G12" s="3"/>
      <c r="H12" s="10"/>
      <c r="I12" s="10"/>
      <c r="J12" s="10"/>
      <c r="K12" s="13"/>
      <c r="L12" s="8"/>
      <c r="M12" s="8"/>
      <c r="N12" s="8"/>
      <c r="O12" s="6"/>
      <c r="P12" s="6"/>
    </row>
    <row r="13" spans="1:16">
      <c r="A13" s="2"/>
      <c r="B13" s="2"/>
      <c r="C13" s="2"/>
      <c r="D13" s="9"/>
      <c r="E13" s="9"/>
      <c r="F13" s="2"/>
      <c r="G13" s="3"/>
      <c r="H13" s="10"/>
      <c r="I13" s="10"/>
      <c r="J13" s="10"/>
      <c r="K13" s="13"/>
      <c r="L13" s="8"/>
      <c r="M13" s="8"/>
      <c r="N13" s="8"/>
      <c r="O13" s="6"/>
      <c r="P13" s="6"/>
    </row>
    <row r="14" spans="1:16">
      <c r="A14" s="2"/>
      <c r="B14" s="2"/>
      <c r="C14" s="2"/>
      <c r="D14" s="9"/>
      <c r="E14" s="9"/>
      <c r="F14" s="2"/>
      <c r="G14" s="3"/>
      <c r="H14" s="10"/>
      <c r="I14" s="10"/>
      <c r="J14" s="10"/>
      <c r="K14" s="13"/>
      <c r="L14" s="8"/>
      <c r="M14" s="8"/>
      <c r="N14" s="8"/>
      <c r="O14" s="6"/>
      <c r="P14" s="6"/>
    </row>
    <row r="15" spans="1:16">
      <c r="A15" s="2"/>
      <c r="B15" s="2"/>
      <c r="C15" s="2"/>
      <c r="D15" s="9"/>
      <c r="E15" s="9"/>
      <c r="F15" s="2"/>
      <c r="G15" s="3"/>
      <c r="H15" s="10"/>
      <c r="I15" s="10"/>
      <c r="J15" s="10"/>
      <c r="K15" s="13"/>
      <c r="L15" s="8"/>
      <c r="M15" s="8"/>
      <c r="N15" s="8"/>
      <c r="O15" s="6"/>
      <c r="P15" s="6"/>
    </row>
    <row r="16" spans="1:16">
      <c r="A16" s="2"/>
      <c r="B16" s="2"/>
      <c r="C16" s="2"/>
      <c r="D16" s="9"/>
      <c r="E16" s="9"/>
      <c r="F16" s="2"/>
      <c r="G16" s="3"/>
      <c r="H16" s="10"/>
      <c r="I16" s="10"/>
      <c r="J16" s="10"/>
      <c r="K16" s="13"/>
      <c r="L16" s="8"/>
      <c r="M16" s="8"/>
      <c r="N16" s="8"/>
      <c r="O16" s="6"/>
      <c r="P16" s="6"/>
    </row>
    <row r="17" spans="1:16">
      <c r="A17" s="2"/>
      <c r="B17" s="2"/>
      <c r="C17" s="2"/>
      <c r="D17" s="9"/>
      <c r="E17" s="9"/>
      <c r="F17" s="2"/>
      <c r="G17" s="3"/>
      <c r="H17" s="10"/>
      <c r="I17" s="10"/>
      <c r="J17" s="10"/>
      <c r="K17" s="13"/>
      <c r="L17" s="8"/>
      <c r="M17" s="8"/>
      <c r="N17" s="8"/>
      <c r="O17" s="6"/>
      <c r="P17" s="6"/>
    </row>
    <row r="18" spans="1:16">
      <c r="A18" s="2"/>
      <c r="B18" s="2"/>
      <c r="C18" s="2"/>
      <c r="D18" s="9"/>
      <c r="E18" s="9"/>
      <c r="F18" s="2"/>
      <c r="G18" s="3"/>
      <c r="H18" s="10"/>
      <c r="I18" s="10"/>
      <c r="J18" s="10"/>
      <c r="K18" s="13"/>
      <c r="L18" s="8"/>
      <c r="M18" s="8"/>
      <c r="N18" s="8"/>
      <c r="O18" s="6"/>
      <c r="P18" s="6"/>
    </row>
    <row r="19" spans="1:16">
      <c r="A19" s="2"/>
      <c r="B19" s="2"/>
      <c r="C19" s="2"/>
      <c r="D19" s="9"/>
      <c r="E19" s="9"/>
      <c r="F19" s="2"/>
      <c r="G19" s="3"/>
      <c r="H19" s="10"/>
      <c r="I19" s="10"/>
      <c r="J19" s="10"/>
      <c r="K19" s="13"/>
      <c r="L19" s="8"/>
      <c r="M19" s="8"/>
      <c r="N19" s="8"/>
      <c r="O19" s="6"/>
      <c r="P19" s="6"/>
    </row>
    <row r="20" spans="1:16">
      <c r="A20" s="2"/>
      <c r="B20" s="2"/>
      <c r="C20" s="2"/>
      <c r="D20" s="9"/>
      <c r="E20" s="9"/>
      <c r="F20" s="2"/>
      <c r="G20" s="3"/>
      <c r="H20" s="10"/>
      <c r="I20" s="10"/>
      <c r="J20" s="10"/>
      <c r="K20" s="13"/>
      <c r="L20" s="8"/>
      <c r="M20" s="8"/>
      <c r="N20" s="8"/>
      <c r="O20" s="6"/>
      <c r="P20" s="6"/>
    </row>
    <row r="21" spans="1:16">
      <c r="A21" s="2"/>
      <c r="B21" s="2"/>
      <c r="C21" s="2"/>
      <c r="D21" s="9"/>
      <c r="E21" s="9"/>
      <c r="F21" s="2"/>
      <c r="G21" s="3"/>
      <c r="H21" s="10"/>
      <c r="I21" s="10"/>
      <c r="J21" s="10"/>
      <c r="K21" s="13"/>
      <c r="L21" s="8"/>
      <c r="M21" s="8"/>
      <c r="N21" s="8"/>
      <c r="O21" s="6"/>
      <c r="P21" s="6"/>
    </row>
    <row r="22" spans="1:16">
      <c r="A22" s="2"/>
      <c r="B22" s="2"/>
      <c r="C22" s="2"/>
      <c r="D22" s="9"/>
      <c r="E22" s="9"/>
      <c r="F22" s="2"/>
      <c r="G22" s="3"/>
      <c r="H22" s="10"/>
      <c r="I22" s="10"/>
      <c r="J22" s="10"/>
      <c r="K22" s="13"/>
      <c r="L22" s="8"/>
      <c r="M22" s="8"/>
      <c r="N22" s="8"/>
      <c r="O22" s="6"/>
      <c r="P22" s="6"/>
    </row>
    <row r="23" spans="1:16">
      <c r="A23" s="2"/>
      <c r="B23" s="2"/>
      <c r="C23" s="2"/>
      <c r="D23" s="9"/>
      <c r="E23" s="9"/>
      <c r="F23" s="2"/>
      <c r="G23" s="3"/>
      <c r="H23" s="10"/>
      <c r="I23" s="10"/>
      <c r="J23" s="10"/>
      <c r="K23" s="13"/>
      <c r="L23" s="8"/>
      <c r="M23" s="8"/>
      <c r="N23" s="8"/>
      <c r="O23" s="6"/>
      <c r="P23" s="6"/>
    </row>
    <row r="24" spans="1:16">
      <c r="A24" s="2"/>
      <c r="B24" s="2"/>
      <c r="C24" s="2"/>
      <c r="D24" s="9"/>
      <c r="E24" s="9"/>
      <c r="F24" s="2"/>
      <c r="G24" s="3"/>
      <c r="H24" s="10"/>
      <c r="I24" s="10"/>
      <c r="J24" s="10"/>
      <c r="K24" s="13"/>
      <c r="L24" s="8"/>
      <c r="M24" s="8"/>
      <c r="N24" s="8"/>
      <c r="O24" s="6"/>
      <c r="P24" s="6"/>
    </row>
    <row r="25" spans="1:16">
      <c r="A25" s="2"/>
      <c r="B25" s="2"/>
      <c r="C25" s="2"/>
      <c r="D25" s="9"/>
      <c r="E25" s="9"/>
      <c r="F25" s="2"/>
      <c r="G25" s="3"/>
      <c r="H25" s="10"/>
      <c r="I25" s="10"/>
      <c r="J25" s="10"/>
      <c r="K25" s="13"/>
      <c r="L25" s="8"/>
      <c r="M25" s="8"/>
      <c r="N25" s="8"/>
      <c r="O25" s="6"/>
      <c r="P25" s="6"/>
    </row>
    <row r="26" spans="1:16">
      <c r="A26" s="2"/>
      <c r="B26" s="2"/>
      <c r="C26" s="2"/>
      <c r="D26" s="9"/>
      <c r="E26" s="9"/>
      <c r="F26" s="2"/>
      <c r="G26" s="3"/>
      <c r="H26" s="10"/>
      <c r="I26" s="10"/>
      <c r="J26" s="10"/>
      <c r="K26" s="13"/>
      <c r="L26" s="8"/>
      <c r="M26" s="8"/>
      <c r="N26" s="8"/>
      <c r="O26" s="6"/>
      <c r="P26" s="6"/>
    </row>
    <row r="27" spans="1:16">
      <c r="A27" s="2"/>
      <c r="B27" s="2"/>
      <c r="C27" s="2"/>
      <c r="D27" s="9"/>
      <c r="E27" s="9"/>
      <c r="F27" s="2"/>
      <c r="G27" s="3"/>
      <c r="H27" s="10"/>
      <c r="I27" s="10"/>
      <c r="J27" s="10"/>
      <c r="K27" s="13"/>
      <c r="L27" s="8"/>
      <c r="M27" s="8"/>
      <c r="N27" s="8"/>
      <c r="O27" s="6"/>
      <c r="P27" s="6"/>
    </row>
    <row r="28" spans="1:16">
      <c r="A28" s="2"/>
      <c r="B28" s="2"/>
      <c r="C28" s="2"/>
      <c r="D28" s="9"/>
      <c r="E28" s="9"/>
      <c r="F28" s="2"/>
      <c r="G28" s="3"/>
      <c r="H28" s="10"/>
      <c r="I28" s="10"/>
      <c r="J28" s="10"/>
      <c r="K28" s="13"/>
      <c r="L28" s="8"/>
      <c r="M28" s="8"/>
      <c r="N28" s="8"/>
      <c r="O28" s="6"/>
      <c r="P28" s="6"/>
    </row>
    <row r="29" spans="1:16">
      <c r="A29" s="2"/>
      <c r="B29" s="2"/>
      <c r="C29" s="2"/>
      <c r="D29" s="9"/>
      <c r="E29" s="9"/>
      <c r="F29" s="2"/>
      <c r="G29" s="3"/>
      <c r="H29" s="10"/>
      <c r="I29" s="10"/>
      <c r="J29" s="10"/>
      <c r="K29" s="13"/>
      <c r="L29" s="8"/>
      <c r="M29" s="8"/>
      <c r="N29" s="8"/>
      <c r="O29" s="6"/>
      <c r="P29" s="6"/>
    </row>
    <row r="30" spans="1:16">
      <c r="A30" s="2"/>
      <c r="B30" s="2"/>
      <c r="C30" s="2"/>
      <c r="D30" s="9"/>
      <c r="E30" s="9"/>
      <c r="F30" s="2"/>
      <c r="G30" s="3"/>
      <c r="H30" s="10"/>
      <c r="I30" s="10"/>
      <c r="J30" s="10"/>
      <c r="K30" s="13"/>
      <c r="L30" s="8"/>
      <c r="M30" s="8"/>
      <c r="N30" s="8"/>
      <c r="O30" s="6"/>
      <c r="P30" s="6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2" width="15" customWidth="1"/>
    <col min="3" max="3" width="36" customWidth="1"/>
    <col min="4" max="6" width="19" customWidth="1"/>
    <col min="7" max="10" width="16" customWidth="1"/>
    <col min="11" max="12" width="38" customWidth="1"/>
    <col min="13" max="16" width="18" customWidth="1"/>
  </cols>
  <sheetData>
    <row r="1" ht="25" customHeight="1" spans="1:16">
      <c r="A1" s="4" t="s">
        <v>76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>
      <c r="A2" s="5" t="s">
        <v>288</v>
      </c>
    </row>
    <row r="4" ht="32" customHeight="1" spans="1:16">
      <c r="A4" s="1" t="s">
        <v>289</v>
      </c>
      <c r="B4" s="1" t="s">
        <v>290</v>
      </c>
      <c r="C4" s="1" t="s">
        <v>291</v>
      </c>
      <c r="D4" s="1" t="s">
        <v>292</v>
      </c>
      <c r="E4" s="1" t="s">
        <v>12</v>
      </c>
      <c r="F4" s="1" t="s">
        <v>293</v>
      </c>
      <c r="G4" s="1" t="s">
        <v>294</v>
      </c>
      <c r="H4" s="1" t="s">
        <v>295</v>
      </c>
      <c r="I4" s="1" t="s">
        <v>296</v>
      </c>
      <c r="J4" s="1" t="s">
        <v>297</v>
      </c>
      <c r="K4" s="1" t="s">
        <v>298</v>
      </c>
      <c r="L4" s="1" t="s">
        <v>299</v>
      </c>
      <c r="M4" s="1" t="s">
        <v>103</v>
      </c>
      <c r="N4" s="1" t="s">
        <v>300</v>
      </c>
      <c r="O4" s="1" t="s">
        <v>16</v>
      </c>
      <c r="P4" s="1" t="s">
        <v>301</v>
      </c>
    </row>
    <row r="5" spans="1:16">
      <c r="A5" s="2" t="s">
        <v>302</v>
      </c>
      <c r="B5" s="2" t="s">
        <v>303</v>
      </c>
      <c r="C5" s="9" t="s">
        <v>304</v>
      </c>
      <c r="D5" s="9"/>
      <c r="E5" s="2" t="s">
        <v>35</v>
      </c>
      <c r="F5" s="2" t="s">
        <v>44</v>
      </c>
      <c r="G5" s="3">
        <v>46535</v>
      </c>
      <c r="H5" s="3">
        <v>46535</v>
      </c>
      <c r="I5" s="12"/>
      <c r="J5" s="12"/>
      <c r="K5" s="8" t="s">
        <v>305</v>
      </c>
      <c r="L5" s="8" t="s">
        <v>306</v>
      </c>
      <c r="M5" s="6" t="s">
        <v>135</v>
      </c>
      <c r="N5" s="6"/>
      <c r="O5" s="6"/>
      <c r="P5" s="6"/>
    </row>
    <row r="6" spans="1:16">
      <c r="A6" s="2" t="s">
        <v>307</v>
      </c>
      <c r="B6" s="2" t="s">
        <v>303</v>
      </c>
      <c r="C6" s="9" t="s">
        <v>308</v>
      </c>
      <c r="D6" s="9" t="s">
        <v>302</v>
      </c>
      <c r="E6" s="2" t="s">
        <v>27</v>
      </c>
      <c r="F6" s="2" t="s">
        <v>29</v>
      </c>
      <c r="G6" s="3">
        <v>46535</v>
      </c>
      <c r="H6" s="3">
        <v>46535</v>
      </c>
      <c r="I6" s="12"/>
      <c r="J6" s="12"/>
      <c r="K6" s="8" t="s">
        <v>309</v>
      </c>
      <c r="L6" s="8" t="s">
        <v>310</v>
      </c>
      <c r="M6" s="6" t="s">
        <v>135</v>
      </c>
      <c r="N6" s="6"/>
      <c r="O6" s="6"/>
      <c r="P6" s="6"/>
    </row>
    <row r="7" spans="1:16">
      <c r="A7" s="2" t="s">
        <v>311</v>
      </c>
      <c r="B7" s="2" t="s">
        <v>207</v>
      </c>
      <c r="C7" s="9" t="s">
        <v>312</v>
      </c>
      <c r="D7" s="9" t="s">
        <v>307</v>
      </c>
      <c r="E7" s="2" t="s">
        <v>196</v>
      </c>
      <c r="F7" s="2" t="s">
        <v>27</v>
      </c>
      <c r="G7" s="3">
        <v>46536</v>
      </c>
      <c r="H7" s="3">
        <v>46536</v>
      </c>
      <c r="I7" s="12"/>
      <c r="J7" s="12"/>
      <c r="K7" s="8" t="s">
        <v>313</v>
      </c>
      <c r="L7" s="8" t="s">
        <v>314</v>
      </c>
      <c r="M7" s="6" t="s">
        <v>135</v>
      </c>
      <c r="N7" s="6"/>
      <c r="O7" s="6"/>
      <c r="P7" s="6"/>
    </row>
    <row r="8" spans="1:16">
      <c r="A8" s="2" t="s">
        <v>315</v>
      </c>
      <c r="B8" s="2" t="s">
        <v>316</v>
      </c>
      <c r="C8" s="9" t="s">
        <v>317</v>
      </c>
      <c r="D8" s="9" t="s">
        <v>311</v>
      </c>
      <c r="E8" s="2" t="s">
        <v>27</v>
      </c>
      <c r="F8" s="2" t="s">
        <v>196</v>
      </c>
      <c r="G8" s="3">
        <v>46536</v>
      </c>
      <c r="H8" s="3">
        <v>46536</v>
      </c>
      <c r="I8" s="12"/>
      <c r="J8" s="12"/>
      <c r="K8" s="8" t="s">
        <v>318</v>
      </c>
      <c r="L8" s="8" t="s">
        <v>319</v>
      </c>
      <c r="M8" s="6" t="s">
        <v>135</v>
      </c>
      <c r="N8" s="6"/>
      <c r="O8" s="6"/>
      <c r="P8" s="6"/>
    </row>
    <row r="9" spans="1:16">
      <c r="A9" s="2" t="s">
        <v>320</v>
      </c>
      <c r="B9" s="2" t="s">
        <v>173</v>
      </c>
      <c r="C9" s="9" t="s">
        <v>321</v>
      </c>
      <c r="D9" s="9" t="s">
        <v>311</v>
      </c>
      <c r="E9" s="2" t="s">
        <v>18</v>
      </c>
      <c r="F9" s="2" t="s">
        <v>27</v>
      </c>
      <c r="G9" s="3">
        <v>46536</v>
      </c>
      <c r="H9" s="3">
        <v>46537</v>
      </c>
      <c r="I9" s="12"/>
      <c r="J9" s="12"/>
      <c r="K9" s="8" t="s">
        <v>322</v>
      </c>
      <c r="L9" s="8" t="s">
        <v>323</v>
      </c>
      <c r="M9" s="6" t="s">
        <v>135</v>
      </c>
      <c r="N9" s="6"/>
      <c r="O9" s="6"/>
      <c r="P9" s="6"/>
    </row>
    <row r="10" ht="31" spans="1:16">
      <c r="A10" s="2" t="s">
        <v>324</v>
      </c>
      <c r="B10" s="2" t="s">
        <v>325</v>
      </c>
      <c r="C10" s="9" t="s">
        <v>326</v>
      </c>
      <c r="D10" s="9" t="s">
        <v>327</v>
      </c>
      <c r="E10" s="2" t="s">
        <v>27</v>
      </c>
      <c r="F10" s="2" t="s">
        <v>328</v>
      </c>
      <c r="G10" s="3">
        <v>46537</v>
      </c>
      <c r="H10" s="3">
        <v>46537</v>
      </c>
      <c r="I10" s="12"/>
      <c r="J10" s="12"/>
      <c r="K10" s="8" t="s">
        <v>329</v>
      </c>
      <c r="L10" s="8" t="s">
        <v>330</v>
      </c>
      <c r="M10" s="6" t="s">
        <v>135</v>
      </c>
      <c r="N10" s="6"/>
      <c r="O10" s="6"/>
      <c r="P10" s="6"/>
    </row>
    <row r="11" spans="1:16">
      <c r="A11" s="2" t="s">
        <v>331</v>
      </c>
      <c r="B11" s="2" t="s">
        <v>182</v>
      </c>
      <c r="C11" s="9" t="s">
        <v>332</v>
      </c>
      <c r="D11" s="9" t="s">
        <v>327</v>
      </c>
      <c r="E11" s="2" t="s">
        <v>18</v>
      </c>
      <c r="F11" s="2" t="s">
        <v>333</v>
      </c>
      <c r="G11" s="3">
        <v>46537</v>
      </c>
      <c r="H11" s="3">
        <v>46537</v>
      </c>
      <c r="I11" s="12"/>
      <c r="J11" s="12"/>
      <c r="K11" s="8" t="s">
        <v>334</v>
      </c>
      <c r="L11" s="8" t="s">
        <v>335</v>
      </c>
      <c r="M11" s="6" t="s">
        <v>135</v>
      </c>
      <c r="N11" s="6"/>
      <c r="O11" s="6"/>
      <c r="P11" s="6"/>
    </row>
    <row r="12" ht="31" spans="1:16">
      <c r="A12" s="2" t="s">
        <v>336</v>
      </c>
      <c r="B12" s="2" t="s">
        <v>337</v>
      </c>
      <c r="C12" s="9" t="s">
        <v>338</v>
      </c>
      <c r="D12" s="9" t="s">
        <v>339</v>
      </c>
      <c r="E12" s="2" t="s">
        <v>166</v>
      </c>
      <c r="F12" s="2" t="s">
        <v>18</v>
      </c>
      <c r="G12" s="3">
        <v>46537</v>
      </c>
      <c r="H12" s="3">
        <v>46538</v>
      </c>
      <c r="I12" s="12"/>
      <c r="J12" s="12"/>
      <c r="K12" s="8" t="s">
        <v>340</v>
      </c>
      <c r="L12" s="8" t="s">
        <v>341</v>
      </c>
      <c r="M12" s="6" t="s">
        <v>135</v>
      </c>
      <c r="N12" s="6"/>
      <c r="O12" s="6"/>
      <c r="P12" s="6"/>
    </row>
    <row r="13" spans="1:16">
      <c r="A13" s="2" t="s">
        <v>342</v>
      </c>
      <c r="B13" s="2" t="s">
        <v>203</v>
      </c>
      <c r="C13" s="9" t="s">
        <v>343</v>
      </c>
      <c r="D13" s="9" t="s">
        <v>315</v>
      </c>
      <c r="E13" s="2" t="s">
        <v>27</v>
      </c>
      <c r="F13" s="2" t="s">
        <v>344</v>
      </c>
      <c r="G13" s="3">
        <v>46537</v>
      </c>
      <c r="H13" s="3">
        <v>46537</v>
      </c>
      <c r="I13" s="12"/>
      <c r="J13" s="12"/>
      <c r="K13" s="8" t="s">
        <v>345</v>
      </c>
      <c r="L13" s="8" t="s">
        <v>346</v>
      </c>
      <c r="M13" s="6" t="s">
        <v>135</v>
      </c>
      <c r="N13" s="6"/>
      <c r="O13" s="6"/>
      <c r="P13" s="6"/>
    </row>
    <row r="14" spans="1:16">
      <c r="A14" s="2" t="s">
        <v>347</v>
      </c>
      <c r="B14" s="2" t="s">
        <v>348</v>
      </c>
      <c r="C14" s="9" t="s">
        <v>349</v>
      </c>
      <c r="D14" s="9" t="s">
        <v>350</v>
      </c>
      <c r="E14" s="2" t="s">
        <v>29</v>
      </c>
      <c r="F14" s="2" t="s">
        <v>21</v>
      </c>
      <c r="G14" s="3">
        <v>46538</v>
      </c>
      <c r="H14" s="3">
        <v>46538</v>
      </c>
      <c r="I14" s="12"/>
      <c r="J14" s="12"/>
      <c r="K14" s="8" t="s">
        <v>351</v>
      </c>
      <c r="L14" s="8" t="s">
        <v>352</v>
      </c>
      <c r="M14" s="6" t="s">
        <v>135</v>
      </c>
      <c r="N14" s="6"/>
      <c r="O14" s="6"/>
      <c r="P14" s="6"/>
    </row>
    <row r="15" spans="1:16">
      <c r="A15" s="2" t="s">
        <v>353</v>
      </c>
      <c r="B15" s="2" t="s">
        <v>128</v>
      </c>
      <c r="C15" s="9" t="s">
        <v>354</v>
      </c>
      <c r="D15" s="9" t="s">
        <v>347</v>
      </c>
      <c r="E15" s="2" t="s">
        <v>29</v>
      </c>
      <c r="F15" s="2" t="s">
        <v>35</v>
      </c>
      <c r="G15" s="3">
        <v>46539</v>
      </c>
      <c r="H15" s="3">
        <v>46539</v>
      </c>
      <c r="I15" s="12"/>
      <c r="J15" s="12"/>
      <c r="K15" s="8" t="s">
        <v>355</v>
      </c>
      <c r="L15" s="8" t="s">
        <v>356</v>
      </c>
      <c r="M15" s="6" t="s">
        <v>135</v>
      </c>
      <c r="N15" s="6"/>
      <c r="O15" s="6"/>
      <c r="P15" s="6"/>
    </row>
    <row r="16" spans="1:16">
      <c r="A16" s="2" t="s">
        <v>357</v>
      </c>
      <c r="B16" s="2" t="s">
        <v>358</v>
      </c>
      <c r="C16" s="9" t="s">
        <v>359</v>
      </c>
      <c r="D16" s="9" t="s">
        <v>347</v>
      </c>
      <c r="E16" s="2" t="s">
        <v>29</v>
      </c>
      <c r="F16" s="2" t="s">
        <v>35</v>
      </c>
      <c r="G16" s="3">
        <v>46539</v>
      </c>
      <c r="H16" s="3">
        <v>46540</v>
      </c>
      <c r="I16" s="12"/>
      <c r="J16" s="12"/>
      <c r="K16" s="8" t="s">
        <v>360</v>
      </c>
      <c r="L16" s="8" t="s">
        <v>361</v>
      </c>
      <c r="M16" s="6" t="s">
        <v>135</v>
      </c>
      <c r="N16" s="6"/>
      <c r="O16" s="6"/>
      <c r="P16" s="6"/>
    </row>
  </sheetData>
  <dataValidations count="1">
    <dataValidation type="list" sqref="M5:M54">
      <formula1>"未开始,就绪,执行中,已完成,失败,已回退,取消"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4" customWidth="1"/>
    <col min="2" max="3" width="36" customWidth="1"/>
    <col min="4" max="5" width="22" customWidth="1"/>
    <col min="6" max="8" width="38" customWidth="1"/>
    <col min="9" max="14" width="19" customWidth="1"/>
  </cols>
  <sheetData>
    <row r="1" ht="25" customHeight="1" spans="1:14">
      <c r="A1" s="4" t="s">
        <v>78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362</v>
      </c>
    </row>
    <row r="4" ht="32" customHeight="1" spans="1:14">
      <c r="A4" s="1" t="s">
        <v>363</v>
      </c>
      <c r="B4" s="1" t="s">
        <v>364</v>
      </c>
      <c r="C4" s="1" t="s">
        <v>365</v>
      </c>
      <c r="D4" s="1" t="s">
        <v>366</v>
      </c>
      <c r="E4" s="1" t="s">
        <v>367</v>
      </c>
      <c r="F4" s="1" t="s">
        <v>368</v>
      </c>
      <c r="G4" s="1" t="s">
        <v>369</v>
      </c>
      <c r="H4" s="1" t="s">
        <v>299</v>
      </c>
      <c r="I4" s="1" t="s">
        <v>370</v>
      </c>
      <c r="J4" s="1" t="s">
        <v>371</v>
      </c>
      <c r="K4" s="1" t="s">
        <v>372</v>
      </c>
      <c r="L4" s="1" t="s">
        <v>373</v>
      </c>
      <c r="M4" s="1" t="s">
        <v>374</v>
      </c>
      <c r="N4" s="1" t="s">
        <v>16</v>
      </c>
    </row>
    <row r="5" spans="1:14">
      <c r="A5" s="2" t="s">
        <v>375</v>
      </c>
      <c r="B5" s="9" t="s">
        <v>376</v>
      </c>
      <c r="C5" s="9" t="s">
        <v>377</v>
      </c>
      <c r="D5" s="9" t="s">
        <v>35</v>
      </c>
      <c r="E5" s="9" t="s">
        <v>378</v>
      </c>
      <c r="F5" s="9" t="s">
        <v>379</v>
      </c>
      <c r="G5" s="9" t="s">
        <v>380</v>
      </c>
      <c r="H5" s="9" t="s">
        <v>381</v>
      </c>
      <c r="I5" s="2" t="s">
        <v>382</v>
      </c>
      <c r="J5" s="2" t="s">
        <v>383</v>
      </c>
      <c r="K5" s="2" t="s">
        <v>27</v>
      </c>
      <c r="L5" s="2" t="s">
        <v>384</v>
      </c>
      <c r="M5" s="6" t="s">
        <v>385</v>
      </c>
      <c r="N5" s="6"/>
    </row>
    <row r="6" spans="1:14">
      <c r="A6" s="2" t="s">
        <v>386</v>
      </c>
      <c r="B6" s="9" t="s">
        <v>387</v>
      </c>
      <c r="C6" s="9" t="s">
        <v>388</v>
      </c>
      <c r="D6" s="9" t="s">
        <v>35</v>
      </c>
      <c r="E6" s="9" t="s">
        <v>389</v>
      </c>
      <c r="F6" s="9" t="s">
        <v>390</v>
      </c>
      <c r="G6" s="9" t="s">
        <v>391</v>
      </c>
      <c r="H6" s="9" t="s">
        <v>392</v>
      </c>
      <c r="I6" s="2" t="s">
        <v>393</v>
      </c>
      <c r="J6" s="2" t="s">
        <v>394</v>
      </c>
      <c r="K6" s="2" t="s">
        <v>395</v>
      </c>
      <c r="L6" s="2" t="s">
        <v>396</v>
      </c>
      <c r="M6" s="6" t="s">
        <v>385</v>
      </c>
      <c r="N6" s="6"/>
    </row>
    <row r="7" ht="31" spans="1:14">
      <c r="A7" s="2" t="s">
        <v>397</v>
      </c>
      <c r="B7" s="9" t="s">
        <v>398</v>
      </c>
      <c r="C7" s="9" t="s">
        <v>399</v>
      </c>
      <c r="D7" s="9" t="s">
        <v>35</v>
      </c>
      <c r="E7" s="9" t="s">
        <v>400</v>
      </c>
      <c r="F7" s="9" t="s">
        <v>401</v>
      </c>
      <c r="G7" s="9" t="s">
        <v>402</v>
      </c>
      <c r="H7" s="9" t="s">
        <v>403</v>
      </c>
      <c r="I7" s="2" t="s">
        <v>382</v>
      </c>
      <c r="J7" s="2" t="s">
        <v>383</v>
      </c>
      <c r="K7" s="2" t="s">
        <v>27</v>
      </c>
      <c r="L7" s="2" t="s">
        <v>404</v>
      </c>
      <c r="M7" s="6" t="s">
        <v>385</v>
      </c>
      <c r="N7" s="6"/>
    </row>
    <row r="8" spans="1:14">
      <c r="A8" s="2" t="s">
        <v>405</v>
      </c>
      <c r="B8" s="9" t="s">
        <v>406</v>
      </c>
      <c r="C8" s="9" t="s">
        <v>407</v>
      </c>
      <c r="D8" s="9" t="s">
        <v>408</v>
      </c>
      <c r="E8" s="9" t="s">
        <v>409</v>
      </c>
      <c r="F8" s="9" t="s">
        <v>410</v>
      </c>
      <c r="G8" s="9" t="s">
        <v>411</v>
      </c>
      <c r="H8" s="9" t="s">
        <v>412</v>
      </c>
      <c r="I8" s="2" t="s">
        <v>382</v>
      </c>
      <c r="J8" s="2" t="s">
        <v>394</v>
      </c>
      <c r="K8" s="2" t="s">
        <v>27</v>
      </c>
      <c r="L8" s="2" t="s">
        <v>413</v>
      </c>
      <c r="M8" s="6" t="s">
        <v>385</v>
      </c>
      <c r="N8" s="6"/>
    </row>
    <row r="9" spans="1:14">
      <c r="A9" s="2" t="s">
        <v>414</v>
      </c>
      <c r="B9" s="9" t="s">
        <v>415</v>
      </c>
      <c r="C9" s="9" t="s">
        <v>416</v>
      </c>
      <c r="D9" s="9" t="s">
        <v>35</v>
      </c>
      <c r="E9" s="9" t="s">
        <v>417</v>
      </c>
      <c r="F9" s="9" t="s">
        <v>418</v>
      </c>
      <c r="G9" s="9" t="s">
        <v>419</v>
      </c>
      <c r="H9" s="9" t="s">
        <v>420</v>
      </c>
      <c r="I9" s="2" t="s">
        <v>382</v>
      </c>
      <c r="J9" s="2" t="s">
        <v>383</v>
      </c>
      <c r="K9" s="2" t="s">
        <v>27</v>
      </c>
      <c r="L9" s="2" t="s">
        <v>421</v>
      </c>
      <c r="M9" s="6" t="s">
        <v>385</v>
      </c>
      <c r="N9" s="6"/>
    </row>
    <row r="10" spans="1:14">
      <c r="A10" s="2" t="s">
        <v>422</v>
      </c>
      <c r="B10" s="9" t="s">
        <v>423</v>
      </c>
      <c r="C10" s="9" t="s">
        <v>424</v>
      </c>
      <c r="D10" s="9" t="s">
        <v>35</v>
      </c>
      <c r="E10" s="9" t="s">
        <v>425</v>
      </c>
      <c r="F10" s="9" t="s">
        <v>426</v>
      </c>
      <c r="G10" s="9" t="s">
        <v>427</v>
      </c>
      <c r="H10" s="9" t="s">
        <v>428</v>
      </c>
      <c r="I10" s="2" t="s">
        <v>429</v>
      </c>
      <c r="J10" s="2" t="s">
        <v>383</v>
      </c>
      <c r="K10" s="2" t="s">
        <v>166</v>
      </c>
      <c r="L10" s="2" t="s">
        <v>430</v>
      </c>
      <c r="M10" s="6" t="s">
        <v>385</v>
      </c>
      <c r="N10" s="6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23" sqref="D23"/>
    </sheetView>
  </sheetViews>
  <sheetFormatPr defaultColWidth="9" defaultRowHeight="16.8"/>
  <cols>
    <col min="1" max="2" width="15" customWidth="1"/>
    <col min="3" max="4" width="40" customWidth="1"/>
    <col min="5" max="8" width="19" customWidth="1"/>
    <col min="9" max="9" width="34" customWidth="1"/>
    <col min="10" max="12" width="18" customWidth="1"/>
  </cols>
  <sheetData>
    <row r="1" ht="25" customHeight="1" spans="1:12">
      <c r="A1" s="4" t="s">
        <v>80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431</v>
      </c>
    </row>
    <row r="4" ht="32" customHeight="1" spans="1:12">
      <c r="A4" s="1" t="s">
        <v>432</v>
      </c>
      <c r="B4" s="1" t="s">
        <v>433</v>
      </c>
      <c r="C4" s="1" t="s">
        <v>434</v>
      </c>
      <c r="D4" s="1" t="s">
        <v>435</v>
      </c>
      <c r="E4" s="1" t="s">
        <v>436</v>
      </c>
      <c r="F4" s="1" t="s">
        <v>437</v>
      </c>
      <c r="G4" s="1" t="s">
        <v>11</v>
      </c>
      <c r="H4" s="1" t="s">
        <v>438</v>
      </c>
      <c r="I4" s="1" t="s">
        <v>439</v>
      </c>
      <c r="J4" s="1" t="s">
        <v>103</v>
      </c>
      <c r="K4" s="1" t="s">
        <v>440</v>
      </c>
      <c r="L4" s="1" t="s">
        <v>152</v>
      </c>
    </row>
    <row r="5" spans="1:12">
      <c r="A5" s="2" t="s">
        <v>441</v>
      </c>
      <c r="B5" s="2" t="s">
        <v>442</v>
      </c>
      <c r="C5" s="9" t="s">
        <v>443</v>
      </c>
      <c r="D5" s="9" t="s">
        <v>444</v>
      </c>
      <c r="E5" s="2" t="s">
        <v>29</v>
      </c>
      <c r="F5" s="2" t="s">
        <v>445</v>
      </c>
      <c r="G5" s="3">
        <v>46558</v>
      </c>
      <c r="H5" s="12"/>
      <c r="I5" s="6"/>
      <c r="J5" s="6" t="s">
        <v>135</v>
      </c>
      <c r="K5" s="6"/>
      <c r="L5" s="6"/>
    </row>
    <row r="6" spans="1:12">
      <c r="A6" s="2" t="s">
        <v>446</v>
      </c>
      <c r="B6" s="2" t="s">
        <v>348</v>
      </c>
      <c r="C6" s="9" t="s">
        <v>447</v>
      </c>
      <c r="D6" s="9" t="s">
        <v>448</v>
      </c>
      <c r="E6" s="2" t="s">
        <v>18</v>
      </c>
      <c r="F6" s="2" t="s">
        <v>449</v>
      </c>
      <c r="G6" s="3">
        <v>46558</v>
      </c>
      <c r="H6" s="12"/>
      <c r="I6" s="6"/>
      <c r="J6" s="6" t="s">
        <v>135</v>
      </c>
      <c r="K6" s="6"/>
      <c r="L6" s="6"/>
    </row>
    <row r="7" spans="1:12">
      <c r="A7" s="2" t="s">
        <v>450</v>
      </c>
      <c r="B7" s="2" t="s">
        <v>215</v>
      </c>
      <c r="C7" s="9" t="s">
        <v>451</v>
      </c>
      <c r="D7" s="9" t="s">
        <v>452</v>
      </c>
      <c r="E7" s="2" t="s">
        <v>18</v>
      </c>
      <c r="F7" s="2" t="s">
        <v>449</v>
      </c>
      <c r="G7" s="3">
        <v>46558</v>
      </c>
      <c r="H7" s="12"/>
      <c r="I7" s="6"/>
      <c r="J7" s="6" t="s">
        <v>135</v>
      </c>
      <c r="K7" s="6"/>
      <c r="L7" s="6"/>
    </row>
    <row r="8" spans="1:12">
      <c r="A8" s="2" t="s">
        <v>453</v>
      </c>
      <c r="B8" s="2" t="s">
        <v>454</v>
      </c>
      <c r="C8" s="9" t="s">
        <v>455</v>
      </c>
      <c r="D8" s="9" t="s">
        <v>456</v>
      </c>
      <c r="E8" s="2" t="s">
        <v>27</v>
      </c>
      <c r="F8" s="2" t="s">
        <v>344</v>
      </c>
      <c r="G8" s="3">
        <v>46558</v>
      </c>
      <c r="H8" s="12"/>
      <c r="I8" s="6"/>
      <c r="J8" s="6" t="s">
        <v>135</v>
      </c>
      <c r="K8" s="6"/>
      <c r="L8" s="6"/>
    </row>
    <row r="9" spans="1:12">
      <c r="A9" s="2" t="s">
        <v>457</v>
      </c>
      <c r="B9" s="2" t="s">
        <v>458</v>
      </c>
      <c r="C9" s="9" t="s">
        <v>459</v>
      </c>
      <c r="D9" s="9" t="s">
        <v>460</v>
      </c>
      <c r="E9" s="2" t="s">
        <v>27</v>
      </c>
      <c r="F9" s="2" t="s">
        <v>344</v>
      </c>
      <c r="G9" s="3">
        <v>46558</v>
      </c>
      <c r="H9" s="12"/>
      <c r="I9" s="6"/>
      <c r="J9" s="6" t="s">
        <v>135</v>
      </c>
      <c r="K9" s="6"/>
      <c r="L9" s="6"/>
    </row>
    <row r="10" spans="1:12">
      <c r="A10" s="2" t="s">
        <v>461</v>
      </c>
      <c r="B10" s="2" t="s">
        <v>462</v>
      </c>
      <c r="C10" s="9" t="s">
        <v>463</v>
      </c>
      <c r="D10" s="9" t="s">
        <v>464</v>
      </c>
      <c r="E10" s="2" t="s">
        <v>196</v>
      </c>
      <c r="F10" s="2" t="s">
        <v>465</v>
      </c>
      <c r="G10" s="3">
        <v>46558</v>
      </c>
      <c r="H10" s="12"/>
      <c r="I10" s="6"/>
      <c r="J10" s="6" t="s">
        <v>135</v>
      </c>
      <c r="K10" s="6"/>
      <c r="L10" s="6"/>
    </row>
    <row r="11" spans="1:12">
      <c r="A11" s="2" t="s">
        <v>466</v>
      </c>
      <c r="B11" s="2" t="s">
        <v>467</v>
      </c>
      <c r="C11" s="9" t="s">
        <v>468</v>
      </c>
      <c r="D11" s="9" t="s">
        <v>469</v>
      </c>
      <c r="E11" s="2" t="s">
        <v>196</v>
      </c>
      <c r="F11" s="2" t="s">
        <v>344</v>
      </c>
      <c r="G11" s="3">
        <v>46558</v>
      </c>
      <c r="H11" s="12"/>
      <c r="I11" s="6"/>
      <c r="J11" s="6" t="s">
        <v>135</v>
      </c>
      <c r="K11" s="6"/>
      <c r="L11" s="6"/>
    </row>
    <row r="12" spans="1:12">
      <c r="A12" s="2" t="s">
        <v>470</v>
      </c>
      <c r="B12" s="2" t="s">
        <v>471</v>
      </c>
      <c r="C12" s="9" t="s">
        <v>472</v>
      </c>
      <c r="D12" s="9" t="s">
        <v>473</v>
      </c>
      <c r="E12" s="2" t="s">
        <v>29</v>
      </c>
      <c r="F12" s="2" t="s">
        <v>474</v>
      </c>
      <c r="G12" s="3">
        <v>46558</v>
      </c>
      <c r="H12" s="12"/>
      <c r="I12" s="6"/>
      <c r="J12" s="6" t="s">
        <v>135</v>
      </c>
      <c r="K12" s="6"/>
      <c r="L12" s="6"/>
    </row>
    <row r="13" spans="1:12">
      <c r="A13" s="2" t="s">
        <v>475</v>
      </c>
      <c r="B13" s="2" t="s">
        <v>476</v>
      </c>
      <c r="C13" s="9" t="s">
        <v>477</v>
      </c>
      <c r="D13" s="9" t="s">
        <v>478</v>
      </c>
      <c r="E13" s="2" t="s">
        <v>29</v>
      </c>
      <c r="F13" s="2" t="s">
        <v>445</v>
      </c>
      <c r="G13" s="3">
        <v>46563</v>
      </c>
      <c r="H13" s="12"/>
      <c r="I13" s="6"/>
      <c r="J13" s="6" t="s">
        <v>135</v>
      </c>
      <c r="K13" s="6"/>
      <c r="L13" s="6"/>
    </row>
    <row r="14" spans="1:12">
      <c r="A14" s="2" t="s">
        <v>479</v>
      </c>
      <c r="B14" s="2" t="s">
        <v>480</v>
      </c>
      <c r="C14" s="9" t="s">
        <v>481</v>
      </c>
      <c r="D14" s="9" t="s">
        <v>482</v>
      </c>
      <c r="E14" s="2" t="s">
        <v>29</v>
      </c>
      <c r="F14" s="2" t="s">
        <v>483</v>
      </c>
      <c r="G14" s="3">
        <v>46563</v>
      </c>
      <c r="H14" s="12"/>
      <c r="I14" s="6"/>
      <c r="J14" s="6" t="s">
        <v>135</v>
      </c>
      <c r="K14" s="6"/>
      <c r="L14" s="6"/>
    </row>
    <row r="15" spans="1:12">
      <c r="A15" s="2" t="s">
        <v>484</v>
      </c>
      <c r="B15" s="2" t="s">
        <v>173</v>
      </c>
      <c r="C15" s="9" t="s">
        <v>485</v>
      </c>
      <c r="D15" s="9" t="s">
        <v>486</v>
      </c>
      <c r="E15" s="2" t="s">
        <v>18</v>
      </c>
      <c r="F15" s="2" t="s">
        <v>487</v>
      </c>
      <c r="G15" s="3">
        <v>46558</v>
      </c>
      <c r="H15" s="12"/>
      <c r="I15" s="6"/>
      <c r="J15" s="6" t="s">
        <v>135</v>
      </c>
      <c r="K15" s="6"/>
      <c r="L15" s="6"/>
    </row>
    <row r="16" spans="1:12">
      <c r="A16" s="2" t="s">
        <v>488</v>
      </c>
      <c r="B16" s="2" t="s">
        <v>489</v>
      </c>
      <c r="C16" s="9" t="s">
        <v>490</v>
      </c>
      <c r="D16" s="9" t="s">
        <v>491</v>
      </c>
      <c r="E16" s="2" t="s">
        <v>27</v>
      </c>
      <c r="F16" s="2" t="s">
        <v>344</v>
      </c>
      <c r="G16" s="3">
        <v>46558</v>
      </c>
      <c r="H16" s="12"/>
      <c r="I16" s="6"/>
      <c r="J16" s="6" t="s">
        <v>135</v>
      </c>
      <c r="K16" s="6"/>
      <c r="L16" s="6"/>
    </row>
    <row r="17" spans="1:12">
      <c r="A17" s="2"/>
      <c r="B17" s="2"/>
      <c r="C17" s="9"/>
      <c r="D17" s="9"/>
      <c r="E17" s="2"/>
      <c r="F17" s="2"/>
      <c r="G17" s="3"/>
      <c r="H17" s="12"/>
      <c r="I17" s="6"/>
      <c r="J17" s="6"/>
      <c r="K17" s="6"/>
      <c r="L17" s="6"/>
    </row>
    <row r="18" spans="1:12">
      <c r="A18" s="2"/>
      <c r="B18" s="2"/>
      <c r="C18" s="9"/>
      <c r="D18" s="9"/>
      <c r="E18" s="2"/>
      <c r="F18" s="2"/>
      <c r="G18" s="3"/>
      <c r="H18" s="12"/>
      <c r="I18" s="6"/>
      <c r="J18" s="6"/>
      <c r="K18" s="6"/>
      <c r="L18" s="6"/>
    </row>
    <row r="19" spans="1:12">
      <c r="A19" s="2"/>
      <c r="B19" s="2"/>
      <c r="C19" s="9"/>
      <c r="D19" s="9"/>
      <c r="E19" s="2"/>
      <c r="F19" s="2"/>
      <c r="G19" s="3"/>
      <c r="H19" s="12"/>
      <c r="I19" s="6"/>
      <c r="J19" s="6"/>
      <c r="K19" s="6"/>
      <c r="L19" s="6"/>
    </row>
    <row r="20" spans="1:12">
      <c r="A20" s="2"/>
      <c r="B20" s="2"/>
      <c r="C20" s="9"/>
      <c r="D20" s="9"/>
      <c r="E20" s="2"/>
      <c r="F20" s="2"/>
      <c r="G20" s="3"/>
      <c r="H20" s="12"/>
      <c r="I20" s="6"/>
      <c r="J20" s="6"/>
      <c r="K20" s="6"/>
      <c r="L20" s="6"/>
    </row>
    <row r="21" spans="1:12">
      <c r="A21" s="2"/>
      <c r="B21" s="2"/>
      <c r="C21" s="9"/>
      <c r="D21" s="9"/>
      <c r="E21" s="2"/>
      <c r="F21" s="2"/>
      <c r="G21" s="3"/>
      <c r="H21" s="12"/>
      <c r="I21" s="6"/>
      <c r="J21" s="6"/>
      <c r="K21" s="6"/>
      <c r="L21" s="6"/>
    </row>
    <row r="22" spans="1:12">
      <c r="A22" s="2"/>
      <c r="B22" s="2"/>
      <c r="C22" s="9"/>
      <c r="D22" s="9"/>
      <c r="E22" s="2"/>
      <c r="F22" s="2"/>
      <c r="G22" s="3"/>
      <c r="H22" s="12"/>
      <c r="I22" s="6"/>
      <c r="J22" s="6"/>
      <c r="K22" s="6"/>
      <c r="L22" s="6"/>
    </row>
    <row r="23" spans="1:12">
      <c r="A23" s="2"/>
      <c r="B23" s="2"/>
      <c r="C23" s="9"/>
      <c r="D23" s="9"/>
      <c r="E23" s="2"/>
      <c r="F23" s="2"/>
      <c r="G23" s="3"/>
      <c r="H23" s="12"/>
      <c r="I23" s="6"/>
      <c r="J23" s="6"/>
      <c r="K23" s="6"/>
      <c r="L23" s="6"/>
    </row>
    <row r="24" spans="1:12">
      <c r="A24" s="2"/>
      <c r="B24" s="2"/>
      <c r="C24" s="9"/>
      <c r="D24" s="9"/>
      <c r="E24" s="2"/>
      <c r="F24" s="2"/>
      <c r="G24" s="3"/>
      <c r="H24" s="12"/>
      <c r="I24" s="6"/>
      <c r="J24" s="6"/>
      <c r="K24" s="6"/>
      <c r="L24" s="6"/>
    </row>
    <row r="25" spans="1:12">
      <c r="A25" s="2"/>
      <c r="B25" s="2"/>
      <c r="C25" s="9"/>
      <c r="D25" s="9"/>
      <c r="E25" s="2"/>
      <c r="F25" s="2"/>
      <c r="G25" s="3"/>
      <c r="H25" s="12"/>
      <c r="I25" s="6"/>
      <c r="J25" s="6"/>
      <c r="K25" s="6"/>
      <c r="L25" s="6"/>
    </row>
    <row r="26" spans="1:12">
      <c r="A26" s="2"/>
      <c r="B26" s="2"/>
      <c r="C26" s="9"/>
      <c r="D26" s="9"/>
      <c r="E26" s="2"/>
      <c r="F26" s="2"/>
      <c r="G26" s="3"/>
      <c r="H26" s="12"/>
      <c r="I26" s="6"/>
      <c r="J26" s="6"/>
      <c r="K26" s="6"/>
      <c r="L26" s="6"/>
    </row>
    <row r="27" spans="1:12">
      <c r="A27" s="2"/>
      <c r="B27" s="2"/>
      <c r="C27" s="9"/>
      <c r="D27" s="9"/>
      <c r="E27" s="2"/>
      <c r="F27" s="2"/>
      <c r="G27" s="3"/>
      <c r="H27" s="12"/>
      <c r="I27" s="6"/>
      <c r="J27" s="6"/>
      <c r="K27" s="6"/>
      <c r="L27" s="6"/>
    </row>
    <row r="28" spans="1:12">
      <c r="A28" s="2"/>
      <c r="B28" s="2"/>
      <c r="C28" s="9"/>
      <c r="D28" s="9"/>
      <c r="E28" s="2"/>
      <c r="F28" s="2"/>
      <c r="G28" s="3"/>
      <c r="H28" s="12"/>
      <c r="I28" s="6"/>
      <c r="J28" s="6"/>
      <c r="K28" s="6"/>
      <c r="L28" s="6"/>
    </row>
    <row r="29" spans="1:12">
      <c r="A29" s="2"/>
      <c r="B29" s="2"/>
      <c r="C29" s="9"/>
      <c r="D29" s="9"/>
      <c r="E29" s="2"/>
      <c r="F29" s="2"/>
      <c r="G29" s="3"/>
      <c r="H29" s="12"/>
      <c r="I29" s="6"/>
      <c r="J29" s="6"/>
      <c r="K29" s="6"/>
      <c r="L29" s="6"/>
    </row>
    <row r="30" spans="1:12">
      <c r="A30" s="2"/>
      <c r="B30" s="2"/>
      <c r="C30" s="9"/>
      <c r="D30" s="9"/>
      <c r="E30" s="2"/>
      <c r="F30" s="2"/>
      <c r="G30" s="3"/>
      <c r="H30" s="12"/>
      <c r="I30" s="6"/>
      <c r="J30" s="6"/>
      <c r="K30" s="6"/>
      <c r="L30" s="6"/>
    </row>
    <row r="31" spans="1:12">
      <c r="A31" s="2"/>
      <c r="B31" s="2"/>
      <c r="C31" s="9"/>
      <c r="D31" s="9"/>
      <c r="E31" s="2"/>
      <c r="F31" s="2"/>
      <c r="G31" s="3"/>
      <c r="H31" s="12"/>
      <c r="I31" s="6"/>
      <c r="J31" s="6"/>
      <c r="K31" s="6"/>
      <c r="L31" s="6"/>
    </row>
    <row r="32" spans="1:12">
      <c r="A32" s="2"/>
      <c r="B32" s="2"/>
      <c r="C32" s="9"/>
      <c r="D32" s="9"/>
      <c r="E32" s="2"/>
      <c r="F32" s="2"/>
      <c r="G32" s="3"/>
      <c r="H32" s="12"/>
      <c r="I32" s="6"/>
      <c r="J32" s="6"/>
      <c r="K32" s="6"/>
      <c r="L32" s="6"/>
    </row>
    <row r="33" spans="1:12">
      <c r="A33" s="2"/>
      <c r="B33" s="2"/>
      <c r="C33" s="9"/>
      <c r="D33" s="9"/>
      <c r="E33" s="2"/>
      <c r="F33" s="2"/>
      <c r="G33" s="3"/>
      <c r="H33" s="12"/>
      <c r="I33" s="6"/>
      <c r="J33" s="6"/>
      <c r="K33" s="6"/>
      <c r="L33" s="6"/>
    </row>
    <row r="34" spans="1:12">
      <c r="A34" s="2"/>
      <c r="B34" s="2"/>
      <c r="C34" s="9"/>
      <c r="D34" s="9"/>
      <c r="E34" s="2"/>
      <c r="F34" s="2"/>
      <c r="G34" s="3"/>
      <c r="H34" s="12"/>
      <c r="I34" s="6"/>
      <c r="J34" s="6"/>
      <c r="K34" s="6"/>
      <c r="L34" s="6"/>
    </row>
  </sheetData>
  <dataValidations count="1">
    <dataValidation type="list" sqref="J5:J34">
      <formula1>"未开始,准备中,待确认,已完成,需整改"</formula1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0"/>
  <sheetViews>
    <sheetView showGridLines="0" workbookViewId="0">
      <pane xSplit="3" ySplit="4" topLeftCell="E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5" customWidth="1"/>
    <col min="4" max="8" width="19" customWidth="1"/>
    <col min="9" max="11" width="34" customWidth="1"/>
    <col min="12" max="14" width="19" customWidth="1"/>
  </cols>
  <sheetData>
    <row r="1" ht="25" customHeight="1" spans="1:14">
      <c r="A1" s="4" t="s">
        <v>82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492</v>
      </c>
    </row>
    <row r="4" ht="32" customHeight="1" spans="1:14">
      <c r="A4" s="1" t="s">
        <v>493</v>
      </c>
      <c r="B4" s="1" t="s">
        <v>494</v>
      </c>
      <c r="C4" s="1" t="s">
        <v>495</v>
      </c>
      <c r="D4" s="1" t="s">
        <v>496</v>
      </c>
      <c r="E4" s="1" t="s">
        <v>497</v>
      </c>
      <c r="F4" s="1" t="s">
        <v>498</v>
      </c>
      <c r="G4" s="1" t="s">
        <v>499</v>
      </c>
      <c r="H4" s="1" t="s">
        <v>500</v>
      </c>
      <c r="I4" s="1" t="s">
        <v>501</v>
      </c>
      <c r="J4" s="1" t="s">
        <v>502</v>
      </c>
      <c r="K4" s="1" t="s">
        <v>503</v>
      </c>
      <c r="L4" s="1" t="s">
        <v>12</v>
      </c>
      <c r="M4" s="1" t="s">
        <v>103</v>
      </c>
      <c r="N4" s="1" t="s">
        <v>504</v>
      </c>
    </row>
    <row r="5" spans="1:14">
      <c r="A5" s="2" t="s">
        <v>505</v>
      </c>
      <c r="B5" s="3">
        <v>46539</v>
      </c>
      <c r="C5" s="3">
        <v>46544</v>
      </c>
      <c r="D5" s="10"/>
      <c r="E5" s="11"/>
      <c r="F5" s="6"/>
      <c r="G5" s="6"/>
      <c r="H5" s="11"/>
      <c r="I5" s="8"/>
      <c r="J5" s="8"/>
      <c r="K5" s="8"/>
      <c r="L5" s="6" t="s">
        <v>29</v>
      </c>
      <c r="M5" s="6" t="s">
        <v>135</v>
      </c>
      <c r="N5" s="6"/>
    </row>
    <row r="6" spans="1:14">
      <c r="A6" s="2" t="s">
        <v>506</v>
      </c>
      <c r="B6" s="3">
        <v>46545</v>
      </c>
      <c r="C6" s="3">
        <v>46551</v>
      </c>
      <c r="D6" s="10"/>
      <c r="E6" s="11"/>
      <c r="F6" s="6"/>
      <c r="G6" s="6"/>
      <c r="H6" s="11"/>
      <c r="I6" s="8"/>
      <c r="J6" s="8"/>
      <c r="K6" s="8"/>
      <c r="L6" s="6" t="s">
        <v>29</v>
      </c>
      <c r="M6" s="6" t="s">
        <v>135</v>
      </c>
      <c r="N6" s="6"/>
    </row>
    <row r="7" spans="1:14">
      <c r="A7" s="2" t="s">
        <v>507</v>
      </c>
      <c r="B7" s="3">
        <v>46552</v>
      </c>
      <c r="C7" s="3">
        <v>46558</v>
      </c>
      <c r="D7" s="10"/>
      <c r="E7" s="11"/>
      <c r="F7" s="6"/>
      <c r="G7" s="6"/>
      <c r="H7" s="11"/>
      <c r="I7" s="8"/>
      <c r="J7" s="8"/>
      <c r="K7" s="8"/>
      <c r="L7" s="6" t="s">
        <v>29</v>
      </c>
      <c r="M7" s="6" t="s">
        <v>135</v>
      </c>
      <c r="N7" s="6"/>
    </row>
    <row r="8" spans="1:14">
      <c r="A8" s="2" t="s">
        <v>508</v>
      </c>
      <c r="B8" s="3">
        <v>46559</v>
      </c>
      <c r="C8" s="3">
        <v>46565</v>
      </c>
      <c r="D8" s="10"/>
      <c r="E8" s="11"/>
      <c r="F8" s="6"/>
      <c r="G8" s="6"/>
      <c r="H8" s="11"/>
      <c r="I8" s="8"/>
      <c r="J8" s="8"/>
      <c r="K8" s="8"/>
      <c r="L8" s="6" t="s">
        <v>29</v>
      </c>
      <c r="M8" s="6" t="s">
        <v>135</v>
      </c>
      <c r="N8" s="6"/>
    </row>
    <row r="9" spans="1:14">
      <c r="A9" s="2" t="s">
        <v>509</v>
      </c>
      <c r="B9" s="3">
        <v>46566</v>
      </c>
      <c r="C9" s="3">
        <v>46568</v>
      </c>
      <c r="D9" s="10"/>
      <c r="E9" s="11"/>
      <c r="F9" s="6"/>
      <c r="G9" s="6"/>
      <c r="H9" s="11"/>
      <c r="I9" s="8"/>
      <c r="J9" s="8"/>
      <c r="K9" s="8"/>
      <c r="L9" s="6" t="s">
        <v>29</v>
      </c>
      <c r="M9" s="6" t="s">
        <v>135</v>
      </c>
      <c r="N9" s="6"/>
    </row>
    <row r="10" spans="1:14">
      <c r="A10" s="2"/>
      <c r="B10" s="3"/>
      <c r="C10" s="3"/>
      <c r="D10" s="10"/>
      <c r="E10" s="11"/>
      <c r="F10" s="6"/>
      <c r="G10" s="6"/>
      <c r="H10" s="11"/>
      <c r="I10" s="8"/>
      <c r="J10" s="8"/>
      <c r="K10" s="8"/>
      <c r="L10" s="6"/>
      <c r="M10" s="6"/>
      <c r="N10" s="6"/>
    </row>
    <row r="11" spans="1:14">
      <c r="A11" s="2"/>
      <c r="B11" s="3"/>
      <c r="C11" s="3"/>
      <c r="D11" s="10"/>
      <c r="E11" s="11"/>
      <c r="F11" s="6"/>
      <c r="G11" s="6"/>
      <c r="H11" s="11"/>
      <c r="I11" s="8"/>
      <c r="J11" s="8"/>
      <c r="K11" s="8"/>
      <c r="L11" s="6"/>
      <c r="M11" s="6"/>
      <c r="N11" s="6"/>
    </row>
    <row r="12" spans="1:14">
      <c r="A12" s="2"/>
      <c r="B12" s="3"/>
      <c r="C12" s="3"/>
      <c r="D12" s="10"/>
      <c r="E12" s="11"/>
      <c r="F12" s="6"/>
      <c r="G12" s="6"/>
      <c r="H12" s="11"/>
      <c r="I12" s="8"/>
      <c r="J12" s="8"/>
      <c r="K12" s="8"/>
      <c r="L12" s="6"/>
      <c r="M12" s="6"/>
      <c r="N12" s="6"/>
    </row>
    <row r="13" spans="1:14">
      <c r="A13" s="2"/>
      <c r="B13" s="3"/>
      <c r="C13" s="3"/>
      <c r="D13" s="10"/>
      <c r="E13" s="11"/>
      <c r="F13" s="6"/>
      <c r="G13" s="6"/>
      <c r="H13" s="11"/>
      <c r="I13" s="8"/>
      <c r="J13" s="8"/>
      <c r="K13" s="8"/>
      <c r="L13" s="6"/>
      <c r="M13" s="6"/>
      <c r="N13" s="6"/>
    </row>
    <row r="14" spans="1:14">
      <c r="A14" s="2"/>
      <c r="B14" s="3"/>
      <c r="C14" s="3"/>
      <c r="D14" s="10"/>
      <c r="E14" s="11"/>
      <c r="F14" s="6"/>
      <c r="G14" s="6"/>
      <c r="H14" s="11"/>
      <c r="I14" s="8"/>
      <c r="J14" s="8"/>
      <c r="K14" s="8"/>
      <c r="L14" s="6"/>
      <c r="M14" s="6"/>
      <c r="N14" s="6"/>
    </row>
    <row r="15" spans="1:14">
      <c r="A15" s="2"/>
      <c r="B15" s="3"/>
      <c r="C15" s="3"/>
      <c r="D15" s="10"/>
      <c r="E15" s="11"/>
      <c r="F15" s="6"/>
      <c r="G15" s="6"/>
      <c r="H15" s="11"/>
      <c r="I15" s="8"/>
      <c r="J15" s="8"/>
      <c r="K15" s="8"/>
      <c r="L15" s="6"/>
      <c r="M15" s="6"/>
      <c r="N15" s="6"/>
    </row>
    <row r="16" spans="1:14">
      <c r="A16" s="2"/>
      <c r="B16" s="3"/>
      <c r="C16" s="3"/>
      <c r="D16" s="10"/>
      <c r="E16" s="11"/>
      <c r="F16" s="6"/>
      <c r="G16" s="6"/>
      <c r="H16" s="11"/>
      <c r="I16" s="8"/>
      <c r="J16" s="8"/>
      <c r="K16" s="8"/>
      <c r="L16" s="6"/>
      <c r="M16" s="6"/>
      <c r="N16" s="6"/>
    </row>
    <row r="17" spans="1:14">
      <c r="A17" s="2"/>
      <c r="B17" s="3"/>
      <c r="C17" s="3"/>
      <c r="D17" s="10"/>
      <c r="E17" s="11"/>
      <c r="F17" s="6"/>
      <c r="G17" s="6"/>
      <c r="H17" s="11"/>
      <c r="I17" s="8"/>
      <c r="J17" s="8"/>
      <c r="K17" s="8"/>
      <c r="L17" s="6"/>
      <c r="M17" s="6"/>
      <c r="N17" s="6"/>
    </row>
    <row r="18" spans="1:14">
      <c r="A18" s="2"/>
      <c r="B18" s="3"/>
      <c r="C18" s="3"/>
      <c r="D18" s="10"/>
      <c r="E18" s="11"/>
      <c r="F18" s="6"/>
      <c r="G18" s="6"/>
      <c r="H18" s="11"/>
      <c r="I18" s="8"/>
      <c r="J18" s="8"/>
      <c r="K18" s="8"/>
      <c r="L18" s="6"/>
      <c r="M18" s="6"/>
      <c r="N18" s="6"/>
    </row>
    <row r="19" spans="1:14">
      <c r="A19" s="2"/>
      <c r="B19" s="3"/>
      <c r="C19" s="3"/>
      <c r="D19" s="10"/>
      <c r="E19" s="11"/>
      <c r="F19" s="6"/>
      <c r="G19" s="6"/>
      <c r="H19" s="11"/>
      <c r="I19" s="8"/>
      <c r="J19" s="8"/>
      <c r="K19" s="8"/>
      <c r="L19" s="6"/>
      <c r="M19" s="6"/>
      <c r="N19" s="6"/>
    </row>
    <row r="20" spans="1:14">
      <c r="A20" s="2"/>
      <c r="B20" s="3"/>
      <c r="C20" s="3"/>
      <c r="D20" s="10"/>
      <c r="E20" s="11"/>
      <c r="F20" s="6"/>
      <c r="G20" s="6"/>
      <c r="H20" s="11"/>
      <c r="I20" s="8"/>
      <c r="J20" s="8"/>
      <c r="K20" s="8"/>
      <c r="L20" s="6"/>
      <c r="M20" s="6"/>
      <c r="N20" s="6"/>
    </row>
    <row r="21" spans="1:14">
      <c r="A21" s="2"/>
      <c r="B21" s="3"/>
      <c r="C21" s="3"/>
      <c r="D21" s="10"/>
      <c r="E21" s="11"/>
      <c r="F21" s="6"/>
      <c r="G21" s="6"/>
      <c r="H21" s="11"/>
      <c r="I21" s="8"/>
      <c r="J21" s="8"/>
      <c r="K21" s="8"/>
      <c r="L21" s="6"/>
      <c r="M21" s="6"/>
      <c r="N21" s="6"/>
    </row>
    <row r="22" spans="1:14">
      <c r="A22" s="2"/>
      <c r="B22" s="3"/>
      <c r="C22" s="3"/>
      <c r="D22" s="10"/>
      <c r="E22" s="11"/>
      <c r="F22" s="6"/>
      <c r="G22" s="6"/>
      <c r="H22" s="11"/>
      <c r="I22" s="8"/>
      <c r="J22" s="8"/>
      <c r="K22" s="8"/>
      <c r="L22" s="6"/>
      <c r="M22" s="6"/>
      <c r="N22" s="6"/>
    </row>
    <row r="23" spans="1:14">
      <c r="A23" s="2"/>
      <c r="B23" s="3"/>
      <c r="C23" s="3"/>
      <c r="D23" s="10"/>
      <c r="E23" s="11"/>
      <c r="F23" s="6"/>
      <c r="G23" s="6"/>
      <c r="H23" s="11"/>
      <c r="I23" s="8"/>
      <c r="J23" s="8"/>
      <c r="K23" s="8"/>
      <c r="L23" s="6"/>
      <c r="M23" s="6"/>
      <c r="N23" s="6"/>
    </row>
    <row r="24" spans="1:14">
      <c r="A24" s="2"/>
      <c r="B24" s="3"/>
      <c r="C24" s="3"/>
      <c r="D24" s="10"/>
      <c r="E24" s="11"/>
      <c r="F24" s="6"/>
      <c r="G24" s="6"/>
      <c r="H24" s="11"/>
      <c r="I24" s="8"/>
      <c r="J24" s="8"/>
      <c r="K24" s="8"/>
      <c r="L24" s="6"/>
      <c r="M24" s="6"/>
      <c r="N24" s="6"/>
    </row>
    <row r="25" spans="1:14">
      <c r="A25" s="2"/>
      <c r="B25" s="3"/>
      <c r="C25" s="3"/>
      <c r="D25" s="10"/>
      <c r="E25" s="11"/>
      <c r="F25" s="6"/>
      <c r="G25" s="6"/>
      <c r="H25" s="11"/>
      <c r="I25" s="8"/>
      <c r="J25" s="8"/>
      <c r="K25" s="8"/>
      <c r="L25" s="6"/>
      <c r="M25" s="6"/>
      <c r="N25" s="6"/>
    </row>
    <row r="26" spans="1:14">
      <c r="A26" s="2"/>
      <c r="B26" s="3"/>
      <c r="C26" s="3"/>
      <c r="D26" s="10"/>
      <c r="E26" s="11"/>
      <c r="F26" s="6"/>
      <c r="G26" s="6"/>
      <c r="H26" s="11"/>
      <c r="I26" s="8"/>
      <c r="J26" s="8"/>
      <c r="K26" s="8"/>
      <c r="L26" s="6"/>
      <c r="M26" s="6"/>
      <c r="N26" s="6"/>
    </row>
    <row r="27" spans="1:14">
      <c r="A27" s="2"/>
      <c r="B27" s="3"/>
      <c r="C27" s="3"/>
      <c r="D27" s="10"/>
      <c r="E27" s="11"/>
      <c r="F27" s="6"/>
      <c r="G27" s="6"/>
      <c r="H27" s="11"/>
      <c r="I27" s="8"/>
      <c r="J27" s="8"/>
      <c r="K27" s="8"/>
      <c r="L27" s="6"/>
      <c r="M27" s="6"/>
      <c r="N27" s="6"/>
    </row>
    <row r="28" spans="1:14">
      <c r="A28" s="2"/>
      <c r="B28" s="3"/>
      <c r="C28" s="3"/>
      <c r="D28" s="10"/>
      <c r="E28" s="11"/>
      <c r="F28" s="6"/>
      <c r="G28" s="6"/>
      <c r="H28" s="11"/>
      <c r="I28" s="8"/>
      <c r="J28" s="8"/>
      <c r="K28" s="8"/>
      <c r="L28" s="6"/>
      <c r="M28" s="6"/>
      <c r="N28" s="6"/>
    </row>
    <row r="29" spans="1:14">
      <c r="A29" s="2"/>
      <c r="B29" s="3"/>
      <c r="C29" s="3"/>
      <c r="D29" s="10"/>
      <c r="E29" s="11"/>
      <c r="F29" s="6"/>
      <c r="G29" s="6"/>
      <c r="H29" s="11"/>
      <c r="I29" s="8"/>
      <c r="J29" s="8"/>
      <c r="K29" s="8"/>
      <c r="L29" s="6"/>
      <c r="M29" s="6"/>
      <c r="N29" s="6"/>
    </row>
    <row r="30" spans="1:14">
      <c r="A30" s="2"/>
      <c r="B30" s="3"/>
      <c r="C30" s="3"/>
      <c r="D30" s="10"/>
      <c r="E30" s="11"/>
      <c r="F30" s="6"/>
      <c r="G30" s="6"/>
      <c r="H30" s="11"/>
      <c r="I30" s="8"/>
      <c r="J30" s="8"/>
      <c r="K30" s="8"/>
      <c r="L30" s="6"/>
      <c r="M30" s="6"/>
      <c r="N30" s="6"/>
    </row>
  </sheetData>
  <dataValidations count="1">
    <dataValidation type="list" sqref="M5:M30">
      <formula1>"未开始,正常,关注,异常,已完成"</formula1>
    </dataValidation>
  </dataValidation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showGridLines="0" tabSelected="1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20" customWidth="1"/>
    <col min="2" max="2" width="34" customWidth="1"/>
    <col min="3" max="4" width="20" customWidth="1"/>
    <col min="5" max="5" width="25.4926470588235" customWidth="1"/>
    <col min="6" max="6" width="20" customWidth="1"/>
    <col min="7" max="9" width="22" customWidth="1"/>
    <col min="10" max="11" width="34" customWidth="1"/>
    <col min="12" max="12" width="16" customWidth="1"/>
  </cols>
  <sheetData>
    <row r="1" ht="25" customHeight="1" spans="1:12">
      <c r="A1" s="4" t="s">
        <v>510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511</v>
      </c>
    </row>
    <row r="4" ht="32" customHeight="1" spans="1:12">
      <c r="A4" s="1" t="s">
        <v>512</v>
      </c>
      <c r="B4" s="1" t="s">
        <v>513</v>
      </c>
      <c r="C4" s="1" t="s">
        <v>514</v>
      </c>
      <c r="D4" s="1" t="s">
        <v>515</v>
      </c>
      <c r="E4" s="1" t="s">
        <v>516</v>
      </c>
      <c r="F4" s="1" t="s">
        <v>517</v>
      </c>
      <c r="G4" s="1" t="s">
        <v>518</v>
      </c>
      <c r="H4" s="1" t="s">
        <v>519</v>
      </c>
      <c r="I4" s="1" t="s">
        <v>520</v>
      </c>
      <c r="J4" s="1" t="s">
        <v>521</v>
      </c>
      <c r="K4" s="1" t="s">
        <v>522</v>
      </c>
      <c r="L4" s="1" t="s">
        <v>103</v>
      </c>
    </row>
    <row r="5" spans="1:12">
      <c r="A5" s="2" t="s">
        <v>523</v>
      </c>
      <c r="B5" s="9" t="s">
        <v>524</v>
      </c>
      <c r="C5" s="9" t="s">
        <v>525</v>
      </c>
      <c r="D5" s="8" t="s">
        <v>383</v>
      </c>
      <c r="E5" s="8" t="s">
        <v>526</v>
      </c>
      <c r="F5" s="8" t="s">
        <v>383</v>
      </c>
      <c r="G5" s="8" t="s">
        <v>527</v>
      </c>
      <c r="H5" s="8" t="s">
        <v>528</v>
      </c>
      <c r="I5" s="8" t="s">
        <v>529</v>
      </c>
      <c r="J5" s="8" t="s">
        <v>530</v>
      </c>
      <c r="K5" s="8" t="s">
        <v>531</v>
      </c>
      <c r="L5" s="6" t="s">
        <v>532</v>
      </c>
    </row>
    <row r="6" spans="1:12">
      <c r="A6" s="2" t="s">
        <v>523</v>
      </c>
      <c r="B6" s="9" t="s">
        <v>533</v>
      </c>
      <c r="C6" s="9" t="s">
        <v>525</v>
      </c>
      <c r="D6" s="8" t="s">
        <v>534</v>
      </c>
      <c r="E6" s="8" t="s">
        <v>535</v>
      </c>
      <c r="F6" s="8" t="s">
        <v>429</v>
      </c>
      <c r="G6" s="8" t="s">
        <v>527</v>
      </c>
      <c r="H6" s="8" t="s">
        <v>536</v>
      </c>
      <c r="I6" s="8" t="s">
        <v>537</v>
      </c>
      <c r="J6" s="8" t="s">
        <v>538</v>
      </c>
      <c r="K6" s="8" t="s">
        <v>539</v>
      </c>
      <c r="L6" s="6" t="s">
        <v>532</v>
      </c>
    </row>
    <row r="7" spans="1:12">
      <c r="A7" s="2" t="s">
        <v>523</v>
      </c>
      <c r="B7" s="9" t="s">
        <v>540</v>
      </c>
      <c r="C7" s="9" t="s">
        <v>541</v>
      </c>
      <c r="D7" s="8" t="s">
        <v>393</v>
      </c>
      <c r="E7" s="8" t="s">
        <v>542</v>
      </c>
      <c r="F7" s="8" t="s">
        <v>543</v>
      </c>
      <c r="G7" s="8" t="s">
        <v>527</v>
      </c>
      <c r="H7" s="8" t="s">
        <v>536</v>
      </c>
      <c r="I7" s="8" t="s">
        <v>471</v>
      </c>
      <c r="J7" s="8" t="s">
        <v>544</v>
      </c>
      <c r="K7" s="8" t="s">
        <v>545</v>
      </c>
      <c r="L7" s="6" t="s">
        <v>532</v>
      </c>
    </row>
    <row r="8" spans="1:12">
      <c r="A8" s="2" t="s">
        <v>523</v>
      </c>
      <c r="B8" s="9" t="s">
        <v>546</v>
      </c>
      <c r="C8" s="9" t="s">
        <v>541</v>
      </c>
      <c r="D8" s="8" t="s">
        <v>543</v>
      </c>
      <c r="E8" s="8" t="s">
        <v>547</v>
      </c>
      <c r="F8" s="8" t="s">
        <v>548</v>
      </c>
      <c r="G8" s="8" t="s">
        <v>527</v>
      </c>
      <c r="H8" s="8" t="s">
        <v>549</v>
      </c>
      <c r="I8" s="8" t="s">
        <v>471</v>
      </c>
      <c r="J8" s="8" t="s">
        <v>550</v>
      </c>
      <c r="K8" s="8" t="s">
        <v>551</v>
      </c>
      <c r="L8" s="6" t="s">
        <v>532</v>
      </c>
    </row>
    <row r="9" spans="1:12">
      <c r="A9" s="2" t="s">
        <v>552</v>
      </c>
      <c r="B9" s="9" t="s">
        <v>553</v>
      </c>
      <c r="C9" s="9" t="s">
        <v>525</v>
      </c>
      <c r="D9" s="8" t="s">
        <v>554</v>
      </c>
      <c r="E9" s="8" t="s">
        <v>555</v>
      </c>
      <c r="F9" s="8" t="s">
        <v>556</v>
      </c>
      <c r="G9" s="8" t="s">
        <v>458</v>
      </c>
      <c r="H9" s="8" t="s">
        <v>27</v>
      </c>
      <c r="I9" s="8" t="s">
        <v>471</v>
      </c>
      <c r="J9" s="8" t="s">
        <v>557</v>
      </c>
      <c r="K9" s="8" t="s">
        <v>558</v>
      </c>
      <c r="L9" s="6" t="s">
        <v>532</v>
      </c>
    </row>
    <row r="10" spans="1:12">
      <c r="A10" s="2" t="s">
        <v>559</v>
      </c>
      <c r="B10" s="9" t="s">
        <v>560</v>
      </c>
      <c r="C10" s="9" t="s">
        <v>525</v>
      </c>
      <c r="D10" s="8" t="s">
        <v>554</v>
      </c>
      <c r="E10" s="8" t="s">
        <v>561</v>
      </c>
      <c r="F10" s="8" t="s">
        <v>562</v>
      </c>
      <c r="G10" s="8" t="s">
        <v>458</v>
      </c>
      <c r="H10" s="8" t="s">
        <v>27</v>
      </c>
      <c r="I10" s="8" t="s">
        <v>563</v>
      </c>
      <c r="J10" s="8" t="s">
        <v>564</v>
      </c>
      <c r="K10" s="8" t="s">
        <v>565</v>
      </c>
      <c r="L10" s="6" t="s">
        <v>532</v>
      </c>
    </row>
    <row r="11" spans="1:12">
      <c r="A11" s="2" t="s">
        <v>566</v>
      </c>
      <c r="B11" s="9" t="s">
        <v>567</v>
      </c>
      <c r="C11" s="9" t="s">
        <v>525</v>
      </c>
      <c r="D11" s="8" t="s">
        <v>568</v>
      </c>
      <c r="E11" s="8" t="s">
        <v>569</v>
      </c>
      <c r="F11" s="8" t="s">
        <v>570</v>
      </c>
      <c r="G11" s="8" t="s">
        <v>458</v>
      </c>
      <c r="H11" s="8" t="s">
        <v>27</v>
      </c>
      <c r="I11" s="8" t="s">
        <v>571</v>
      </c>
      <c r="J11" s="8" t="s">
        <v>572</v>
      </c>
      <c r="K11" s="8" t="s">
        <v>573</v>
      </c>
      <c r="L11" s="6" t="s">
        <v>532</v>
      </c>
    </row>
    <row r="12" spans="1:12">
      <c r="A12" s="2" t="s">
        <v>574</v>
      </c>
      <c r="B12" s="9" t="s">
        <v>575</v>
      </c>
      <c r="C12" s="9" t="s">
        <v>525</v>
      </c>
      <c r="D12" s="8" t="s">
        <v>576</v>
      </c>
      <c r="E12" s="8" t="s">
        <v>577</v>
      </c>
      <c r="F12" s="8" t="s">
        <v>578</v>
      </c>
      <c r="G12" s="8" t="s">
        <v>527</v>
      </c>
      <c r="H12" s="8" t="s">
        <v>579</v>
      </c>
      <c r="I12" s="8" t="s">
        <v>471</v>
      </c>
      <c r="J12" s="8" t="s">
        <v>580</v>
      </c>
      <c r="K12" s="8" t="s">
        <v>581</v>
      </c>
      <c r="L12" s="6" t="s">
        <v>532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23" sqref="H23"/>
    </sheetView>
  </sheetViews>
  <sheetFormatPr defaultColWidth="9" defaultRowHeight="16.8"/>
  <cols>
    <col min="1" max="4" width="15" customWidth="1"/>
    <col min="5" max="5" width="38" customWidth="1"/>
    <col min="6" max="9" width="18" customWidth="1"/>
    <col min="10" max="11" width="19" customWidth="1"/>
    <col min="12" max="13" width="34" customWidth="1"/>
    <col min="14" max="15" width="23" customWidth="1"/>
  </cols>
  <sheetData>
    <row r="1" ht="25" customHeight="1" spans="1:15">
      <c r="A1" s="4" t="s">
        <v>86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>
      <c r="A2" s="5" t="s">
        <v>582</v>
      </c>
    </row>
    <row r="4" ht="32" customHeight="1" spans="1:15">
      <c r="A4" s="1" t="s">
        <v>583</v>
      </c>
      <c r="B4" s="1" t="s">
        <v>584</v>
      </c>
      <c r="C4" s="1" t="s">
        <v>585</v>
      </c>
      <c r="D4" s="1" t="s">
        <v>433</v>
      </c>
      <c r="E4" s="1" t="s">
        <v>586</v>
      </c>
      <c r="F4" s="1" t="s">
        <v>587</v>
      </c>
      <c r="G4" s="1" t="s">
        <v>12</v>
      </c>
      <c r="H4" s="1" t="s">
        <v>588</v>
      </c>
      <c r="I4" s="1" t="s">
        <v>103</v>
      </c>
      <c r="J4" s="1" t="s">
        <v>589</v>
      </c>
      <c r="K4" s="1" t="s">
        <v>590</v>
      </c>
      <c r="L4" s="1" t="s">
        <v>591</v>
      </c>
      <c r="M4" s="1" t="s">
        <v>592</v>
      </c>
      <c r="N4" s="1" t="s">
        <v>593</v>
      </c>
      <c r="O4" s="1" t="s">
        <v>594</v>
      </c>
    </row>
    <row r="5" spans="1:15">
      <c r="A5" s="6"/>
      <c r="B5" s="7"/>
      <c r="C5" s="6"/>
      <c r="D5" s="6"/>
      <c r="E5" s="8"/>
      <c r="F5" s="6"/>
      <c r="G5" s="6"/>
      <c r="H5" s="7"/>
      <c r="I5" s="6"/>
      <c r="J5" s="7"/>
      <c r="K5" s="7"/>
      <c r="L5" s="8"/>
      <c r="M5" s="8"/>
      <c r="N5" s="6"/>
      <c r="O5" s="6"/>
    </row>
    <row r="6" spans="1:15">
      <c r="A6" s="6"/>
      <c r="B6" s="7"/>
      <c r="C6" s="6"/>
      <c r="D6" s="6"/>
      <c r="E6" s="8"/>
      <c r="F6" s="6"/>
      <c r="G6" s="6"/>
      <c r="H6" s="7"/>
      <c r="I6" s="6"/>
      <c r="J6" s="7"/>
      <c r="K6" s="7"/>
      <c r="L6" s="8"/>
      <c r="M6" s="8"/>
      <c r="N6" s="6"/>
      <c r="O6" s="6"/>
    </row>
    <row r="7" spans="1:15">
      <c r="A7" s="6"/>
      <c r="B7" s="7"/>
      <c r="C7" s="6"/>
      <c r="D7" s="6"/>
      <c r="E7" s="8"/>
      <c r="F7" s="6"/>
      <c r="G7" s="6"/>
      <c r="H7" s="7"/>
      <c r="I7" s="6"/>
      <c r="J7" s="7"/>
      <c r="K7" s="7"/>
      <c r="L7" s="8"/>
      <c r="M7" s="8"/>
      <c r="N7" s="6"/>
      <c r="O7" s="6"/>
    </row>
    <row r="8" spans="1:15">
      <c r="A8" s="6"/>
      <c r="B8" s="7"/>
      <c r="C8" s="6"/>
      <c r="D8" s="6"/>
      <c r="E8" s="8"/>
      <c r="F8" s="6"/>
      <c r="G8" s="6"/>
      <c r="H8" s="7"/>
      <c r="I8" s="6"/>
      <c r="J8" s="7"/>
      <c r="K8" s="7"/>
      <c r="L8" s="8"/>
      <c r="M8" s="8"/>
      <c r="N8" s="6"/>
      <c r="O8" s="6"/>
    </row>
    <row r="9" spans="1:15">
      <c r="A9" s="6"/>
      <c r="B9" s="7"/>
      <c r="C9" s="6"/>
      <c r="D9" s="6"/>
      <c r="E9" s="8"/>
      <c r="F9" s="6"/>
      <c r="G9" s="6"/>
      <c r="H9" s="7"/>
      <c r="I9" s="6"/>
      <c r="J9" s="7"/>
      <c r="K9" s="7"/>
      <c r="L9" s="8"/>
      <c r="M9" s="8"/>
      <c r="N9" s="6"/>
      <c r="O9" s="6"/>
    </row>
    <row r="10" spans="1:15">
      <c r="A10" s="6"/>
      <c r="B10" s="7"/>
      <c r="C10" s="6"/>
      <c r="D10" s="6"/>
      <c r="E10" s="8"/>
      <c r="F10" s="6"/>
      <c r="G10" s="6"/>
      <c r="H10" s="7"/>
      <c r="I10" s="6"/>
      <c r="J10" s="7"/>
      <c r="K10" s="7"/>
      <c r="L10" s="8"/>
      <c r="M10" s="8"/>
      <c r="N10" s="6"/>
      <c r="O10" s="6"/>
    </row>
    <row r="11" spans="1:15">
      <c r="A11" s="6"/>
      <c r="B11" s="7"/>
      <c r="C11" s="6"/>
      <c r="D11" s="6"/>
      <c r="E11" s="8"/>
      <c r="F11" s="6"/>
      <c r="G11" s="6"/>
      <c r="H11" s="7"/>
      <c r="I11" s="6"/>
      <c r="J11" s="7"/>
      <c r="K11" s="7"/>
      <c r="L11" s="8"/>
      <c r="M11" s="8"/>
      <c r="N11" s="6"/>
      <c r="O11" s="6"/>
    </row>
    <row r="12" spans="1:15">
      <c r="A12" s="6"/>
      <c r="B12" s="7"/>
      <c r="C12" s="6"/>
      <c r="D12" s="6"/>
      <c r="E12" s="8"/>
      <c r="F12" s="6"/>
      <c r="G12" s="6"/>
      <c r="H12" s="7"/>
      <c r="I12" s="6"/>
      <c r="J12" s="7"/>
      <c r="K12" s="7"/>
      <c r="L12" s="8"/>
      <c r="M12" s="8"/>
      <c r="N12" s="6"/>
      <c r="O12" s="6"/>
    </row>
    <row r="13" spans="1:15">
      <c r="A13" s="6"/>
      <c r="B13" s="7"/>
      <c r="C13" s="6"/>
      <c r="D13" s="6"/>
      <c r="E13" s="8"/>
      <c r="F13" s="6"/>
      <c r="G13" s="6"/>
      <c r="H13" s="7"/>
      <c r="I13" s="6"/>
      <c r="J13" s="7"/>
      <c r="K13" s="7"/>
      <c r="L13" s="8"/>
      <c r="M13" s="8"/>
      <c r="N13" s="6"/>
      <c r="O13" s="6"/>
    </row>
    <row r="14" spans="1:15">
      <c r="A14" s="6"/>
      <c r="B14" s="7"/>
      <c r="C14" s="6"/>
      <c r="D14" s="6"/>
      <c r="E14" s="8"/>
      <c r="F14" s="6"/>
      <c r="G14" s="6"/>
      <c r="H14" s="7"/>
      <c r="I14" s="6"/>
      <c r="J14" s="7"/>
      <c r="K14" s="7"/>
      <c r="L14" s="8"/>
      <c r="M14" s="8"/>
      <c r="N14" s="6"/>
      <c r="O14" s="6"/>
    </row>
    <row r="15" spans="1:15">
      <c r="A15" s="6"/>
      <c r="B15" s="7"/>
      <c r="C15" s="6"/>
      <c r="D15" s="6"/>
      <c r="E15" s="8"/>
      <c r="F15" s="6"/>
      <c r="G15" s="6"/>
      <c r="H15" s="7"/>
      <c r="I15" s="6"/>
      <c r="J15" s="7"/>
      <c r="K15" s="7"/>
      <c r="L15" s="8"/>
      <c r="M15" s="8"/>
      <c r="N15" s="6"/>
      <c r="O15" s="6"/>
    </row>
    <row r="16" spans="1:15">
      <c r="A16" s="6"/>
      <c r="B16" s="7"/>
      <c r="C16" s="6"/>
      <c r="D16" s="6"/>
      <c r="E16" s="8"/>
      <c r="F16" s="6"/>
      <c r="G16" s="6"/>
      <c r="H16" s="7"/>
      <c r="I16" s="6"/>
      <c r="J16" s="7"/>
      <c r="K16" s="7"/>
      <c r="L16" s="8"/>
      <c r="M16" s="8"/>
      <c r="N16" s="6"/>
      <c r="O16" s="6"/>
    </row>
    <row r="17" spans="1:15">
      <c r="A17" s="6"/>
      <c r="B17" s="7"/>
      <c r="C17" s="6"/>
      <c r="D17" s="6"/>
      <c r="E17" s="8"/>
      <c r="F17" s="6"/>
      <c r="G17" s="6"/>
      <c r="H17" s="7"/>
      <c r="I17" s="6"/>
      <c r="J17" s="7"/>
      <c r="K17" s="7"/>
      <c r="L17" s="8"/>
      <c r="M17" s="8"/>
      <c r="N17" s="6"/>
      <c r="O17" s="6"/>
    </row>
    <row r="18" spans="1:15">
      <c r="A18" s="6"/>
      <c r="B18" s="7"/>
      <c r="C18" s="6"/>
      <c r="D18" s="6"/>
      <c r="E18" s="8"/>
      <c r="F18" s="6"/>
      <c r="G18" s="6"/>
      <c r="H18" s="7"/>
      <c r="I18" s="6"/>
      <c r="J18" s="7"/>
      <c r="K18" s="7"/>
      <c r="L18" s="8"/>
      <c r="M18" s="8"/>
      <c r="N18" s="6"/>
      <c r="O18" s="6"/>
    </row>
    <row r="19" spans="1:15">
      <c r="A19" s="6"/>
      <c r="B19" s="7"/>
      <c r="C19" s="6"/>
      <c r="D19" s="6"/>
      <c r="E19" s="8"/>
      <c r="F19" s="6"/>
      <c r="G19" s="6"/>
      <c r="H19" s="7"/>
      <c r="I19" s="6"/>
      <c r="J19" s="7"/>
      <c r="K19" s="7"/>
      <c r="L19" s="8"/>
      <c r="M19" s="8"/>
      <c r="N19" s="6"/>
      <c r="O19" s="6"/>
    </row>
    <row r="20" spans="1:15">
      <c r="A20" s="6"/>
      <c r="B20" s="7"/>
      <c r="C20" s="6"/>
      <c r="D20" s="6"/>
      <c r="E20" s="8"/>
      <c r="F20" s="6"/>
      <c r="G20" s="6"/>
      <c r="H20" s="7"/>
      <c r="I20" s="6"/>
      <c r="J20" s="7"/>
      <c r="K20" s="7"/>
      <c r="L20" s="8"/>
      <c r="M20" s="8"/>
      <c r="N20" s="6"/>
      <c r="O20" s="6"/>
    </row>
    <row r="21" spans="1:15">
      <c r="A21" s="6"/>
      <c r="B21" s="7"/>
      <c r="C21" s="6"/>
      <c r="D21" s="6"/>
      <c r="E21" s="8"/>
      <c r="F21" s="6"/>
      <c r="G21" s="6"/>
      <c r="H21" s="7"/>
      <c r="I21" s="6"/>
      <c r="J21" s="7"/>
      <c r="K21" s="7"/>
      <c r="L21" s="8"/>
      <c r="M21" s="8"/>
      <c r="N21" s="6"/>
      <c r="O21" s="6"/>
    </row>
    <row r="22" spans="1:15">
      <c r="A22" s="6"/>
      <c r="B22" s="7"/>
      <c r="C22" s="6"/>
      <c r="D22" s="6"/>
      <c r="E22" s="8"/>
      <c r="F22" s="6"/>
      <c r="G22" s="6"/>
      <c r="H22" s="7"/>
      <c r="I22" s="6"/>
      <c r="J22" s="7"/>
      <c r="K22" s="7"/>
      <c r="L22" s="8"/>
      <c r="M22" s="8"/>
      <c r="N22" s="6"/>
      <c r="O22" s="6"/>
    </row>
    <row r="23" spans="1:15">
      <c r="A23" s="6"/>
      <c r="B23" s="7"/>
      <c r="C23" s="6"/>
      <c r="D23" s="6"/>
      <c r="E23" s="8"/>
      <c r="F23" s="6"/>
      <c r="G23" s="6"/>
      <c r="H23" s="7"/>
      <c r="I23" s="6"/>
      <c r="J23" s="7"/>
      <c r="K23" s="7"/>
      <c r="L23" s="8"/>
      <c r="M23" s="8"/>
      <c r="N23" s="6"/>
      <c r="O23" s="6"/>
    </row>
    <row r="24" spans="1:15">
      <c r="A24" s="6"/>
      <c r="B24" s="7"/>
      <c r="C24" s="6"/>
      <c r="D24" s="6"/>
      <c r="E24" s="8"/>
      <c r="F24" s="6"/>
      <c r="G24" s="6"/>
      <c r="H24" s="7"/>
      <c r="I24" s="6"/>
      <c r="J24" s="7"/>
      <c r="K24" s="7"/>
      <c r="L24" s="8"/>
      <c r="M24" s="8"/>
      <c r="N24" s="6"/>
      <c r="O24" s="6"/>
    </row>
    <row r="25" spans="1:15">
      <c r="A25" s="6"/>
      <c r="B25" s="7"/>
      <c r="C25" s="6"/>
      <c r="D25" s="6"/>
      <c r="E25" s="8"/>
      <c r="F25" s="6"/>
      <c r="G25" s="6"/>
      <c r="H25" s="7"/>
      <c r="I25" s="6"/>
      <c r="J25" s="7"/>
      <c r="K25" s="7"/>
      <c r="L25" s="8"/>
      <c r="M25" s="8"/>
      <c r="N25" s="6"/>
      <c r="O25" s="6"/>
    </row>
    <row r="26" spans="1:15">
      <c r="A26" s="6"/>
      <c r="B26" s="7"/>
      <c r="C26" s="6"/>
      <c r="D26" s="6"/>
      <c r="E26" s="8"/>
      <c r="F26" s="6"/>
      <c r="G26" s="6"/>
      <c r="H26" s="7"/>
      <c r="I26" s="6"/>
      <c r="J26" s="7"/>
      <c r="K26" s="7"/>
      <c r="L26" s="8"/>
      <c r="M26" s="8"/>
      <c r="N26" s="6"/>
      <c r="O26" s="6"/>
    </row>
    <row r="27" spans="1:15">
      <c r="A27" s="6"/>
      <c r="B27" s="7"/>
      <c r="C27" s="6"/>
      <c r="D27" s="6"/>
      <c r="E27" s="8"/>
      <c r="F27" s="6"/>
      <c r="G27" s="6"/>
      <c r="H27" s="7"/>
      <c r="I27" s="6"/>
      <c r="J27" s="7"/>
      <c r="K27" s="7"/>
      <c r="L27" s="8"/>
      <c r="M27" s="8"/>
      <c r="N27" s="6"/>
      <c r="O27" s="6"/>
    </row>
    <row r="28" spans="1:15">
      <c r="A28" s="6"/>
      <c r="B28" s="7"/>
      <c r="C28" s="6"/>
      <c r="D28" s="6"/>
      <c r="E28" s="8"/>
      <c r="F28" s="6"/>
      <c r="G28" s="6"/>
      <c r="H28" s="7"/>
      <c r="I28" s="6"/>
      <c r="J28" s="7"/>
      <c r="K28" s="7"/>
      <c r="L28" s="8"/>
      <c r="M28" s="8"/>
      <c r="N28" s="6"/>
      <c r="O28" s="6"/>
    </row>
    <row r="29" spans="1:15">
      <c r="A29" s="6"/>
      <c r="B29" s="7"/>
      <c r="C29" s="6"/>
      <c r="D29" s="6"/>
      <c r="E29" s="8"/>
      <c r="F29" s="6"/>
      <c r="G29" s="6"/>
      <c r="H29" s="7"/>
      <c r="I29" s="6"/>
      <c r="J29" s="7"/>
      <c r="K29" s="7"/>
      <c r="L29" s="8"/>
      <c r="M29" s="8"/>
      <c r="N29" s="6"/>
      <c r="O29" s="6"/>
    </row>
    <row r="30" spans="1:15">
      <c r="A30" s="6"/>
      <c r="B30" s="7"/>
      <c r="C30" s="6"/>
      <c r="D30" s="6"/>
      <c r="E30" s="8"/>
      <c r="F30" s="6"/>
      <c r="G30" s="6"/>
      <c r="H30" s="7"/>
      <c r="I30" s="6"/>
      <c r="J30" s="7"/>
      <c r="K30" s="7"/>
      <c r="L30" s="8"/>
      <c r="M30" s="8"/>
      <c r="N30" s="6"/>
      <c r="O30" s="6"/>
    </row>
    <row r="31" spans="1:15">
      <c r="A31" s="6"/>
      <c r="B31" s="7"/>
      <c r="C31" s="6"/>
      <c r="D31" s="6"/>
      <c r="E31" s="8"/>
      <c r="F31" s="6"/>
      <c r="G31" s="6"/>
      <c r="H31" s="7"/>
      <c r="I31" s="6"/>
      <c r="J31" s="7"/>
      <c r="K31" s="7"/>
      <c r="L31" s="8"/>
      <c r="M31" s="8"/>
      <c r="N31" s="6"/>
      <c r="O31" s="6"/>
    </row>
    <row r="32" spans="1:15">
      <c r="A32" s="6"/>
      <c r="B32" s="7"/>
      <c r="C32" s="6"/>
      <c r="D32" s="6"/>
      <c r="E32" s="8"/>
      <c r="F32" s="6"/>
      <c r="G32" s="6"/>
      <c r="H32" s="7"/>
      <c r="I32" s="6"/>
      <c r="J32" s="7"/>
      <c r="K32" s="7"/>
      <c r="L32" s="8"/>
      <c r="M32" s="8"/>
      <c r="N32" s="6"/>
      <c r="O32" s="6"/>
    </row>
    <row r="33" spans="1:15">
      <c r="A33" s="6"/>
      <c r="B33" s="7"/>
      <c r="C33" s="6"/>
      <c r="D33" s="6"/>
      <c r="E33" s="8"/>
      <c r="F33" s="6"/>
      <c r="G33" s="6"/>
      <c r="H33" s="7"/>
      <c r="I33" s="6"/>
      <c r="J33" s="7"/>
      <c r="K33" s="7"/>
      <c r="L33" s="8"/>
      <c r="M33" s="8"/>
      <c r="N33" s="6"/>
      <c r="O33" s="6"/>
    </row>
    <row r="34" spans="1:15">
      <c r="A34" s="6"/>
      <c r="B34" s="7"/>
      <c r="C34" s="6"/>
      <c r="D34" s="6"/>
      <c r="E34" s="8"/>
      <c r="F34" s="6"/>
      <c r="G34" s="6"/>
      <c r="H34" s="7"/>
      <c r="I34" s="6"/>
      <c r="J34" s="7"/>
      <c r="K34" s="7"/>
      <c r="L34" s="8"/>
      <c r="M34" s="8"/>
      <c r="N34" s="6"/>
      <c r="O34" s="6"/>
    </row>
    <row r="35" spans="1:15">
      <c r="A35" s="6"/>
      <c r="B35" s="7"/>
      <c r="C35" s="6"/>
      <c r="D35" s="6"/>
      <c r="E35" s="8"/>
      <c r="F35" s="6"/>
      <c r="G35" s="6"/>
      <c r="H35" s="7"/>
      <c r="I35" s="6"/>
      <c r="J35" s="7"/>
      <c r="K35" s="7"/>
      <c r="L35" s="8"/>
      <c r="M35" s="8"/>
      <c r="N35" s="6"/>
      <c r="O35" s="6"/>
    </row>
    <row r="36" spans="1:15">
      <c r="A36" s="6"/>
      <c r="B36" s="7"/>
      <c r="C36" s="6"/>
      <c r="D36" s="6"/>
      <c r="E36" s="8"/>
      <c r="F36" s="6"/>
      <c r="G36" s="6"/>
      <c r="H36" s="7"/>
      <c r="I36" s="6"/>
      <c r="J36" s="7"/>
      <c r="K36" s="7"/>
      <c r="L36" s="8"/>
      <c r="M36" s="8"/>
      <c r="N36" s="6"/>
      <c r="O36" s="6"/>
    </row>
    <row r="37" spans="1:15">
      <c r="A37" s="6"/>
      <c r="B37" s="7"/>
      <c r="C37" s="6"/>
      <c r="D37" s="6"/>
      <c r="E37" s="8"/>
      <c r="F37" s="6"/>
      <c r="G37" s="6"/>
      <c r="H37" s="7"/>
      <c r="I37" s="6"/>
      <c r="J37" s="7"/>
      <c r="K37" s="7"/>
      <c r="L37" s="8"/>
      <c r="M37" s="8"/>
      <c r="N37" s="6"/>
      <c r="O37" s="6"/>
    </row>
    <row r="38" spans="1:15">
      <c r="A38" s="6"/>
      <c r="B38" s="7"/>
      <c r="C38" s="6"/>
      <c r="D38" s="6"/>
      <c r="E38" s="8"/>
      <c r="F38" s="6"/>
      <c r="G38" s="6"/>
      <c r="H38" s="7"/>
      <c r="I38" s="6"/>
      <c r="J38" s="7"/>
      <c r="K38" s="7"/>
      <c r="L38" s="8"/>
      <c r="M38" s="8"/>
      <c r="N38" s="6"/>
      <c r="O38" s="6"/>
    </row>
    <row r="39" spans="1:15">
      <c r="A39" s="6"/>
      <c r="B39" s="7"/>
      <c r="C39" s="6"/>
      <c r="D39" s="6"/>
      <c r="E39" s="8"/>
      <c r="F39" s="6"/>
      <c r="G39" s="6"/>
      <c r="H39" s="7"/>
      <c r="I39" s="6"/>
      <c r="J39" s="7"/>
      <c r="K39" s="7"/>
      <c r="L39" s="8"/>
      <c r="M39" s="8"/>
      <c r="N39" s="6"/>
      <c r="O39" s="6"/>
    </row>
    <row r="40" spans="1:15">
      <c r="A40" s="6"/>
      <c r="B40" s="7"/>
      <c r="C40" s="6"/>
      <c r="D40" s="6"/>
      <c r="E40" s="8"/>
      <c r="F40" s="6"/>
      <c r="G40" s="6"/>
      <c r="H40" s="7"/>
      <c r="I40" s="6"/>
      <c r="J40" s="7"/>
      <c r="K40" s="7"/>
      <c r="L40" s="8"/>
      <c r="M40" s="8"/>
      <c r="N40" s="6"/>
      <c r="O40" s="6"/>
    </row>
    <row r="41" spans="1:15">
      <c r="A41" s="6"/>
      <c r="B41" s="7"/>
      <c r="C41" s="6"/>
      <c r="D41" s="6"/>
      <c r="E41" s="8"/>
      <c r="F41" s="6"/>
      <c r="G41" s="6"/>
      <c r="H41" s="7"/>
      <c r="I41" s="6"/>
      <c r="J41" s="7"/>
      <c r="K41" s="7"/>
      <c r="L41" s="8"/>
      <c r="M41" s="8"/>
      <c r="N41" s="6"/>
      <c r="O41" s="6"/>
    </row>
    <row r="42" spans="1:15">
      <c r="A42" s="6"/>
      <c r="B42" s="7"/>
      <c r="C42" s="6"/>
      <c r="D42" s="6"/>
      <c r="E42" s="8"/>
      <c r="F42" s="6"/>
      <c r="G42" s="6"/>
      <c r="H42" s="7"/>
      <c r="I42" s="6"/>
      <c r="J42" s="7"/>
      <c r="K42" s="7"/>
      <c r="L42" s="8"/>
      <c r="M42" s="8"/>
      <c r="N42" s="6"/>
      <c r="O42" s="6"/>
    </row>
    <row r="43" spans="1:15">
      <c r="A43" s="6"/>
      <c r="B43" s="7"/>
      <c r="C43" s="6"/>
      <c r="D43" s="6"/>
      <c r="E43" s="8"/>
      <c r="F43" s="6"/>
      <c r="G43" s="6"/>
      <c r="H43" s="7"/>
      <c r="I43" s="6"/>
      <c r="J43" s="7"/>
      <c r="K43" s="7"/>
      <c r="L43" s="8"/>
      <c r="M43" s="8"/>
      <c r="N43" s="6"/>
      <c r="O43" s="6"/>
    </row>
    <row r="44" spans="1:15">
      <c r="A44" s="6"/>
      <c r="B44" s="7"/>
      <c r="C44" s="6"/>
      <c r="D44" s="6"/>
      <c r="E44" s="8"/>
      <c r="F44" s="6"/>
      <c r="G44" s="6"/>
      <c r="H44" s="7"/>
      <c r="I44" s="6"/>
      <c r="J44" s="7"/>
      <c r="K44" s="7"/>
      <c r="L44" s="8"/>
      <c r="M44" s="8"/>
      <c r="N44" s="6"/>
      <c r="O44" s="6"/>
    </row>
    <row r="45" spans="1:15">
      <c r="A45" s="6"/>
      <c r="B45" s="7"/>
      <c r="C45" s="6"/>
      <c r="D45" s="6"/>
      <c r="E45" s="8"/>
      <c r="F45" s="6"/>
      <c r="G45" s="6"/>
      <c r="H45" s="7"/>
      <c r="I45" s="6"/>
      <c r="J45" s="7"/>
      <c r="K45" s="7"/>
      <c r="L45" s="8"/>
      <c r="M45" s="8"/>
      <c r="N45" s="6"/>
      <c r="O45" s="6"/>
    </row>
    <row r="46" spans="1:15">
      <c r="A46" s="6"/>
      <c r="B46" s="7"/>
      <c r="C46" s="6"/>
      <c r="D46" s="6"/>
      <c r="E46" s="8"/>
      <c r="F46" s="6"/>
      <c r="G46" s="6"/>
      <c r="H46" s="7"/>
      <c r="I46" s="6"/>
      <c r="J46" s="7"/>
      <c r="K46" s="7"/>
      <c r="L46" s="8"/>
      <c r="M46" s="8"/>
      <c r="N46" s="6"/>
      <c r="O46" s="6"/>
    </row>
    <row r="47" spans="1:15">
      <c r="A47" s="6"/>
      <c r="B47" s="7"/>
      <c r="C47" s="6"/>
      <c r="D47" s="6"/>
      <c r="E47" s="8"/>
      <c r="F47" s="6"/>
      <c r="G47" s="6"/>
      <c r="H47" s="7"/>
      <c r="I47" s="6"/>
      <c r="J47" s="7"/>
      <c r="K47" s="7"/>
      <c r="L47" s="8"/>
      <c r="M47" s="8"/>
      <c r="N47" s="6"/>
      <c r="O47" s="6"/>
    </row>
    <row r="48" spans="1:15">
      <c r="A48" s="6"/>
      <c r="B48" s="7"/>
      <c r="C48" s="6"/>
      <c r="D48" s="6"/>
      <c r="E48" s="8"/>
      <c r="F48" s="6"/>
      <c r="G48" s="6"/>
      <c r="H48" s="7"/>
      <c r="I48" s="6"/>
      <c r="J48" s="7"/>
      <c r="K48" s="7"/>
      <c r="L48" s="8"/>
      <c r="M48" s="8"/>
      <c r="N48" s="6"/>
      <c r="O48" s="6"/>
    </row>
    <row r="49" spans="1:15">
      <c r="A49" s="6"/>
      <c r="B49" s="7"/>
      <c r="C49" s="6"/>
      <c r="D49" s="6"/>
      <c r="E49" s="8"/>
      <c r="F49" s="6"/>
      <c r="G49" s="6"/>
      <c r="H49" s="7"/>
      <c r="I49" s="6"/>
      <c r="J49" s="7"/>
      <c r="K49" s="7"/>
      <c r="L49" s="8"/>
      <c r="M49" s="8"/>
      <c r="N49" s="6"/>
      <c r="O49" s="6"/>
    </row>
    <row r="50" spans="1:15">
      <c r="A50" s="6"/>
      <c r="B50" s="7"/>
      <c r="C50" s="6"/>
      <c r="D50" s="6"/>
      <c r="E50" s="8"/>
      <c r="F50" s="6"/>
      <c r="G50" s="6"/>
      <c r="H50" s="7"/>
      <c r="I50" s="6"/>
      <c r="J50" s="7"/>
      <c r="K50" s="7"/>
      <c r="L50" s="8"/>
      <c r="M50" s="8"/>
      <c r="N50" s="6"/>
      <c r="O50" s="6"/>
    </row>
    <row r="51" spans="1:15">
      <c r="A51" s="6"/>
      <c r="B51" s="7"/>
      <c r="C51" s="6"/>
      <c r="D51" s="6"/>
      <c r="E51" s="8"/>
      <c r="F51" s="6"/>
      <c r="G51" s="6"/>
      <c r="H51" s="7"/>
      <c r="I51" s="6"/>
      <c r="J51" s="7"/>
      <c r="K51" s="7"/>
      <c r="L51" s="8"/>
      <c r="M51" s="8"/>
      <c r="N51" s="6"/>
      <c r="O51" s="6"/>
    </row>
    <row r="52" spans="1:15">
      <c r="A52" s="6"/>
      <c r="B52" s="7"/>
      <c r="C52" s="6"/>
      <c r="D52" s="6"/>
      <c r="E52" s="8"/>
      <c r="F52" s="6"/>
      <c r="G52" s="6"/>
      <c r="H52" s="7"/>
      <c r="I52" s="6"/>
      <c r="J52" s="7"/>
      <c r="K52" s="7"/>
      <c r="L52" s="8"/>
      <c r="M52" s="8"/>
      <c r="N52" s="6"/>
      <c r="O52" s="6"/>
    </row>
    <row r="53" spans="1:15">
      <c r="A53" s="6"/>
      <c r="B53" s="7"/>
      <c r="C53" s="6"/>
      <c r="D53" s="6"/>
      <c r="E53" s="8"/>
      <c r="F53" s="6"/>
      <c r="G53" s="6"/>
      <c r="H53" s="7"/>
      <c r="I53" s="6"/>
      <c r="J53" s="7"/>
      <c r="K53" s="7"/>
      <c r="L53" s="8"/>
      <c r="M53" s="8"/>
      <c r="N53" s="6"/>
      <c r="O53" s="6"/>
    </row>
    <row r="54" spans="1:15">
      <c r="A54" s="6"/>
      <c r="B54" s="7"/>
      <c r="C54" s="6"/>
      <c r="D54" s="6"/>
      <c r="E54" s="8"/>
      <c r="F54" s="6"/>
      <c r="G54" s="6"/>
      <c r="H54" s="7"/>
      <c r="I54" s="6"/>
      <c r="J54" s="7"/>
      <c r="K54" s="7"/>
      <c r="L54" s="8"/>
      <c r="M54" s="8"/>
      <c r="N54" s="6"/>
      <c r="O54" s="6"/>
    </row>
    <row r="55" spans="1:15">
      <c r="A55" s="6"/>
      <c r="B55" s="7"/>
      <c r="C55" s="6"/>
      <c r="D55" s="6"/>
      <c r="E55" s="8"/>
      <c r="F55" s="6"/>
      <c r="G55" s="6"/>
      <c r="H55" s="7"/>
      <c r="I55" s="6"/>
      <c r="J55" s="7"/>
      <c r="K55" s="7"/>
      <c r="L55" s="8"/>
      <c r="M55" s="8"/>
      <c r="N55" s="6"/>
      <c r="O55" s="6"/>
    </row>
    <row r="56" spans="1:15">
      <c r="A56" s="6"/>
      <c r="B56" s="7"/>
      <c r="C56" s="6"/>
      <c r="D56" s="6"/>
      <c r="E56" s="8"/>
      <c r="F56" s="6"/>
      <c r="G56" s="6"/>
      <c r="H56" s="7"/>
      <c r="I56" s="6"/>
      <c r="J56" s="7"/>
      <c r="K56" s="7"/>
      <c r="L56" s="8"/>
      <c r="M56" s="8"/>
      <c r="N56" s="6"/>
      <c r="O56" s="6"/>
    </row>
    <row r="57" spans="1:15">
      <c r="A57" s="6"/>
      <c r="B57" s="7"/>
      <c r="C57" s="6"/>
      <c r="D57" s="6"/>
      <c r="E57" s="8"/>
      <c r="F57" s="6"/>
      <c r="G57" s="6"/>
      <c r="H57" s="7"/>
      <c r="I57" s="6"/>
      <c r="J57" s="7"/>
      <c r="K57" s="7"/>
      <c r="L57" s="8"/>
      <c r="M57" s="8"/>
      <c r="N57" s="6"/>
      <c r="O57" s="6"/>
    </row>
    <row r="58" spans="1:15">
      <c r="A58" s="6"/>
      <c r="B58" s="7"/>
      <c r="C58" s="6"/>
      <c r="D58" s="6"/>
      <c r="E58" s="8"/>
      <c r="F58" s="6"/>
      <c r="G58" s="6"/>
      <c r="H58" s="7"/>
      <c r="I58" s="6"/>
      <c r="J58" s="7"/>
      <c r="K58" s="7"/>
      <c r="L58" s="8"/>
      <c r="M58" s="8"/>
      <c r="N58" s="6"/>
      <c r="O58" s="6"/>
    </row>
    <row r="59" spans="1:15">
      <c r="A59" s="6"/>
      <c r="B59" s="7"/>
      <c r="C59" s="6"/>
      <c r="D59" s="6"/>
      <c r="E59" s="8"/>
      <c r="F59" s="6"/>
      <c r="G59" s="6"/>
      <c r="H59" s="7"/>
      <c r="I59" s="6"/>
      <c r="J59" s="7"/>
      <c r="K59" s="7"/>
      <c r="L59" s="8"/>
      <c r="M59" s="8"/>
      <c r="N59" s="6"/>
      <c r="O59" s="6"/>
    </row>
    <row r="60" spans="1:15">
      <c r="A60" s="6"/>
      <c r="B60" s="7"/>
      <c r="C60" s="6"/>
      <c r="D60" s="6"/>
      <c r="E60" s="8"/>
      <c r="F60" s="6"/>
      <c r="G60" s="6"/>
      <c r="H60" s="7"/>
      <c r="I60" s="6"/>
      <c r="J60" s="7"/>
      <c r="K60" s="7"/>
      <c r="L60" s="8"/>
      <c r="M60" s="8"/>
      <c r="N60" s="6"/>
      <c r="O60" s="6"/>
    </row>
    <row r="61" spans="1:15">
      <c r="A61" s="6"/>
      <c r="B61" s="7"/>
      <c r="C61" s="6"/>
      <c r="D61" s="6"/>
      <c r="E61" s="8"/>
      <c r="F61" s="6"/>
      <c r="G61" s="6"/>
      <c r="H61" s="7"/>
      <c r="I61" s="6"/>
      <c r="J61" s="7"/>
      <c r="K61" s="7"/>
      <c r="L61" s="8"/>
      <c r="M61" s="8"/>
      <c r="N61" s="6"/>
      <c r="O61" s="6"/>
    </row>
    <row r="62" spans="1:15">
      <c r="A62" s="6"/>
      <c r="B62" s="7"/>
      <c r="C62" s="6"/>
      <c r="D62" s="6"/>
      <c r="E62" s="8"/>
      <c r="F62" s="6"/>
      <c r="G62" s="6"/>
      <c r="H62" s="7"/>
      <c r="I62" s="6"/>
      <c r="J62" s="7"/>
      <c r="K62" s="7"/>
      <c r="L62" s="8"/>
      <c r="M62" s="8"/>
      <c r="N62" s="6"/>
      <c r="O62" s="6"/>
    </row>
    <row r="63" spans="1:15">
      <c r="A63" s="6"/>
      <c r="B63" s="7"/>
      <c r="C63" s="6"/>
      <c r="D63" s="6"/>
      <c r="E63" s="8"/>
      <c r="F63" s="6"/>
      <c r="G63" s="6"/>
      <c r="H63" s="7"/>
      <c r="I63" s="6"/>
      <c r="J63" s="7"/>
      <c r="K63" s="7"/>
      <c r="L63" s="8"/>
      <c r="M63" s="8"/>
      <c r="N63" s="6"/>
      <c r="O63" s="6"/>
    </row>
    <row r="64" spans="1:15">
      <c r="A64" s="6"/>
      <c r="B64" s="7"/>
      <c r="C64" s="6"/>
      <c r="D64" s="6"/>
      <c r="E64" s="8"/>
      <c r="F64" s="6"/>
      <c r="G64" s="6"/>
      <c r="H64" s="7"/>
      <c r="I64" s="6"/>
      <c r="J64" s="7"/>
      <c r="K64" s="7"/>
      <c r="L64" s="8"/>
      <c r="M64" s="8"/>
      <c r="N64" s="6"/>
      <c r="O64" s="6"/>
    </row>
    <row r="65" spans="1:15">
      <c r="A65" s="6"/>
      <c r="B65" s="7"/>
      <c r="C65" s="6"/>
      <c r="D65" s="6"/>
      <c r="E65" s="8"/>
      <c r="F65" s="6"/>
      <c r="G65" s="6"/>
      <c r="H65" s="7"/>
      <c r="I65" s="6"/>
      <c r="J65" s="7"/>
      <c r="K65" s="7"/>
      <c r="L65" s="8"/>
      <c r="M65" s="8"/>
      <c r="N65" s="6"/>
      <c r="O65" s="6"/>
    </row>
    <row r="66" spans="1:15">
      <c r="A66" s="6"/>
      <c r="B66" s="7"/>
      <c r="C66" s="6"/>
      <c r="D66" s="6"/>
      <c r="E66" s="8"/>
      <c r="F66" s="6"/>
      <c r="G66" s="6"/>
      <c r="H66" s="7"/>
      <c r="I66" s="6"/>
      <c r="J66" s="7"/>
      <c r="K66" s="7"/>
      <c r="L66" s="8"/>
      <c r="M66" s="8"/>
      <c r="N66" s="6"/>
      <c r="O66" s="6"/>
    </row>
    <row r="67" spans="1:15">
      <c r="A67" s="6"/>
      <c r="B67" s="7"/>
      <c r="C67" s="6"/>
      <c r="D67" s="6"/>
      <c r="E67" s="8"/>
      <c r="F67" s="6"/>
      <c r="G67" s="6"/>
      <c r="H67" s="7"/>
      <c r="I67" s="6"/>
      <c r="J67" s="7"/>
      <c r="K67" s="7"/>
      <c r="L67" s="8"/>
      <c r="M67" s="8"/>
      <c r="N67" s="6"/>
      <c r="O67" s="6"/>
    </row>
    <row r="68" spans="1:15">
      <c r="A68" s="6"/>
      <c r="B68" s="7"/>
      <c r="C68" s="6"/>
      <c r="D68" s="6"/>
      <c r="E68" s="8"/>
      <c r="F68" s="6"/>
      <c r="G68" s="6"/>
      <c r="H68" s="7"/>
      <c r="I68" s="6"/>
      <c r="J68" s="7"/>
      <c r="K68" s="7"/>
      <c r="L68" s="8"/>
      <c r="M68" s="8"/>
      <c r="N68" s="6"/>
      <c r="O68" s="6"/>
    </row>
    <row r="69" spans="1:15">
      <c r="A69" s="6"/>
      <c r="B69" s="7"/>
      <c r="C69" s="6"/>
      <c r="D69" s="6"/>
      <c r="E69" s="8"/>
      <c r="F69" s="6"/>
      <c r="G69" s="6"/>
      <c r="H69" s="7"/>
      <c r="I69" s="6"/>
      <c r="J69" s="7"/>
      <c r="K69" s="7"/>
      <c r="L69" s="8"/>
      <c r="M69" s="8"/>
      <c r="N69" s="6"/>
      <c r="O69" s="6"/>
    </row>
    <row r="70" spans="1:15">
      <c r="A70" s="6"/>
      <c r="B70" s="7"/>
      <c r="C70" s="6"/>
      <c r="D70" s="6"/>
      <c r="E70" s="8"/>
      <c r="F70" s="6"/>
      <c r="G70" s="6"/>
      <c r="H70" s="7"/>
      <c r="I70" s="6"/>
      <c r="J70" s="7"/>
      <c r="K70" s="7"/>
      <c r="L70" s="8"/>
      <c r="M70" s="8"/>
      <c r="N70" s="6"/>
      <c r="O70" s="6"/>
    </row>
    <row r="71" spans="1:15">
      <c r="A71" s="6"/>
      <c r="B71" s="7"/>
      <c r="C71" s="6"/>
      <c r="D71" s="6"/>
      <c r="E71" s="8"/>
      <c r="F71" s="6"/>
      <c r="G71" s="6"/>
      <c r="H71" s="7"/>
      <c r="I71" s="6"/>
      <c r="J71" s="7"/>
      <c r="K71" s="7"/>
      <c r="L71" s="8"/>
      <c r="M71" s="8"/>
      <c r="N71" s="6"/>
      <c r="O71" s="6"/>
    </row>
    <row r="72" spans="1:15">
      <c r="A72" s="6"/>
      <c r="B72" s="7"/>
      <c r="C72" s="6"/>
      <c r="D72" s="6"/>
      <c r="E72" s="8"/>
      <c r="F72" s="6"/>
      <c r="G72" s="6"/>
      <c r="H72" s="7"/>
      <c r="I72" s="6"/>
      <c r="J72" s="7"/>
      <c r="K72" s="7"/>
      <c r="L72" s="8"/>
      <c r="M72" s="8"/>
      <c r="N72" s="6"/>
      <c r="O72" s="6"/>
    </row>
    <row r="73" spans="1:15">
      <c r="A73" s="6"/>
      <c r="B73" s="7"/>
      <c r="C73" s="6"/>
      <c r="D73" s="6"/>
      <c r="E73" s="8"/>
      <c r="F73" s="6"/>
      <c r="G73" s="6"/>
      <c r="H73" s="7"/>
      <c r="I73" s="6"/>
      <c r="J73" s="7"/>
      <c r="K73" s="7"/>
      <c r="L73" s="8"/>
      <c r="M73" s="8"/>
      <c r="N73" s="6"/>
      <c r="O73" s="6"/>
    </row>
    <row r="74" spans="1:15">
      <c r="A74" s="6"/>
      <c r="B74" s="7"/>
      <c r="C74" s="6"/>
      <c r="D74" s="6"/>
      <c r="E74" s="8"/>
      <c r="F74" s="6"/>
      <c r="G74" s="6"/>
      <c r="H74" s="7"/>
      <c r="I74" s="6"/>
      <c r="J74" s="7"/>
      <c r="K74" s="7"/>
      <c r="L74" s="8"/>
      <c r="M74" s="8"/>
      <c r="N74" s="6"/>
      <c r="O74" s="6"/>
    </row>
    <row r="75" spans="1:15">
      <c r="A75" s="6"/>
      <c r="B75" s="7"/>
      <c r="C75" s="6"/>
      <c r="D75" s="6"/>
      <c r="E75" s="8"/>
      <c r="F75" s="6"/>
      <c r="G75" s="6"/>
      <c r="H75" s="7"/>
      <c r="I75" s="6"/>
      <c r="J75" s="7"/>
      <c r="K75" s="7"/>
      <c r="L75" s="8"/>
      <c r="M75" s="8"/>
      <c r="N75" s="6"/>
      <c r="O75" s="6"/>
    </row>
    <row r="76" spans="1:15">
      <c r="A76" s="6"/>
      <c r="B76" s="7"/>
      <c r="C76" s="6"/>
      <c r="D76" s="6"/>
      <c r="E76" s="8"/>
      <c r="F76" s="6"/>
      <c r="G76" s="6"/>
      <c r="H76" s="7"/>
      <c r="I76" s="6"/>
      <c r="J76" s="7"/>
      <c r="K76" s="7"/>
      <c r="L76" s="8"/>
      <c r="M76" s="8"/>
      <c r="N76" s="6"/>
      <c r="O76" s="6"/>
    </row>
    <row r="77" spans="1:15">
      <c r="A77" s="6"/>
      <c r="B77" s="7"/>
      <c r="C77" s="6"/>
      <c r="D77" s="6"/>
      <c r="E77" s="8"/>
      <c r="F77" s="6"/>
      <c r="G77" s="6"/>
      <c r="H77" s="7"/>
      <c r="I77" s="6"/>
      <c r="J77" s="7"/>
      <c r="K77" s="7"/>
      <c r="L77" s="8"/>
      <c r="M77" s="8"/>
      <c r="N77" s="6"/>
      <c r="O77" s="6"/>
    </row>
    <row r="78" spans="1:15">
      <c r="A78" s="6"/>
      <c r="B78" s="7"/>
      <c r="C78" s="6"/>
      <c r="D78" s="6"/>
      <c r="E78" s="8"/>
      <c r="F78" s="6"/>
      <c r="G78" s="6"/>
      <c r="H78" s="7"/>
      <c r="I78" s="6"/>
      <c r="J78" s="7"/>
      <c r="K78" s="7"/>
      <c r="L78" s="8"/>
      <c r="M78" s="8"/>
      <c r="N78" s="6"/>
      <c r="O78" s="6"/>
    </row>
    <row r="79" spans="1:15">
      <c r="A79" s="6"/>
      <c r="B79" s="7"/>
      <c r="C79" s="6"/>
      <c r="D79" s="6"/>
      <c r="E79" s="8"/>
      <c r="F79" s="6"/>
      <c r="G79" s="6"/>
      <c r="H79" s="7"/>
      <c r="I79" s="6"/>
      <c r="J79" s="7"/>
      <c r="K79" s="7"/>
      <c r="L79" s="8"/>
      <c r="M79" s="8"/>
      <c r="N79" s="6"/>
      <c r="O79" s="6"/>
    </row>
    <row r="80" spans="1:15">
      <c r="A80" s="6"/>
      <c r="B80" s="7"/>
      <c r="C80" s="6"/>
      <c r="D80" s="6"/>
      <c r="E80" s="8"/>
      <c r="F80" s="6"/>
      <c r="G80" s="6"/>
      <c r="H80" s="7"/>
      <c r="I80" s="6"/>
      <c r="J80" s="7"/>
      <c r="K80" s="7"/>
      <c r="L80" s="8"/>
      <c r="M80" s="8"/>
      <c r="N80" s="6"/>
      <c r="O80" s="6"/>
    </row>
    <row r="81" spans="1:15">
      <c r="A81" s="6"/>
      <c r="B81" s="7"/>
      <c r="C81" s="6"/>
      <c r="D81" s="6"/>
      <c r="E81" s="8"/>
      <c r="F81" s="6"/>
      <c r="G81" s="6"/>
      <c r="H81" s="7"/>
      <c r="I81" s="6"/>
      <c r="J81" s="7"/>
      <c r="K81" s="7"/>
      <c r="L81" s="8"/>
      <c r="M81" s="8"/>
      <c r="N81" s="6"/>
      <c r="O81" s="6"/>
    </row>
    <row r="82" spans="1:15">
      <c r="A82" s="6"/>
      <c r="B82" s="7"/>
      <c r="C82" s="6"/>
      <c r="D82" s="6"/>
      <c r="E82" s="8"/>
      <c r="F82" s="6"/>
      <c r="G82" s="6"/>
      <c r="H82" s="7"/>
      <c r="I82" s="6"/>
      <c r="J82" s="7"/>
      <c r="K82" s="7"/>
      <c r="L82" s="8"/>
      <c r="M82" s="8"/>
      <c r="N82" s="6"/>
      <c r="O82" s="6"/>
    </row>
    <row r="83" spans="1:15">
      <c r="A83" s="6"/>
      <c r="B83" s="7"/>
      <c r="C83" s="6"/>
      <c r="D83" s="6"/>
      <c r="E83" s="8"/>
      <c r="F83" s="6"/>
      <c r="G83" s="6"/>
      <c r="H83" s="7"/>
      <c r="I83" s="6"/>
      <c r="J83" s="7"/>
      <c r="K83" s="7"/>
      <c r="L83" s="8"/>
      <c r="M83" s="8"/>
      <c r="N83" s="6"/>
      <c r="O83" s="6"/>
    </row>
    <row r="84" spans="1:15">
      <c r="A84" s="6"/>
      <c r="B84" s="7"/>
      <c r="C84" s="6"/>
      <c r="D84" s="6"/>
      <c r="E84" s="8"/>
      <c r="F84" s="6"/>
      <c r="G84" s="6"/>
      <c r="H84" s="7"/>
      <c r="I84" s="6"/>
      <c r="J84" s="7"/>
      <c r="K84" s="7"/>
      <c r="L84" s="8"/>
      <c r="M84" s="8"/>
      <c r="N84" s="6"/>
      <c r="O84" s="6"/>
    </row>
    <row r="85" spans="1:15">
      <c r="A85" s="6"/>
      <c r="B85" s="7"/>
      <c r="C85" s="6"/>
      <c r="D85" s="6"/>
      <c r="E85" s="8"/>
      <c r="F85" s="6"/>
      <c r="G85" s="6"/>
      <c r="H85" s="7"/>
      <c r="I85" s="6"/>
      <c r="J85" s="7"/>
      <c r="K85" s="7"/>
      <c r="L85" s="8"/>
      <c r="M85" s="8"/>
      <c r="N85" s="6"/>
      <c r="O85" s="6"/>
    </row>
    <row r="86" spans="1:15">
      <c r="A86" s="6"/>
      <c r="B86" s="7"/>
      <c r="C86" s="6"/>
      <c r="D86" s="6"/>
      <c r="E86" s="8"/>
      <c r="F86" s="6"/>
      <c r="G86" s="6"/>
      <c r="H86" s="7"/>
      <c r="I86" s="6"/>
      <c r="J86" s="7"/>
      <c r="K86" s="7"/>
      <c r="L86" s="8"/>
      <c r="M86" s="8"/>
      <c r="N86" s="6"/>
      <c r="O86" s="6"/>
    </row>
    <row r="87" spans="1:15">
      <c r="A87" s="6"/>
      <c r="B87" s="7"/>
      <c r="C87" s="6"/>
      <c r="D87" s="6"/>
      <c r="E87" s="8"/>
      <c r="F87" s="6"/>
      <c r="G87" s="6"/>
      <c r="H87" s="7"/>
      <c r="I87" s="6"/>
      <c r="J87" s="7"/>
      <c r="K87" s="7"/>
      <c r="L87" s="8"/>
      <c r="M87" s="8"/>
      <c r="N87" s="6"/>
      <c r="O87" s="6"/>
    </row>
    <row r="88" spans="1:15">
      <c r="A88" s="6"/>
      <c r="B88" s="7"/>
      <c r="C88" s="6"/>
      <c r="D88" s="6"/>
      <c r="E88" s="8"/>
      <c r="F88" s="6"/>
      <c r="G88" s="6"/>
      <c r="H88" s="7"/>
      <c r="I88" s="6"/>
      <c r="J88" s="7"/>
      <c r="K88" s="7"/>
      <c r="L88" s="8"/>
      <c r="M88" s="8"/>
      <c r="N88" s="6"/>
      <c r="O88" s="6"/>
    </row>
    <row r="89" spans="1:15">
      <c r="A89" s="6"/>
      <c r="B89" s="7"/>
      <c r="C89" s="6"/>
      <c r="D89" s="6"/>
      <c r="E89" s="8"/>
      <c r="F89" s="6"/>
      <c r="G89" s="6"/>
      <c r="H89" s="7"/>
      <c r="I89" s="6"/>
      <c r="J89" s="7"/>
      <c r="K89" s="7"/>
      <c r="L89" s="8"/>
      <c r="M89" s="8"/>
      <c r="N89" s="6"/>
      <c r="O89" s="6"/>
    </row>
    <row r="90" spans="1:15">
      <c r="A90" s="6"/>
      <c r="B90" s="7"/>
      <c r="C90" s="6"/>
      <c r="D90" s="6"/>
      <c r="E90" s="8"/>
      <c r="F90" s="6"/>
      <c r="G90" s="6"/>
      <c r="H90" s="7"/>
      <c r="I90" s="6"/>
      <c r="J90" s="7"/>
      <c r="K90" s="7"/>
      <c r="L90" s="8"/>
      <c r="M90" s="8"/>
      <c r="N90" s="6"/>
      <c r="O90" s="6"/>
    </row>
    <row r="91" spans="1:15">
      <c r="A91" s="6"/>
      <c r="B91" s="7"/>
      <c r="C91" s="6"/>
      <c r="D91" s="6"/>
      <c r="E91" s="8"/>
      <c r="F91" s="6"/>
      <c r="G91" s="6"/>
      <c r="H91" s="7"/>
      <c r="I91" s="6"/>
      <c r="J91" s="7"/>
      <c r="K91" s="7"/>
      <c r="L91" s="8"/>
      <c r="M91" s="8"/>
      <c r="N91" s="6"/>
      <c r="O91" s="6"/>
    </row>
    <row r="92" spans="1:15">
      <c r="A92" s="6"/>
      <c r="B92" s="7"/>
      <c r="C92" s="6"/>
      <c r="D92" s="6"/>
      <c r="E92" s="8"/>
      <c r="F92" s="6"/>
      <c r="G92" s="6"/>
      <c r="H92" s="7"/>
      <c r="I92" s="6"/>
      <c r="J92" s="7"/>
      <c r="K92" s="7"/>
      <c r="L92" s="8"/>
      <c r="M92" s="8"/>
      <c r="N92" s="6"/>
      <c r="O92" s="6"/>
    </row>
    <row r="93" spans="1:15">
      <c r="A93" s="6"/>
      <c r="B93" s="7"/>
      <c r="C93" s="6"/>
      <c r="D93" s="6"/>
      <c r="E93" s="8"/>
      <c r="F93" s="6"/>
      <c r="G93" s="6"/>
      <c r="H93" s="7"/>
      <c r="I93" s="6"/>
      <c r="J93" s="7"/>
      <c r="K93" s="7"/>
      <c r="L93" s="8"/>
      <c r="M93" s="8"/>
      <c r="N93" s="6"/>
      <c r="O93" s="6"/>
    </row>
    <row r="94" spans="1:15">
      <c r="A94" s="6"/>
      <c r="B94" s="7"/>
      <c r="C94" s="6"/>
      <c r="D94" s="6"/>
      <c r="E94" s="8"/>
      <c r="F94" s="6"/>
      <c r="G94" s="6"/>
      <c r="H94" s="7"/>
      <c r="I94" s="6"/>
      <c r="J94" s="7"/>
      <c r="K94" s="7"/>
      <c r="L94" s="8"/>
      <c r="M94" s="8"/>
      <c r="N94" s="6"/>
      <c r="O94" s="6"/>
    </row>
    <row r="95" spans="1:15">
      <c r="A95" s="6"/>
      <c r="B95" s="7"/>
      <c r="C95" s="6"/>
      <c r="D95" s="6"/>
      <c r="E95" s="8"/>
      <c r="F95" s="6"/>
      <c r="G95" s="6"/>
      <c r="H95" s="7"/>
      <c r="I95" s="6"/>
      <c r="J95" s="7"/>
      <c r="K95" s="7"/>
      <c r="L95" s="8"/>
      <c r="M95" s="8"/>
      <c r="N95" s="6"/>
      <c r="O95" s="6"/>
    </row>
    <row r="96" spans="1:15">
      <c r="A96" s="6"/>
      <c r="B96" s="7"/>
      <c r="C96" s="6"/>
      <c r="D96" s="6"/>
      <c r="E96" s="8"/>
      <c r="F96" s="6"/>
      <c r="G96" s="6"/>
      <c r="H96" s="7"/>
      <c r="I96" s="6"/>
      <c r="J96" s="7"/>
      <c r="K96" s="7"/>
      <c r="L96" s="8"/>
      <c r="M96" s="8"/>
      <c r="N96" s="6"/>
      <c r="O96" s="6"/>
    </row>
    <row r="97" spans="1:15">
      <c r="A97" s="6"/>
      <c r="B97" s="7"/>
      <c r="C97" s="6"/>
      <c r="D97" s="6"/>
      <c r="E97" s="8"/>
      <c r="F97" s="6"/>
      <c r="G97" s="6"/>
      <c r="H97" s="7"/>
      <c r="I97" s="6"/>
      <c r="J97" s="7"/>
      <c r="K97" s="7"/>
      <c r="L97" s="8"/>
      <c r="M97" s="8"/>
      <c r="N97" s="6"/>
      <c r="O97" s="6"/>
    </row>
    <row r="98" spans="1:15">
      <c r="A98" s="6"/>
      <c r="B98" s="7"/>
      <c r="C98" s="6"/>
      <c r="D98" s="6"/>
      <c r="E98" s="8"/>
      <c r="F98" s="6"/>
      <c r="G98" s="6"/>
      <c r="H98" s="7"/>
      <c r="I98" s="6"/>
      <c r="J98" s="7"/>
      <c r="K98" s="7"/>
      <c r="L98" s="8"/>
      <c r="M98" s="8"/>
      <c r="N98" s="6"/>
      <c r="O98" s="6"/>
    </row>
    <row r="99" spans="1:15">
      <c r="A99" s="6"/>
      <c r="B99" s="7"/>
      <c r="C99" s="6"/>
      <c r="D99" s="6"/>
      <c r="E99" s="8"/>
      <c r="F99" s="6"/>
      <c r="G99" s="6"/>
      <c r="H99" s="7"/>
      <c r="I99" s="6"/>
      <c r="J99" s="7"/>
      <c r="K99" s="7"/>
      <c r="L99" s="8"/>
      <c r="M99" s="8"/>
      <c r="N99" s="6"/>
      <c r="O99" s="6"/>
    </row>
    <row r="100" spans="1:15">
      <c r="A100" s="6"/>
      <c r="B100" s="7"/>
      <c r="C100" s="6"/>
      <c r="D100" s="6"/>
      <c r="E100" s="8"/>
      <c r="F100" s="6"/>
      <c r="G100" s="6"/>
      <c r="H100" s="7"/>
      <c r="I100" s="6"/>
      <c r="J100" s="7"/>
      <c r="K100" s="7"/>
      <c r="L100" s="8"/>
      <c r="M100" s="8"/>
      <c r="N100" s="6"/>
      <c r="O100" s="6"/>
    </row>
    <row r="101" spans="1:15">
      <c r="A101" s="6"/>
      <c r="B101" s="7"/>
      <c r="C101" s="6"/>
      <c r="D101" s="6"/>
      <c r="E101" s="8"/>
      <c r="F101" s="6"/>
      <c r="G101" s="6"/>
      <c r="H101" s="7"/>
      <c r="I101" s="6"/>
      <c r="J101" s="7"/>
      <c r="K101" s="7"/>
      <c r="L101" s="8"/>
      <c r="M101" s="8"/>
      <c r="N101" s="6"/>
      <c r="O101" s="6"/>
    </row>
    <row r="102" spans="1:15">
      <c r="A102" s="6"/>
      <c r="B102" s="7"/>
      <c r="C102" s="6"/>
      <c r="D102" s="6"/>
      <c r="E102" s="8"/>
      <c r="F102" s="6"/>
      <c r="G102" s="6"/>
      <c r="H102" s="7"/>
      <c r="I102" s="6"/>
      <c r="J102" s="7"/>
      <c r="K102" s="7"/>
      <c r="L102" s="8"/>
      <c r="M102" s="8"/>
      <c r="N102" s="6"/>
      <c r="O102" s="6"/>
    </row>
    <row r="103" spans="1:15">
      <c r="A103" s="6"/>
      <c r="B103" s="7"/>
      <c r="C103" s="6"/>
      <c r="D103" s="6"/>
      <c r="E103" s="8"/>
      <c r="F103" s="6"/>
      <c r="G103" s="6"/>
      <c r="H103" s="7"/>
      <c r="I103" s="6"/>
      <c r="J103" s="7"/>
      <c r="K103" s="7"/>
      <c r="L103" s="8"/>
      <c r="M103" s="8"/>
      <c r="N103" s="6"/>
      <c r="O103" s="6"/>
    </row>
    <row r="104" spans="1:15">
      <c r="A104" s="6"/>
      <c r="B104" s="7"/>
      <c r="C104" s="6"/>
      <c r="D104" s="6"/>
      <c r="E104" s="8"/>
      <c r="F104" s="6"/>
      <c r="G104" s="6"/>
      <c r="H104" s="7"/>
      <c r="I104" s="6"/>
      <c r="J104" s="7"/>
      <c r="K104" s="7"/>
      <c r="L104" s="8"/>
      <c r="M104" s="8"/>
      <c r="N104" s="6"/>
      <c r="O104" s="6"/>
    </row>
  </sheetData>
  <dataValidations count="2">
    <dataValidation type="list" sqref="C5:C104">
      <formula1>"P1,P2,P3,P4"</formula1>
    </dataValidation>
    <dataValidation type="list" sqref="I5:I104">
      <formula1>"新建,已响应,处理中,已恢复,已解决,已关闭"</formula1>
    </dataValidation>
  </dataValidation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6A6A6"/>
  </sheetPr>
  <dimension ref="A1:B19"/>
  <sheetViews>
    <sheetView showGridLines="0" workbookViewId="0">
      <selection activeCell="A1" sqref="A1"/>
    </sheetView>
  </sheetViews>
  <sheetFormatPr defaultColWidth="9" defaultRowHeight="16.8" outlineLevelCol="1"/>
  <cols>
    <col min="1" max="1" width="30" customWidth="1"/>
    <col min="2" max="2" width="86" customWidth="1"/>
  </cols>
  <sheetData>
    <row r="1" ht="32" customHeight="1" spans="1:2">
      <c r="A1" s="1" t="s">
        <v>595</v>
      </c>
      <c r="B1" s="1" t="s">
        <v>596</v>
      </c>
    </row>
    <row r="2" spans="1:2">
      <c r="A2" s="2" t="s">
        <v>597</v>
      </c>
      <c r="B2" s="2" t="s">
        <v>598</v>
      </c>
    </row>
    <row r="3" spans="1:2">
      <c r="A3" s="2" t="s">
        <v>599</v>
      </c>
      <c r="B3" s="2" t="s">
        <v>49</v>
      </c>
    </row>
    <row r="4" spans="1:2">
      <c r="A4" s="2" t="s">
        <v>600</v>
      </c>
      <c r="B4" s="2" t="s">
        <v>601</v>
      </c>
    </row>
    <row r="5" spans="1:2">
      <c r="A5" s="2" t="s">
        <v>54</v>
      </c>
      <c r="B5" s="3">
        <v>46282</v>
      </c>
    </row>
    <row r="6" spans="1:2">
      <c r="A6" s="2" t="s">
        <v>602</v>
      </c>
      <c r="B6" s="3">
        <v>46282</v>
      </c>
    </row>
    <row r="7" spans="1:2">
      <c r="A7" s="2" t="s">
        <v>603</v>
      </c>
      <c r="B7" s="3">
        <v>46538</v>
      </c>
    </row>
    <row r="8" spans="1:2">
      <c r="A8" s="2" t="s">
        <v>604</v>
      </c>
      <c r="B8" s="3">
        <v>46539</v>
      </c>
    </row>
    <row r="9" spans="1:2">
      <c r="A9" s="2" t="s">
        <v>132</v>
      </c>
      <c r="B9" s="3">
        <v>46568</v>
      </c>
    </row>
    <row r="10" spans="1:2">
      <c r="A10" s="2" t="s">
        <v>605</v>
      </c>
      <c r="B10" s="2">
        <v>7</v>
      </c>
    </row>
    <row r="11" spans="1:2">
      <c r="A11" s="2" t="s">
        <v>606</v>
      </c>
      <c r="B11" s="2">
        <v>20</v>
      </c>
    </row>
    <row r="12" spans="1:2">
      <c r="A12" s="2" t="s">
        <v>607</v>
      </c>
      <c r="B12" s="2">
        <v>6</v>
      </c>
    </row>
    <row r="13" spans="1:2">
      <c r="A13" s="2" t="s">
        <v>608</v>
      </c>
      <c r="B13" s="2">
        <v>12</v>
      </c>
    </row>
    <row r="14" spans="1:2">
      <c r="A14" s="2" t="s">
        <v>609</v>
      </c>
      <c r="B14" s="2">
        <v>12</v>
      </c>
    </row>
    <row r="15" spans="1:2">
      <c r="A15" s="2" t="s">
        <v>610</v>
      </c>
      <c r="B15" s="2" t="s">
        <v>611</v>
      </c>
    </row>
    <row r="16" spans="1:2">
      <c r="A16" s="2" t="s">
        <v>612</v>
      </c>
      <c r="B16" s="2" t="s">
        <v>613</v>
      </c>
    </row>
    <row r="17" spans="1:2">
      <c r="A17" s="2" t="s">
        <v>614</v>
      </c>
      <c r="B17" s="2" t="s">
        <v>615</v>
      </c>
    </row>
    <row r="18" spans="1:2">
      <c r="A18" s="2" t="s">
        <v>616</v>
      </c>
      <c r="B18" s="2" t="s">
        <v>617</v>
      </c>
    </row>
    <row r="19" spans="1:2">
      <c r="A19" s="2" t="s">
        <v>618</v>
      </c>
      <c r="B19" s="2" t="s">
        <v>619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上线总览</vt:lpstr>
      <vt:lpstr>使用说明</vt:lpstr>
      <vt:lpstr>上线策略</vt:lpstr>
      <vt:lpstr>上线准备清单</vt:lpstr>
      <vt:lpstr>数据迁移与核验</vt:lpstr>
      <vt:lpstr>切换执行计划</vt:lpstr>
      <vt:lpstr>回退方案</vt:lpstr>
      <vt:lpstr>移交清单</vt:lpstr>
      <vt:lpstr>试运行台账</vt:lpstr>
      <vt:lpstr>运维SLA</vt:lpstr>
      <vt:lpstr>上线事件日志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2026-09-22T10:55:38Z</dcterms:created>
  <dcterms:modified xsi:type="dcterms:W3CDTF">2026-09-22T10:58:11Z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fficeCLI.Version">
    <vt:lpwstr>1.0.103</vt:lpwstr>
  </property>
  <property fmtid="{D5CDD505-2E9C-101B-9397-08002B2CF9AE}" pid="3" name="OfficeCLI.LastModified">
    <vt:lpwstr>2026-09-20T07:31:39Z</vt:lpwstr>
  </property>
  <property fmtid="{D5CDD505-2E9C-101B-9397-08002B2CF9AE}" pid="4" name="ICV">
    <vt:lpwstr>DC4ED9331317F7ACC3EEB16AA0DF25FD_42</vt:lpwstr>
  </property>
  <property fmtid="{D5CDD505-2E9C-101B-9397-08002B2CF9AE}" pid="5" name="KSOProductBuildVer">
    <vt:lpwstr>2052-12.1.25869.25869</vt:lpwstr>
  </property>
  <property fmtid="{D5CDD505-2E9C-101B-9397-08002B2CF9AE}" pid="6" name="CalculationRule">
    <vt:i4>0</vt:i4>
  </property>
</Properties>
</file>